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Ex2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6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charts/chart8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FPCapital.com Dropbox\Invest_project\!AB_FO\_1 Portfolio\_1 Portfolio analysis\"/>
    </mc:Choice>
  </mc:AlternateContent>
  <xr:revisionPtr revIDLastSave="0" documentId="13_ncr:1_{3766A0F6-EEA5-4A3A-9C68-BBA06FEEBB91}" xr6:coauthVersionLast="47" xr6:coauthVersionMax="47" xr10:uidLastSave="{00000000-0000-0000-0000-000000000000}"/>
  <bookViews>
    <workbookView xWindow="-120" yWindow="-120" windowWidth="29040" windowHeight="15720" tabRatio="829" activeTab="23" xr2:uid="{00000000-000D-0000-FFFF-FFFF00000000}"/>
  </bookViews>
  <sheets>
    <sheet name="Composition" sheetId="35" r:id="rId1"/>
    <sheet name="Results" sheetId="3" r:id="rId2"/>
    <sheet name="LTV" sheetId="29" r:id="rId3"/>
    <sheet name="Bonds_Analysis" sheetId="12" r:id="rId4"/>
    <sheet name="CF USD" sheetId="27" r:id="rId5"/>
    <sheet name="PORTF&gt;&gt;" sheetId="25" r:id="rId6"/>
    <sheet name="Bonds" sheetId="2" r:id="rId7"/>
    <sheet name="Bonds ETFs" sheetId="7" r:id="rId8"/>
    <sheet name="Deposits" sheetId="6" r:id="rId9"/>
    <sheet name="Equities" sheetId="10" r:id="rId10"/>
    <sheet name="Distribution" sheetId="36" r:id="rId11"/>
    <sheet name="Alternative assets" sheetId="11" r:id="rId12"/>
    <sheet name="Cash" sheetId="16" r:id="rId13"/>
    <sheet name="Loans" sheetId="1" r:id="rId14"/>
    <sheet name="Real Estate" sheetId="32" r:id="rId15"/>
    <sheet name="JPM - DP (3R)" sheetId="33" r:id="rId16"/>
    <sheet name="Sheet1" sheetId="37" r:id="rId17"/>
    <sheet name="DATA &gt;&gt;" sheetId="23" r:id="rId18"/>
    <sheet name="JPM St" sheetId="34" r:id="rId19"/>
    <sheet name="Cbonds" sheetId="22" r:id="rId20"/>
    <sheet name="UBS" sheetId="19" r:id="rId21"/>
    <sheet name="V004" sheetId="17" r:id="rId22"/>
    <sheet name="V001" sheetId="18" r:id="rId23"/>
    <sheet name="Loans tech_list" sheetId="8" r:id="rId24"/>
    <sheet name="Tech list" sheetId="9" r:id="rId25"/>
    <sheet name="CF CCY" sheetId="26" r:id="rId26"/>
  </sheets>
  <definedNames>
    <definedName name="_xlnm._FilterDatabase" localSheetId="6" hidden="1">Bonds!$AT$1:$BF$98</definedName>
    <definedName name="_xlnm._FilterDatabase" localSheetId="3" hidden="1">Bonds_Analysis!$Y$2:$Y$28</definedName>
    <definedName name="_xlnm._FilterDatabase" localSheetId="19" hidden="1">Cbonds!$A$1:$AF$248</definedName>
    <definedName name="_xlnm._FilterDatabase" localSheetId="15" hidden="1">'JPM - DP (3R)'!$A$1:$M$500</definedName>
    <definedName name="_xlnm._FilterDatabase" localSheetId="18" hidden="1">'JPM St'!$A$22:$BW$211</definedName>
    <definedName name="_xlnm._FilterDatabase" localSheetId="20">UBS!$A$1:$F$6332</definedName>
    <definedName name="_xlchart.v1.0" hidden="1">Results!$S$4:$S$8</definedName>
    <definedName name="_xlchart.v1.1" hidden="1">Results!$V$4:$V$8</definedName>
    <definedName name="_xlchart.v1.2" hidden="1">Bonds_Analysis!$L$21:$L$27</definedName>
    <definedName name="_xlchart.v1.3" hidden="1">Bonds_Analysis!$M$21:$M$27</definedName>
    <definedName name="_xlnm.Extract" localSheetId="6">Bonds!$AJ$1</definedName>
    <definedName name="_xlnm.Extract" localSheetId="3">Bonds_Analysis!$AA$2</definedName>
    <definedName name="_xlnm.Print_Titles" localSheetId="20">UBS!$1:$1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4" i="33" l="1"/>
  <c r="W3" i="33"/>
  <c r="W2" i="33"/>
  <c r="D2" i="33" a="1"/>
  <c r="D2" i="33" s="1"/>
  <c r="E2" i="33" l="1"/>
  <c r="AP2" i="33" a="1"/>
  <c r="AP2" i="33" s="1"/>
  <c r="I16" i="29" l="1"/>
  <c r="F17" i="1"/>
  <c r="F18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2" i="1"/>
  <c r="AC10" i="33" l="1"/>
  <c r="AC11" i="33"/>
  <c r="K76" i="10"/>
  <c r="U7" i="7" l="1"/>
  <c r="G21" i="19"/>
  <c r="U16" i="7"/>
  <c r="V16" i="7" s="1"/>
  <c r="P19" i="10"/>
  <c r="R19" i="10"/>
  <c r="S19" i="10" s="1"/>
  <c r="V19" i="10"/>
  <c r="N19" i="10"/>
  <c r="K19" i="10"/>
  <c r="V69" i="10"/>
  <c r="W69" i="10" s="1"/>
  <c r="V70" i="10"/>
  <c r="W70" i="10" s="1"/>
  <c r="V71" i="10"/>
  <c r="V72" i="10"/>
  <c r="P68" i="10"/>
  <c r="N69" i="10"/>
  <c r="N70" i="10"/>
  <c r="N71" i="10"/>
  <c r="N72" i="10"/>
  <c r="F139" i="10"/>
  <c r="F140" i="10"/>
  <c r="F141" i="10"/>
  <c r="F142" i="10"/>
  <c r="F143" i="10"/>
  <c r="F144" i="10"/>
  <c r="F145" i="10"/>
  <c r="F146" i="10"/>
  <c r="F147" i="10"/>
  <c r="F148" i="10"/>
  <c r="F149" i="10"/>
  <c r="F150" i="10"/>
  <c r="F151" i="10"/>
  <c r="F152" i="10"/>
  <c r="F153" i="10"/>
  <c r="F154" i="10"/>
  <c r="F155" i="10"/>
  <c r="F156" i="10"/>
  <c r="F157" i="10"/>
  <c r="F158" i="10"/>
  <c r="F159" i="10"/>
  <c r="F160" i="10"/>
  <c r="F161" i="10"/>
  <c r="F162" i="10"/>
  <c r="F163" i="10"/>
  <c r="F164" i="10"/>
  <c r="F165" i="10"/>
  <c r="F166" i="10"/>
  <c r="F167" i="10"/>
  <c r="F168" i="10"/>
  <c r="F169" i="10"/>
  <c r="F170" i="10"/>
  <c r="F171" i="10"/>
  <c r="F172" i="10"/>
  <c r="F173" i="10"/>
  <c r="F174" i="10"/>
  <c r="F175" i="10"/>
  <c r="F176" i="10"/>
  <c r="F177" i="10"/>
  <c r="F178" i="10"/>
  <c r="F179" i="10"/>
  <c r="F180" i="10"/>
  <c r="F181" i="10"/>
  <c r="F182" i="10"/>
  <c r="F183" i="10"/>
  <c r="F184" i="10"/>
  <c r="F185" i="10"/>
  <c r="F186" i="10"/>
  <c r="F187" i="10"/>
  <c r="F188" i="10"/>
  <c r="F138" i="10"/>
  <c r="I186" i="10"/>
  <c r="J186" i="10"/>
  <c r="K186" i="10"/>
  <c r="I187" i="10"/>
  <c r="J187" i="10"/>
  <c r="K187" i="10"/>
  <c r="I188" i="10"/>
  <c r="J188" i="10"/>
  <c r="K188" i="10"/>
  <c r="I189" i="10"/>
  <c r="J189" i="10"/>
  <c r="K189" i="10"/>
  <c r="K71" i="10"/>
  <c r="O71" i="10" s="1"/>
  <c r="K72" i="10"/>
  <c r="L72" i="10" s="1"/>
  <c r="Q71" i="10"/>
  <c r="Q72" i="10"/>
  <c r="R71" i="10"/>
  <c r="S71" i="10" s="1"/>
  <c r="R72" i="10"/>
  <c r="S72" i="10" s="1"/>
  <c r="K70" i="10"/>
  <c r="L70" i="10" s="1"/>
  <c r="Q70" i="10"/>
  <c r="R70" i="10"/>
  <c r="S70" i="10" s="1"/>
  <c r="K69" i="10"/>
  <c r="L69" i="10" s="1"/>
  <c r="Q69" i="10"/>
  <c r="P66" i="10"/>
  <c r="Q66" i="10" s="1"/>
  <c r="V65" i="10"/>
  <c r="W65" i="10" s="1"/>
  <c r="V66" i="10"/>
  <c r="W66" i="10" s="1"/>
  <c r="V67" i="10"/>
  <c r="W67" i="10" s="1"/>
  <c r="X67" i="10" s="1"/>
  <c r="V68" i="10"/>
  <c r="W68" i="10" s="1"/>
  <c r="P65" i="10"/>
  <c r="R65" i="10" s="1"/>
  <c r="S65" i="10" s="1"/>
  <c r="K184" i="10"/>
  <c r="K185" i="10"/>
  <c r="J184" i="10"/>
  <c r="J185" i="10"/>
  <c r="K68" i="10"/>
  <c r="N68" i="10"/>
  <c r="Q68" i="10"/>
  <c r="K67" i="10"/>
  <c r="N67" i="10"/>
  <c r="Q67" i="10"/>
  <c r="R67" i="10"/>
  <c r="J139" i="10"/>
  <c r="K139" i="10"/>
  <c r="J140" i="10"/>
  <c r="K140" i="10"/>
  <c r="J141" i="10"/>
  <c r="K141" i="10"/>
  <c r="J142" i="10"/>
  <c r="K142" i="10"/>
  <c r="J143" i="10"/>
  <c r="K143" i="10"/>
  <c r="J144" i="10"/>
  <c r="K144" i="10"/>
  <c r="J145" i="10"/>
  <c r="K145" i="10"/>
  <c r="J146" i="10"/>
  <c r="K146" i="10"/>
  <c r="J147" i="10"/>
  <c r="K147" i="10"/>
  <c r="J148" i="10"/>
  <c r="K148" i="10"/>
  <c r="J149" i="10"/>
  <c r="K149" i="10"/>
  <c r="J150" i="10"/>
  <c r="K150" i="10"/>
  <c r="J151" i="10"/>
  <c r="K151" i="10"/>
  <c r="J152" i="10"/>
  <c r="K152" i="10"/>
  <c r="J153" i="10"/>
  <c r="K153" i="10"/>
  <c r="J154" i="10"/>
  <c r="K154" i="10"/>
  <c r="J155" i="10"/>
  <c r="K155" i="10"/>
  <c r="J156" i="10"/>
  <c r="K156" i="10"/>
  <c r="J157" i="10"/>
  <c r="K157" i="10"/>
  <c r="J158" i="10"/>
  <c r="K158" i="10"/>
  <c r="J159" i="10"/>
  <c r="K159" i="10"/>
  <c r="J160" i="10"/>
  <c r="K160" i="10"/>
  <c r="J161" i="10"/>
  <c r="K161" i="10"/>
  <c r="J162" i="10"/>
  <c r="K162" i="10"/>
  <c r="J163" i="10"/>
  <c r="K163" i="10"/>
  <c r="J164" i="10"/>
  <c r="K164" i="10"/>
  <c r="J165" i="10"/>
  <c r="K165" i="10"/>
  <c r="J166" i="10"/>
  <c r="K166" i="10"/>
  <c r="J167" i="10"/>
  <c r="K167" i="10"/>
  <c r="J168" i="10"/>
  <c r="K168" i="10"/>
  <c r="J169" i="10"/>
  <c r="K169" i="10"/>
  <c r="J170" i="10"/>
  <c r="K170" i="10"/>
  <c r="J171" i="10"/>
  <c r="K171" i="10"/>
  <c r="J172" i="10"/>
  <c r="K172" i="10"/>
  <c r="J173" i="10"/>
  <c r="K173" i="10"/>
  <c r="J174" i="10"/>
  <c r="K174" i="10"/>
  <c r="J175" i="10"/>
  <c r="K175" i="10"/>
  <c r="J176" i="10"/>
  <c r="K176" i="10"/>
  <c r="J177" i="10"/>
  <c r="K177" i="10"/>
  <c r="J178" i="10"/>
  <c r="K178" i="10"/>
  <c r="J179" i="10"/>
  <c r="K179" i="10"/>
  <c r="J180" i="10"/>
  <c r="K180" i="10"/>
  <c r="J181" i="10"/>
  <c r="K181" i="10"/>
  <c r="J182" i="10"/>
  <c r="K182" i="10"/>
  <c r="J183" i="10"/>
  <c r="K183" i="10"/>
  <c r="K138" i="10"/>
  <c r="J138" i="10"/>
  <c r="I139" i="10"/>
  <c r="I140" i="10"/>
  <c r="I141" i="10"/>
  <c r="I142" i="10"/>
  <c r="I143" i="10"/>
  <c r="I144" i="10"/>
  <c r="I145" i="10"/>
  <c r="I146" i="10"/>
  <c r="I147" i="10"/>
  <c r="I148" i="10"/>
  <c r="I149" i="10"/>
  <c r="I150" i="10"/>
  <c r="I151" i="10"/>
  <c r="I152" i="10"/>
  <c r="I153" i="10"/>
  <c r="I154" i="10"/>
  <c r="I155" i="10"/>
  <c r="I156" i="10"/>
  <c r="I157" i="10"/>
  <c r="I158" i="10"/>
  <c r="I159" i="10"/>
  <c r="I160" i="10"/>
  <c r="I161" i="10"/>
  <c r="I162" i="10"/>
  <c r="I163" i="10"/>
  <c r="I164" i="10"/>
  <c r="I165" i="10"/>
  <c r="I166" i="10"/>
  <c r="I167" i="10"/>
  <c r="I168" i="10"/>
  <c r="I169" i="10"/>
  <c r="I170" i="10"/>
  <c r="I171" i="10"/>
  <c r="I172" i="10"/>
  <c r="I173" i="10"/>
  <c r="I174" i="10"/>
  <c r="I175" i="10"/>
  <c r="I176" i="10"/>
  <c r="I177" i="10"/>
  <c r="I178" i="10"/>
  <c r="I179" i="10"/>
  <c r="I180" i="10"/>
  <c r="I181" i="10"/>
  <c r="I182" i="10"/>
  <c r="I183" i="10"/>
  <c r="I184" i="10"/>
  <c r="I185" i="10"/>
  <c r="I138" i="10"/>
  <c r="N66" i="10"/>
  <c r="K65" i="10"/>
  <c r="L65" i="10" s="1"/>
  <c r="K66" i="10"/>
  <c r="L66" i="10" s="1"/>
  <c r="N65" i="10"/>
  <c r="V9" i="10"/>
  <c r="W9" i="10" s="1"/>
  <c r="X9" i="10" s="1"/>
  <c r="BF7" i="2"/>
  <c r="BF8" i="2"/>
  <c r="BF92" i="2"/>
  <c r="BF93" i="2"/>
  <c r="BF94" i="2"/>
  <c r="BF95" i="2"/>
  <c r="BF96" i="2"/>
  <c r="BF97" i="2"/>
  <c r="BF98" i="2"/>
  <c r="BF2" i="2"/>
  <c r="N96" i="2"/>
  <c r="AK16" i="7"/>
  <c r="AD16" i="7"/>
  <c r="AB16" i="7"/>
  <c r="Z16" i="7"/>
  <c r="R16" i="7"/>
  <c r="X16" i="7" s="1"/>
  <c r="P6" i="7"/>
  <c r="P2" i="35"/>
  <c r="Q2" i="35"/>
  <c r="R2" i="35"/>
  <c r="P3" i="35"/>
  <c r="P4" i="35"/>
  <c r="P5" i="35"/>
  <c r="P6" i="35"/>
  <c r="P7" i="35"/>
  <c r="P8" i="35"/>
  <c r="P9" i="35"/>
  <c r="P10" i="35"/>
  <c r="P11" i="35"/>
  <c r="P12" i="35"/>
  <c r="P13" i="35"/>
  <c r="P14" i="35"/>
  <c r="P15" i="35"/>
  <c r="P16" i="35"/>
  <c r="P17" i="35"/>
  <c r="P18" i="35"/>
  <c r="P19" i="35"/>
  <c r="P20" i="35"/>
  <c r="P21" i="35"/>
  <c r="P22" i="35"/>
  <c r="P23" i="35"/>
  <c r="P24" i="35"/>
  <c r="P25" i="35"/>
  <c r="P26" i="35"/>
  <c r="P27" i="35"/>
  <c r="N98" i="2"/>
  <c r="O98" i="2"/>
  <c r="C98" i="2"/>
  <c r="F98" i="2"/>
  <c r="G98" i="2"/>
  <c r="H98" i="2"/>
  <c r="J98" i="2"/>
  <c r="S98" i="2"/>
  <c r="T98" i="2"/>
  <c r="AG98" i="2"/>
  <c r="AQ98" i="2"/>
  <c r="AR98" i="2" s="1"/>
  <c r="AS98" i="2" s="1"/>
  <c r="Q19" i="10" l="1"/>
  <c r="O19" i="10"/>
  <c r="L19" i="10"/>
  <c r="W19" i="10"/>
  <c r="L71" i="10"/>
  <c r="W72" i="10"/>
  <c r="X69" i="10"/>
  <c r="AE69" i="10" s="1"/>
  <c r="X70" i="10"/>
  <c r="AA70" i="10" s="1"/>
  <c r="W71" i="10"/>
  <c r="O70" i="10"/>
  <c r="O72" i="10"/>
  <c r="R69" i="10"/>
  <c r="S69" i="10" s="1"/>
  <c r="O69" i="10"/>
  <c r="X68" i="10"/>
  <c r="Y68" i="10" s="1"/>
  <c r="Y67" i="10"/>
  <c r="AG67" i="10"/>
  <c r="AA67" i="10"/>
  <c r="AI67" i="10"/>
  <c r="AE67" i="10"/>
  <c r="AB67" i="10"/>
  <c r="X66" i="10"/>
  <c r="AB66" i="10" s="1"/>
  <c r="AD68" i="10"/>
  <c r="AC67" i="10"/>
  <c r="AJ67" i="10"/>
  <c r="AH67" i="10"/>
  <c r="Z67" i="10"/>
  <c r="X65" i="10"/>
  <c r="AA65" i="10" s="1"/>
  <c r="AF67" i="10"/>
  <c r="O68" i="10"/>
  <c r="R68" i="10"/>
  <c r="O67" i="10"/>
  <c r="Q65" i="10"/>
  <c r="O65" i="10"/>
  <c r="O66" i="10"/>
  <c r="R66" i="10"/>
  <c r="S66" i="10" s="1"/>
  <c r="AH9" i="10"/>
  <c r="AA9" i="10"/>
  <c r="AG9" i="10"/>
  <c r="Y9" i="10"/>
  <c r="AI9" i="10"/>
  <c r="AE9" i="10"/>
  <c r="AD9" i="10"/>
  <c r="AC9" i="10"/>
  <c r="AJ9" i="10"/>
  <c r="AB9" i="10"/>
  <c r="I98" i="2"/>
  <c r="U98" i="2"/>
  <c r="P98" i="2" s="1"/>
  <c r="BD98" i="2"/>
  <c r="AT98" i="2"/>
  <c r="BC98" i="2"/>
  <c r="AW98" i="2"/>
  <c r="BA98" i="2"/>
  <c r="AZ98" i="2"/>
  <c r="AX98" i="2"/>
  <c r="AU98" i="2"/>
  <c r="T16" i="7"/>
  <c r="AA16" i="7" s="1"/>
  <c r="AL16" i="7"/>
  <c r="S16" i="7"/>
  <c r="AC16" i="7"/>
  <c r="AF16" i="7" s="1"/>
  <c r="AE16" i="7"/>
  <c r="AG16" i="7" s="1"/>
  <c r="AH16" i="7" s="1"/>
  <c r="N9" i="10"/>
  <c r="K9" i="10"/>
  <c r="Q9" i="10"/>
  <c r="Z98" i="2" l="1"/>
  <c r="R98" i="2"/>
  <c r="K98" i="2"/>
  <c r="AE98" i="2" s="1"/>
  <c r="X19" i="10"/>
  <c r="AE19" i="10" s="1"/>
  <c r="AH19" i="10"/>
  <c r="AA69" i="10"/>
  <c r="X72" i="10"/>
  <c r="AE72" i="10" s="1"/>
  <c r="AA72" i="10"/>
  <c r="Y72" i="10"/>
  <c r="AB72" i="10"/>
  <c r="AC72" i="10"/>
  <c r="AH72" i="10"/>
  <c r="Y70" i="10"/>
  <c r="AG70" i="10"/>
  <c r="AF70" i="10"/>
  <c r="AI70" i="10"/>
  <c r="Z70" i="10"/>
  <c r="AH70" i="10"/>
  <c r="AE70" i="10"/>
  <c r="AD70" i="10"/>
  <c r="AJ70" i="10"/>
  <c r="AB70" i="10"/>
  <c r="AC70" i="10"/>
  <c r="AH69" i="10"/>
  <c r="AB69" i="10"/>
  <c r="AJ69" i="10"/>
  <c r="Y69" i="10"/>
  <c r="AC69" i="10"/>
  <c r="AG69" i="10"/>
  <c r="AD69" i="10"/>
  <c r="AI69" i="10"/>
  <c r="Z69" i="10"/>
  <c r="AF69" i="10"/>
  <c r="X71" i="10"/>
  <c r="AJ71" i="10" s="1"/>
  <c r="AE68" i="10"/>
  <c r="Z68" i="10"/>
  <c r="AB68" i="10"/>
  <c r="AJ68" i="10"/>
  <c r="AH65" i="10"/>
  <c r="AI68" i="10"/>
  <c r="AH68" i="10"/>
  <c r="AF68" i="10"/>
  <c r="AI66" i="10"/>
  <c r="AC68" i="10"/>
  <c r="AH66" i="10"/>
  <c r="AF66" i="10"/>
  <c r="AD65" i="10"/>
  <c r="Y66" i="10"/>
  <c r="AJ66" i="10"/>
  <c r="AA66" i="10"/>
  <c r="Z66" i="10"/>
  <c r="AE66" i="10"/>
  <c r="AD66" i="10"/>
  <c r="AF65" i="10"/>
  <c r="AB65" i="10"/>
  <c r="Z65" i="10"/>
  <c r="AG66" i="10"/>
  <c r="AC66" i="10"/>
  <c r="AE65" i="10"/>
  <c r="Y65" i="10"/>
  <c r="AG65" i="10"/>
  <c r="AC65" i="10"/>
  <c r="AI65" i="10"/>
  <c r="AJ65" i="10"/>
  <c r="AD98" i="2"/>
  <c r="V98" i="2"/>
  <c r="Q98" i="2"/>
  <c r="AM16" i="7"/>
  <c r="R9" i="10"/>
  <c r="O9" i="10"/>
  <c r="Z72" i="10" l="1"/>
  <c r="AF72" i="10"/>
  <c r="AJ72" i="10"/>
  <c r="AI72" i="10"/>
  <c r="Z19" i="10"/>
  <c r="Y19" i="10"/>
  <c r="AB19" i="10"/>
  <c r="AD19" i="10"/>
  <c r="AB98" i="2"/>
  <c r="AG19" i="10"/>
  <c r="AI19" i="10"/>
  <c r="AC19" i="10"/>
  <c r="AA19" i="10"/>
  <c r="AJ19" i="10"/>
  <c r="AF19" i="10"/>
  <c r="AG71" i="10"/>
  <c r="AF71" i="10"/>
  <c r="AD72" i="10"/>
  <c r="AG72" i="10"/>
  <c r="AB71" i="10"/>
  <c r="Y71" i="10"/>
  <c r="Z71" i="10"/>
  <c r="AD71" i="10"/>
  <c r="AE71" i="10"/>
  <c r="AC71" i="10"/>
  <c r="AH71" i="10"/>
  <c r="AI71" i="10"/>
  <c r="AA71" i="10"/>
  <c r="AN16" i="7"/>
  <c r="AO16" i="7" l="1"/>
  <c r="AP16" i="7" l="1"/>
  <c r="B5" i="35"/>
  <c r="AQ16" i="7" l="1"/>
  <c r="C14" i="35"/>
  <c r="D14" i="35"/>
  <c r="B10" i="35"/>
  <c r="J10" i="35" s="1"/>
  <c r="H4" i="35"/>
  <c r="I4" i="35"/>
  <c r="J4" i="35"/>
  <c r="H5" i="35"/>
  <c r="I5" i="35"/>
  <c r="J5" i="35"/>
  <c r="H6" i="35"/>
  <c r="I6" i="35"/>
  <c r="J6" i="35"/>
  <c r="H7" i="35"/>
  <c r="I7" i="35"/>
  <c r="J7" i="35"/>
  <c r="H8" i="35"/>
  <c r="I8" i="35"/>
  <c r="J8" i="35"/>
  <c r="H11" i="35"/>
  <c r="I11" i="35"/>
  <c r="J11" i="35"/>
  <c r="H12" i="35"/>
  <c r="I12" i="35"/>
  <c r="J12" i="35"/>
  <c r="I3" i="35"/>
  <c r="J3" i="35"/>
  <c r="H3" i="35"/>
  <c r="C10" i="35"/>
  <c r="I10" i="35" s="1"/>
  <c r="T3" i="35"/>
  <c r="X3" i="35"/>
  <c r="T4" i="35"/>
  <c r="X4" i="35"/>
  <c r="T5" i="35"/>
  <c r="X5" i="35"/>
  <c r="T6" i="35"/>
  <c r="X6" i="35"/>
  <c r="T7" i="35"/>
  <c r="X7" i="35"/>
  <c r="T8" i="35"/>
  <c r="X8" i="35"/>
  <c r="T9" i="35"/>
  <c r="X9" i="35"/>
  <c r="T10" i="35"/>
  <c r="X10" i="35"/>
  <c r="T11" i="35"/>
  <c r="X11" i="35"/>
  <c r="T12" i="35"/>
  <c r="X12" i="35"/>
  <c r="T13" i="35"/>
  <c r="X13" i="35"/>
  <c r="T14" i="35"/>
  <c r="X14" i="35"/>
  <c r="T15" i="35"/>
  <c r="X15" i="35"/>
  <c r="T16" i="35"/>
  <c r="X16" i="35"/>
  <c r="T17" i="35"/>
  <c r="X17" i="35"/>
  <c r="T18" i="35"/>
  <c r="X18" i="35"/>
  <c r="T19" i="35"/>
  <c r="X19" i="35"/>
  <c r="T20" i="35"/>
  <c r="X20" i="35"/>
  <c r="T21" i="35"/>
  <c r="X21" i="35"/>
  <c r="T22" i="35"/>
  <c r="X22" i="35"/>
  <c r="T23" i="35"/>
  <c r="X23" i="35"/>
  <c r="T24" i="35"/>
  <c r="X24" i="35"/>
  <c r="T25" i="35"/>
  <c r="X25" i="35"/>
  <c r="T26" i="35"/>
  <c r="X26" i="35"/>
  <c r="T27" i="35"/>
  <c r="X27" i="35"/>
  <c r="T33" i="35"/>
  <c r="U33" i="35"/>
  <c r="V33" i="35"/>
  <c r="X33" i="35"/>
  <c r="Y33" i="35"/>
  <c r="Z33" i="35"/>
  <c r="AA33" i="35"/>
  <c r="AB33" i="35"/>
  <c r="AC33" i="35"/>
  <c r="AD33" i="35"/>
  <c r="AE33" i="35"/>
  <c r="AF33" i="35"/>
  <c r="T34" i="35"/>
  <c r="X34" i="35"/>
  <c r="T35" i="35"/>
  <c r="X35" i="35"/>
  <c r="T36" i="35"/>
  <c r="X36" i="35"/>
  <c r="T38" i="35"/>
  <c r="U38" i="35"/>
  <c r="V38" i="35"/>
  <c r="T39" i="35"/>
  <c r="T40" i="35"/>
  <c r="T41" i="35"/>
  <c r="T42" i="35"/>
  <c r="T43" i="35"/>
  <c r="T44" i="35"/>
  <c r="T45" i="35"/>
  <c r="T46" i="35"/>
  <c r="T47" i="35"/>
  <c r="T48" i="35"/>
  <c r="T49" i="35"/>
  <c r="T50" i="35"/>
  <c r="T51" i="35"/>
  <c r="T2" i="35"/>
  <c r="U2" i="35"/>
  <c r="V2" i="35"/>
  <c r="X2" i="35"/>
  <c r="Y2" i="35"/>
  <c r="Z2" i="35"/>
  <c r="AA2" i="35"/>
  <c r="AB2" i="35"/>
  <c r="AC2" i="35"/>
  <c r="AD2" i="35"/>
  <c r="AE2" i="35"/>
  <c r="AF2" i="35"/>
  <c r="AR16" i="7" l="1"/>
  <c r="H10" i="35"/>
  <c r="AS16" i="7" l="1"/>
  <c r="AT16" i="7" l="1"/>
  <c r="AU16" i="7" l="1"/>
  <c r="BA16" i="7"/>
  <c r="K64" i="10"/>
  <c r="N64" i="10"/>
  <c r="Q64" i="10"/>
  <c r="V64" i="10"/>
  <c r="J95" i="2"/>
  <c r="K95" i="2" s="1"/>
  <c r="N95" i="2"/>
  <c r="R95" i="2" s="1"/>
  <c r="O95" i="2"/>
  <c r="J94" i="2"/>
  <c r="K94" i="2" s="1"/>
  <c r="AE94" i="2" s="1"/>
  <c r="N94" i="2"/>
  <c r="R94" i="2" s="1"/>
  <c r="O94" i="2"/>
  <c r="C94" i="2"/>
  <c r="F94" i="2"/>
  <c r="G94" i="2"/>
  <c r="H94" i="2"/>
  <c r="S94" i="2"/>
  <c r="T94" i="2"/>
  <c r="X94" i="2"/>
  <c r="Z94" i="2" s="1"/>
  <c r="Y94" i="2"/>
  <c r="AD94" i="2"/>
  <c r="AG94" i="2"/>
  <c r="AQ94" i="2"/>
  <c r="AR94" i="2" s="1"/>
  <c r="AS94" i="2" s="1"/>
  <c r="C95" i="2"/>
  <c r="F95" i="2"/>
  <c r="G95" i="2"/>
  <c r="H95" i="2"/>
  <c r="S95" i="2"/>
  <c r="T95" i="2"/>
  <c r="X95" i="2"/>
  <c r="Z95" i="2" s="1"/>
  <c r="Y95" i="2"/>
  <c r="AD95" i="2"/>
  <c r="AG95" i="2"/>
  <c r="AQ95" i="2"/>
  <c r="AR95" i="2" s="1"/>
  <c r="AS95" i="2" s="1"/>
  <c r="X97" i="2"/>
  <c r="O96" i="2"/>
  <c r="N97" i="2"/>
  <c r="O97" i="2"/>
  <c r="C97" i="2"/>
  <c r="F97" i="2"/>
  <c r="G97" i="2"/>
  <c r="H97" i="2"/>
  <c r="J97" i="2"/>
  <c r="S97" i="2"/>
  <c r="T97" i="2"/>
  <c r="Y97" i="2"/>
  <c r="AG97" i="2"/>
  <c r="AQ97" i="2"/>
  <c r="AR97" i="2" s="1"/>
  <c r="AS97" i="2" s="1"/>
  <c r="C96" i="2"/>
  <c r="F96" i="2"/>
  <c r="G96" i="2"/>
  <c r="H96" i="2"/>
  <c r="J96" i="2"/>
  <c r="S96" i="2"/>
  <c r="T96" i="2"/>
  <c r="Y96" i="2"/>
  <c r="AG96" i="2"/>
  <c r="AQ96" i="2"/>
  <c r="AR96" i="2" s="1"/>
  <c r="AS96" i="2" s="1"/>
  <c r="A1" i="18"/>
  <c r="A2" i="18"/>
  <c r="A3" i="18"/>
  <c r="A4" i="18"/>
  <c r="A5" i="18"/>
  <c r="A6" i="18"/>
  <c r="A7" i="18"/>
  <c r="A8" i="18"/>
  <c r="A9" i="18"/>
  <c r="A10" i="18"/>
  <c r="A11" i="18"/>
  <c r="A12" i="18"/>
  <c r="A13" i="18"/>
  <c r="A14" i="18"/>
  <c r="A33" i="18"/>
  <c r="A34" i="18"/>
  <c r="A35" i="18"/>
  <c r="A36" i="18"/>
  <c r="A37" i="18"/>
  <c r="A38" i="18"/>
  <c r="A39" i="18"/>
  <c r="A40" i="18"/>
  <c r="A41" i="18"/>
  <c r="A42" i="18"/>
  <c r="A43" i="18"/>
  <c r="A44" i="18"/>
  <c r="A45" i="18"/>
  <c r="A46" i="18"/>
  <c r="A47" i="18"/>
  <c r="A48" i="18"/>
  <c r="E33" i="3"/>
  <c r="D33" i="3"/>
  <c r="AW16" i="7" l="1"/>
  <c r="BC16" i="7"/>
  <c r="AZ16" i="7"/>
  <c r="BE16" i="7"/>
  <c r="BD16" i="7"/>
  <c r="BB16" i="7"/>
  <c r="AY16" i="7"/>
  <c r="AX16" i="7"/>
  <c r="BF16" i="7"/>
  <c r="AV16" i="7"/>
  <c r="BG16" i="7"/>
  <c r="W64" i="10"/>
  <c r="O64" i="10"/>
  <c r="R64" i="10"/>
  <c r="AW97" i="2"/>
  <c r="BE95" i="2"/>
  <c r="AW95" i="2"/>
  <c r="BA94" i="2"/>
  <c r="BD97" i="2"/>
  <c r="AV97" i="2"/>
  <c r="AZ96" i="2"/>
  <c r="AV95" i="2"/>
  <c r="AZ94" i="2"/>
  <c r="BC97" i="2"/>
  <c r="AU97" i="2"/>
  <c r="AY96" i="2"/>
  <c r="BC95" i="2"/>
  <c r="AU95" i="2"/>
  <c r="AY94" i="2"/>
  <c r="BB97" i="2"/>
  <c r="AT97" i="2"/>
  <c r="AX96" i="2"/>
  <c r="BB95" i="2"/>
  <c r="AT95" i="2"/>
  <c r="BA97" i="2"/>
  <c r="BE96" i="2"/>
  <c r="AW96" i="2"/>
  <c r="BA95" i="2"/>
  <c r="BE94" i="2"/>
  <c r="AW94" i="2"/>
  <c r="AZ97" i="2"/>
  <c r="BD96" i="2"/>
  <c r="AV96" i="2"/>
  <c r="AZ95" i="2"/>
  <c r="AV94" i="2"/>
  <c r="BC96" i="2"/>
  <c r="AY95" i="2"/>
  <c r="BC94" i="2"/>
  <c r="AU94" i="2"/>
  <c r="AX97" i="2"/>
  <c r="BB96" i="2"/>
  <c r="AT96" i="2"/>
  <c r="BB94" i="2"/>
  <c r="AT94" i="2"/>
  <c r="Q95" i="2"/>
  <c r="Q94" i="2"/>
  <c r="L95" i="2"/>
  <c r="AX95" i="2" s="1"/>
  <c r="V95" i="2"/>
  <c r="L94" i="2"/>
  <c r="AX94" i="2" s="1"/>
  <c r="V94" i="2"/>
  <c r="AA94" i="2"/>
  <c r="P94" i="2"/>
  <c r="AF94" i="2"/>
  <c r="AB94" i="2"/>
  <c r="AA95" i="2"/>
  <c r="P95" i="2"/>
  <c r="AE95" i="2"/>
  <c r="AF95" i="2" s="1"/>
  <c r="I97" i="2"/>
  <c r="U97" i="2"/>
  <c r="Q97" i="2" s="1"/>
  <c r="U96" i="2"/>
  <c r="Q96" i="2" s="1"/>
  <c r="I96" i="2"/>
  <c r="K96" i="2" s="1"/>
  <c r="AE96" i="2" s="1"/>
  <c r="AF96" i="2" s="1"/>
  <c r="BD95" i="2" l="1"/>
  <c r="X64" i="10"/>
  <c r="AH64" i="10" s="1"/>
  <c r="BD94" i="2"/>
  <c r="AC94" i="2"/>
  <c r="AB95" i="2"/>
  <c r="AC95" i="2"/>
  <c r="R97" i="2"/>
  <c r="K97" i="2"/>
  <c r="AE97" i="2" s="1"/>
  <c r="AF97" i="2" s="1"/>
  <c r="L97" i="2"/>
  <c r="Z97" i="2"/>
  <c r="V97" i="2"/>
  <c r="AA96" i="2"/>
  <c r="AC96" i="2" s="1"/>
  <c r="AA97" i="2"/>
  <c r="P96" i="2"/>
  <c r="Z96" i="2"/>
  <c r="AB96" i="2" s="1"/>
  <c r="L96" i="2"/>
  <c r="AD96" i="2"/>
  <c r="R96" i="2"/>
  <c r="V96" i="2"/>
  <c r="P97" i="2"/>
  <c r="AD97" i="2"/>
  <c r="Z26" i="10"/>
  <c r="AA26" i="10"/>
  <c r="AB26" i="10"/>
  <c r="AC26" i="10"/>
  <c r="AD26" i="10"/>
  <c r="AE26" i="10"/>
  <c r="AF26" i="10"/>
  <c r="AG26" i="10"/>
  <c r="AH26" i="10"/>
  <c r="AI26" i="10"/>
  <c r="AJ26" i="10"/>
  <c r="V12" i="10"/>
  <c r="W12" i="10" s="1"/>
  <c r="X12" i="10" s="1"/>
  <c r="X6" i="32"/>
  <c r="AF64" i="10" l="1"/>
  <c r="AB64" i="10"/>
  <c r="AE64" i="10"/>
  <c r="Z64" i="10"/>
  <c r="AI64" i="10"/>
  <c r="AG64" i="10"/>
  <c r="AJ64" i="10"/>
  <c r="AC64" i="10"/>
  <c r="AD64" i="10"/>
  <c r="AA64" i="10"/>
  <c r="BE97" i="2"/>
  <c r="AY97" i="2"/>
  <c r="BA96" i="2"/>
  <c r="AU96" i="2"/>
  <c r="AC97" i="2"/>
  <c r="AB97" i="2"/>
  <c r="AB12" i="10"/>
  <c r="AI12" i="10"/>
  <c r="AH12" i="10"/>
  <c r="AF12" i="10"/>
  <c r="Z12" i="10"/>
  <c r="Y12" i="10"/>
  <c r="AE12" i="10"/>
  <c r="AD12" i="10"/>
  <c r="AA12" i="10"/>
  <c r="AG12" i="10"/>
  <c r="AC12" i="10"/>
  <c r="BQ130" i="2" l="1"/>
  <c r="Q25" i="35" s="1"/>
  <c r="K12" i="10"/>
  <c r="L12" i="10" s="1"/>
  <c r="N12" i="10"/>
  <c r="Q12" i="10"/>
  <c r="R12" i="10"/>
  <c r="S12" i="10"/>
  <c r="AJ12" i="10" s="1"/>
  <c r="O12" i="10" l="1"/>
  <c r="O92" i="2" l="1"/>
  <c r="O93" i="2"/>
  <c r="X92" i="2"/>
  <c r="X93" i="2"/>
  <c r="K26" i="10"/>
  <c r="L26" i="10" s="1"/>
  <c r="N26" i="10"/>
  <c r="Q26" i="10"/>
  <c r="AK20" i="7"/>
  <c r="AL20" i="7" s="1"/>
  <c r="AM20" i="7" s="1"/>
  <c r="AN20" i="7" s="1"/>
  <c r="AO20" i="7" s="1"/>
  <c r="AP20" i="7" s="1"/>
  <c r="AQ20" i="7" s="1"/>
  <c r="AR20" i="7" s="1"/>
  <c r="AS20" i="7" s="1"/>
  <c r="AT20" i="7" s="1"/>
  <c r="AU20" i="7" s="1"/>
  <c r="L7" i="11"/>
  <c r="J7" i="11"/>
  <c r="P53" i="10"/>
  <c r="Q53" i="10" s="1"/>
  <c r="P51" i="10"/>
  <c r="Q51" i="10" s="1"/>
  <c r="P50" i="10"/>
  <c r="R50" i="10" s="1"/>
  <c r="S50" i="10" s="1"/>
  <c r="V47" i="10"/>
  <c r="W47" i="10" s="1"/>
  <c r="V48" i="10"/>
  <c r="W48" i="10" s="1"/>
  <c r="X48" i="10" s="1"/>
  <c r="V49" i="10"/>
  <c r="W49" i="10" s="1"/>
  <c r="X49" i="10" s="1"/>
  <c r="AE49" i="10" s="1"/>
  <c r="V50" i="10"/>
  <c r="V51" i="10"/>
  <c r="V52" i="10"/>
  <c r="V53" i="10"/>
  <c r="W53" i="10" s="1"/>
  <c r="V54" i="10"/>
  <c r="W54" i="10" s="1"/>
  <c r="V55" i="10"/>
  <c r="W55" i="10" s="1"/>
  <c r="V56" i="10"/>
  <c r="W56" i="10" s="1"/>
  <c r="V57" i="10"/>
  <c r="W57" i="10" s="1"/>
  <c r="X57" i="10" s="1"/>
  <c r="AE57" i="10" s="1"/>
  <c r="V58" i="10"/>
  <c r="W58" i="10" s="1"/>
  <c r="X58" i="10" s="1"/>
  <c r="AE58" i="10" s="1"/>
  <c r="V59" i="10"/>
  <c r="W59" i="10" s="1"/>
  <c r="V60" i="10"/>
  <c r="V61" i="10"/>
  <c r="W61" i="10" s="1"/>
  <c r="V62" i="10"/>
  <c r="W62" i="10" s="1"/>
  <c r="V63" i="10"/>
  <c r="W63" i="10" s="1"/>
  <c r="K62" i="10"/>
  <c r="K63" i="10"/>
  <c r="N62" i="10"/>
  <c r="N63" i="10"/>
  <c r="R62" i="10"/>
  <c r="R63" i="10"/>
  <c r="K61" i="10"/>
  <c r="N61" i="10"/>
  <c r="R61" i="10"/>
  <c r="K60" i="10"/>
  <c r="N60" i="10"/>
  <c r="Q60" i="10"/>
  <c r="K59" i="10"/>
  <c r="N59" i="10"/>
  <c r="R59" i="10"/>
  <c r="Q59" i="10"/>
  <c r="K58" i="10"/>
  <c r="N58" i="10"/>
  <c r="Q58" i="10"/>
  <c r="R58" i="10"/>
  <c r="S58" i="10" s="1"/>
  <c r="K57" i="10"/>
  <c r="N57" i="10"/>
  <c r="Q57" i="10"/>
  <c r="K56" i="10"/>
  <c r="L56" i="10" s="1"/>
  <c r="N56" i="10"/>
  <c r="Q56" i="10"/>
  <c r="K54" i="10"/>
  <c r="L54" i="10" s="1"/>
  <c r="K55" i="10"/>
  <c r="L55" i="10" s="1"/>
  <c r="N54" i="10"/>
  <c r="N55" i="10"/>
  <c r="Q54" i="10"/>
  <c r="Q55" i="10"/>
  <c r="K53" i="10"/>
  <c r="L53" i="10" s="1"/>
  <c r="N53" i="10"/>
  <c r="K50" i="10"/>
  <c r="L50" i="10" s="1"/>
  <c r="K51" i="10"/>
  <c r="L51" i="10" s="1"/>
  <c r="K52" i="10"/>
  <c r="N50" i="10"/>
  <c r="N51" i="10"/>
  <c r="N52" i="10"/>
  <c r="Q52" i="10"/>
  <c r="K47" i="10"/>
  <c r="K48" i="10"/>
  <c r="L48" i="10" s="1"/>
  <c r="K49" i="10"/>
  <c r="L49" i="10" s="1"/>
  <c r="N47" i="10"/>
  <c r="N48" i="10"/>
  <c r="N49" i="10"/>
  <c r="R47" i="10"/>
  <c r="Q48" i="10"/>
  <c r="Q49" i="10"/>
  <c r="R48" i="10"/>
  <c r="S48" i="10" s="1"/>
  <c r="Z19" i="7"/>
  <c r="V19" i="7"/>
  <c r="V20" i="7"/>
  <c r="R19" i="7"/>
  <c r="T19" i="7" s="1"/>
  <c r="AA19" i="7" s="1"/>
  <c r="R20" i="7"/>
  <c r="T20" i="7" s="1"/>
  <c r="AA20" i="7" s="1"/>
  <c r="Z20" i="7"/>
  <c r="AB19" i="7"/>
  <c r="AB20" i="7"/>
  <c r="AD19" i="7"/>
  <c r="AD20" i="7"/>
  <c r="AK19" i="7"/>
  <c r="AL19" i="7" s="1"/>
  <c r="R51" i="10" l="1"/>
  <c r="S51" i="10" s="1"/>
  <c r="R53" i="10"/>
  <c r="S53" i="10" s="1"/>
  <c r="O26" i="10"/>
  <c r="R26" i="10"/>
  <c r="S26" i="10" s="1"/>
  <c r="Y26" i="10" s="1"/>
  <c r="Q50" i="10"/>
  <c r="Q63" i="10"/>
  <c r="Q61" i="10"/>
  <c r="AE19" i="7"/>
  <c r="AG19" i="7" s="1"/>
  <c r="AH19" i="7" s="1"/>
  <c r="AC19" i="7"/>
  <c r="AF19" i="7" s="1"/>
  <c r="S19" i="7"/>
  <c r="X19" i="7"/>
  <c r="AF58" i="10"/>
  <c r="R54" i="10"/>
  <c r="S54" i="10" s="1"/>
  <c r="R56" i="10"/>
  <c r="S56" i="10" s="1"/>
  <c r="R60" i="10"/>
  <c r="AB58" i="10"/>
  <c r="Y58" i="10"/>
  <c r="Q62" i="10"/>
  <c r="X59" i="10"/>
  <c r="AC59" i="10" s="1"/>
  <c r="AC20" i="7"/>
  <c r="AF20" i="7" s="1"/>
  <c r="S20" i="7"/>
  <c r="D33" i="7" s="1"/>
  <c r="AE20" i="7"/>
  <c r="AG20" i="7" s="1"/>
  <c r="AH20" i="7" s="1"/>
  <c r="X20" i="7"/>
  <c r="W50" i="10"/>
  <c r="X55" i="10"/>
  <c r="AD55" i="10" s="1"/>
  <c r="X63" i="10"/>
  <c r="AF57" i="10"/>
  <c r="X62" i="10"/>
  <c r="AE62" i="10" s="1"/>
  <c r="X56" i="10"/>
  <c r="AD56" i="10" s="1"/>
  <c r="X54" i="10"/>
  <c r="AE54" i="10" s="1"/>
  <c r="AF49" i="10"/>
  <c r="X47" i="10"/>
  <c r="AG47" i="10" s="1"/>
  <c r="AD58" i="10"/>
  <c r="AC57" i="10"/>
  <c r="W51" i="10"/>
  <c r="AC49" i="10"/>
  <c r="AJ48" i="10"/>
  <c r="AB48" i="10"/>
  <c r="AD49" i="10"/>
  <c r="X61" i="10"/>
  <c r="AJ61" i="10" s="1"/>
  <c r="W60" i="10"/>
  <c r="AC58" i="10"/>
  <c r="AJ57" i="10"/>
  <c r="X53" i="10"/>
  <c r="Y53" i="10" s="1"/>
  <c r="W52" i="10"/>
  <c r="AB49" i="10"/>
  <c r="AI48" i="10"/>
  <c r="AA48" i="10"/>
  <c r="AJ58" i="10"/>
  <c r="AI57" i="10"/>
  <c r="AI49" i="10"/>
  <c r="AA49" i="10"/>
  <c r="AH48" i="10"/>
  <c r="Z48" i="10"/>
  <c r="AC48" i="10"/>
  <c r="AI58" i="10"/>
  <c r="AA58" i="10"/>
  <c r="AH57" i="10"/>
  <c r="AH49" i="10"/>
  <c r="Z49" i="10"/>
  <c r="AG48" i="10"/>
  <c r="Y48" i="10"/>
  <c r="AD57" i="10"/>
  <c r="AH58" i="10"/>
  <c r="Z58" i="10"/>
  <c r="AG57" i="10"/>
  <c r="AG49" i="10"/>
  <c r="Y49" i="10"/>
  <c r="AF48" i="10"/>
  <c r="AD48" i="10"/>
  <c r="AG58" i="10"/>
  <c r="AE48" i="10"/>
  <c r="O63" i="10"/>
  <c r="O58" i="10"/>
  <c r="O62" i="10"/>
  <c r="O61" i="10"/>
  <c r="O54" i="10"/>
  <c r="O59" i="10"/>
  <c r="L58" i="10"/>
  <c r="O60" i="10"/>
  <c r="O57" i="10"/>
  <c r="R57" i="10"/>
  <c r="O56" i="10"/>
  <c r="O47" i="10"/>
  <c r="O48" i="10"/>
  <c r="O52" i="10"/>
  <c r="O55" i="10"/>
  <c r="R55" i="10"/>
  <c r="S55" i="10" s="1"/>
  <c r="O53" i="10"/>
  <c r="O51" i="10"/>
  <c r="O49" i="10"/>
  <c r="O50" i="10"/>
  <c r="L52" i="10"/>
  <c r="R52" i="10"/>
  <c r="S52" i="10" s="1"/>
  <c r="Q47" i="10"/>
  <c r="R49" i="10"/>
  <c r="S49" i="10" s="1"/>
  <c r="AJ49" i="10" s="1"/>
  <c r="AM19" i="7"/>
  <c r="F33" i="7" l="1"/>
  <c r="AJ53" i="10"/>
  <c r="AB59" i="10"/>
  <c r="AD53" i="10"/>
  <c r="AC53" i="10"/>
  <c r="AH59" i="10"/>
  <c r="AB56" i="10"/>
  <c r="Z63" i="10"/>
  <c r="AI59" i="10"/>
  <c r="AI63" i="10"/>
  <c r="Z56" i="10"/>
  <c r="AJ56" i="10"/>
  <c r="AD63" i="10"/>
  <c r="AH56" i="10"/>
  <c r="AF61" i="10"/>
  <c r="Y62" i="10"/>
  <c r="Y59" i="10"/>
  <c r="Y56" i="10"/>
  <c r="AD61" i="10"/>
  <c r="AA56" i="10"/>
  <c r="AE56" i="10"/>
  <c r="AC61" i="10"/>
  <c r="AG56" i="10"/>
  <c r="AI56" i="10"/>
  <c r="AC56" i="10"/>
  <c r="AF56" i="10"/>
  <c r="Z54" i="10"/>
  <c r="AJ54" i="10"/>
  <c r="AC54" i="10"/>
  <c r="AE59" i="10"/>
  <c r="AC63" i="10"/>
  <c r="AF63" i="10"/>
  <c r="AG55" i="10"/>
  <c r="Y55" i="10"/>
  <c r="AI54" i="10"/>
  <c r="AF62" i="10"/>
  <c r="AA63" i="10"/>
  <c r="AJ55" i="10"/>
  <c r="AH54" i="10"/>
  <c r="AD54" i="10"/>
  <c r="AJ63" i="10"/>
  <c r="AF55" i="10"/>
  <c r="AG54" i="10"/>
  <c r="AC55" i="10"/>
  <c r="Z59" i="10"/>
  <c r="Y54" i="10"/>
  <c r="Z62" i="10"/>
  <c r="AC62" i="10"/>
  <c r="AG63" i="10"/>
  <c r="AI55" i="10"/>
  <c r="AF54" i="10"/>
  <c r="AI62" i="10"/>
  <c r="AA55" i="10"/>
  <c r="AF59" i="10"/>
  <c r="X50" i="10"/>
  <c r="AE50" i="10" s="1"/>
  <c r="Y47" i="10"/>
  <c r="AC47" i="10"/>
  <c r="AF47" i="10"/>
  <c r="AE47" i="10"/>
  <c r="AI47" i="10"/>
  <c r="AA47" i="10"/>
  <c r="AH47" i="10"/>
  <c r="AD47" i="10"/>
  <c r="AB47" i="10"/>
  <c r="Z47" i="10"/>
  <c r="Z53" i="10"/>
  <c r="AI53" i="10"/>
  <c r="AA53" i="10"/>
  <c r="AE53" i="10"/>
  <c r="AH53" i="10"/>
  <c r="X51" i="10"/>
  <c r="AF51" i="10" s="1"/>
  <c r="AF53" i="10"/>
  <c r="Z61" i="10"/>
  <c r="AA61" i="10"/>
  <c r="AI61" i="10"/>
  <c r="AH61" i="10"/>
  <c r="AG53" i="10"/>
  <c r="AG61" i="10"/>
  <c r="AB61" i="10"/>
  <c r="AB53" i="10"/>
  <c r="AE55" i="10"/>
  <c r="AA54" i="10"/>
  <c r="AB62" i="10"/>
  <c r="AH55" i="10"/>
  <c r="AB55" i="10"/>
  <c r="X60" i="10"/>
  <c r="AA60" i="10" s="1"/>
  <c r="X52" i="10"/>
  <c r="AB54" i="10"/>
  <c r="AH62" i="10"/>
  <c r="Z55" i="10"/>
  <c r="AN19" i="7"/>
  <c r="AO19" i="7" s="1"/>
  <c r="AP19" i="7" s="1"/>
  <c r="AQ19" i="7" s="1"/>
  <c r="AR19" i="7" s="1"/>
  <c r="AS19" i="7" s="1"/>
  <c r="AT19" i="7" s="1"/>
  <c r="AU19" i="7" s="1"/>
  <c r="N93" i="2"/>
  <c r="C93" i="2"/>
  <c r="F93" i="2"/>
  <c r="G93" i="2"/>
  <c r="H93" i="2"/>
  <c r="J93" i="2"/>
  <c r="S93" i="2"/>
  <c r="T93" i="2"/>
  <c r="Y93" i="2"/>
  <c r="AG93" i="2"/>
  <c r="AQ93" i="2"/>
  <c r="N3" i="32"/>
  <c r="V11" i="10"/>
  <c r="W11" i="10" s="1"/>
  <c r="X11" i="10" s="1"/>
  <c r="V10" i="10"/>
  <c r="W10" i="10" s="1"/>
  <c r="X10" i="10" s="1"/>
  <c r="K10" i="10"/>
  <c r="L10" i="10" s="1"/>
  <c r="N10" i="10"/>
  <c r="Q10" i="10"/>
  <c r="K11" i="10"/>
  <c r="L11" i="10" s="1"/>
  <c r="N11" i="10"/>
  <c r="Q11" i="10"/>
  <c r="R11" i="10"/>
  <c r="S11" i="10" s="1"/>
  <c r="AE11" i="10" s="1"/>
  <c r="AR93" i="2" l="1"/>
  <c r="AS93" i="2" s="1"/>
  <c r="Y60" i="10"/>
  <c r="AC51" i="10"/>
  <c r="AG51" i="10"/>
  <c r="AE51" i="10"/>
  <c r="AD51" i="10"/>
  <c r="AV19" i="7"/>
  <c r="BA19" i="7"/>
  <c r="U93" i="2"/>
  <c r="Q93" i="2" s="1"/>
  <c r="I93" i="2"/>
  <c r="AA93" i="2" s="1"/>
  <c r="Y51" i="10"/>
  <c r="AF50" i="10"/>
  <c r="AJ50" i="10"/>
  <c r="AB50" i="10"/>
  <c r="AI50" i="10"/>
  <c r="AH50" i="10"/>
  <c r="AA50" i="10"/>
  <c r="Z50" i="10"/>
  <c r="AG50" i="10"/>
  <c r="Y50" i="10"/>
  <c r="AC50" i="10"/>
  <c r="AD50" i="10"/>
  <c r="AC60" i="10"/>
  <c r="AE60" i="10"/>
  <c r="AB52" i="10"/>
  <c r="AJ52" i="10"/>
  <c r="AI52" i="10"/>
  <c r="AA52" i="10"/>
  <c r="AF52" i="10"/>
  <c r="AC52" i="10"/>
  <c r="AE52" i="10"/>
  <c r="AI60" i="10"/>
  <c r="AD52" i="10"/>
  <c r="AF60" i="10"/>
  <c r="AH60" i="10"/>
  <c r="AB60" i="10"/>
  <c r="AH52" i="10"/>
  <c r="AG60" i="10"/>
  <c r="Z60" i="10"/>
  <c r="AG52" i="10"/>
  <c r="Z52" i="10"/>
  <c r="AI51" i="10"/>
  <c r="AH51" i="10"/>
  <c r="Z51" i="10"/>
  <c r="AA51" i="10"/>
  <c r="AB51" i="10"/>
  <c r="AJ51" i="10"/>
  <c r="Y52" i="10"/>
  <c r="AJ60" i="10"/>
  <c r="AC11" i="10"/>
  <c r="AD11" i="10"/>
  <c r="AH10" i="10"/>
  <c r="BG19" i="7"/>
  <c r="BD19" i="7"/>
  <c r="AX19" i="7"/>
  <c r="BB19" i="7"/>
  <c r="BF19" i="7"/>
  <c r="AW19" i="7"/>
  <c r="BE19" i="7"/>
  <c r="AZ19" i="7"/>
  <c r="AY19" i="7"/>
  <c r="BC19" i="7"/>
  <c r="AF10" i="10"/>
  <c r="AA11" i="10"/>
  <c r="AE10" i="10"/>
  <c r="AC10" i="10"/>
  <c r="AB10" i="10"/>
  <c r="AI11" i="10"/>
  <c r="Z10" i="10"/>
  <c r="Z11" i="10"/>
  <c r="AJ11" i="10"/>
  <c r="AG11" i="10"/>
  <c r="Y10" i="10"/>
  <c r="O10" i="10"/>
  <c r="AF11" i="10"/>
  <c r="AI10" i="10"/>
  <c r="AH11" i="10"/>
  <c r="AB11" i="10"/>
  <c r="Y11" i="10"/>
  <c r="R10" i="10"/>
  <c r="S10" i="10" s="1"/>
  <c r="O11" i="10"/>
  <c r="BA93" i="2" l="1"/>
  <c r="AU93" i="2"/>
  <c r="AY93" i="2"/>
  <c r="BB93" i="2"/>
  <c r="AZ93" i="2"/>
  <c r="AW93" i="2"/>
  <c r="AV93" i="2"/>
  <c r="BE93" i="2"/>
  <c r="BC93" i="2"/>
  <c r="AT93" i="2"/>
  <c r="R93" i="2"/>
  <c r="Z93" i="2"/>
  <c r="K93" i="2"/>
  <c r="P93" i="2"/>
  <c r="AD93" i="2"/>
  <c r="V93" i="2"/>
  <c r="L93" i="2"/>
  <c r="AG10" i="10"/>
  <c r="AA10" i="10"/>
  <c r="AJ10" i="10"/>
  <c r="AD10" i="10"/>
  <c r="AE93" i="2" l="1"/>
  <c r="AF93" i="2" s="1"/>
  <c r="AC93" i="2" s="1"/>
  <c r="AX93" i="2"/>
  <c r="BD93" i="2"/>
  <c r="V8" i="32"/>
  <c r="BQ127" i="2" l="1"/>
  <c r="Q22" i="35" s="1"/>
  <c r="AB93" i="2"/>
  <c r="U16" i="32"/>
  <c r="Q16" i="32" s="1"/>
  <c r="Z16" i="32"/>
  <c r="AA16" i="32"/>
  <c r="AB16" i="32"/>
  <c r="AC16" i="32"/>
  <c r="AD16" i="32"/>
  <c r="AF16" i="32"/>
  <c r="AG16" i="32"/>
  <c r="AH16" i="32"/>
  <c r="AI16" i="32"/>
  <c r="AJ16" i="32"/>
  <c r="AK16" i="32"/>
  <c r="T16" i="32" l="1"/>
  <c r="P16" i="32" l="1"/>
  <c r="BE20" i="7" l="1"/>
  <c r="O37" i="29"/>
  <c r="O36" i="29" s="1"/>
  <c r="BA20" i="7" l="1"/>
  <c r="AW20" i="7"/>
  <c r="BB20" i="7"/>
  <c r="AY20" i="7"/>
  <c r="AV20" i="7"/>
  <c r="AZ20" i="7"/>
  <c r="AX20" i="7"/>
  <c r="BG20" i="7"/>
  <c r="BF20" i="7"/>
  <c r="BD20" i="7"/>
  <c r="BC20" i="7"/>
  <c r="AE2" i="32" l="1"/>
  <c r="X2" i="12" a="1"/>
  <c r="X2" i="12" s="1"/>
  <c r="P7" i="10"/>
  <c r="Q7" i="10" s="1"/>
  <c r="V6" i="10"/>
  <c r="W6" i="10" s="1"/>
  <c r="V7" i="10"/>
  <c r="W7" i="10" s="1"/>
  <c r="V8" i="10"/>
  <c r="W8" i="10" s="1"/>
  <c r="X8" i="10" s="1"/>
  <c r="K6" i="10"/>
  <c r="K7" i="10"/>
  <c r="K8" i="10"/>
  <c r="N6" i="10"/>
  <c r="N7" i="10"/>
  <c r="N8" i="10"/>
  <c r="R6" i="10"/>
  <c r="Q8" i="10"/>
  <c r="Q6" i="10"/>
  <c r="AE14" i="9"/>
  <c r="AF14" i="9" s="1"/>
  <c r="AG14" i="9" s="1"/>
  <c r="AE13" i="9"/>
  <c r="AF13" i="9" s="1"/>
  <c r="AG13" i="9" s="1"/>
  <c r="AG12" i="9"/>
  <c r="AE12" i="9"/>
  <c r="AF12" i="9" s="1"/>
  <c r="AE11" i="9"/>
  <c r="AF11" i="9" s="1"/>
  <c r="AG11" i="9" s="1"/>
  <c r="J8" i="2"/>
  <c r="AQ8" i="2"/>
  <c r="AG8" i="2"/>
  <c r="O8" i="2"/>
  <c r="H8" i="2"/>
  <c r="G8" i="2"/>
  <c r="U8" i="2" s="1"/>
  <c r="O3" i="2"/>
  <c r="O4" i="2"/>
  <c r="O5" i="2"/>
  <c r="O6" i="2"/>
  <c r="O7" i="2"/>
  <c r="G7" i="2"/>
  <c r="U7" i="2" s="1"/>
  <c r="Q7" i="2" s="1"/>
  <c r="H7" i="2"/>
  <c r="AG7" i="2"/>
  <c r="AQ7" i="2"/>
  <c r="AR7" i="2" s="1"/>
  <c r="AS7" i="2" s="1"/>
  <c r="I7" i="2" l="1"/>
  <c r="V7" i="2" s="1"/>
  <c r="AE8" i="10"/>
  <c r="AD8" i="10"/>
  <c r="AA8" i="10"/>
  <c r="AJ8" i="10"/>
  <c r="Z8" i="10"/>
  <c r="AI8" i="10"/>
  <c r="AH8" i="10"/>
  <c r="AB8" i="10"/>
  <c r="AF8" i="10"/>
  <c r="X7" i="10"/>
  <c r="X6" i="10"/>
  <c r="AE6" i="10" s="1"/>
  <c r="O8" i="10"/>
  <c r="O7" i="10"/>
  <c r="O6" i="10"/>
  <c r="R8" i="10"/>
  <c r="R7" i="10"/>
  <c r="Q8" i="2"/>
  <c r="AR8" i="2"/>
  <c r="I8" i="2"/>
  <c r="AX7" i="2"/>
  <c r="AT7" i="2"/>
  <c r="AU7" i="2"/>
  <c r="BD7" i="2"/>
  <c r="AZ7" i="2"/>
  <c r="AW7" i="2"/>
  <c r="BC7" i="2"/>
  <c r="BA7" i="2"/>
  <c r="AD7" i="2" l="1"/>
  <c r="K7" i="2"/>
  <c r="AE7" i="2" s="1"/>
  <c r="R7" i="2"/>
  <c r="Z6" i="10"/>
  <c r="AH6" i="10"/>
  <c r="AG6" i="10"/>
  <c r="AA6" i="10"/>
  <c r="AI6" i="10"/>
  <c r="AF6" i="10"/>
  <c r="AB6" i="10"/>
  <c r="Y6" i="10"/>
  <c r="AC6" i="10"/>
  <c r="AG7" i="10"/>
  <c r="Y7" i="10"/>
  <c r="Z7" i="10"/>
  <c r="AD7" i="10"/>
  <c r="AH7" i="10"/>
  <c r="AF7" i="10"/>
  <c r="AB7" i="10"/>
  <c r="AA7" i="10"/>
  <c r="AJ7" i="10"/>
  <c r="AE7" i="10"/>
  <c r="V8" i="2"/>
  <c r="K8" i="2"/>
  <c r="AE8" i="2" s="1"/>
  <c r="R8" i="2"/>
  <c r="AS8" i="2"/>
  <c r="AY8" i="2" s="1"/>
  <c r="AD8" i="2"/>
  <c r="BD8" i="2" l="1"/>
  <c r="BE8" i="2"/>
  <c r="BA8" i="2"/>
  <c r="AX8" i="2"/>
  <c r="AW8" i="2"/>
  <c r="AT8" i="2"/>
  <c r="AU8" i="2"/>
  <c r="BC8" i="2"/>
  <c r="AZ8" i="2"/>
  <c r="Z24" i="9" l="1"/>
  <c r="AE10" i="9"/>
  <c r="AF10" i="9" s="1"/>
  <c r="AF9" i="9"/>
  <c r="AE9" i="9"/>
  <c r="AE8" i="9"/>
  <c r="AF8" i="9" s="1"/>
  <c r="AG7" i="9"/>
  <c r="AF7" i="9"/>
  <c r="AE7" i="9"/>
  <c r="AF6" i="9"/>
  <c r="AG6" i="9" s="1"/>
  <c r="AE6" i="9"/>
  <c r="AE5" i="9"/>
  <c r="AF5" i="9" s="1"/>
  <c r="AG5" i="9" s="1"/>
  <c r="AE4" i="9"/>
  <c r="AF4" i="9" s="1"/>
  <c r="AG4" i="9" s="1"/>
  <c r="G10" i="3"/>
  <c r="F10" i="3"/>
  <c r="K46" i="10"/>
  <c r="L46" i="10" s="1"/>
  <c r="N46" i="10"/>
  <c r="Q46" i="10"/>
  <c r="V46" i="10"/>
  <c r="K45" i="10"/>
  <c r="L45" i="10" s="1"/>
  <c r="N45" i="10"/>
  <c r="Q45" i="10"/>
  <c r="V45" i="10"/>
  <c r="K21" i="10"/>
  <c r="N21" i="10"/>
  <c r="Q21" i="10"/>
  <c r="R21" i="10"/>
  <c r="F7" i="3" s="1"/>
  <c r="V21" i="10"/>
  <c r="W21" i="10" s="1"/>
  <c r="X21" i="10" s="1"/>
  <c r="AF21" i="10" s="1"/>
  <c r="V41" i="10"/>
  <c r="V42" i="10"/>
  <c r="V43" i="10"/>
  <c r="V44" i="10"/>
  <c r="W44" i="10" s="1"/>
  <c r="N41" i="10"/>
  <c r="N42" i="10"/>
  <c r="N43" i="10"/>
  <c r="N44" i="10"/>
  <c r="Q41" i="10"/>
  <c r="Q42" i="10"/>
  <c r="Q43" i="10"/>
  <c r="R44" i="10"/>
  <c r="S44" i="10" s="1"/>
  <c r="Q44" i="10"/>
  <c r="R41" i="10"/>
  <c r="S41" i="10" s="1"/>
  <c r="R42" i="10"/>
  <c r="S42" i="10" s="1"/>
  <c r="R43" i="10"/>
  <c r="S43" i="10" s="1"/>
  <c r="K41" i="10"/>
  <c r="L41" i="10" s="1"/>
  <c r="K42" i="10"/>
  <c r="L42" i="10" s="1"/>
  <c r="K43" i="10"/>
  <c r="L43" i="10" s="1"/>
  <c r="K44" i="10"/>
  <c r="L44" i="10" s="1"/>
  <c r="K2" i="10"/>
  <c r="K3" i="10"/>
  <c r="K4" i="10"/>
  <c r="K5" i="10"/>
  <c r="N2" i="10"/>
  <c r="N3" i="10"/>
  <c r="N4" i="10"/>
  <c r="N5" i="10"/>
  <c r="Q2" i="10"/>
  <c r="Q3" i="10"/>
  <c r="Q4" i="10"/>
  <c r="Q5" i="10"/>
  <c r="R2" i="10"/>
  <c r="R3" i="10"/>
  <c r="R4" i="10"/>
  <c r="R5" i="10"/>
  <c r="V2" i="10"/>
  <c r="W2" i="10" s="1"/>
  <c r="X2" i="10" s="1"/>
  <c r="V3" i="10"/>
  <c r="W3" i="10" s="1"/>
  <c r="V4" i="10"/>
  <c r="W4" i="10" s="1"/>
  <c r="X4" i="10" s="1"/>
  <c r="V5" i="10"/>
  <c r="W5" i="10" s="1"/>
  <c r="X5" i="10" s="1"/>
  <c r="Z4" i="7"/>
  <c r="U4" i="7"/>
  <c r="R4" i="7"/>
  <c r="AC4" i="7" s="1"/>
  <c r="AB4" i="7"/>
  <c r="AD4" i="7"/>
  <c r="AK4" i="7"/>
  <c r="AL4" i="7" s="1"/>
  <c r="AM4" i="7" s="1"/>
  <c r="G25" i="1"/>
  <c r="G31" i="1"/>
  <c r="G35" i="1"/>
  <c r="G40" i="1"/>
  <c r="G43" i="1"/>
  <c r="N92" i="2"/>
  <c r="C92" i="2"/>
  <c r="F92" i="2"/>
  <c r="G92" i="2"/>
  <c r="H92" i="2"/>
  <c r="J92" i="2"/>
  <c r="S92" i="2"/>
  <c r="T92" i="2"/>
  <c r="Y92" i="2"/>
  <c r="AG92" i="2"/>
  <c r="AQ92" i="2"/>
  <c r="AR92" i="2" s="1"/>
  <c r="AS92" i="2" s="1"/>
  <c r="A1" i="17"/>
  <c r="A2" i="17"/>
  <c r="A3" i="17"/>
  <c r="A4" i="17"/>
  <c r="A5" i="17"/>
  <c r="A6" i="17"/>
  <c r="A7" i="17"/>
  <c r="A8" i="17"/>
  <c r="A9" i="17"/>
  <c r="A10" i="17"/>
  <c r="A11" i="17"/>
  <c r="A12" i="17"/>
  <c r="A13" i="17"/>
  <c r="A14" i="17"/>
  <c r="A15" i="17"/>
  <c r="A16" i="17"/>
  <c r="A17" i="17"/>
  <c r="A18" i="17"/>
  <c r="A19" i="17"/>
  <c r="A20" i="17"/>
  <c r="A21" i="17"/>
  <c r="A22" i="17"/>
  <c r="A23" i="17"/>
  <c r="A24" i="17"/>
  <c r="A25" i="17"/>
  <c r="A99" i="17"/>
  <c r="A100" i="17"/>
  <c r="A101" i="17"/>
  <c r="A102" i="17"/>
  <c r="A103" i="17"/>
  <c r="A104" i="17"/>
  <c r="A105" i="17"/>
  <c r="A106" i="17"/>
  <c r="A107" i="17"/>
  <c r="A108" i="17"/>
  <c r="A109" i="17"/>
  <c r="A110" i="17"/>
  <c r="A111" i="17"/>
  <c r="A112" i="17"/>
  <c r="A113" i="17"/>
  <c r="A114" i="17"/>
  <c r="A115" i="17"/>
  <c r="A116" i="17"/>
  <c r="A117" i="17"/>
  <c r="A118" i="17"/>
  <c r="A119" i="17"/>
  <c r="A120" i="17"/>
  <c r="A121" i="17"/>
  <c r="A122" i="17"/>
  <c r="A123" i="17"/>
  <c r="A124" i="17"/>
  <c r="A125" i="17"/>
  <c r="A126" i="17"/>
  <c r="A127" i="17"/>
  <c r="A128" i="17"/>
  <c r="A129" i="17"/>
  <c r="A130" i="17"/>
  <c r="A131" i="17"/>
  <c r="A132" i="17"/>
  <c r="A133" i="17"/>
  <c r="A134" i="17"/>
  <c r="A135" i="17"/>
  <c r="A136" i="17"/>
  <c r="A137" i="17"/>
  <c r="A138" i="17"/>
  <c r="A139" i="17"/>
  <c r="A140" i="17"/>
  <c r="A141" i="17"/>
  <c r="A142" i="17"/>
  <c r="A143" i="17"/>
  <c r="A144" i="17"/>
  <c r="A145" i="17"/>
  <c r="A146" i="17"/>
  <c r="A147" i="17"/>
  <c r="A148" i="17"/>
  <c r="A149" i="17"/>
  <c r="A150" i="17"/>
  <c r="A151" i="17"/>
  <c r="A152" i="17"/>
  <c r="A153" i="17"/>
  <c r="A154" i="17"/>
  <c r="A155" i="17"/>
  <c r="A156" i="17"/>
  <c r="A157" i="17"/>
  <c r="A158" i="17"/>
  <c r="A159" i="17"/>
  <c r="A160" i="17"/>
  <c r="A161" i="17"/>
  <c r="A162" i="17"/>
  <c r="A163" i="17"/>
  <c r="A164" i="17"/>
  <c r="A165" i="17"/>
  <c r="A166" i="17"/>
  <c r="A167" i="17"/>
  <c r="A168" i="17"/>
  <c r="A169" i="17"/>
  <c r="A170" i="17"/>
  <c r="A171" i="17"/>
  <c r="A172" i="17"/>
  <c r="A173" i="17"/>
  <c r="A174" i="17"/>
  <c r="A175" i="17"/>
  <c r="A176" i="17"/>
  <c r="A177" i="17"/>
  <c r="A178" i="17"/>
  <c r="A179" i="17"/>
  <c r="A180" i="17"/>
  <c r="A181" i="17"/>
  <c r="A182" i="17"/>
  <c r="A183" i="17"/>
  <c r="A184" i="17"/>
  <c r="A185" i="17"/>
  <c r="A186" i="17"/>
  <c r="A187" i="17"/>
  <c r="A188" i="17"/>
  <c r="A189" i="17"/>
  <c r="A190" i="17"/>
  <c r="A191" i="17"/>
  <c r="A192" i="17"/>
  <c r="A193" i="17"/>
  <c r="A194" i="17"/>
  <c r="A195" i="17"/>
  <c r="A196" i="17"/>
  <c r="A197" i="17"/>
  <c r="A198" i="17"/>
  <c r="A199" i="17"/>
  <c r="A200" i="17"/>
  <c r="A201" i="17"/>
  <c r="A202" i="17"/>
  <c r="A203" i="17"/>
  <c r="A204" i="17"/>
  <c r="A205" i="17"/>
  <c r="A206" i="17"/>
  <c r="A207" i="17"/>
  <c r="A208" i="17"/>
  <c r="A209" i="17"/>
  <c r="A210" i="17"/>
  <c r="A211" i="17"/>
  <c r="A212" i="17"/>
  <c r="A213" i="17"/>
  <c r="A214" i="17"/>
  <c r="A215" i="17"/>
  <c r="A216" i="17"/>
  <c r="A217" i="17"/>
  <c r="A218" i="17"/>
  <c r="A219" i="17"/>
  <c r="A220" i="17"/>
  <c r="A221" i="17"/>
  <c r="A222" i="17"/>
  <c r="A223" i="17"/>
  <c r="A224" i="17"/>
  <c r="A225" i="17"/>
  <c r="A226" i="17"/>
  <c r="A227" i="17"/>
  <c r="A228" i="17"/>
  <c r="A229" i="17"/>
  <c r="A230" i="17"/>
  <c r="A231" i="17"/>
  <c r="A232" i="17"/>
  <c r="A233" i="17"/>
  <c r="A234" i="17"/>
  <c r="A235" i="17"/>
  <c r="A236" i="17"/>
  <c r="A237" i="17"/>
  <c r="A238" i="17"/>
  <c r="A239" i="17"/>
  <c r="A240" i="17"/>
  <c r="A241" i="17"/>
  <c r="A242" i="17"/>
  <c r="A243" i="17"/>
  <c r="A244" i="17"/>
  <c r="A245" i="17"/>
  <c r="A246" i="17"/>
  <c r="A247" i="17"/>
  <c r="A248" i="17"/>
  <c r="A249" i="17"/>
  <c r="A250" i="17"/>
  <c r="A251" i="17"/>
  <c r="A252" i="17"/>
  <c r="A253" i="17"/>
  <c r="A254" i="17"/>
  <c r="A255" i="17"/>
  <c r="A256" i="17"/>
  <c r="A257" i="17"/>
  <c r="A258" i="17"/>
  <c r="A259" i="17"/>
  <c r="A260" i="17"/>
  <c r="A261" i="17"/>
  <c r="A262" i="17"/>
  <c r="A263" i="17"/>
  <c r="A264" i="17"/>
  <c r="A265" i="17"/>
  <c r="A266" i="17"/>
  <c r="A267" i="17"/>
  <c r="A268" i="17"/>
  <c r="A269" i="17"/>
  <c r="A270" i="17"/>
  <c r="A271" i="17"/>
  <c r="A272" i="17"/>
  <c r="A273" i="17"/>
  <c r="A274" i="17"/>
  <c r="A275" i="17"/>
  <c r="A276" i="17"/>
  <c r="A277" i="17"/>
  <c r="A278" i="17"/>
  <c r="A279" i="17"/>
  <c r="A280" i="17"/>
  <c r="A281" i="17"/>
  <c r="A282" i="17"/>
  <c r="A283" i="17"/>
  <c r="A284" i="17"/>
  <c r="A285" i="17"/>
  <c r="A286" i="17"/>
  <c r="A287" i="17"/>
  <c r="A288" i="17"/>
  <c r="A289" i="17"/>
  <c r="A290" i="17"/>
  <c r="A291" i="17"/>
  <c r="A292" i="17"/>
  <c r="A293" i="17"/>
  <c r="A294" i="17"/>
  <c r="A295" i="17"/>
  <c r="A296" i="17"/>
  <c r="A297" i="17"/>
  <c r="A298" i="17"/>
  <c r="A299" i="17"/>
  <c r="A300" i="17"/>
  <c r="A301" i="17"/>
  <c r="A302" i="17"/>
  <c r="A303" i="17"/>
  <c r="A304" i="17"/>
  <c r="A305" i="17"/>
  <c r="A306" i="17"/>
  <c r="A307" i="17"/>
  <c r="A308" i="17"/>
  <c r="A309" i="17"/>
  <c r="A310" i="17"/>
  <c r="A311" i="17"/>
  <c r="A312" i="17"/>
  <c r="A313" i="17"/>
  <c r="A314" i="17"/>
  <c r="A315" i="17"/>
  <c r="A316" i="17"/>
  <c r="A317" i="17"/>
  <c r="A318" i="17"/>
  <c r="A319" i="17"/>
  <c r="A320" i="17"/>
  <c r="A321" i="17"/>
  <c r="A322" i="17"/>
  <c r="A323" i="17"/>
  <c r="A324" i="17"/>
  <c r="A325" i="17"/>
  <c r="A326" i="17"/>
  <c r="A327" i="17"/>
  <c r="A328" i="17"/>
  <c r="A329" i="17"/>
  <c r="A330" i="17"/>
  <c r="A331" i="17"/>
  <c r="A332" i="17"/>
  <c r="A333" i="17"/>
  <c r="A334" i="17"/>
  <c r="A335" i="17"/>
  <c r="A336" i="17"/>
  <c r="A337" i="17"/>
  <c r="A338" i="17"/>
  <c r="A339" i="17"/>
  <c r="A340" i="17"/>
  <c r="A341" i="17"/>
  <c r="A342" i="17"/>
  <c r="A343" i="17"/>
  <c r="A344" i="17"/>
  <c r="A345" i="17"/>
  <c r="A346" i="17"/>
  <c r="A347" i="17"/>
  <c r="A348" i="17"/>
  <c r="A349" i="17"/>
  <c r="A350" i="17"/>
  <c r="A351" i="17"/>
  <c r="A352" i="17"/>
  <c r="A353" i="17"/>
  <c r="A354" i="17"/>
  <c r="A355" i="17"/>
  <c r="A356" i="17"/>
  <c r="A357" i="17"/>
  <c r="A358" i="17"/>
  <c r="A359" i="17"/>
  <c r="A360" i="17"/>
  <c r="A361" i="17"/>
  <c r="A362" i="17"/>
  <c r="A363" i="17"/>
  <c r="A364" i="17"/>
  <c r="A365" i="17"/>
  <c r="A366" i="17"/>
  <c r="A367" i="17"/>
  <c r="A368" i="17"/>
  <c r="A369" i="17"/>
  <c r="A370" i="17"/>
  <c r="A371" i="17"/>
  <c r="A372" i="17"/>
  <c r="A373" i="17"/>
  <c r="A374" i="17"/>
  <c r="A375" i="17"/>
  <c r="A376" i="17"/>
  <c r="A377" i="17"/>
  <c r="A378" i="17"/>
  <c r="A379" i="17"/>
  <c r="A380" i="17"/>
  <c r="A381" i="17"/>
  <c r="A382" i="17"/>
  <c r="A383" i="17"/>
  <c r="A384" i="17"/>
  <c r="A385" i="17"/>
  <c r="A386" i="17"/>
  <c r="A387" i="17"/>
  <c r="A388" i="17"/>
  <c r="A389" i="17"/>
  <c r="A390" i="17"/>
  <c r="A391" i="17"/>
  <c r="A392" i="17"/>
  <c r="A393" i="17"/>
  <c r="A394" i="17"/>
  <c r="A395" i="17"/>
  <c r="A396" i="17"/>
  <c r="A397" i="17"/>
  <c r="A398" i="17"/>
  <c r="A399" i="17"/>
  <c r="A400" i="17"/>
  <c r="A401" i="17"/>
  <c r="A402" i="17"/>
  <c r="A403" i="17"/>
  <c r="A404" i="17"/>
  <c r="A405" i="17"/>
  <c r="A406" i="17"/>
  <c r="A407" i="17"/>
  <c r="A408" i="17"/>
  <c r="A409" i="17"/>
  <c r="A410" i="17"/>
  <c r="A411" i="17"/>
  <c r="A412" i="17"/>
  <c r="A413" i="17"/>
  <c r="A414" i="17"/>
  <c r="A415" i="17"/>
  <c r="A416" i="17"/>
  <c r="A417" i="17"/>
  <c r="A418" i="17"/>
  <c r="A419" i="17"/>
  <c r="A420" i="17"/>
  <c r="A421" i="17"/>
  <c r="A422" i="17"/>
  <c r="A423" i="17"/>
  <c r="A424" i="17"/>
  <c r="A425" i="17"/>
  <c r="A426" i="17"/>
  <c r="A427" i="17"/>
  <c r="A428" i="17"/>
  <c r="A429" i="17"/>
  <c r="A430" i="17"/>
  <c r="A431" i="17"/>
  <c r="A432" i="17"/>
  <c r="A433" i="17"/>
  <c r="A434" i="17"/>
  <c r="A435" i="17"/>
  <c r="A436" i="17"/>
  <c r="A437" i="17"/>
  <c r="A438" i="17"/>
  <c r="A439" i="17"/>
  <c r="A440" i="17"/>
  <c r="A441" i="17"/>
  <c r="A442" i="17"/>
  <c r="A443" i="17"/>
  <c r="A444" i="17"/>
  <c r="A445" i="17"/>
  <c r="A446" i="17"/>
  <c r="A447" i="17"/>
  <c r="A448" i="17"/>
  <c r="A449" i="17"/>
  <c r="A450" i="17"/>
  <c r="A451" i="17"/>
  <c r="A452" i="17"/>
  <c r="A453" i="17"/>
  <c r="A454" i="17"/>
  <c r="A455" i="17"/>
  <c r="A456" i="17"/>
  <c r="A457" i="17"/>
  <c r="A458" i="17"/>
  <c r="A459" i="17"/>
  <c r="A460" i="17"/>
  <c r="A461" i="17"/>
  <c r="A462" i="17"/>
  <c r="A463" i="17"/>
  <c r="A464" i="17"/>
  <c r="A465" i="17"/>
  <c r="A466" i="17"/>
  <c r="A467" i="17"/>
  <c r="A468" i="17"/>
  <c r="A469" i="17"/>
  <c r="A470" i="17"/>
  <c r="A471" i="17"/>
  <c r="A472" i="17"/>
  <c r="A473" i="17"/>
  <c r="AJ4" i="33"/>
  <c r="AJ2" i="33"/>
  <c r="AC12" i="33"/>
  <c r="X4" i="7" l="1"/>
  <c r="S4" i="7"/>
  <c r="AU92" i="2"/>
  <c r="W41" i="10"/>
  <c r="BD92" i="2"/>
  <c r="U92" i="2"/>
  <c r="Q92" i="2" s="1"/>
  <c r="BC92" i="2"/>
  <c r="T4" i="7"/>
  <c r="AA4" i="7" s="1"/>
  <c r="BB92" i="2"/>
  <c r="I92" i="2"/>
  <c r="BA92" i="2"/>
  <c r="AY92" i="2"/>
  <c r="AX92" i="2"/>
  <c r="AW92" i="2"/>
  <c r="BE92" i="2"/>
  <c r="AV92" i="2"/>
  <c r="W46" i="10"/>
  <c r="X46" i="10" s="1"/>
  <c r="W45" i="10"/>
  <c r="O46" i="10"/>
  <c r="R46" i="10"/>
  <c r="S46" i="10" s="1"/>
  <c r="O45" i="10"/>
  <c r="R45" i="10"/>
  <c r="S45" i="10" s="1"/>
  <c r="W43" i="10"/>
  <c r="X43" i="10" s="1"/>
  <c r="AE43" i="10" s="1"/>
  <c r="AD21" i="10"/>
  <c r="AC21" i="10"/>
  <c r="AJ21" i="10"/>
  <c r="AI21" i="10"/>
  <c r="AA21" i="10"/>
  <c r="O21" i="10"/>
  <c r="Z21" i="10"/>
  <c r="AG21" i="10"/>
  <c r="X44" i="10"/>
  <c r="AA44" i="10" s="1"/>
  <c r="W42" i="10"/>
  <c r="O44" i="10"/>
  <c r="O43" i="10"/>
  <c r="O42" i="10"/>
  <c r="O41" i="10"/>
  <c r="O4" i="10"/>
  <c r="O5" i="10"/>
  <c r="O3" i="10"/>
  <c r="AC2" i="10"/>
  <c r="AF2" i="10"/>
  <c r="AH2" i="10"/>
  <c r="AI2" i="10"/>
  <c r="Z2" i="10"/>
  <c r="AJ2" i="10"/>
  <c r="AE2" i="10"/>
  <c r="AE4" i="10"/>
  <c r="Z4" i="10"/>
  <c r="AH4" i="10"/>
  <c r="AF4" i="10"/>
  <c r="AA4" i="10"/>
  <c r="AD4" i="10"/>
  <c r="AB4" i="10"/>
  <c r="Y4" i="10"/>
  <c r="AG4" i="10"/>
  <c r="AJ4" i="10"/>
  <c r="AB2" i="10"/>
  <c r="AD2" i="10"/>
  <c r="X3" i="10"/>
  <c r="AC3" i="10" s="1"/>
  <c r="Y2" i="10"/>
  <c r="AJ5" i="10"/>
  <c r="AB5" i="10"/>
  <c r="AH5" i="10"/>
  <c r="AD5" i="10"/>
  <c r="AF5" i="10"/>
  <c r="Z5" i="10"/>
  <c r="AI5" i="10"/>
  <c r="AG5" i="10"/>
  <c r="AC5" i="10"/>
  <c r="AA5" i="10"/>
  <c r="O2" i="10"/>
  <c r="AE4" i="7"/>
  <c r="AG4" i="7" s="1"/>
  <c r="AH4" i="7" s="1"/>
  <c r="V4" i="7"/>
  <c r="AF4" i="7"/>
  <c r="AN4" i="7"/>
  <c r="AJ5" i="33"/>
  <c r="AL12" i="32"/>
  <c r="AM12" i="32"/>
  <c r="AN12" i="32"/>
  <c r="AO12" i="32"/>
  <c r="AP12" i="32"/>
  <c r="AQ12" i="32"/>
  <c r="AR12" i="32"/>
  <c r="AS12" i="32"/>
  <c r="AT12" i="32"/>
  <c r="AU12" i="32"/>
  <c r="AV12" i="32"/>
  <c r="AW12" i="32"/>
  <c r="AL2" i="32"/>
  <c r="X41" i="10" l="1"/>
  <c r="Z41" i="10" s="1"/>
  <c r="P92" i="2"/>
  <c r="AD92" i="2"/>
  <c r="AI46" i="10"/>
  <c r="AC46" i="10"/>
  <c r="V92" i="2"/>
  <c r="Z92" i="2"/>
  <c r="R92" i="2"/>
  <c r="AH43" i="10"/>
  <c r="AJ46" i="10"/>
  <c r="AH46" i="10"/>
  <c r="AA92" i="2"/>
  <c r="K92" i="2"/>
  <c r="AE92" i="2" s="1"/>
  <c r="AF92" i="2" s="1"/>
  <c r="L92" i="2"/>
  <c r="AF46" i="10"/>
  <c r="AB46" i="10"/>
  <c r="AE46" i="10"/>
  <c r="AD46" i="10"/>
  <c r="X45" i="10"/>
  <c r="AD45" i="10" s="1"/>
  <c r="AG46" i="10"/>
  <c r="Y46" i="10"/>
  <c r="AA46" i="10"/>
  <c r="Z46" i="10"/>
  <c r="AA43" i="10"/>
  <c r="Y43" i="10"/>
  <c r="AG43" i="10"/>
  <c r="AB43" i="10"/>
  <c r="AJ43" i="10"/>
  <c r="Z43" i="10"/>
  <c r="AC43" i="10"/>
  <c r="AI43" i="10"/>
  <c r="AD43" i="10"/>
  <c r="Z44" i="10"/>
  <c r="AF44" i="10"/>
  <c r="AF43" i="10"/>
  <c r="AE44" i="10"/>
  <c r="Y44" i="10"/>
  <c r="AC44" i="10"/>
  <c r="AD44" i="10"/>
  <c r="AH44" i="10"/>
  <c r="AJ44" i="10"/>
  <c r="AB44" i="10"/>
  <c r="AG44" i="10"/>
  <c r="AI44" i="10"/>
  <c r="X42" i="10"/>
  <c r="AG42" i="10" s="1"/>
  <c r="AA3" i="10"/>
  <c r="Z3" i="10"/>
  <c r="AF3" i="10"/>
  <c r="AI3" i="10"/>
  <c r="AD3" i="10"/>
  <c r="AG3" i="10"/>
  <c r="AJ3" i="10"/>
  <c r="AO4" i="7"/>
  <c r="U2" i="32"/>
  <c r="Q2" i="32" s="1"/>
  <c r="T2" i="32"/>
  <c r="P2" i="32"/>
  <c r="P3" i="32"/>
  <c r="T3" i="32"/>
  <c r="U3" i="32"/>
  <c r="Q3" i="32" s="1"/>
  <c r="AT92" i="2" l="1"/>
  <c r="AI41" i="10"/>
  <c r="Y42" i="10"/>
  <c r="AH41" i="10"/>
  <c r="Y41" i="10"/>
  <c r="AA41" i="10"/>
  <c r="AC41" i="10"/>
  <c r="AF41" i="10"/>
  <c r="AB41" i="10"/>
  <c r="AE41" i="10"/>
  <c r="AI42" i="10"/>
  <c r="AF42" i="10"/>
  <c r="AA42" i="10"/>
  <c r="AE42" i="10"/>
  <c r="AB42" i="10"/>
  <c r="Z42" i="10"/>
  <c r="AC42" i="10"/>
  <c r="AD41" i="10"/>
  <c r="AH42" i="10"/>
  <c r="AJ41" i="10"/>
  <c r="AG41" i="10"/>
  <c r="AJ42" i="10"/>
  <c r="AD42" i="10"/>
  <c r="AZ92" i="2"/>
  <c r="AJ45" i="10"/>
  <c r="Y45" i="10"/>
  <c r="AG45" i="10"/>
  <c r="AB45" i="10"/>
  <c r="AC92" i="2"/>
  <c r="AB92" i="2"/>
  <c r="AF45" i="10"/>
  <c r="Z45" i="10"/>
  <c r="AI45" i="10"/>
  <c r="AH45" i="10"/>
  <c r="AE45" i="10"/>
  <c r="AC45" i="10"/>
  <c r="AA45" i="10"/>
  <c r="AP4" i="7"/>
  <c r="M2" i="32"/>
  <c r="M3" i="32"/>
  <c r="AQ4" i="7" l="1"/>
  <c r="AR4" i="7" l="1"/>
  <c r="N22" i="32"/>
  <c r="F4" i="11"/>
  <c r="F5" i="11"/>
  <c r="AS4" i="7" l="1"/>
  <c r="AJ25" i="10"/>
  <c r="AI25" i="10"/>
  <c r="AH25" i="10"/>
  <c r="AG25" i="10"/>
  <c r="AF25" i="10"/>
  <c r="AE25" i="10"/>
  <c r="AD25" i="10"/>
  <c r="AC25" i="10"/>
  <c r="AB25" i="10"/>
  <c r="AA25" i="10"/>
  <c r="Z25" i="10"/>
  <c r="R25" i="10"/>
  <c r="S25" i="10" s="1"/>
  <c r="Y25" i="10" s="1"/>
  <c r="Q25" i="10"/>
  <c r="K25" i="10"/>
  <c r="L25" i="10" s="1"/>
  <c r="N25" i="10"/>
  <c r="V36" i="10"/>
  <c r="V37" i="10"/>
  <c r="W37" i="10" s="1"/>
  <c r="X37" i="10" s="1"/>
  <c r="AF37" i="10" s="1"/>
  <c r="V38" i="10"/>
  <c r="W38" i="10" s="1"/>
  <c r="V39" i="10"/>
  <c r="W39" i="10" s="1"/>
  <c r="V40" i="10"/>
  <c r="W40" i="10" s="1"/>
  <c r="X40" i="10" s="1"/>
  <c r="V34" i="10"/>
  <c r="W34" i="10" s="1"/>
  <c r="X34" i="10" s="1"/>
  <c r="P34" i="10"/>
  <c r="Q34" i="10" s="1"/>
  <c r="K40" i="10"/>
  <c r="N40" i="10"/>
  <c r="R40" i="10"/>
  <c r="S40" i="10" s="1"/>
  <c r="K39" i="10"/>
  <c r="N39" i="10"/>
  <c r="R39" i="10"/>
  <c r="Q39" i="10"/>
  <c r="K37" i="10"/>
  <c r="K38" i="10"/>
  <c r="L38" i="10" s="1"/>
  <c r="N37" i="10"/>
  <c r="N38" i="10"/>
  <c r="Q37" i="10"/>
  <c r="R38" i="10"/>
  <c r="S38" i="10" s="1"/>
  <c r="K34" i="10"/>
  <c r="N34" i="10"/>
  <c r="V18" i="10"/>
  <c r="V20" i="10"/>
  <c r="W20" i="10" s="1"/>
  <c r="P18" i="10"/>
  <c r="R18" i="10" s="1"/>
  <c r="S18" i="10" s="1"/>
  <c r="L2" i="6"/>
  <c r="L3" i="6"/>
  <c r="K18" i="10"/>
  <c r="L18" i="10" s="1"/>
  <c r="K20" i="10"/>
  <c r="L20" i="10" s="1"/>
  <c r="N18" i="10"/>
  <c r="N20" i="10"/>
  <c r="R20" i="10"/>
  <c r="S20" i="10" s="1"/>
  <c r="AP91" i="2"/>
  <c r="BF91" i="2" s="1"/>
  <c r="C167" i="33"/>
  <c r="C168" i="33"/>
  <c r="C169" i="33"/>
  <c r="C170" i="33"/>
  <c r="C171" i="33"/>
  <c r="C172" i="33"/>
  <c r="C173" i="33"/>
  <c r="C174" i="33"/>
  <c r="C175" i="33"/>
  <c r="C176" i="33"/>
  <c r="C177" i="33"/>
  <c r="C178" i="33"/>
  <c r="C179" i="33"/>
  <c r="C180" i="33"/>
  <c r="C181" i="33"/>
  <c r="C182" i="33"/>
  <c r="C183" i="33"/>
  <c r="C184" i="33"/>
  <c r="C185" i="33"/>
  <c r="C186" i="33"/>
  <c r="C187" i="33"/>
  <c r="C188" i="33"/>
  <c r="C189" i="33"/>
  <c r="C190" i="33"/>
  <c r="C191" i="33"/>
  <c r="C192" i="33"/>
  <c r="C193" i="33"/>
  <c r="C194" i="33"/>
  <c r="C195" i="33"/>
  <c r="C196" i="33"/>
  <c r="C197" i="33"/>
  <c r="C198" i="33"/>
  <c r="C199" i="33"/>
  <c r="C200" i="33"/>
  <c r="C201" i="33"/>
  <c r="C202" i="33"/>
  <c r="C203" i="33"/>
  <c r="C204" i="33"/>
  <c r="C205" i="33"/>
  <c r="C206" i="33"/>
  <c r="C207" i="33"/>
  <c r="C208" i="33"/>
  <c r="C209" i="33"/>
  <c r="C210" i="33"/>
  <c r="C211" i="33"/>
  <c r="C212" i="33"/>
  <c r="C213" i="33"/>
  <c r="C214" i="33"/>
  <c r="C215" i="33"/>
  <c r="C216" i="33"/>
  <c r="C217" i="33"/>
  <c r="C218" i="33"/>
  <c r="C219" i="33"/>
  <c r="C220" i="33"/>
  <c r="C221" i="33"/>
  <c r="C222" i="33"/>
  <c r="C223" i="33"/>
  <c r="C224" i="33"/>
  <c r="C225" i="33"/>
  <c r="C226" i="33"/>
  <c r="C227" i="33"/>
  <c r="C228" i="33"/>
  <c r="C229" i="33"/>
  <c r="C230" i="33"/>
  <c r="C231" i="33"/>
  <c r="C232" i="33"/>
  <c r="C233" i="33"/>
  <c r="C234" i="33"/>
  <c r="C235" i="33"/>
  <c r="C236" i="33"/>
  <c r="C237" i="33"/>
  <c r="C238" i="33"/>
  <c r="C239" i="33"/>
  <c r="C240" i="33"/>
  <c r="C241" i="33"/>
  <c r="C242" i="33"/>
  <c r="C243" i="33"/>
  <c r="C244" i="33"/>
  <c r="C245" i="33"/>
  <c r="C246" i="33"/>
  <c r="C247" i="33"/>
  <c r="C248" i="33"/>
  <c r="C249" i="33"/>
  <c r="C250" i="33"/>
  <c r="C251" i="33"/>
  <c r="C252" i="33"/>
  <c r="C253" i="33"/>
  <c r="C254" i="33"/>
  <c r="C255" i="33"/>
  <c r="C256" i="33"/>
  <c r="C257" i="33"/>
  <c r="C258" i="33"/>
  <c r="C259" i="33"/>
  <c r="C260" i="33"/>
  <c r="C261" i="33"/>
  <c r="C262" i="33"/>
  <c r="C263" i="33"/>
  <c r="C264" i="33"/>
  <c r="C265" i="33"/>
  <c r="C266" i="33"/>
  <c r="C267" i="33"/>
  <c r="C268" i="33"/>
  <c r="C269" i="33"/>
  <c r="C270" i="33"/>
  <c r="C271" i="33"/>
  <c r="C272" i="33"/>
  <c r="C273" i="33"/>
  <c r="C274" i="33"/>
  <c r="C275" i="33"/>
  <c r="C276" i="33"/>
  <c r="C277" i="33"/>
  <c r="C278" i="33"/>
  <c r="C279" i="33"/>
  <c r="C280" i="33"/>
  <c r="C281" i="33"/>
  <c r="C282" i="33"/>
  <c r="C283" i="33"/>
  <c r="C284" i="33"/>
  <c r="C285" i="33"/>
  <c r="C286" i="33"/>
  <c r="C287" i="33"/>
  <c r="C288" i="33"/>
  <c r="C289" i="33"/>
  <c r="C290" i="33"/>
  <c r="C291" i="33"/>
  <c r="C292" i="33"/>
  <c r="C293" i="33"/>
  <c r="C294" i="33"/>
  <c r="C295" i="33"/>
  <c r="C296" i="33"/>
  <c r="C297" i="33"/>
  <c r="C298" i="33"/>
  <c r="C299" i="33"/>
  <c r="C300" i="33"/>
  <c r="C301" i="33"/>
  <c r="C302" i="33"/>
  <c r="C303" i="33"/>
  <c r="C304" i="33"/>
  <c r="C305" i="33"/>
  <c r="C306" i="33"/>
  <c r="C307" i="33"/>
  <c r="C308" i="33"/>
  <c r="C309" i="33"/>
  <c r="C310" i="33"/>
  <c r="C311" i="33"/>
  <c r="C312" i="33"/>
  <c r="C313" i="33"/>
  <c r="C314" i="33"/>
  <c r="C315" i="33"/>
  <c r="C316" i="33"/>
  <c r="C317" i="33"/>
  <c r="C318" i="33"/>
  <c r="C319" i="33"/>
  <c r="C320" i="33"/>
  <c r="C321" i="33"/>
  <c r="C322" i="33"/>
  <c r="C323" i="33"/>
  <c r="C324" i="33"/>
  <c r="C325" i="33"/>
  <c r="C326" i="33"/>
  <c r="C327" i="33"/>
  <c r="C328" i="33"/>
  <c r="C329" i="33"/>
  <c r="C330" i="33"/>
  <c r="C331" i="33"/>
  <c r="C332" i="33"/>
  <c r="C333" i="33"/>
  <c r="C334" i="33"/>
  <c r="C335" i="33"/>
  <c r="C336" i="33"/>
  <c r="C337" i="33"/>
  <c r="C338" i="33"/>
  <c r="C339" i="33"/>
  <c r="C340" i="33"/>
  <c r="C341" i="33"/>
  <c r="C342" i="33"/>
  <c r="C343" i="33"/>
  <c r="C344" i="33"/>
  <c r="C345" i="33"/>
  <c r="C346" i="33"/>
  <c r="C347" i="33"/>
  <c r="C348" i="33"/>
  <c r="C349" i="33"/>
  <c r="C350" i="33"/>
  <c r="C351" i="33"/>
  <c r="C352" i="33"/>
  <c r="C353" i="33"/>
  <c r="C354" i="33"/>
  <c r="C355" i="33"/>
  <c r="C356" i="33"/>
  <c r="C357" i="33"/>
  <c r="C358" i="33"/>
  <c r="C359" i="33"/>
  <c r="C360" i="33"/>
  <c r="C361" i="33"/>
  <c r="C362" i="33"/>
  <c r="C363" i="33"/>
  <c r="C364" i="33"/>
  <c r="C365" i="33"/>
  <c r="C366" i="33"/>
  <c r="C367" i="33"/>
  <c r="C368" i="33"/>
  <c r="C369" i="33"/>
  <c r="C370" i="33"/>
  <c r="C371" i="33"/>
  <c r="C372" i="33"/>
  <c r="C373" i="33"/>
  <c r="C374" i="33"/>
  <c r="C375" i="33"/>
  <c r="C376" i="33"/>
  <c r="C377" i="33"/>
  <c r="C378" i="33"/>
  <c r="C379" i="33"/>
  <c r="C380" i="33"/>
  <c r="C381" i="33"/>
  <c r="C382" i="33"/>
  <c r="C383" i="33"/>
  <c r="C384" i="33"/>
  <c r="C385" i="33"/>
  <c r="C386" i="33"/>
  <c r="C387" i="33"/>
  <c r="C388" i="33"/>
  <c r="C389" i="33"/>
  <c r="C390" i="33"/>
  <c r="C391" i="33"/>
  <c r="C392" i="33"/>
  <c r="C393" i="33"/>
  <c r="C394" i="33"/>
  <c r="C395" i="33"/>
  <c r="C396" i="33"/>
  <c r="C397" i="33"/>
  <c r="C398" i="33"/>
  <c r="C399" i="33"/>
  <c r="C400" i="33"/>
  <c r="C401" i="33"/>
  <c r="C402" i="33"/>
  <c r="C403" i="33"/>
  <c r="C404" i="33"/>
  <c r="C405" i="33"/>
  <c r="C406" i="33"/>
  <c r="C407" i="33"/>
  <c r="C408" i="33"/>
  <c r="C409" i="33"/>
  <c r="C410" i="33"/>
  <c r="C411" i="33"/>
  <c r="C412" i="33"/>
  <c r="C413" i="33"/>
  <c r="C414" i="33"/>
  <c r="C415" i="33"/>
  <c r="C416" i="33"/>
  <c r="C417" i="33"/>
  <c r="C418" i="33"/>
  <c r="C419" i="33"/>
  <c r="C420" i="33"/>
  <c r="C421" i="33"/>
  <c r="C422" i="33"/>
  <c r="C423" i="33"/>
  <c r="C424" i="33"/>
  <c r="C425" i="33"/>
  <c r="C426" i="33"/>
  <c r="C427" i="33"/>
  <c r="C428" i="33"/>
  <c r="C429" i="33"/>
  <c r="C430" i="33"/>
  <c r="C431" i="33"/>
  <c r="C432" i="33"/>
  <c r="C433" i="33"/>
  <c r="C434" i="33"/>
  <c r="C435" i="33"/>
  <c r="C436" i="33"/>
  <c r="C437" i="33"/>
  <c r="C438" i="33"/>
  <c r="C439" i="33"/>
  <c r="C440" i="33"/>
  <c r="C441" i="33"/>
  <c r="C442" i="33"/>
  <c r="C443" i="33"/>
  <c r="C444" i="33"/>
  <c r="C445" i="33"/>
  <c r="C446" i="33"/>
  <c r="C447" i="33"/>
  <c r="C448" i="33"/>
  <c r="C449" i="33"/>
  <c r="C450" i="33"/>
  <c r="C451" i="33"/>
  <c r="C452" i="33"/>
  <c r="C453" i="33"/>
  <c r="C454" i="33"/>
  <c r="C455" i="33"/>
  <c r="C456" i="33"/>
  <c r="C457" i="33"/>
  <c r="C458" i="33"/>
  <c r="C459" i="33"/>
  <c r="C460" i="33"/>
  <c r="C461" i="33"/>
  <c r="C462" i="33"/>
  <c r="C463" i="33"/>
  <c r="C464" i="33"/>
  <c r="C465" i="33"/>
  <c r="C466" i="33"/>
  <c r="C467" i="33"/>
  <c r="C468" i="33"/>
  <c r="C469" i="33"/>
  <c r="C470" i="33"/>
  <c r="C471" i="33"/>
  <c r="C472" i="33"/>
  <c r="C473" i="33"/>
  <c r="C474" i="33"/>
  <c r="C475" i="33"/>
  <c r="C476" i="33"/>
  <c r="C477" i="33"/>
  <c r="C478" i="33"/>
  <c r="C479" i="33"/>
  <c r="C480" i="33"/>
  <c r="C481" i="33"/>
  <c r="C482" i="33"/>
  <c r="C483" i="33"/>
  <c r="C484" i="33"/>
  <c r="C485" i="33"/>
  <c r="C486" i="33"/>
  <c r="C487" i="33"/>
  <c r="C488" i="33"/>
  <c r="C489" i="33"/>
  <c r="C490" i="33"/>
  <c r="C491" i="33"/>
  <c r="C492" i="33"/>
  <c r="C493" i="33"/>
  <c r="C494" i="33"/>
  <c r="C495" i="33"/>
  <c r="C496" i="33"/>
  <c r="C497" i="33"/>
  <c r="C498" i="33"/>
  <c r="C499" i="33"/>
  <c r="C500" i="33"/>
  <c r="F36" i="16"/>
  <c r="F37" i="16"/>
  <c r="F38" i="16"/>
  <c r="F39" i="16"/>
  <c r="F40" i="16"/>
  <c r="F41" i="16"/>
  <c r="F42" i="16"/>
  <c r="F43" i="16"/>
  <c r="G36" i="16"/>
  <c r="G37" i="16"/>
  <c r="G38" i="16"/>
  <c r="G39" i="16"/>
  <c r="G40" i="16"/>
  <c r="G41" i="16"/>
  <c r="G42" i="16"/>
  <c r="G43" i="16"/>
  <c r="E27" i="16" a="1"/>
  <c r="G14" i="16"/>
  <c r="G15" i="16"/>
  <c r="G16" i="16"/>
  <c r="G17" i="16"/>
  <c r="G18" i="16"/>
  <c r="G19" i="16"/>
  <c r="G20" i="16"/>
  <c r="G21" i="16"/>
  <c r="E1" i="16" a="1"/>
  <c r="G13" i="16" s="1"/>
  <c r="N12" i="32"/>
  <c r="P42" i="29"/>
  <c r="P44" i="29"/>
  <c r="P45" i="29"/>
  <c r="P46" i="29"/>
  <c r="P47" i="29"/>
  <c r="W36" i="10" l="1"/>
  <c r="X36" i="10" s="1"/>
  <c r="AB36" i="10" s="1"/>
  <c r="AT4" i="7"/>
  <c r="E1" i="16"/>
  <c r="G12" i="16"/>
  <c r="H38" i="16"/>
  <c r="AH34" i="10"/>
  <c r="AF34" i="10"/>
  <c r="Z34" i="10"/>
  <c r="AJ34" i="10"/>
  <c r="O25" i="10"/>
  <c r="AI34" i="10"/>
  <c r="Y34" i="10"/>
  <c r="AE34" i="10"/>
  <c r="AD34" i="10"/>
  <c r="AC34" i="10"/>
  <c r="AB34" i="10"/>
  <c r="Y37" i="10"/>
  <c r="X39" i="10"/>
  <c r="AG39" i="10" s="1"/>
  <c r="X38" i="10"/>
  <c r="AF38" i="10" s="1"/>
  <c r="Y40" i="10"/>
  <c r="AG40" i="10"/>
  <c r="Z40" i="10"/>
  <c r="AH40" i="10"/>
  <c r="AF40" i="10"/>
  <c r="AA40" i="10"/>
  <c r="AI40" i="10"/>
  <c r="AB40" i="10"/>
  <c r="AJ40" i="10"/>
  <c r="AE40" i="10"/>
  <c r="AC40" i="10"/>
  <c r="AD40" i="10"/>
  <c r="AD37" i="10"/>
  <c r="AC37" i="10"/>
  <c r="AE37" i="10"/>
  <c r="AJ37" i="10"/>
  <c r="AI37" i="10"/>
  <c r="AA37" i="10"/>
  <c r="AH37" i="10"/>
  <c r="Z37" i="10"/>
  <c r="AG37" i="10"/>
  <c r="R34" i="10"/>
  <c r="Q38" i="10"/>
  <c r="Q40" i="10"/>
  <c r="O40" i="10"/>
  <c r="L40" i="10"/>
  <c r="J76" i="10" s="1"/>
  <c r="O39" i="10"/>
  <c r="O38" i="10"/>
  <c r="O37" i="10"/>
  <c r="R37" i="10"/>
  <c r="O34" i="10"/>
  <c r="W18" i="10"/>
  <c r="X20" i="10"/>
  <c r="AF20" i="10" s="1"/>
  <c r="Q20" i="10"/>
  <c r="Q18" i="10"/>
  <c r="O18" i="10"/>
  <c r="O20" i="10"/>
  <c r="E27" i="16"/>
  <c r="F33" i="16"/>
  <c r="F34" i="16"/>
  <c r="F35" i="16"/>
  <c r="F28" i="16"/>
  <c r="F29" i="16"/>
  <c r="G30" i="16"/>
  <c r="F30" i="16"/>
  <c r="G31" i="16"/>
  <c r="F31" i="16"/>
  <c r="G35" i="16"/>
  <c r="F32" i="16"/>
  <c r="H36" i="16"/>
  <c r="H37" i="16"/>
  <c r="H43" i="16"/>
  <c r="H40" i="16"/>
  <c r="H42" i="16"/>
  <c r="H41" i="16"/>
  <c r="H39" i="16"/>
  <c r="G11" i="16"/>
  <c r="H39" i="29"/>
  <c r="AJ36" i="10" l="1"/>
  <c r="AI36" i="10"/>
  <c r="AA36" i="10"/>
  <c r="AH36" i="10"/>
  <c r="AF36" i="10"/>
  <c r="AG36" i="10"/>
  <c r="AE36" i="10"/>
  <c r="AC36" i="10"/>
  <c r="Z36" i="10"/>
  <c r="AD36" i="10"/>
  <c r="AU4" i="7"/>
  <c r="BD4" i="7"/>
  <c r="AX4" i="7"/>
  <c r="AW4" i="7"/>
  <c r="BC4" i="7"/>
  <c r="AI38" i="10"/>
  <c r="AA38" i="10"/>
  <c r="AH38" i="10"/>
  <c r="Y38" i="10"/>
  <c r="Z38" i="10"/>
  <c r="AJ38" i="10"/>
  <c r="AE38" i="10"/>
  <c r="AC38" i="10"/>
  <c r="AG38" i="10"/>
  <c r="AA39" i="10"/>
  <c r="AB38" i="10"/>
  <c r="AE39" i="10"/>
  <c r="AD39" i="10"/>
  <c r="AH39" i="10"/>
  <c r="Y39" i="10"/>
  <c r="AJ39" i="10"/>
  <c r="AB39" i="10"/>
  <c r="AI39" i="10"/>
  <c r="AD38" i="10"/>
  <c r="Z39" i="10"/>
  <c r="AF39" i="10"/>
  <c r="Z20" i="10"/>
  <c r="AA20" i="10"/>
  <c r="AD20" i="10"/>
  <c r="X18" i="10"/>
  <c r="AC18" i="10" s="1"/>
  <c r="AE20" i="10"/>
  <c r="AH20" i="10"/>
  <c r="AI20" i="10"/>
  <c r="Y20" i="10"/>
  <c r="AB20" i="10"/>
  <c r="AG20" i="10"/>
  <c r="AJ20" i="10"/>
  <c r="AC20" i="10"/>
  <c r="H35" i="16"/>
  <c r="H30" i="16"/>
  <c r="H31" i="16"/>
  <c r="H71" i="3"/>
  <c r="H72" i="3"/>
  <c r="F27" i="16"/>
  <c r="H69" i="3"/>
  <c r="BB4" i="7" l="1"/>
  <c r="AZ4" i="7"/>
  <c r="BG4" i="7"/>
  <c r="BA4" i="7"/>
  <c r="BF4" i="7"/>
  <c r="BE4" i="7"/>
  <c r="AV4" i="7"/>
  <c r="AY4" i="7"/>
  <c r="AB18" i="10"/>
  <c r="AE18" i="10"/>
  <c r="AG18" i="10"/>
  <c r="AH18" i="10"/>
  <c r="AD18" i="10"/>
  <c r="Z18" i="10"/>
  <c r="AJ18" i="10"/>
  <c r="AI18" i="10"/>
  <c r="AA18" i="10"/>
  <c r="Y18" i="10"/>
  <c r="AF18" i="10"/>
  <c r="P4" i="32"/>
  <c r="S25" i="3"/>
  <c r="T25" i="3"/>
  <c r="U25" i="3"/>
  <c r="V25" i="3"/>
  <c r="S26" i="3"/>
  <c r="S27" i="3"/>
  <c r="S28" i="3"/>
  <c r="S29" i="3"/>
  <c r="S32" i="3"/>
  <c r="V32" i="3"/>
  <c r="S33" i="3"/>
  <c r="T33" i="3"/>
  <c r="U33" i="3"/>
  <c r="V33" i="3"/>
  <c r="S34" i="3"/>
  <c r="S35" i="3"/>
  <c r="S36" i="3"/>
  <c r="S37" i="3"/>
  <c r="S38" i="3"/>
  <c r="V24" i="3"/>
  <c r="S24" i="3"/>
  <c r="M4" i="32"/>
  <c r="U4" i="32" l="1"/>
  <c r="G43" i="3"/>
  <c r="F43" i="3"/>
  <c r="I3" i="11"/>
  <c r="I2" i="11"/>
  <c r="E3" i="11"/>
  <c r="P3" i="11" s="1"/>
  <c r="E2" i="11"/>
  <c r="U2" i="11" s="1"/>
  <c r="F2" i="11"/>
  <c r="R2" i="11" s="1"/>
  <c r="F3" i="11"/>
  <c r="Y3" i="11" s="1"/>
  <c r="L2" i="11"/>
  <c r="L3" i="11"/>
  <c r="S2" i="11"/>
  <c r="S3" i="11"/>
  <c r="X2" i="11"/>
  <c r="X3" i="11"/>
  <c r="Y2" i="11"/>
  <c r="P15" i="10"/>
  <c r="Q15" i="10" s="1"/>
  <c r="V13" i="10"/>
  <c r="W13" i="10" s="1"/>
  <c r="V14" i="10"/>
  <c r="V15" i="10"/>
  <c r="P13" i="10"/>
  <c r="R13" i="10" s="1"/>
  <c r="K13" i="10"/>
  <c r="L13" i="10" s="1"/>
  <c r="K14" i="10"/>
  <c r="L14" i="10" s="1"/>
  <c r="K15" i="10"/>
  <c r="L15" i="10" s="1"/>
  <c r="N13" i="10"/>
  <c r="N14" i="10"/>
  <c r="N15" i="10"/>
  <c r="Q14" i="10"/>
  <c r="Y4" i="6"/>
  <c r="Z4" i="6" s="1"/>
  <c r="AA4" i="6" s="1"/>
  <c r="AB4" i="6" s="1"/>
  <c r="AC4" i="6" s="1"/>
  <c r="AD4" i="6" s="1"/>
  <c r="AE4" i="6" s="1"/>
  <c r="AF4" i="6" s="1"/>
  <c r="AG4" i="6" s="1"/>
  <c r="AH4" i="6" s="1"/>
  <c r="AI4" i="6" s="1"/>
  <c r="Y5" i="6"/>
  <c r="Z5" i="6" s="1"/>
  <c r="AA5" i="6" s="1"/>
  <c r="AB5" i="6" s="1"/>
  <c r="AC5" i="6" s="1"/>
  <c r="AD5" i="6" s="1"/>
  <c r="AE5" i="6" s="1"/>
  <c r="AF5" i="6" s="1"/>
  <c r="AG5" i="6" s="1"/>
  <c r="AH5" i="6" s="1"/>
  <c r="AI5" i="6" s="1"/>
  <c r="U2" i="6"/>
  <c r="U3" i="6"/>
  <c r="S2" i="6"/>
  <c r="S3" i="6"/>
  <c r="S4" i="6"/>
  <c r="S5" i="6"/>
  <c r="S6" i="6"/>
  <c r="G4" i="6"/>
  <c r="N4" i="6" s="1"/>
  <c r="N5" i="6"/>
  <c r="T5" i="6"/>
  <c r="T4" i="6"/>
  <c r="U8" i="7"/>
  <c r="V8" i="7" s="1"/>
  <c r="U3" i="7"/>
  <c r="V3" i="7" s="1"/>
  <c r="R8" i="7"/>
  <c r="R9" i="7"/>
  <c r="AC9" i="7" s="1"/>
  <c r="Y9" i="7"/>
  <c r="Z8" i="7"/>
  <c r="V9" i="7"/>
  <c r="AB8" i="7"/>
  <c r="AB9" i="7"/>
  <c r="AD8" i="7"/>
  <c r="AD9" i="7"/>
  <c r="AK8" i="7"/>
  <c r="AL8" i="7" s="1"/>
  <c r="AK9" i="7"/>
  <c r="AL9" i="7" s="1"/>
  <c r="AB5" i="7"/>
  <c r="AB10" i="7"/>
  <c r="AB6" i="7"/>
  <c r="AB7" i="7"/>
  <c r="AB12" i="7"/>
  <c r="AB13" i="7"/>
  <c r="AB14" i="7"/>
  <c r="AB15" i="7"/>
  <c r="AB17" i="7"/>
  <c r="AB2" i="7"/>
  <c r="AB18" i="7"/>
  <c r="AB11" i="7"/>
  <c r="AB3" i="7"/>
  <c r="AD5" i="7"/>
  <c r="AD10" i="7"/>
  <c r="AD6" i="7"/>
  <c r="AD7" i="7"/>
  <c r="AD12" i="7"/>
  <c r="AD13" i="7"/>
  <c r="AD14" i="7"/>
  <c r="AD15" i="7"/>
  <c r="AD17" i="7"/>
  <c r="AD2" i="7"/>
  <c r="AD18" i="7"/>
  <c r="AD11" i="7"/>
  <c r="AD3" i="7"/>
  <c r="U11" i="7"/>
  <c r="V11" i="7" s="1"/>
  <c r="R11" i="7"/>
  <c r="AE11" i="7" s="1"/>
  <c r="R3" i="7"/>
  <c r="X3" i="7" s="1"/>
  <c r="Z11" i="7"/>
  <c r="Z2" i="7"/>
  <c r="Z3" i="7"/>
  <c r="AK3" i="7"/>
  <c r="AL3" i="7" s="1"/>
  <c r="AM3" i="7" s="1"/>
  <c r="AK11" i="7"/>
  <c r="AL11" i="7" s="1"/>
  <c r="AM11" i="7" s="1"/>
  <c r="AN11" i="7" s="1"/>
  <c r="AO11" i="7" s="1"/>
  <c r="R2" i="7"/>
  <c r="R10" i="7"/>
  <c r="X10" i="7" s="1"/>
  <c r="Z10" i="7"/>
  <c r="U10" i="7"/>
  <c r="V10" i="7" s="1"/>
  <c r="AK10" i="7"/>
  <c r="AL10" i="7" s="1"/>
  <c r="AM10" i="7" s="1"/>
  <c r="AN10" i="7" s="1"/>
  <c r="AK2" i="7"/>
  <c r="AL2" i="7" s="1"/>
  <c r="AM2" i="7" s="1"/>
  <c r="E167" i="33"/>
  <c r="G167" i="33"/>
  <c r="H167" i="33"/>
  <c r="I167" i="33"/>
  <c r="K167" i="33"/>
  <c r="L167" i="33"/>
  <c r="M167" i="33"/>
  <c r="E168" i="33"/>
  <c r="G168" i="33"/>
  <c r="H168" i="33"/>
  <c r="I168" i="33"/>
  <c r="K168" i="33"/>
  <c r="L168" i="33"/>
  <c r="M168" i="33"/>
  <c r="E169" i="33"/>
  <c r="G169" i="33"/>
  <c r="H169" i="33"/>
  <c r="I169" i="33"/>
  <c r="K169" i="33"/>
  <c r="L169" i="33"/>
  <c r="M169" i="33"/>
  <c r="E170" i="33"/>
  <c r="G170" i="33"/>
  <c r="H170" i="33"/>
  <c r="I170" i="33"/>
  <c r="K170" i="33"/>
  <c r="L170" i="33"/>
  <c r="M170" i="33"/>
  <c r="E171" i="33"/>
  <c r="G171" i="33"/>
  <c r="H171" i="33"/>
  <c r="I171" i="33"/>
  <c r="K171" i="33"/>
  <c r="L171" i="33"/>
  <c r="M171" i="33"/>
  <c r="E172" i="33"/>
  <c r="G172" i="33"/>
  <c r="H172" i="33"/>
  <c r="I172" i="33"/>
  <c r="K172" i="33"/>
  <c r="L172" i="33"/>
  <c r="M172" i="33"/>
  <c r="E173" i="33"/>
  <c r="G173" i="33"/>
  <c r="H173" i="33"/>
  <c r="I173" i="33"/>
  <c r="K173" i="33"/>
  <c r="L173" i="33"/>
  <c r="M173" i="33"/>
  <c r="E174" i="33"/>
  <c r="G174" i="33"/>
  <c r="H174" i="33"/>
  <c r="I174" i="33"/>
  <c r="K174" i="33"/>
  <c r="L174" i="33"/>
  <c r="M174" i="33"/>
  <c r="E175" i="33"/>
  <c r="G175" i="33"/>
  <c r="H175" i="33"/>
  <c r="I175" i="33"/>
  <c r="K175" i="33"/>
  <c r="L175" i="33"/>
  <c r="M175" i="33"/>
  <c r="E176" i="33"/>
  <c r="G176" i="33"/>
  <c r="H176" i="33"/>
  <c r="I176" i="33"/>
  <c r="K176" i="33"/>
  <c r="L176" i="33"/>
  <c r="M176" i="33"/>
  <c r="E177" i="33"/>
  <c r="G177" i="33"/>
  <c r="H177" i="33"/>
  <c r="I177" i="33"/>
  <c r="K177" i="33"/>
  <c r="L177" i="33"/>
  <c r="M177" i="33"/>
  <c r="E178" i="33"/>
  <c r="G178" i="33"/>
  <c r="H178" i="33"/>
  <c r="I178" i="33"/>
  <c r="K178" i="33"/>
  <c r="L178" i="33"/>
  <c r="M178" i="33"/>
  <c r="E179" i="33"/>
  <c r="G179" i="33"/>
  <c r="H179" i="33"/>
  <c r="I179" i="33"/>
  <c r="K179" i="33"/>
  <c r="L179" i="33"/>
  <c r="M179" i="33"/>
  <c r="E180" i="33"/>
  <c r="G180" i="33"/>
  <c r="H180" i="33"/>
  <c r="I180" i="33"/>
  <c r="K180" i="33"/>
  <c r="L180" i="33"/>
  <c r="M180" i="33"/>
  <c r="E181" i="33"/>
  <c r="G181" i="33"/>
  <c r="H181" i="33"/>
  <c r="I181" i="33"/>
  <c r="K181" i="33"/>
  <c r="L181" i="33"/>
  <c r="M181" i="33"/>
  <c r="E182" i="33"/>
  <c r="G182" i="33"/>
  <c r="H182" i="33"/>
  <c r="I182" i="33"/>
  <c r="K182" i="33"/>
  <c r="L182" i="33"/>
  <c r="M182" i="33"/>
  <c r="E183" i="33"/>
  <c r="G183" i="33"/>
  <c r="H183" i="33"/>
  <c r="I183" i="33"/>
  <c r="K183" i="33"/>
  <c r="L183" i="33"/>
  <c r="M183" i="33"/>
  <c r="E184" i="33"/>
  <c r="G184" i="33"/>
  <c r="H184" i="33"/>
  <c r="I184" i="33"/>
  <c r="K184" i="33"/>
  <c r="L184" i="33"/>
  <c r="M184" i="33"/>
  <c r="E185" i="33"/>
  <c r="G185" i="33"/>
  <c r="H185" i="33"/>
  <c r="I185" i="33"/>
  <c r="K185" i="33"/>
  <c r="L185" i="33"/>
  <c r="M185" i="33"/>
  <c r="E186" i="33"/>
  <c r="G186" i="33"/>
  <c r="H186" i="33"/>
  <c r="I186" i="33"/>
  <c r="K186" i="33"/>
  <c r="L186" i="33"/>
  <c r="M186" i="33"/>
  <c r="E187" i="33"/>
  <c r="G187" i="33"/>
  <c r="H187" i="33"/>
  <c r="I187" i="33"/>
  <c r="K187" i="33"/>
  <c r="L187" i="33"/>
  <c r="M187" i="33"/>
  <c r="E188" i="33"/>
  <c r="G188" i="33"/>
  <c r="H188" i="33"/>
  <c r="I188" i="33"/>
  <c r="K188" i="33"/>
  <c r="L188" i="33"/>
  <c r="M188" i="33"/>
  <c r="E189" i="33"/>
  <c r="G189" i="33"/>
  <c r="H189" i="33"/>
  <c r="I189" i="33"/>
  <c r="K189" i="33"/>
  <c r="L189" i="33"/>
  <c r="M189" i="33"/>
  <c r="E190" i="33"/>
  <c r="G190" i="33"/>
  <c r="H190" i="33"/>
  <c r="I190" i="33"/>
  <c r="K190" i="33"/>
  <c r="L190" i="33"/>
  <c r="M190" i="33"/>
  <c r="E191" i="33"/>
  <c r="G191" i="33"/>
  <c r="H191" i="33"/>
  <c r="I191" i="33"/>
  <c r="K191" i="33"/>
  <c r="L191" i="33"/>
  <c r="M191" i="33"/>
  <c r="E192" i="33"/>
  <c r="G192" i="33"/>
  <c r="H192" i="33"/>
  <c r="I192" i="33"/>
  <c r="K192" i="33"/>
  <c r="L192" i="33"/>
  <c r="M192" i="33"/>
  <c r="E193" i="33"/>
  <c r="G193" i="33"/>
  <c r="H193" i="33"/>
  <c r="I193" i="33"/>
  <c r="K193" i="33"/>
  <c r="L193" i="33"/>
  <c r="M193" i="33"/>
  <c r="E194" i="33"/>
  <c r="G194" i="33"/>
  <c r="H194" i="33"/>
  <c r="I194" i="33"/>
  <c r="K194" i="33"/>
  <c r="L194" i="33"/>
  <c r="M194" i="33"/>
  <c r="E195" i="33"/>
  <c r="G195" i="33"/>
  <c r="H195" i="33"/>
  <c r="I195" i="33"/>
  <c r="K195" i="33"/>
  <c r="L195" i="33"/>
  <c r="M195" i="33"/>
  <c r="E196" i="33"/>
  <c r="G196" i="33"/>
  <c r="H196" i="33"/>
  <c r="I196" i="33"/>
  <c r="K196" i="33"/>
  <c r="L196" i="33"/>
  <c r="M196" i="33"/>
  <c r="E197" i="33"/>
  <c r="G197" i="33"/>
  <c r="H197" i="33"/>
  <c r="I197" i="33"/>
  <c r="K197" i="33"/>
  <c r="L197" i="33"/>
  <c r="M197" i="33"/>
  <c r="E198" i="33"/>
  <c r="G198" i="33"/>
  <c r="H198" i="33"/>
  <c r="I198" i="33"/>
  <c r="K198" i="33"/>
  <c r="L198" i="33"/>
  <c r="M198" i="33"/>
  <c r="E199" i="33"/>
  <c r="G199" i="33"/>
  <c r="H199" i="33"/>
  <c r="I199" i="33"/>
  <c r="K199" i="33"/>
  <c r="L199" i="33"/>
  <c r="M199" i="33"/>
  <c r="E200" i="33"/>
  <c r="G200" i="33"/>
  <c r="H200" i="33"/>
  <c r="I200" i="33"/>
  <c r="K200" i="33"/>
  <c r="L200" i="33"/>
  <c r="M200" i="33"/>
  <c r="E201" i="33"/>
  <c r="G201" i="33"/>
  <c r="H201" i="33"/>
  <c r="I201" i="33"/>
  <c r="K201" i="33"/>
  <c r="L201" i="33"/>
  <c r="M201" i="33"/>
  <c r="E202" i="33"/>
  <c r="G202" i="33"/>
  <c r="H202" i="33"/>
  <c r="I202" i="33"/>
  <c r="K202" i="33"/>
  <c r="L202" i="33"/>
  <c r="M202" i="33"/>
  <c r="E203" i="33"/>
  <c r="G203" i="33"/>
  <c r="H203" i="33"/>
  <c r="I203" i="33"/>
  <c r="K203" i="33"/>
  <c r="L203" i="33"/>
  <c r="M203" i="33"/>
  <c r="E204" i="33"/>
  <c r="G204" i="33"/>
  <c r="H204" i="33"/>
  <c r="I204" i="33"/>
  <c r="K204" i="33"/>
  <c r="L204" i="33"/>
  <c r="M204" i="33"/>
  <c r="E205" i="33"/>
  <c r="G205" i="33"/>
  <c r="H205" i="33"/>
  <c r="I205" i="33"/>
  <c r="K205" i="33"/>
  <c r="L205" i="33"/>
  <c r="M205" i="33"/>
  <c r="E206" i="33"/>
  <c r="G206" i="33"/>
  <c r="H206" i="33"/>
  <c r="I206" i="33"/>
  <c r="K206" i="33"/>
  <c r="L206" i="33"/>
  <c r="M206" i="33"/>
  <c r="E207" i="33"/>
  <c r="G207" i="33"/>
  <c r="H207" i="33"/>
  <c r="I207" i="33"/>
  <c r="K207" i="33"/>
  <c r="L207" i="33"/>
  <c r="M207" i="33"/>
  <c r="E208" i="33"/>
  <c r="G208" i="33"/>
  <c r="H208" i="33"/>
  <c r="I208" i="33"/>
  <c r="K208" i="33"/>
  <c r="L208" i="33"/>
  <c r="M208" i="33"/>
  <c r="E209" i="33"/>
  <c r="G209" i="33"/>
  <c r="H209" i="33"/>
  <c r="I209" i="33"/>
  <c r="K209" i="33"/>
  <c r="L209" i="33"/>
  <c r="M209" i="33"/>
  <c r="E210" i="33"/>
  <c r="G210" i="33"/>
  <c r="H210" i="33"/>
  <c r="I210" i="33"/>
  <c r="K210" i="33"/>
  <c r="L210" i="33"/>
  <c r="M210" i="33"/>
  <c r="E211" i="33"/>
  <c r="G211" i="33"/>
  <c r="H211" i="33"/>
  <c r="I211" i="33"/>
  <c r="K211" i="33"/>
  <c r="L211" i="33"/>
  <c r="M211" i="33"/>
  <c r="E212" i="33"/>
  <c r="G212" i="33"/>
  <c r="H212" i="33"/>
  <c r="I212" i="33"/>
  <c r="K212" i="33"/>
  <c r="L212" i="33"/>
  <c r="M212" i="33"/>
  <c r="E213" i="33"/>
  <c r="G213" i="33"/>
  <c r="H213" i="33"/>
  <c r="I213" i="33"/>
  <c r="K213" i="33"/>
  <c r="L213" i="33"/>
  <c r="M213" i="33"/>
  <c r="E214" i="33"/>
  <c r="G214" i="33"/>
  <c r="H214" i="33"/>
  <c r="I214" i="33"/>
  <c r="K214" i="33"/>
  <c r="L214" i="33"/>
  <c r="M214" i="33"/>
  <c r="E215" i="33"/>
  <c r="G215" i="33"/>
  <c r="H215" i="33"/>
  <c r="I215" i="33"/>
  <c r="K215" i="33"/>
  <c r="L215" i="33"/>
  <c r="M215" i="33"/>
  <c r="E216" i="33"/>
  <c r="G216" i="33"/>
  <c r="H216" i="33"/>
  <c r="I216" i="33"/>
  <c r="K216" i="33"/>
  <c r="L216" i="33"/>
  <c r="M216" i="33"/>
  <c r="E217" i="33"/>
  <c r="G217" i="33"/>
  <c r="H217" i="33"/>
  <c r="I217" i="33"/>
  <c r="K217" i="33"/>
  <c r="L217" i="33"/>
  <c r="M217" i="33"/>
  <c r="E218" i="33"/>
  <c r="G218" i="33"/>
  <c r="H218" i="33"/>
  <c r="I218" i="33"/>
  <c r="K218" i="33"/>
  <c r="L218" i="33"/>
  <c r="M218" i="33"/>
  <c r="E219" i="33"/>
  <c r="G219" i="33"/>
  <c r="H219" i="33"/>
  <c r="I219" i="33"/>
  <c r="K219" i="33"/>
  <c r="L219" i="33"/>
  <c r="M219" i="33"/>
  <c r="E220" i="33"/>
  <c r="G220" i="33"/>
  <c r="H220" i="33"/>
  <c r="I220" i="33"/>
  <c r="K220" i="33"/>
  <c r="L220" i="33"/>
  <c r="M220" i="33"/>
  <c r="E221" i="33"/>
  <c r="G221" i="33"/>
  <c r="H221" i="33"/>
  <c r="I221" i="33"/>
  <c r="K221" i="33"/>
  <c r="L221" i="33"/>
  <c r="M221" i="33"/>
  <c r="E222" i="33"/>
  <c r="G222" i="33"/>
  <c r="H222" i="33"/>
  <c r="I222" i="33"/>
  <c r="K222" i="33"/>
  <c r="L222" i="33"/>
  <c r="M222" i="33"/>
  <c r="E223" i="33"/>
  <c r="G223" i="33"/>
  <c r="H223" i="33"/>
  <c r="I223" i="33"/>
  <c r="K223" i="33"/>
  <c r="L223" i="33"/>
  <c r="M223" i="33"/>
  <c r="E224" i="33"/>
  <c r="G224" i="33"/>
  <c r="H224" i="33"/>
  <c r="I224" i="33"/>
  <c r="K224" i="33"/>
  <c r="L224" i="33"/>
  <c r="M224" i="33"/>
  <c r="E225" i="33"/>
  <c r="G225" i="33"/>
  <c r="H225" i="33"/>
  <c r="I225" i="33"/>
  <c r="K225" i="33"/>
  <c r="L225" i="33"/>
  <c r="M225" i="33"/>
  <c r="E226" i="33"/>
  <c r="G226" i="33"/>
  <c r="H226" i="33"/>
  <c r="I226" i="33"/>
  <c r="K226" i="33"/>
  <c r="L226" i="33"/>
  <c r="M226" i="33"/>
  <c r="E227" i="33"/>
  <c r="G227" i="33"/>
  <c r="H227" i="33"/>
  <c r="I227" i="33"/>
  <c r="K227" i="33"/>
  <c r="L227" i="33"/>
  <c r="M227" i="33"/>
  <c r="E228" i="33"/>
  <c r="G228" i="33"/>
  <c r="H228" i="33"/>
  <c r="I228" i="33"/>
  <c r="K228" i="33"/>
  <c r="L228" i="33"/>
  <c r="M228" i="33"/>
  <c r="E229" i="33"/>
  <c r="G229" i="33"/>
  <c r="H229" i="33"/>
  <c r="I229" i="33"/>
  <c r="K229" i="33"/>
  <c r="L229" i="33"/>
  <c r="M229" i="33"/>
  <c r="E230" i="33"/>
  <c r="G230" i="33"/>
  <c r="H230" i="33"/>
  <c r="I230" i="33"/>
  <c r="K230" i="33"/>
  <c r="L230" i="33"/>
  <c r="M230" i="33"/>
  <c r="E231" i="33"/>
  <c r="G231" i="33"/>
  <c r="H231" i="33"/>
  <c r="I231" i="33"/>
  <c r="K231" i="33"/>
  <c r="L231" i="33"/>
  <c r="M231" i="33"/>
  <c r="E232" i="33"/>
  <c r="G232" i="33"/>
  <c r="H232" i="33"/>
  <c r="I232" i="33"/>
  <c r="K232" i="33"/>
  <c r="L232" i="33"/>
  <c r="M232" i="33"/>
  <c r="E233" i="33"/>
  <c r="G233" i="33"/>
  <c r="H233" i="33"/>
  <c r="I233" i="33"/>
  <c r="K233" i="33"/>
  <c r="L233" i="33"/>
  <c r="M233" i="33"/>
  <c r="E234" i="33"/>
  <c r="G234" i="33"/>
  <c r="H234" i="33"/>
  <c r="I234" i="33"/>
  <c r="K234" i="33"/>
  <c r="L234" i="33"/>
  <c r="M234" i="33"/>
  <c r="E235" i="33"/>
  <c r="G235" i="33"/>
  <c r="H235" i="33"/>
  <c r="I235" i="33"/>
  <c r="K235" i="33"/>
  <c r="L235" i="33"/>
  <c r="M235" i="33"/>
  <c r="E236" i="33"/>
  <c r="G236" i="33"/>
  <c r="H236" i="33"/>
  <c r="I236" i="33"/>
  <c r="K236" i="33"/>
  <c r="L236" i="33"/>
  <c r="M236" i="33"/>
  <c r="E237" i="33"/>
  <c r="G237" i="33"/>
  <c r="H237" i="33"/>
  <c r="I237" i="33"/>
  <c r="K237" i="33"/>
  <c r="L237" i="33"/>
  <c r="M237" i="33"/>
  <c r="E238" i="33"/>
  <c r="G238" i="33"/>
  <c r="H238" i="33"/>
  <c r="I238" i="33"/>
  <c r="K238" i="33"/>
  <c r="L238" i="33"/>
  <c r="M238" i="33"/>
  <c r="E239" i="33"/>
  <c r="G239" i="33"/>
  <c r="H239" i="33"/>
  <c r="I239" i="33"/>
  <c r="K239" i="33"/>
  <c r="L239" i="33"/>
  <c r="M239" i="33"/>
  <c r="E240" i="33"/>
  <c r="G240" i="33"/>
  <c r="H240" i="33"/>
  <c r="I240" i="33"/>
  <c r="K240" i="33"/>
  <c r="L240" i="33"/>
  <c r="M240" i="33"/>
  <c r="E241" i="33"/>
  <c r="G241" i="33"/>
  <c r="H241" i="33"/>
  <c r="I241" i="33"/>
  <c r="K241" i="33"/>
  <c r="L241" i="33"/>
  <c r="M241" i="33"/>
  <c r="E242" i="33"/>
  <c r="G242" i="33"/>
  <c r="H242" i="33"/>
  <c r="I242" i="33"/>
  <c r="K242" i="33"/>
  <c r="L242" i="33"/>
  <c r="M242" i="33"/>
  <c r="E243" i="33"/>
  <c r="G243" i="33"/>
  <c r="H243" i="33"/>
  <c r="I243" i="33"/>
  <c r="K243" i="33"/>
  <c r="L243" i="33"/>
  <c r="M243" i="33"/>
  <c r="E244" i="33"/>
  <c r="G244" i="33"/>
  <c r="H244" i="33"/>
  <c r="I244" i="33"/>
  <c r="K244" i="33"/>
  <c r="L244" i="33"/>
  <c r="M244" i="33"/>
  <c r="E245" i="33"/>
  <c r="G245" i="33"/>
  <c r="H245" i="33"/>
  <c r="I245" i="33"/>
  <c r="K245" i="33"/>
  <c r="L245" i="33"/>
  <c r="M245" i="33"/>
  <c r="E246" i="33"/>
  <c r="G246" i="33"/>
  <c r="H246" i="33"/>
  <c r="I246" i="33"/>
  <c r="K246" i="33"/>
  <c r="L246" i="33"/>
  <c r="M246" i="33"/>
  <c r="E247" i="33"/>
  <c r="G247" i="33"/>
  <c r="H247" i="33"/>
  <c r="I247" i="33"/>
  <c r="K247" i="33"/>
  <c r="L247" i="33"/>
  <c r="M247" i="33"/>
  <c r="E248" i="33"/>
  <c r="G248" i="33"/>
  <c r="H248" i="33"/>
  <c r="I248" i="33"/>
  <c r="K248" i="33"/>
  <c r="L248" i="33"/>
  <c r="M248" i="33"/>
  <c r="E249" i="33"/>
  <c r="G249" i="33"/>
  <c r="H249" i="33"/>
  <c r="I249" i="33"/>
  <c r="K249" i="33"/>
  <c r="L249" i="33"/>
  <c r="M249" i="33"/>
  <c r="E250" i="33"/>
  <c r="G250" i="33"/>
  <c r="H250" i="33"/>
  <c r="I250" i="33"/>
  <c r="K250" i="33"/>
  <c r="L250" i="33"/>
  <c r="M250" i="33"/>
  <c r="E251" i="33"/>
  <c r="G251" i="33"/>
  <c r="H251" i="33"/>
  <c r="I251" i="33"/>
  <c r="K251" i="33"/>
  <c r="L251" i="33"/>
  <c r="M251" i="33"/>
  <c r="E252" i="33"/>
  <c r="G252" i="33"/>
  <c r="H252" i="33"/>
  <c r="I252" i="33"/>
  <c r="K252" i="33"/>
  <c r="L252" i="33"/>
  <c r="M252" i="33"/>
  <c r="E253" i="33"/>
  <c r="G253" i="33"/>
  <c r="H253" i="33"/>
  <c r="I253" i="33"/>
  <c r="K253" i="33"/>
  <c r="L253" i="33"/>
  <c r="M253" i="33"/>
  <c r="E254" i="33"/>
  <c r="G254" i="33"/>
  <c r="H254" i="33"/>
  <c r="I254" i="33"/>
  <c r="K254" i="33"/>
  <c r="L254" i="33"/>
  <c r="M254" i="33"/>
  <c r="E255" i="33"/>
  <c r="G255" i="33"/>
  <c r="H255" i="33"/>
  <c r="I255" i="33"/>
  <c r="K255" i="33"/>
  <c r="L255" i="33"/>
  <c r="M255" i="33"/>
  <c r="E256" i="33"/>
  <c r="G256" i="33"/>
  <c r="H256" i="33"/>
  <c r="I256" i="33"/>
  <c r="K256" i="33"/>
  <c r="L256" i="33"/>
  <c r="M256" i="33"/>
  <c r="E257" i="33"/>
  <c r="G257" i="33"/>
  <c r="H257" i="33"/>
  <c r="I257" i="33"/>
  <c r="K257" i="33"/>
  <c r="L257" i="33"/>
  <c r="M257" i="33"/>
  <c r="E258" i="33"/>
  <c r="G258" i="33"/>
  <c r="H258" i="33"/>
  <c r="I258" i="33"/>
  <c r="K258" i="33"/>
  <c r="L258" i="33"/>
  <c r="M258" i="33"/>
  <c r="E259" i="33"/>
  <c r="G259" i="33"/>
  <c r="H259" i="33"/>
  <c r="I259" i="33"/>
  <c r="K259" i="33"/>
  <c r="L259" i="33"/>
  <c r="M259" i="33"/>
  <c r="E260" i="33"/>
  <c r="G260" i="33"/>
  <c r="H260" i="33"/>
  <c r="I260" i="33"/>
  <c r="K260" i="33"/>
  <c r="L260" i="33"/>
  <c r="M260" i="33"/>
  <c r="E261" i="33"/>
  <c r="G261" i="33"/>
  <c r="H261" i="33"/>
  <c r="I261" i="33"/>
  <c r="K261" i="33"/>
  <c r="L261" i="33"/>
  <c r="M261" i="33"/>
  <c r="E262" i="33"/>
  <c r="G262" i="33"/>
  <c r="H262" i="33"/>
  <c r="I262" i="33"/>
  <c r="K262" i="33"/>
  <c r="L262" i="33"/>
  <c r="M262" i="33"/>
  <c r="E263" i="33"/>
  <c r="G263" i="33"/>
  <c r="H263" i="33"/>
  <c r="I263" i="33"/>
  <c r="K263" i="33"/>
  <c r="L263" i="33"/>
  <c r="M263" i="33"/>
  <c r="E264" i="33"/>
  <c r="G264" i="33"/>
  <c r="H264" i="33"/>
  <c r="I264" i="33"/>
  <c r="K264" i="33"/>
  <c r="L264" i="33"/>
  <c r="M264" i="33"/>
  <c r="E265" i="33"/>
  <c r="G265" i="33"/>
  <c r="H265" i="33"/>
  <c r="I265" i="33"/>
  <c r="K265" i="33"/>
  <c r="L265" i="33"/>
  <c r="M265" i="33"/>
  <c r="E266" i="33"/>
  <c r="G266" i="33"/>
  <c r="H266" i="33"/>
  <c r="I266" i="33"/>
  <c r="K266" i="33"/>
  <c r="L266" i="33"/>
  <c r="M266" i="33"/>
  <c r="E267" i="33"/>
  <c r="G267" i="33"/>
  <c r="H267" i="33"/>
  <c r="I267" i="33"/>
  <c r="K267" i="33"/>
  <c r="L267" i="33"/>
  <c r="M267" i="33"/>
  <c r="E268" i="33"/>
  <c r="G268" i="33"/>
  <c r="H268" i="33"/>
  <c r="I268" i="33"/>
  <c r="K268" i="33"/>
  <c r="L268" i="33"/>
  <c r="M268" i="33"/>
  <c r="E269" i="33"/>
  <c r="G269" i="33"/>
  <c r="H269" i="33"/>
  <c r="I269" i="33"/>
  <c r="K269" i="33"/>
  <c r="L269" i="33"/>
  <c r="M269" i="33"/>
  <c r="E270" i="33"/>
  <c r="G270" i="33"/>
  <c r="H270" i="33"/>
  <c r="I270" i="33"/>
  <c r="K270" i="33"/>
  <c r="L270" i="33"/>
  <c r="M270" i="33"/>
  <c r="E271" i="33"/>
  <c r="G271" i="33"/>
  <c r="H271" i="33"/>
  <c r="I271" i="33"/>
  <c r="K271" i="33"/>
  <c r="L271" i="33"/>
  <c r="M271" i="33"/>
  <c r="E272" i="33"/>
  <c r="G272" i="33"/>
  <c r="H272" i="33"/>
  <c r="I272" i="33"/>
  <c r="K272" i="33"/>
  <c r="L272" i="33"/>
  <c r="M272" i="33"/>
  <c r="E273" i="33"/>
  <c r="G273" i="33"/>
  <c r="H273" i="33"/>
  <c r="I273" i="33"/>
  <c r="K273" i="33"/>
  <c r="L273" i="33"/>
  <c r="M273" i="33"/>
  <c r="E274" i="33"/>
  <c r="G274" i="33"/>
  <c r="H274" i="33"/>
  <c r="I274" i="33"/>
  <c r="K274" i="33"/>
  <c r="L274" i="33"/>
  <c r="M274" i="33"/>
  <c r="E275" i="33"/>
  <c r="G275" i="33"/>
  <c r="H275" i="33"/>
  <c r="I275" i="33"/>
  <c r="K275" i="33"/>
  <c r="L275" i="33"/>
  <c r="M275" i="33"/>
  <c r="E276" i="33"/>
  <c r="G276" i="33"/>
  <c r="H276" i="33"/>
  <c r="I276" i="33"/>
  <c r="K276" i="33"/>
  <c r="L276" i="33"/>
  <c r="M276" i="33"/>
  <c r="E277" i="33"/>
  <c r="G277" i="33"/>
  <c r="H277" i="33"/>
  <c r="I277" i="33"/>
  <c r="K277" i="33"/>
  <c r="L277" i="33"/>
  <c r="M277" i="33"/>
  <c r="E278" i="33"/>
  <c r="G278" i="33"/>
  <c r="H278" i="33"/>
  <c r="I278" i="33"/>
  <c r="K278" i="33"/>
  <c r="L278" i="33"/>
  <c r="M278" i="33"/>
  <c r="E279" i="33"/>
  <c r="G279" i="33"/>
  <c r="H279" i="33"/>
  <c r="I279" i="33"/>
  <c r="K279" i="33"/>
  <c r="L279" i="33"/>
  <c r="M279" i="33"/>
  <c r="E280" i="33"/>
  <c r="G280" i="33"/>
  <c r="H280" i="33"/>
  <c r="I280" i="33"/>
  <c r="K280" i="33"/>
  <c r="L280" i="33"/>
  <c r="M280" i="33"/>
  <c r="E281" i="33"/>
  <c r="G281" i="33"/>
  <c r="H281" i="33"/>
  <c r="I281" i="33"/>
  <c r="K281" i="33"/>
  <c r="L281" i="33"/>
  <c r="M281" i="33"/>
  <c r="E282" i="33"/>
  <c r="G282" i="33"/>
  <c r="H282" i="33"/>
  <c r="I282" i="33"/>
  <c r="K282" i="33"/>
  <c r="L282" i="33"/>
  <c r="M282" i="33"/>
  <c r="E283" i="33"/>
  <c r="G283" i="33"/>
  <c r="H283" i="33"/>
  <c r="I283" i="33"/>
  <c r="K283" i="33"/>
  <c r="L283" i="33"/>
  <c r="M283" i="33"/>
  <c r="E284" i="33"/>
  <c r="G284" i="33"/>
  <c r="H284" i="33"/>
  <c r="I284" i="33"/>
  <c r="K284" i="33"/>
  <c r="L284" i="33"/>
  <c r="M284" i="33"/>
  <c r="E285" i="33"/>
  <c r="G285" i="33"/>
  <c r="H285" i="33"/>
  <c r="I285" i="33"/>
  <c r="K285" i="33"/>
  <c r="L285" i="33"/>
  <c r="M285" i="33"/>
  <c r="E286" i="33"/>
  <c r="G286" i="33"/>
  <c r="H286" i="33"/>
  <c r="I286" i="33"/>
  <c r="K286" i="33"/>
  <c r="L286" i="33"/>
  <c r="M286" i="33"/>
  <c r="E287" i="33"/>
  <c r="G287" i="33"/>
  <c r="H287" i="33"/>
  <c r="I287" i="33"/>
  <c r="K287" i="33"/>
  <c r="L287" i="33"/>
  <c r="M287" i="33"/>
  <c r="E288" i="33"/>
  <c r="G288" i="33"/>
  <c r="H288" i="33"/>
  <c r="I288" i="33"/>
  <c r="K288" i="33"/>
  <c r="L288" i="33"/>
  <c r="M288" i="33"/>
  <c r="E289" i="33"/>
  <c r="G289" i="33"/>
  <c r="H289" i="33"/>
  <c r="I289" i="33"/>
  <c r="K289" i="33"/>
  <c r="L289" i="33"/>
  <c r="M289" i="33"/>
  <c r="E290" i="33"/>
  <c r="G290" i="33"/>
  <c r="H290" i="33"/>
  <c r="I290" i="33"/>
  <c r="K290" i="33"/>
  <c r="L290" i="33"/>
  <c r="M290" i="33"/>
  <c r="E291" i="33"/>
  <c r="G291" i="33"/>
  <c r="H291" i="33"/>
  <c r="I291" i="33"/>
  <c r="K291" i="33"/>
  <c r="L291" i="33"/>
  <c r="M291" i="33"/>
  <c r="E292" i="33"/>
  <c r="G292" i="33"/>
  <c r="H292" i="33"/>
  <c r="I292" i="33"/>
  <c r="K292" i="33"/>
  <c r="L292" i="33"/>
  <c r="M292" i="33"/>
  <c r="E293" i="33"/>
  <c r="G293" i="33"/>
  <c r="H293" i="33"/>
  <c r="I293" i="33"/>
  <c r="K293" i="33"/>
  <c r="L293" i="33"/>
  <c r="M293" i="33"/>
  <c r="E294" i="33"/>
  <c r="G294" i="33"/>
  <c r="H294" i="33"/>
  <c r="I294" i="33"/>
  <c r="K294" i="33"/>
  <c r="L294" i="33"/>
  <c r="M294" i="33"/>
  <c r="E295" i="33"/>
  <c r="G295" i="33"/>
  <c r="H295" i="33"/>
  <c r="I295" i="33"/>
  <c r="K295" i="33"/>
  <c r="L295" i="33"/>
  <c r="M295" i="33"/>
  <c r="E296" i="33"/>
  <c r="G296" i="33"/>
  <c r="H296" i="33"/>
  <c r="I296" i="33"/>
  <c r="K296" i="33"/>
  <c r="L296" i="33"/>
  <c r="M296" i="33"/>
  <c r="E297" i="33"/>
  <c r="G297" i="33"/>
  <c r="H297" i="33"/>
  <c r="I297" i="33"/>
  <c r="K297" i="33"/>
  <c r="L297" i="33"/>
  <c r="M297" i="33"/>
  <c r="E298" i="33"/>
  <c r="G298" i="33"/>
  <c r="H298" i="33"/>
  <c r="I298" i="33"/>
  <c r="K298" i="33"/>
  <c r="L298" i="33"/>
  <c r="M298" i="33"/>
  <c r="E299" i="33"/>
  <c r="G299" i="33"/>
  <c r="H299" i="33"/>
  <c r="I299" i="33"/>
  <c r="K299" i="33"/>
  <c r="L299" i="33"/>
  <c r="M299" i="33"/>
  <c r="E300" i="33"/>
  <c r="G300" i="33"/>
  <c r="H300" i="33"/>
  <c r="I300" i="33"/>
  <c r="K300" i="33"/>
  <c r="L300" i="33"/>
  <c r="M300" i="33"/>
  <c r="E301" i="33"/>
  <c r="G301" i="33"/>
  <c r="H301" i="33"/>
  <c r="I301" i="33"/>
  <c r="K301" i="33"/>
  <c r="L301" i="33"/>
  <c r="M301" i="33"/>
  <c r="E302" i="33"/>
  <c r="G302" i="33"/>
  <c r="H302" i="33"/>
  <c r="I302" i="33"/>
  <c r="K302" i="33"/>
  <c r="L302" i="33"/>
  <c r="M302" i="33"/>
  <c r="E303" i="33"/>
  <c r="G303" i="33"/>
  <c r="H303" i="33"/>
  <c r="I303" i="33"/>
  <c r="K303" i="33"/>
  <c r="L303" i="33"/>
  <c r="M303" i="33"/>
  <c r="E304" i="33"/>
  <c r="G304" i="33"/>
  <c r="H304" i="33"/>
  <c r="I304" i="33"/>
  <c r="K304" i="33"/>
  <c r="L304" i="33"/>
  <c r="M304" i="33"/>
  <c r="E305" i="33"/>
  <c r="G305" i="33"/>
  <c r="H305" i="33"/>
  <c r="I305" i="33"/>
  <c r="K305" i="33"/>
  <c r="L305" i="33"/>
  <c r="M305" i="33"/>
  <c r="E306" i="33"/>
  <c r="G306" i="33"/>
  <c r="H306" i="33"/>
  <c r="I306" i="33"/>
  <c r="K306" i="33"/>
  <c r="L306" i="33"/>
  <c r="M306" i="33"/>
  <c r="E307" i="33"/>
  <c r="G307" i="33"/>
  <c r="H307" i="33"/>
  <c r="I307" i="33"/>
  <c r="K307" i="33"/>
  <c r="L307" i="33"/>
  <c r="M307" i="33"/>
  <c r="E308" i="33"/>
  <c r="G308" i="33"/>
  <c r="H308" i="33"/>
  <c r="I308" i="33"/>
  <c r="K308" i="33"/>
  <c r="L308" i="33"/>
  <c r="M308" i="33"/>
  <c r="E309" i="33"/>
  <c r="G309" i="33"/>
  <c r="H309" i="33"/>
  <c r="I309" i="33"/>
  <c r="K309" i="33"/>
  <c r="L309" i="33"/>
  <c r="M309" i="33"/>
  <c r="E310" i="33"/>
  <c r="G310" i="33"/>
  <c r="H310" i="33"/>
  <c r="I310" i="33"/>
  <c r="K310" i="33"/>
  <c r="L310" i="33"/>
  <c r="M310" i="33"/>
  <c r="E311" i="33"/>
  <c r="G311" i="33"/>
  <c r="H311" i="33"/>
  <c r="I311" i="33"/>
  <c r="K311" i="33"/>
  <c r="L311" i="33"/>
  <c r="M311" i="33"/>
  <c r="E312" i="33"/>
  <c r="G312" i="33"/>
  <c r="H312" i="33"/>
  <c r="I312" i="33"/>
  <c r="K312" i="33"/>
  <c r="L312" i="33"/>
  <c r="M312" i="33"/>
  <c r="E313" i="33"/>
  <c r="G313" i="33"/>
  <c r="H313" i="33"/>
  <c r="I313" i="33"/>
  <c r="K313" i="33"/>
  <c r="L313" i="33"/>
  <c r="M313" i="33"/>
  <c r="E314" i="33"/>
  <c r="G314" i="33"/>
  <c r="H314" i="33"/>
  <c r="I314" i="33"/>
  <c r="K314" i="33"/>
  <c r="L314" i="33"/>
  <c r="M314" i="33"/>
  <c r="E315" i="33"/>
  <c r="G315" i="33"/>
  <c r="H315" i="33"/>
  <c r="I315" i="33"/>
  <c r="K315" i="33"/>
  <c r="L315" i="33"/>
  <c r="M315" i="33"/>
  <c r="E316" i="33"/>
  <c r="G316" i="33"/>
  <c r="H316" i="33"/>
  <c r="I316" i="33"/>
  <c r="K316" i="33"/>
  <c r="L316" i="33"/>
  <c r="M316" i="33"/>
  <c r="E317" i="33"/>
  <c r="G317" i="33"/>
  <c r="H317" i="33"/>
  <c r="I317" i="33"/>
  <c r="K317" i="33"/>
  <c r="L317" i="33"/>
  <c r="M317" i="33"/>
  <c r="E318" i="33"/>
  <c r="G318" i="33"/>
  <c r="H318" i="33"/>
  <c r="I318" i="33"/>
  <c r="K318" i="33"/>
  <c r="L318" i="33"/>
  <c r="M318" i="33"/>
  <c r="E319" i="33"/>
  <c r="G319" i="33"/>
  <c r="H319" i="33"/>
  <c r="I319" i="33"/>
  <c r="K319" i="33"/>
  <c r="L319" i="33"/>
  <c r="M319" i="33"/>
  <c r="E320" i="33"/>
  <c r="G320" i="33"/>
  <c r="H320" i="33"/>
  <c r="I320" i="33"/>
  <c r="K320" i="33"/>
  <c r="L320" i="33"/>
  <c r="M320" i="33"/>
  <c r="E321" i="33"/>
  <c r="G321" i="33"/>
  <c r="H321" i="33"/>
  <c r="I321" i="33"/>
  <c r="K321" i="33"/>
  <c r="L321" i="33"/>
  <c r="M321" i="33"/>
  <c r="E322" i="33"/>
  <c r="G322" i="33"/>
  <c r="H322" i="33"/>
  <c r="I322" i="33"/>
  <c r="K322" i="33"/>
  <c r="L322" i="33"/>
  <c r="M322" i="33"/>
  <c r="E323" i="33"/>
  <c r="G323" i="33"/>
  <c r="H323" i="33"/>
  <c r="I323" i="33"/>
  <c r="K323" i="33"/>
  <c r="L323" i="33"/>
  <c r="M323" i="33"/>
  <c r="E324" i="33"/>
  <c r="G324" i="33"/>
  <c r="H324" i="33"/>
  <c r="I324" i="33"/>
  <c r="K324" i="33"/>
  <c r="L324" i="33"/>
  <c r="M324" i="33"/>
  <c r="E325" i="33"/>
  <c r="G325" i="33"/>
  <c r="H325" i="33"/>
  <c r="I325" i="33"/>
  <c r="K325" i="33"/>
  <c r="L325" i="33"/>
  <c r="M325" i="33"/>
  <c r="E326" i="33"/>
  <c r="G326" i="33"/>
  <c r="H326" i="33"/>
  <c r="I326" i="33"/>
  <c r="K326" i="33"/>
  <c r="L326" i="33"/>
  <c r="M326" i="33"/>
  <c r="E327" i="33"/>
  <c r="G327" i="33"/>
  <c r="H327" i="33"/>
  <c r="I327" i="33"/>
  <c r="K327" i="33"/>
  <c r="L327" i="33"/>
  <c r="M327" i="33"/>
  <c r="E328" i="33"/>
  <c r="G328" i="33"/>
  <c r="H328" i="33"/>
  <c r="I328" i="33"/>
  <c r="K328" i="33"/>
  <c r="L328" i="33"/>
  <c r="M328" i="33"/>
  <c r="E329" i="33"/>
  <c r="G329" i="33"/>
  <c r="H329" i="33"/>
  <c r="I329" i="33"/>
  <c r="K329" i="33"/>
  <c r="L329" i="33"/>
  <c r="M329" i="33"/>
  <c r="E330" i="33"/>
  <c r="G330" i="33"/>
  <c r="H330" i="33"/>
  <c r="I330" i="33"/>
  <c r="K330" i="33"/>
  <c r="L330" i="33"/>
  <c r="M330" i="33"/>
  <c r="E331" i="33"/>
  <c r="G331" i="33"/>
  <c r="H331" i="33"/>
  <c r="I331" i="33"/>
  <c r="K331" i="33"/>
  <c r="L331" i="33"/>
  <c r="M331" i="33"/>
  <c r="E332" i="33"/>
  <c r="G332" i="33"/>
  <c r="H332" i="33"/>
  <c r="I332" i="33"/>
  <c r="K332" i="33"/>
  <c r="L332" i="33"/>
  <c r="M332" i="33"/>
  <c r="E333" i="33"/>
  <c r="G333" i="33"/>
  <c r="H333" i="33"/>
  <c r="I333" i="33"/>
  <c r="K333" i="33"/>
  <c r="L333" i="33"/>
  <c r="M333" i="33"/>
  <c r="E334" i="33"/>
  <c r="G334" i="33"/>
  <c r="H334" i="33"/>
  <c r="I334" i="33"/>
  <c r="K334" i="33"/>
  <c r="L334" i="33"/>
  <c r="M334" i="33"/>
  <c r="E335" i="33"/>
  <c r="G335" i="33"/>
  <c r="H335" i="33"/>
  <c r="I335" i="33"/>
  <c r="K335" i="33"/>
  <c r="L335" i="33"/>
  <c r="M335" i="33"/>
  <c r="E336" i="33"/>
  <c r="G336" i="33"/>
  <c r="H336" i="33"/>
  <c r="I336" i="33"/>
  <c r="K336" i="33"/>
  <c r="L336" i="33"/>
  <c r="M336" i="33"/>
  <c r="E337" i="33"/>
  <c r="G337" i="33"/>
  <c r="H337" i="33"/>
  <c r="I337" i="33"/>
  <c r="K337" i="33"/>
  <c r="L337" i="33"/>
  <c r="M337" i="33"/>
  <c r="E338" i="33"/>
  <c r="G338" i="33"/>
  <c r="H338" i="33"/>
  <c r="I338" i="33"/>
  <c r="K338" i="33"/>
  <c r="L338" i="33"/>
  <c r="M338" i="33"/>
  <c r="E339" i="33"/>
  <c r="G339" i="33"/>
  <c r="H339" i="33"/>
  <c r="I339" i="33"/>
  <c r="K339" i="33"/>
  <c r="L339" i="33"/>
  <c r="M339" i="33"/>
  <c r="E340" i="33"/>
  <c r="G340" i="33"/>
  <c r="H340" i="33"/>
  <c r="I340" i="33"/>
  <c r="K340" i="33"/>
  <c r="L340" i="33"/>
  <c r="M340" i="33"/>
  <c r="E341" i="33"/>
  <c r="G341" i="33"/>
  <c r="H341" i="33"/>
  <c r="I341" i="33"/>
  <c r="K341" i="33"/>
  <c r="L341" i="33"/>
  <c r="M341" i="33"/>
  <c r="E342" i="33"/>
  <c r="G342" i="33"/>
  <c r="H342" i="33"/>
  <c r="I342" i="33"/>
  <c r="K342" i="33"/>
  <c r="L342" i="33"/>
  <c r="M342" i="33"/>
  <c r="E343" i="33"/>
  <c r="G343" i="33"/>
  <c r="H343" i="33"/>
  <c r="I343" i="33"/>
  <c r="K343" i="33"/>
  <c r="L343" i="33"/>
  <c r="M343" i="33"/>
  <c r="E344" i="33"/>
  <c r="G344" i="33"/>
  <c r="H344" i="33"/>
  <c r="I344" i="33"/>
  <c r="K344" i="33"/>
  <c r="L344" i="33"/>
  <c r="M344" i="33"/>
  <c r="E345" i="33"/>
  <c r="G345" i="33"/>
  <c r="H345" i="33"/>
  <c r="I345" i="33"/>
  <c r="K345" i="33"/>
  <c r="L345" i="33"/>
  <c r="M345" i="33"/>
  <c r="E346" i="33"/>
  <c r="G346" i="33"/>
  <c r="H346" i="33"/>
  <c r="I346" i="33"/>
  <c r="K346" i="33"/>
  <c r="L346" i="33"/>
  <c r="M346" i="33"/>
  <c r="E347" i="33"/>
  <c r="G347" i="33"/>
  <c r="H347" i="33"/>
  <c r="I347" i="33"/>
  <c r="K347" i="33"/>
  <c r="L347" i="33"/>
  <c r="M347" i="33"/>
  <c r="E348" i="33"/>
  <c r="G348" i="33"/>
  <c r="H348" i="33"/>
  <c r="I348" i="33"/>
  <c r="K348" i="33"/>
  <c r="L348" i="33"/>
  <c r="M348" i="33"/>
  <c r="E349" i="33"/>
  <c r="G349" i="33"/>
  <c r="H349" i="33"/>
  <c r="I349" i="33"/>
  <c r="K349" i="33"/>
  <c r="L349" i="33"/>
  <c r="M349" i="33"/>
  <c r="E350" i="33"/>
  <c r="G350" i="33"/>
  <c r="H350" i="33"/>
  <c r="I350" i="33"/>
  <c r="K350" i="33"/>
  <c r="L350" i="33"/>
  <c r="M350" i="33"/>
  <c r="E351" i="33"/>
  <c r="G351" i="33"/>
  <c r="H351" i="33"/>
  <c r="I351" i="33"/>
  <c r="K351" i="33"/>
  <c r="L351" i="33"/>
  <c r="M351" i="33"/>
  <c r="E352" i="33"/>
  <c r="G352" i="33"/>
  <c r="H352" i="33"/>
  <c r="I352" i="33"/>
  <c r="K352" i="33"/>
  <c r="L352" i="33"/>
  <c r="M352" i="33"/>
  <c r="E353" i="33"/>
  <c r="G353" i="33"/>
  <c r="H353" i="33"/>
  <c r="I353" i="33"/>
  <c r="K353" i="33"/>
  <c r="L353" i="33"/>
  <c r="M353" i="33"/>
  <c r="E354" i="33"/>
  <c r="G354" i="33"/>
  <c r="H354" i="33"/>
  <c r="I354" i="33"/>
  <c r="K354" i="33"/>
  <c r="L354" i="33"/>
  <c r="M354" i="33"/>
  <c r="E355" i="33"/>
  <c r="G355" i="33"/>
  <c r="H355" i="33"/>
  <c r="I355" i="33"/>
  <c r="K355" i="33"/>
  <c r="L355" i="33"/>
  <c r="M355" i="33"/>
  <c r="E356" i="33"/>
  <c r="G356" i="33"/>
  <c r="H356" i="33"/>
  <c r="I356" i="33"/>
  <c r="K356" i="33"/>
  <c r="L356" i="33"/>
  <c r="M356" i="33"/>
  <c r="E357" i="33"/>
  <c r="G357" i="33"/>
  <c r="H357" i="33"/>
  <c r="I357" i="33"/>
  <c r="K357" i="33"/>
  <c r="L357" i="33"/>
  <c r="M357" i="33"/>
  <c r="E358" i="33"/>
  <c r="G358" i="33"/>
  <c r="H358" i="33"/>
  <c r="I358" i="33"/>
  <c r="K358" i="33"/>
  <c r="L358" i="33"/>
  <c r="M358" i="33"/>
  <c r="E359" i="33"/>
  <c r="G359" i="33"/>
  <c r="H359" i="33"/>
  <c r="I359" i="33"/>
  <c r="K359" i="33"/>
  <c r="L359" i="33"/>
  <c r="M359" i="33"/>
  <c r="E360" i="33"/>
  <c r="G360" i="33"/>
  <c r="H360" i="33"/>
  <c r="I360" i="33"/>
  <c r="K360" i="33"/>
  <c r="L360" i="33"/>
  <c r="M360" i="33"/>
  <c r="E361" i="33"/>
  <c r="G361" i="33"/>
  <c r="H361" i="33"/>
  <c r="I361" i="33"/>
  <c r="K361" i="33"/>
  <c r="L361" i="33"/>
  <c r="M361" i="33"/>
  <c r="E362" i="33"/>
  <c r="G362" i="33"/>
  <c r="H362" i="33"/>
  <c r="I362" i="33"/>
  <c r="K362" i="33"/>
  <c r="L362" i="33"/>
  <c r="M362" i="33"/>
  <c r="E363" i="33"/>
  <c r="G363" i="33"/>
  <c r="H363" i="33"/>
  <c r="I363" i="33"/>
  <c r="K363" i="33"/>
  <c r="L363" i="33"/>
  <c r="M363" i="33"/>
  <c r="E364" i="33"/>
  <c r="G364" i="33"/>
  <c r="H364" i="33"/>
  <c r="I364" i="33"/>
  <c r="K364" i="33"/>
  <c r="L364" i="33"/>
  <c r="M364" i="33"/>
  <c r="E365" i="33"/>
  <c r="G365" i="33"/>
  <c r="H365" i="33"/>
  <c r="I365" i="33"/>
  <c r="K365" i="33"/>
  <c r="L365" i="33"/>
  <c r="M365" i="33"/>
  <c r="E366" i="33"/>
  <c r="G366" i="33"/>
  <c r="H366" i="33"/>
  <c r="I366" i="33"/>
  <c r="K366" i="33"/>
  <c r="L366" i="33"/>
  <c r="M366" i="33"/>
  <c r="E367" i="33"/>
  <c r="G367" i="33"/>
  <c r="H367" i="33"/>
  <c r="I367" i="33"/>
  <c r="K367" i="33"/>
  <c r="L367" i="33"/>
  <c r="M367" i="33"/>
  <c r="E368" i="33"/>
  <c r="G368" i="33"/>
  <c r="H368" i="33"/>
  <c r="I368" i="33"/>
  <c r="K368" i="33"/>
  <c r="L368" i="33"/>
  <c r="M368" i="33"/>
  <c r="E369" i="33"/>
  <c r="G369" i="33"/>
  <c r="H369" i="33"/>
  <c r="I369" i="33"/>
  <c r="K369" i="33"/>
  <c r="L369" i="33"/>
  <c r="M369" i="33"/>
  <c r="E370" i="33"/>
  <c r="G370" i="33"/>
  <c r="H370" i="33"/>
  <c r="I370" i="33"/>
  <c r="K370" i="33"/>
  <c r="L370" i="33"/>
  <c r="M370" i="33"/>
  <c r="E371" i="33"/>
  <c r="G371" i="33"/>
  <c r="H371" i="33"/>
  <c r="I371" i="33"/>
  <c r="K371" i="33"/>
  <c r="L371" i="33"/>
  <c r="M371" i="33"/>
  <c r="E372" i="33"/>
  <c r="G372" i="33"/>
  <c r="H372" i="33"/>
  <c r="I372" i="33"/>
  <c r="K372" i="33"/>
  <c r="L372" i="33"/>
  <c r="M372" i="33"/>
  <c r="E373" i="33"/>
  <c r="G373" i="33"/>
  <c r="H373" i="33"/>
  <c r="I373" i="33"/>
  <c r="K373" i="33"/>
  <c r="L373" i="33"/>
  <c r="M373" i="33"/>
  <c r="E374" i="33"/>
  <c r="G374" i="33"/>
  <c r="H374" i="33"/>
  <c r="I374" i="33"/>
  <c r="K374" i="33"/>
  <c r="L374" i="33"/>
  <c r="M374" i="33"/>
  <c r="E375" i="33"/>
  <c r="G375" i="33"/>
  <c r="H375" i="33"/>
  <c r="I375" i="33"/>
  <c r="K375" i="33"/>
  <c r="L375" i="33"/>
  <c r="M375" i="33"/>
  <c r="E376" i="33"/>
  <c r="G376" i="33"/>
  <c r="H376" i="33"/>
  <c r="I376" i="33"/>
  <c r="K376" i="33"/>
  <c r="L376" i="33"/>
  <c r="M376" i="33"/>
  <c r="E377" i="33"/>
  <c r="G377" i="33"/>
  <c r="H377" i="33"/>
  <c r="I377" i="33"/>
  <c r="K377" i="33"/>
  <c r="L377" i="33"/>
  <c r="M377" i="33"/>
  <c r="E378" i="33"/>
  <c r="G378" i="33"/>
  <c r="H378" i="33"/>
  <c r="I378" i="33"/>
  <c r="K378" i="33"/>
  <c r="L378" i="33"/>
  <c r="M378" i="33"/>
  <c r="E379" i="33"/>
  <c r="G379" i="33"/>
  <c r="H379" i="33"/>
  <c r="I379" i="33"/>
  <c r="K379" i="33"/>
  <c r="L379" i="33"/>
  <c r="M379" i="33"/>
  <c r="E380" i="33"/>
  <c r="G380" i="33"/>
  <c r="H380" i="33"/>
  <c r="I380" i="33"/>
  <c r="K380" i="33"/>
  <c r="L380" i="33"/>
  <c r="M380" i="33"/>
  <c r="E381" i="33"/>
  <c r="G381" i="33"/>
  <c r="H381" i="33"/>
  <c r="I381" i="33"/>
  <c r="K381" i="33"/>
  <c r="L381" i="33"/>
  <c r="M381" i="33"/>
  <c r="E382" i="33"/>
  <c r="G382" i="33"/>
  <c r="H382" i="33"/>
  <c r="I382" i="33"/>
  <c r="K382" i="33"/>
  <c r="L382" i="33"/>
  <c r="M382" i="33"/>
  <c r="E383" i="33"/>
  <c r="G383" i="33"/>
  <c r="H383" i="33"/>
  <c r="I383" i="33"/>
  <c r="K383" i="33"/>
  <c r="L383" i="33"/>
  <c r="M383" i="33"/>
  <c r="E384" i="33"/>
  <c r="G384" i="33"/>
  <c r="H384" i="33"/>
  <c r="I384" i="33"/>
  <c r="K384" i="33"/>
  <c r="L384" i="33"/>
  <c r="M384" i="33"/>
  <c r="E385" i="33"/>
  <c r="G385" i="33"/>
  <c r="H385" i="33"/>
  <c r="I385" i="33"/>
  <c r="K385" i="33"/>
  <c r="L385" i="33"/>
  <c r="M385" i="33"/>
  <c r="E386" i="33"/>
  <c r="G386" i="33"/>
  <c r="H386" i="33"/>
  <c r="I386" i="33"/>
  <c r="K386" i="33"/>
  <c r="L386" i="33"/>
  <c r="M386" i="33"/>
  <c r="E387" i="33"/>
  <c r="G387" i="33"/>
  <c r="H387" i="33"/>
  <c r="I387" i="33"/>
  <c r="K387" i="33"/>
  <c r="L387" i="33"/>
  <c r="M387" i="33"/>
  <c r="E388" i="33"/>
  <c r="G388" i="33"/>
  <c r="H388" i="33"/>
  <c r="I388" i="33"/>
  <c r="K388" i="33"/>
  <c r="L388" i="33"/>
  <c r="M388" i="33"/>
  <c r="E389" i="33"/>
  <c r="G389" i="33"/>
  <c r="H389" i="33"/>
  <c r="I389" i="33"/>
  <c r="K389" i="33"/>
  <c r="L389" i="33"/>
  <c r="M389" i="33"/>
  <c r="E390" i="33"/>
  <c r="G390" i="33"/>
  <c r="H390" i="33"/>
  <c r="I390" i="33"/>
  <c r="K390" i="33"/>
  <c r="L390" i="33"/>
  <c r="M390" i="33"/>
  <c r="E391" i="33"/>
  <c r="G391" i="33"/>
  <c r="H391" i="33"/>
  <c r="I391" i="33"/>
  <c r="K391" i="33"/>
  <c r="L391" i="33"/>
  <c r="M391" i="33"/>
  <c r="E392" i="33"/>
  <c r="G392" i="33"/>
  <c r="H392" i="33"/>
  <c r="I392" i="33"/>
  <c r="K392" i="33"/>
  <c r="L392" i="33"/>
  <c r="M392" i="33"/>
  <c r="E393" i="33"/>
  <c r="G393" i="33"/>
  <c r="H393" i="33"/>
  <c r="I393" i="33"/>
  <c r="K393" i="33"/>
  <c r="L393" i="33"/>
  <c r="M393" i="33"/>
  <c r="E394" i="33"/>
  <c r="G394" i="33"/>
  <c r="H394" i="33"/>
  <c r="I394" i="33"/>
  <c r="K394" i="33"/>
  <c r="L394" i="33"/>
  <c r="M394" i="33"/>
  <c r="E395" i="33"/>
  <c r="G395" i="33"/>
  <c r="H395" i="33"/>
  <c r="I395" i="33"/>
  <c r="K395" i="33"/>
  <c r="L395" i="33"/>
  <c r="M395" i="33"/>
  <c r="E396" i="33"/>
  <c r="G396" i="33"/>
  <c r="H396" i="33"/>
  <c r="I396" i="33"/>
  <c r="K396" i="33"/>
  <c r="L396" i="33"/>
  <c r="M396" i="33"/>
  <c r="E397" i="33"/>
  <c r="G397" i="33"/>
  <c r="H397" i="33"/>
  <c r="I397" i="33"/>
  <c r="K397" i="33"/>
  <c r="L397" i="33"/>
  <c r="M397" i="33"/>
  <c r="E398" i="33"/>
  <c r="G398" i="33"/>
  <c r="H398" i="33"/>
  <c r="I398" i="33"/>
  <c r="K398" i="33"/>
  <c r="L398" i="33"/>
  <c r="M398" i="33"/>
  <c r="E399" i="33"/>
  <c r="G399" i="33"/>
  <c r="H399" i="33"/>
  <c r="I399" i="33"/>
  <c r="K399" i="33"/>
  <c r="L399" i="33"/>
  <c r="M399" i="33"/>
  <c r="E400" i="33"/>
  <c r="G400" i="33"/>
  <c r="H400" i="33"/>
  <c r="I400" i="33"/>
  <c r="K400" i="33"/>
  <c r="L400" i="33"/>
  <c r="M400" i="33"/>
  <c r="E401" i="33"/>
  <c r="G401" i="33"/>
  <c r="H401" i="33"/>
  <c r="I401" i="33"/>
  <c r="K401" i="33"/>
  <c r="L401" i="33"/>
  <c r="M401" i="33"/>
  <c r="E402" i="33"/>
  <c r="G402" i="33"/>
  <c r="H402" i="33"/>
  <c r="I402" i="33"/>
  <c r="K402" i="33"/>
  <c r="L402" i="33"/>
  <c r="M402" i="33"/>
  <c r="E403" i="33"/>
  <c r="G403" i="33"/>
  <c r="H403" i="33"/>
  <c r="I403" i="33"/>
  <c r="K403" i="33"/>
  <c r="L403" i="33"/>
  <c r="M403" i="33"/>
  <c r="E404" i="33"/>
  <c r="G404" i="33"/>
  <c r="H404" i="33"/>
  <c r="I404" i="33"/>
  <c r="K404" i="33"/>
  <c r="L404" i="33"/>
  <c r="M404" i="33"/>
  <c r="E405" i="33"/>
  <c r="G405" i="33"/>
  <c r="H405" i="33"/>
  <c r="I405" i="33"/>
  <c r="K405" i="33"/>
  <c r="L405" i="33"/>
  <c r="M405" i="33"/>
  <c r="E406" i="33"/>
  <c r="G406" i="33"/>
  <c r="H406" i="33"/>
  <c r="I406" i="33"/>
  <c r="K406" i="33"/>
  <c r="L406" i="33"/>
  <c r="M406" i="33"/>
  <c r="E407" i="33"/>
  <c r="G407" i="33"/>
  <c r="H407" i="33"/>
  <c r="I407" i="33"/>
  <c r="K407" i="33"/>
  <c r="L407" i="33"/>
  <c r="M407" i="33"/>
  <c r="E408" i="33"/>
  <c r="G408" i="33"/>
  <c r="H408" i="33"/>
  <c r="I408" i="33"/>
  <c r="K408" i="33"/>
  <c r="L408" i="33"/>
  <c r="M408" i="33"/>
  <c r="E409" i="33"/>
  <c r="G409" i="33"/>
  <c r="H409" i="33"/>
  <c r="I409" i="33"/>
  <c r="K409" i="33"/>
  <c r="L409" i="33"/>
  <c r="M409" i="33"/>
  <c r="E410" i="33"/>
  <c r="G410" i="33"/>
  <c r="H410" i="33"/>
  <c r="I410" i="33"/>
  <c r="K410" i="33"/>
  <c r="L410" i="33"/>
  <c r="M410" i="33"/>
  <c r="E411" i="33"/>
  <c r="G411" i="33"/>
  <c r="H411" i="33"/>
  <c r="I411" i="33"/>
  <c r="K411" i="33"/>
  <c r="L411" i="33"/>
  <c r="M411" i="33"/>
  <c r="E412" i="33"/>
  <c r="G412" i="33"/>
  <c r="H412" i="33"/>
  <c r="I412" i="33"/>
  <c r="K412" i="33"/>
  <c r="L412" i="33"/>
  <c r="M412" i="33"/>
  <c r="E413" i="33"/>
  <c r="G413" i="33"/>
  <c r="H413" i="33"/>
  <c r="I413" i="33"/>
  <c r="K413" i="33"/>
  <c r="L413" i="33"/>
  <c r="M413" i="33"/>
  <c r="E414" i="33"/>
  <c r="G414" i="33"/>
  <c r="H414" i="33"/>
  <c r="I414" i="33"/>
  <c r="K414" i="33"/>
  <c r="L414" i="33"/>
  <c r="M414" i="33"/>
  <c r="E415" i="33"/>
  <c r="G415" i="33"/>
  <c r="H415" i="33"/>
  <c r="I415" i="33"/>
  <c r="K415" i="33"/>
  <c r="L415" i="33"/>
  <c r="M415" i="33"/>
  <c r="E416" i="33"/>
  <c r="G416" i="33"/>
  <c r="H416" i="33"/>
  <c r="I416" i="33"/>
  <c r="K416" i="33"/>
  <c r="L416" i="33"/>
  <c r="M416" i="33"/>
  <c r="E417" i="33"/>
  <c r="G417" i="33"/>
  <c r="H417" i="33"/>
  <c r="I417" i="33"/>
  <c r="K417" i="33"/>
  <c r="L417" i="33"/>
  <c r="M417" i="33"/>
  <c r="E418" i="33"/>
  <c r="G418" i="33"/>
  <c r="H418" i="33"/>
  <c r="I418" i="33"/>
  <c r="K418" i="33"/>
  <c r="L418" i="33"/>
  <c r="M418" i="33"/>
  <c r="E419" i="33"/>
  <c r="G419" i="33"/>
  <c r="H419" i="33"/>
  <c r="I419" i="33"/>
  <c r="K419" i="33"/>
  <c r="L419" i="33"/>
  <c r="M419" i="33"/>
  <c r="E420" i="33"/>
  <c r="G420" i="33"/>
  <c r="H420" i="33"/>
  <c r="I420" i="33"/>
  <c r="K420" i="33"/>
  <c r="L420" i="33"/>
  <c r="M420" i="33"/>
  <c r="E421" i="33"/>
  <c r="G421" i="33"/>
  <c r="H421" i="33"/>
  <c r="I421" i="33"/>
  <c r="K421" i="33"/>
  <c r="L421" i="33"/>
  <c r="M421" i="33"/>
  <c r="E422" i="33"/>
  <c r="G422" i="33"/>
  <c r="H422" i="33"/>
  <c r="I422" i="33"/>
  <c r="K422" i="33"/>
  <c r="L422" i="33"/>
  <c r="M422" i="33"/>
  <c r="E423" i="33"/>
  <c r="G423" i="33"/>
  <c r="H423" i="33"/>
  <c r="I423" i="33"/>
  <c r="K423" i="33"/>
  <c r="L423" i="33"/>
  <c r="M423" i="33"/>
  <c r="E424" i="33"/>
  <c r="G424" i="33"/>
  <c r="H424" i="33"/>
  <c r="I424" i="33"/>
  <c r="K424" i="33"/>
  <c r="L424" i="33"/>
  <c r="M424" i="33"/>
  <c r="E425" i="33"/>
  <c r="G425" i="33"/>
  <c r="H425" i="33"/>
  <c r="I425" i="33"/>
  <c r="K425" i="33"/>
  <c r="L425" i="33"/>
  <c r="M425" i="33"/>
  <c r="E426" i="33"/>
  <c r="G426" i="33"/>
  <c r="H426" i="33"/>
  <c r="I426" i="33"/>
  <c r="K426" i="33"/>
  <c r="L426" i="33"/>
  <c r="M426" i="33"/>
  <c r="E427" i="33"/>
  <c r="G427" i="33"/>
  <c r="H427" i="33"/>
  <c r="I427" i="33"/>
  <c r="K427" i="33"/>
  <c r="L427" i="33"/>
  <c r="M427" i="33"/>
  <c r="E428" i="33"/>
  <c r="G428" i="33"/>
  <c r="H428" i="33"/>
  <c r="I428" i="33"/>
  <c r="K428" i="33"/>
  <c r="L428" i="33"/>
  <c r="M428" i="33"/>
  <c r="E429" i="33"/>
  <c r="G429" i="33"/>
  <c r="H429" i="33"/>
  <c r="I429" i="33"/>
  <c r="K429" i="33"/>
  <c r="L429" i="33"/>
  <c r="M429" i="33"/>
  <c r="E430" i="33"/>
  <c r="G430" i="33"/>
  <c r="H430" i="33"/>
  <c r="I430" i="33"/>
  <c r="K430" i="33"/>
  <c r="L430" i="33"/>
  <c r="M430" i="33"/>
  <c r="E431" i="33"/>
  <c r="G431" i="33"/>
  <c r="H431" i="33"/>
  <c r="I431" i="33"/>
  <c r="K431" i="33"/>
  <c r="L431" i="33"/>
  <c r="M431" i="33"/>
  <c r="E432" i="33"/>
  <c r="G432" i="33"/>
  <c r="H432" i="33"/>
  <c r="I432" i="33"/>
  <c r="K432" i="33"/>
  <c r="L432" i="33"/>
  <c r="M432" i="33"/>
  <c r="E433" i="33"/>
  <c r="G433" i="33"/>
  <c r="H433" i="33"/>
  <c r="I433" i="33"/>
  <c r="K433" i="33"/>
  <c r="L433" i="33"/>
  <c r="M433" i="33"/>
  <c r="E434" i="33"/>
  <c r="G434" i="33"/>
  <c r="H434" i="33"/>
  <c r="I434" i="33"/>
  <c r="K434" i="33"/>
  <c r="L434" i="33"/>
  <c r="M434" i="33"/>
  <c r="E435" i="33"/>
  <c r="G435" i="33"/>
  <c r="H435" i="33"/>
  <c r="I435" i="33"/>
  <c r="K435" i="33"/>
  <c r="L435" i="33"/>
  <c r="M435" i="33"/>
  <c r="E436" i="33"/>
  <c r="G436" i="33"/>
  <c r="H436" i="33"/>
  <c r="I436" i="33"/>
  <c r="K436" i="33"/>
  <c r="L436" i="33"/>
  <c r="M436" i="33"/>
  <c r="E437" i="33"/>
  <c r="G437" i="33"/>
  <c r="H437" i="33"/>
  <c r="I437" i="33"/>
  <c r="K437" i="33"/>
  <c r="L437" i="33"/>
  <c r="M437" i="33"/>
  <c r="E438" i="33"/>
  <c r="G438" i="33"/>
  <c r="H438" i="33"/>
  <c r="I438" i="33"/>
  <c r="K438" i="33"/>
  <c r="L438" i="33"/>
  <c r="M438" i="33"/>
  <c r="E439" i="33"/>
  <c r="G439" i="33"/>
  <c r="H439" i="33"/>
  <c r="I439" i="33"/>
  <c r="K439" i="33"/>
  <c r="L439" i="33"/>
  <c r="M439" i="33"/>
  <c r="E440" i="33"/>
  <c r="G440" i="33"/>
  <c r="H440" i="33"/>
  <c r="I440" i="33"/>
  <c r="K440" i="33"/>
  <c r="L440" i="33"/>
  <c r="M440" i="33"/>
  <c r="E441" i="33"/>
  <c r="G441" i="33"/>
  <c r="H441" i="33"/>
  <c r="I441" i="33"/>
  <c r="K441" i="33"/>
  <c r="L441" i="33"/>
  <c r="M441" i="33"/>
  <c r="E442" i="33"/>
  <c r="G442" i="33"/>
  <c r="H442" i="33"/>
  <c r="I442" i="33"/>
  <c r="K442" i="33"/>
  <c r="L442" i="33"/>
  <c r="M442" i="33"/>
  <c r="E443" i="33"/>
  <c r="G443" i="33"/>
  <c r="H443" i="33"/>
  <c r="I443" i="33"/>
  <c r="K443" i="33"/>
  <c r="L443" i="33"/>
  <c r="M443" i="33"/>
  <c r="E444" i="33"/>
  <c r="G444" i="33"/>
  <c r="H444" i="33"/>
  <c r="I444" i="33"/>
  <c r="K444" i="33"/>
  <c r="L444" i="33"/>
  <c r="M444" i="33"/>
  <c r="E445" i="33"/>
  <c r="G445" i="33"/>
  <c r="H445" i="33"/>
  <c r="I445" i="33"/>
  <c r="K445" i="33"/>
  <c r="L445" i="33"/>
  <c r="M445" i="33"/>
  <c r="E446" i="33"/>
  <c r="G446" i="33"/>
  <c r="H446" i="33"/>
  <c r="I446" i="33"/>
  <c r="K446" i="33"/>
  <c r="L446" i="33"/>
  <c r="M446" i="33"/>
  <c r="E447" i="33"/>
  <c r="G447" i="33"/>
  <c r="H447" i="33"/>
  <c r="I447" i="33"/>
  <c r="K447" i="33"/>
  <c r="L447" i="33"/>
  <c r="M447" i="33"/>
  <c r="E448" i="33"/>
  <c r="G448" i="33"/>
  <c r="H448" i="33"/>
  <c r="I448" i="33"/>
  <c r="K448" i="33"/>
  <c r="L448" i="33"/>
  <c r="M448" i="33"/>
  <c r="E449" i="33"/>
  <c r="G449" i="33"/>
  <c r="H449" i="33"/>
  <c r="I449" i="33"/>
  <c r="K449" i="33"/>
  <c r="L449" i="33"/>
  <c r="M449" i="33"/>
  <c r="E450" i="33"/>
  <c r="G450" i="33"/>
  <c r="H450" i="33"/>
  <c r="I450" i="33"/>
  <c r="K450" i="33"/>
  <c r="L450" i="33"/>
  <c r="M450" i="33"/>
  <c r="E451" i="33"/>
  <c r="G451" i="33"/>
  <c r="H451" i="33"/>
  <c r="I451" i="33"/>
  <c r="K451" i="33"/>
  <c r="L451" i="33"/>
  <c r="M451" i="33"/>
  <c r="E452" i="33"/>
  <c r="G452" i="33"/>
  <c r="H452" i="33"/>
  <c r="I452" i="33"/>
  <c r="K452" i="33"/>
  <c r="L452" i="33"/>
  <c r="M452" i="33"/>
  <c r="E453" i="33"/>
  <c r="G453" i="33"/>
  <c r="H453" i="33"/>
  <c r="I453" i="33"/>
  <c r="K453" i="33"/>
  <c r="L453" i="33"/>
  <c r="M453" i="33"/>
  <c r="E454" i="33"/>
  <c r="G454" i="33"/>
  <c r="H454" i="33"/>
  <c r="I454" i="33"/>
  <c r="K454" i="33"/>
  <c r="L454" i="33"/>
  <c r="M454" i="33"/>
  <c r="E455" i="33"/>
  <c r="G455" i="33"/>
  <c r="H455" i="33"/>
  <c r="I455" i="33"/>
  <c r="K455" i="33"/>
  <c r="L455" i="33"/>
  <c r="M455" i="33"/>
  <c r="E456" i="33"/>
  <c r="G456" i="33"/>
  <c r="H456" i="33"/>
  <c r="I456" i="33"/>
  <c r="K456" i="33"/>
  <c r="L456" i="33"/>
  <c r="M456" i="33"/>
  <c r="E457" i="33"/>
  <c r="G457" i="33"/>
  <c r="H457" i="33"/>
  <c r="I457" i="33"/>
  <c r="K457" i="33"/>
  <c r="L457" i="33"/>
  <c r="M457" i="33"/>
  <c r="E458" i="33"/>
  <c r="G458" i="33"/>
  <c r="H458" i="33"/>
  <c r="I458" i="33"/>
  <c r="K458" i="33"/>
  <c r="L458" i="33"/>
  <c r="M458" i="33"/>
  <c r="E459" i="33"/>
  <c r="G459" i="33"/>
  <c r="H459" i="33"/>
  <c r="I459" i="33"/>
  <c r="K459" i="33"/>
  <c r="L459" i="33"/>
  <c r="M459" i="33"/>
  <c r="E460" i="33"/>
  <c r="G460" i="33"/>
  <c r="H460" i="33"/>
  <c r="I460" i="33"/>
  <c r="K460" i="33"/>
  <c r="L460" i="33"/>
  <c r="M460" i="33"/>
  <c r="E461" i="33"/>
  <c r="G461" i="33"/>
  <c r="H461" i="33"/>
  <c r="I461" i="33"/>
  <c r="K461" i="33"/>
  <c r="L461" i="33"/>
  <c r="M461" i="33"/>
  <c r="E462" i="33"/>
  <c r="G462" i="33"/>
  <c r="H462" i="33"/>
  <c r="I462" i="33"/>
  <c r="K462" i="33"/>
  <c r="L462" i="33"/>
  <c r="M462" i="33"/>
  <c r="E463" i="33"/>
  <c r="G463" i="33"/>
  <c r="H463" i="33"/>
  <c r="I463" i="33"/>
  <c r="K463" i="33"/>
  <c r="L463" i="33"/>
  <c r="M463" i="33"/>
  <c r="E464" i="33"/>
  <c r="G464" i="33"/>
  <c r="H464" i="33"/>
  <c r="I464" i="33"/>
  <c r="K464" i="33"/>
  <c r="L464" i="33"/>
  <c r="M464" i="33"/>
  <c r="E465" i="33"/>
  <c r="G465" i="33"/>
  <c r="H465" i="33"/>
  <c r="I465" i="33"/>
  <c r="K465" i="33"/>
  <c r="L465" i="33"/>
  <c r="M465" i="33"/>
  <c r="E466" i="33"/>
  <c r="G466" i="33"/>
  <c r="H466" i="33"/>
  <c r="I466" i="33"/>
  <c r="K466" i="33"/>
  <c r="L466" i="33"/>
  <c r="M466" i="33"/>
  <c r="E467" i="33"/>
  <c r="G467" i="33"/>
  <c r="H467" i="33"/>
  <c r="I467" i="33"/>
  <c r="K467" i="33"/>
  <c r="L467" i="33"/>
  <c r="M467" i="33"/>
  <c r="E468" i="33"/>
  <c r="G468" i="33"/>
  <c r="H468" i="33"/>
  <c r="I468" i="33"/>
  <c r="K468" i="33"/>
  <c r="L468" i="33"/>
  <c r="M468" i="33"/>
  <c r="E469" i="33"/>
  <c r="G469" i="33"/>
  <c r="H469" i="33"/>
  <c r="I469" i="33"/>
  <c r="K469" i="33"/>
  <c r="L469" i="33"/>
  <c r="M469" i="33"/>
  <c r="E470" i="33"/>
  <c r="G470" i="33"/>
  <c r="H470" i="33"/>
  <c r="I470" i="33"/>
  <c r="K470" i="33"/>
  <c r="L470" i="33"/>
  <c r="M470" i="33"/>
  <c r="E471" i="33"/>
  <c r="G471" i="33"/>
  <c r="H471" i="33"/>
  <c r="I471" i="33"/>
  <c r="K471" i="33"/>
  <c r="L471" i="33"/>
  <c r="M471" i="33"/>
  <c r="E472" i="33"/>
  <c r="G472" i="33"/>
  <c r="H472" i="33"/>
  <c r="I472" i="33"/>
  <c r="K472" i="33"/>
  <c r="L472" i="33"/>
  <c r="M472" i="33"/>
  <c r="E473" i="33"/>
  <c r="G473" i="33"/>
  <c r="H473" i="33"/>
  <c r="I473" i="33"/>
  <c r="K473" i="33"/>
  <c r="L473" i="33"/>
  <c r="M473" i="33"/>
  <c r="E474" i="33"/>
  <c r="G474" i="33"/>
  <c r="H474" i="33"/>
  <c r="I474" i="33"/>
  <c r="K474" i="33"/>
  <c r="L474" i="33"/>
  <c r="M474" i="33"/>
  <c r="E475" i="33"/>
  <c r="G475" i="33"/>
  <c r="H475" i="33"/>
  <c r="I475" i="33"/>
  <c r="K475" i="33"/>
  <c r="L475" i="33"/>
  <c r="M475" i="33"/>
  <c r="E476" i="33"/>
  <c r="G476" i="33"/>
  <c r="H476" i="33"/>
  <c r="I476" i="33"/>
  <c r="K476" i="33"/>
  <c r="L476" i="33"/>
  <c r="M476" i="33"/>
  <c r="E477" i="33"/>
  <c r="G477" i="33"/>
  <c r="H477" i="33"/>
  <c r="I477" i="33"/>
  <c r="K477" i="33"/>
  <c r="L477" i="33"/>
  <c r="M477" i="33"/>
  <c r="E478" i="33"/>
  <c r="G478" i="33"/>
  <c r="H478" i="33"/>
  <c r="I478" i="33"/>
  <c r="K478" i="33"/>
  <c r="L478" i="33"/>
  <c r="M478" i="33"/>
  <c r="E479" i="33"/>
  <c r="G479" i="33"/>
  <c r="H479" i="33"/>
  <c r="I479" i="33"/>
  <c r="K479" i="33"/>
  <c r="L479" i="33"/>
  <c r="M479" i="33"/>
  <c r="E480" i="33"/>
  <c r="G480" i="33"/>
  <c r="H480" i="33"/>
  <c r="I480" i="33"/>
  <c r="K480" i="33"/>
  <c r="L480" i="33"/>
  <c r="M480" i="33"/>
  <c r="E481" i="33"/>
  <c r="G481" i="33"/>
  <c r="H481" i="33"/>
  <c r="I481" i="33"/>
  <c r="K481" i="33"/>
  <c r="L481" i="33"/>
  <c r="M481" i="33"/>
  <c r="E482" i="33"/>
  <c r="G482" i="33"/>
  <c r="H482" i="33"/>
  <c r="I482" i="33"/>
  <c r="K482" i="33"/>
  <c r="L482" i="33"/>
  <c r="M482" i="33"/>
  <c r="E483" i="33"/>
  <c r="G483" i="33"/>
  <c r="H483" i="33"/>
  <c r="I483" i="33"/>
  <c r="K483" i="33"/>
  <c r="L483" i="33"/>
  <c r="M483" i="33"/>
  <c r="E484" i="33"/>
  <c r="G484" i="33"/>
  <c r="H484" i="33"/>
  <c r="I484" i="33"/>
  <c r="K484" i="33"/>
  <c r="L484" i="33"/>
  <c r="M484" i="33"/>
  <c r="E485" i="33"/>
  <c r="G485" i="33"/>
  <c r="H485" i="33"/>
  <c r="I485" i="33"/>
  <c r="K485" i="33"/>
  <c r="L485" i="33"/>
  <c r="M485" i="33"/>
  <c r="E486" i="33"/>
  <c r="G486" i="33"/>
  <c r="H486" i="33"/>
  <c r="I486" i="33"/>
  <c r="K486" i="33"/>
  <c r="L486" i="33"/>
  <c r="M486" i="33"/>
  <c r="E487" i="33"/>
  <c r="G487" i="33"/>
  <c r="H487" i="33"/>
  <c r="I487" i="33"/>
  <c r="K487" i="33"/>
  <c r="L487" i="33"/>
  <c r="M487" i="33"/>
  <c r="E488" i="33"/>
  <c r="G488" i="33"/>
  <c r="H488" i="33"/>
  <c r="I488" i="33"/>
  <c r="K488" i="33"/>
  <c r="L488" i="33"/>
  <c r="M488" i="33"/>
  <c r="E489" i="33"/>
  <c r="G489" i="33"/>
  <c r="H489" i="33"/>
  <c r="I489" i="33"/>
  <c r="K489" i="33"/>
  <c r="L489" i="33"/>
  <c r="M489" i="33"/>
  <c r="E490" i="33"/>
  <c r="G490" i="33"/>
  <c r="H490" i="33"/>
  <c r="I490" i="33"/>
  <c r="K490" i="33"/>
  <c r="L490" i="33"/>
  <c r="M490" i="33"/>
  <c r="E491" i="33"/>
  <c r="G491" i="33"/>
  <c r="H491" i="33"/>
  <c r="I491" i="33"/>
  <c r="K491" i="33"/>
  <c r="L491" i="33"/>
  <c r="M491" i="33"/>
  <c r="E492" i="33"/>
  <c r="G492" i="33"/>
  <c r="H492" i="33"/>
  <c r="I492" i="33"/>
  <c r="K492" i="33"/>
  <c r="L492" i="33"/>
  <c r="M492" i="33"/>
  <c r="E493" i="33"/>
  <c r="G493" i="33"/>
  <c r="H493" i="33"/>
  <c r="I493" i="33"/>
  <c r="K493" i="33"/>
  <c r="L493" i="33"/>
  <c r="M493" i="33"/>
  <c r="E494" i="33"/>
  <c r="G494" i="33"/>
  <c r="H494" i="33"/>
  <c r="I494" i="33"/>
  <c r="K494" i="33"/>
  <c r="L494" i="33"/>
  <c r="M494" i="33"/>
  <c r="E495" i="33"/>
  <c r="G495" i="33"/>
  <c r="H495" i="33"/>
  <c r="I495" i="33"/>
  <c r="K495" i="33"/>
  <c r="L495" i="33"/>
  <c r="M495" i="33"/>
  <c r="E496" i="33"/>
  <c r="G496" i="33"/>
  <c r="H496" i="33"/>
  <c r="I496" i="33"/>
  <c r="K496" i="33"/>
  <c r="L496" i="33"/>
  <c r="M496" i="33"/>
  <c r="E497" i="33"/>
  <c r="G497" i="33"/>
  <c r="H497" i="33"/>
  <c r="I497" i="33"/>
  <c r="K497" i="33"/>
  <c r="L497" i="33"/>
  <c r="M497" i="33"/>
  <c r="E498" i="33"/>
  <c r="G498" i="33"/>
  <c r="H498" i="33"/>
  <c r="I498" i="33"/>
  <c r="K498" i="33"/>
  <c r="L498" i="33"/>
  <c r="M498" i="33"/>
  <c r="E499" i="33"/>
  <c r="G499" i="33"/>
  <c r="H499" i="33"/>
  <c r="I499" i="33"/>
  <c r="K499" i="33"/>
  <c r="L499" i="33"/>
  <c r="M499" i="33"/>
  <c r="E500" i="33"/>
  <c r="G500" i="33"/>
  <c r="H500" i="33"/>
  <c r="I500" i="33"/>
  <c r="K500" i="33"/>
  <c r="L500" i="33"/>
  <c r="M500" i="33"/>
  <c r="B167" i="33"/>
  <c r="B168" i="33"/>
  <c r="B169" i="33"/>
  <c r="B170" i="33"/>
  <c r="B171" i="33"/>
  <c r="B172" i="33"/>
  <c r="B173" i="33"/>
  <c r="B174" i="33"/>
  <c r="B175" i="33"/>
  <c r="B176" i="33"/>
  <c r="B177" i="33"/>
  <c r="B178" i="33"/>
  <c r="B179" i="33"/>
  <c r="B180" i="33"/>
  <c r="B181" i="33"/>
  <c r="B182" i="33"/>
  <c r="B183" i="33"/>
  <c r="B184" i="33"/>
  <c r="B185" i="33"/>
  <c r="B186" i="33"/>
  <c r="B187" i="33"/>
  <c r="B188" i="33"/>
  <c r="B189" i="33"/>
  <c r="B190" i="33"/>
  <c r="B191" i="33"/>
  <c r="B192" i="33"/>
  <c r="B193" i="33"/>
  <c r="B194" i="33"/>
  <c r="B195" i="33"/>
  <c r="B196" i="33"/>
  <c r="B197" i="33"/>
  <c r="B198" i="33"/>
  <c r="B199" i="33"/>
  <c r="B200" i="33"/>
  <c r="B201" i="33"/>
  <c r="B202" i="33"/>
  <c r="B203" i="33"/>
  <c r="B204" i="33"/>
  <c r="B205" i="33"/>
  <c r="B206" i="33"/>
  <c r="B207" i="33"/>
  <c r="B208" i="33"/>
  <c r="B209" i="33"/>
  <c r="B210" i="33"/>
  <c r="B211" i="33"/>
  <c r="B212" i="33"/>
  <c r="B213" i="33"/>
  <c r="B214" i="33"/>
  <c r="B215" i="33"/>
  <c r="B216" i="33"/>
  <c r="B217" i="33"/>
  <c r="B218" i="33"/>
  <c r="B219" i="33"/>
  <c r="B220" i="33"/>
  <c r="B221" i="33"/>
  <c r="B222" i="33"/>
  <c r="B223" i="33"/>
  <c r="B224" i="33"/>
  <c r="B225" i="33"/>
  <c r="B226" i="33"/>
  <c r="B227" i="33"/>
  <c r="B228" i="33"/>
  <c r="B229" i="33"/>
  <c r="B230" i="33"/>
  <c r="B231" i="33"/>
  <c r="B232" i="33"/>
  <c r="B233" i="33"/>
  <c r="B234" i="33"/>
  <c r="B235" i="33"/>
  <c r="B236" i="33"/>
  <c r="B237" i="33"/>
  <c r="B238" i="33"/>
  <c r="B239" i="33"/>
  <c r="B240" i="33"/>
  <c r="B241" i="33"/>
  <c r="B242" i="33"/>
  <c r="B243" i="33"/>
  <c r="B244" i="33"/>
  <c r="B245" i="33"/>
  <c r="B246" i="33"/>
  <c r="B247" i="33"/>
  <c r="B248" i="33"/>
  <c r="B249" i="33"/>
  <c r="B250" i="33"/>
  <c r="B251" i="33"/>
  <c r="B252" i="33"/>
  <c r="B253" i="33"/>
  <c r="B254" i="33"/>
  <c r="B255" i="33"/>
  <c r="B256" i="33"/>
  <c r="B257" i="33"/>
  <c r="B258" i="33"/>
  <c r="B259" i="33"/>
  <c r="B260" i="33"/>
  <c r="B261" i="33"/>
  <c r="B262" i="33"/>
  <c r="B263" i="33"/>
  <c r="B264" i="33"/>
  <c r="B265" i="33"/>
  <c r="B266" i="33"/>
  <c r="B267" i="33"/>
  <c r="B268" i="33"/>
  <c r="B269" i="33"/>
  <c r="B270" i="33"/>
  <c r="B271" i="33"/>
  <c r="B272" i="33"/>
  <c r="B273" i="33"/>
  <c r="B274" i="33"/>
  <c r="B275" i="33"/>
  <c r="B276" i="33"/>
  <c r="B277" i="33"/>
  <c r="B278" i="33"/>
  <c r="B279" i="33"/>
  <c r="B280" i="33"/>
  <c r="B281" i="33"/>
  <c r="B282" i="33"/>
  <c r="B283" i="33"/>
  <c r="B284" i="33"/>
  <c r="B285" i="33"/>
  <c r="B286" i="33"/>
  <c r="B287" i="33"/>
  <c r="B288" i="33"/>
  <c r="B289" i="33"/>
  <c r="B290" i="33"/>
  <c r="B291" i="33"/>
  <c r="B292" i="33"/>
  <c r="B293" i="33"/>
  <c r="B294" i="33"/>
  <c r="B295" i="33"/>
  <c r="B296" i="33"/>
  <c r="B297" i="33"/>
  <c r="B298" i="33"/>
  <c r="B299" i="33"/>
  <c r="B300" i="33"/>
  <c r="B301" i="33"/>
  <c r="B302" i="33"/>
  <c r="B303" i="33"/>
  <c r="B304" i="33"/>
  <c r="B305" i="33"/>
  <c r="B306" i="33"/>
  <c r="B307" i="33"/>
  <c r="B308" i="33"/>
  <c r="B309" i="33"/>
  <c r="B310" i="33"/>
  <c r="B311" i="33"/>
  <c r="B312" i="33"/>
  <c r="B313" i="33"/>
  <c r="B314" i="33"/>
  <c r="B315" i="33"/>
  <c r="B316" i="33"/>
  <c r="B317" i="33"/>
  <c r="B318" i="33"/>
  <c r="B319" i="33"/>
  <c r="B320" i="33"/>
  <c r="B321" i="33"/>
  <c r="B322" i="33"/>
  <c r="B323" i="33"/>
  <c r="B324" i="33"/>
  <c r="B325" i="33"/>
  <c r="B326" i="33"/>
  <c r="B327" i="33"/>
  <c r="B328" i="33"/>
  <c r="B329" i="33"/>
  <c r="B330" i="33"/>
  <c r="B331" i="33"/>
  <c r="B332" i="33"/>
  <c r="B333" i="33"/>
  <c r="B334" i="33"/>
  <c r="B335" i="33"/>
  <c r="B336" i="33"/>
  <c r="B337" i="33"/>
  <c r="B338" i="33"/>
  <c r="B339" i="33"/>
  <c r="B340" i="33"/>
  <c r="B341" i="33"/>
  <c r="B342" i="33"/>
  <c r="B343" i="33"/>
  <c r="B344" i="33"/>
  <c r="B345" i="33"/>
  <c r="B346" i="33"/>
  <c r="B347" i="33"/>
  <c r="B348" i="33"/>
  <c r="B349" i="33"/>
  <c r="B350" i="33"/>
  <c r="B351" i="33"/>
  <c r="B352" i="33"/>
  <c r="B353" i="33"/>
  <c r="B354" i="33"/>
  <c r="B355" i="33"/>
  <c r="B356" i="33"/>
  <c r="B357" i="33"/>
  <c r="B358" i="33"/>
  <c r="B359" i="33"/>
  <c r="B360" i="33"/>
  <c r="B361" i="33"/>
  <c r="B362" i="33"/>
  <c r="B363" i="33"/>
  <c r="B364" i="33"/>
  <c r="B365" i="33"/>
  <c r="B366" i="33"/>
  <c r="B367" i="33"/>
  <c r="B368" i="33"/>
  <c r="B369" i="33"/>
  <c r="B370" i="33"/>
  <c r="B371" i="33"/>
  <c r="B372" i="33"/>
  <c r="B373" i="33"/>
  <c r="B374" i="33"/>
  <c r="B375" i="33"/>
  <c r="B376" i="33"/>
  <c r="B377" i="33"/>
  <c r="B378" i="33"/>
  <c r="B379" i="33"/>
  <c r="B380" i="33"/>
  <c r="B381" i="33"/>
  <c r="B382" i="33"/>
  <c r="B383" i="33"/>
  <c r="B384" i="33"/>
  <c r="B385" i="33"/>
  <c r="B386" i="33"/>
  <c r="B387" i="33"/>
  <c r="B388" i="33"/>
  <c r="B389" i="33"/>
  <c r="B390" i="33"/>
  <c r="B391" i="33"/>
  <c r="B392" i="33"/>
  <c r="B393" i="33"/>
  <c r="B394" i="33"/>
  <c r="B395" i="33"/>
  <c r="B396" i="33"/>
  <c r="B397" i="33"/>
  <c r="B398" i="33"/>
  <c r="B399" i="33"/>
  <c r="B400" i="33"/>
  <c r="B401" i="33"/>
  <c r="B402" i="33"/>
  <c r="B403" i="33"/>
  <c r="B404" i="33"/>
  <c r="B405" i="33"/>
  <c r="B406" i="33"/>
  <c r="B407" i="33"/>
  <c r="B408" i="33"/>
  <c r="B409" i="33"/>
  <c r="B410" i="33"/>
  <c r="B411" i="33"/>
  <c r="B412" i="33"/>
  <c r="B413" i="33"/>
  <c r="B414" i="33"/>
  <c r="B415" i="33"/>
  <c r="B416" i="33"/>
  <c r="B417" i="33"/>
  <c r="B418" i="33"/>
  <c r="B419" i="33"/>
  <c r="B420" i="33"/>
  <c r="B421" i="33"/>
  <c r="B422" i="33"/>
  <c r="B423" i="33"/>
  <c r="B424" i="33"/>
  <c r="B425" i="33"/>
  <c r="B426" i="33"/>
  <c r="B427" i="33"/>
  <c r="B428" i="33"/>
  <c r="B429" i="33"/>
  <c r="B430" i="33"/>
  <c r="B431" i="33"/>
  <c r="B432" i="33"/>
  <c r="B433" i="33"/>
  <c r="B434" i="33"/>
  <c r="B435" i="33"/>
  <c r="B436" i="33"/>
  <c r="B437" i="33"/>
  <c r="B438" i="33"/>
  <c r="B439" i="33"/>
  <c r="B440" i="33"/>
  <c r="B441" i="33"/>
  <c r="B442" i="33"/>
  <c r="B443" i="33"/>
  <c r="B444" i="33"/>
  <c r="B445" i="33"/>
  <c r="B446" i="33"/>
  <c r="B447" i="33"/>
  <c r="B448" i="33"/>
  <c r="B449" i="33"/>
  <c r="B450" i="33"/>
  <c r="B451" i="33"/>
  <c r="B452" i="33"/>
  <c r="B453" i="33"/>
  <c r="B454" i="33"/>
  <c r="B455" i="33"/>
  <c r="B456" i="33"/>
  <c r="B457" i="33"/>
  <c r="B458" i="33"/>
  <c r="B459" i="33"/>
  <c r="B460" i="33"/>
  <c r="B461" i="33"/>
  <c r="B462" i="33"/>
  <c r="B463" i="33"/>
  <c r="B464" i="33"/>
  <c r="B465" i="33"/>
  <c r="B466" i="33"/>
  <c r="B467" i="33"/>
  <c r="B468" i="33"/>
  <c r="B469" i="33"/>
  <c r="B470" i="33"/>
  <c r="B471" i="33"/>
  <c r="B472" i="33"/>
  <c r="B473" i="33"/>
  <c r="B474" i="33"/>
  <c r="B475" i="33"/>
  <c r="B476" i="33"/>
  <c r="B477" i="33"/>
  <c r="B478" i="33"/>
  <c r="B479" i="33"/>
  <c r="B480" i="33"/>
  <c r="B481" i="33"/>
  <c r="B482" i="33"/>
  <c r="B483" i="33"/>
  <c r="B484" i="33"/>
  <c r="B485" i="33"/>
  <c r="B486" i="33"/>
  <c r="B487" i="33"/>
  <c r="B488" i="33"/>
  <c r="B489" i="33"/>
  <c r="B490" i="33"/>
  <c r="B491" i="33"/>
  <c r="B492" i="33"/>
  <c r="B493" i="33"/>
  <c r="B494" i="33"/>
  <c r="B495" i="33"/>
  <c r="B496" i="33"/>
  <c r="B497" i="33"/>
  <c r="B498" i="33"/>
  <c r="B499" i="33"/>
  <c r="B500" i="33"/>
  <c r="AA43" i="3"/>
  <c r="AC2" i="7" l="1"/>
  <c r="AC8" i="7"/>
  <c r="AF8" i="7" s="1"/>
  <c r="S13" i="10"/>
  <c r="Z2" i="11"/>
  <c r="I4" i="6"/>
  <c r="J4" i="6" s="1"/>
  <c r="H4" i="6" s="1"/>
  <c r="AT4" i="6" s="1"/>
  <c r="V4" i="6"/>
  <c r="Q5" i="6"/>
  <c r="V5" i="6"/>
  <c r="J287" i="33"/>
  <c r="F284" i="33"/>
  <c r="J186" i="33"/>
  <c r="F183" i="33"/>
  <c r="J178" i="33"/>
  <c r="F175" i="33"/>
  <c r="J170" i="33"/>
  <c r="F167" i="33"/>
  <c r="J440" i="33"/>
  <c r="J424" i="33"/>
  <c r="J286" i="33"/>
  <c r="F283" i="33"/>
  <c r="J278" i="33"/>
  <c r="F275" i="33"/>
  <c r="J270" i="33"/>
  <c r="F267" i="33"/>
  <c r="J262" i="33"/>
  <c r="F259" i="33"/>
  <c r="J254" i="33"/>
  <c r="J230" i="33"/>
  <c r="F227" i="33"/>
  <c r="J222" i="33"/>
  <c r="F219" i="33"/>
  <c r="J214" i="33"/>
  <c r="F211" i="33"/>
  <c r="J206" i="33"/>
  <c r="F203" i="33"/>
  <c r="J198" i="33"/>
  <c r="F195" i="33"/>
  <c r="J496" i="33"/>
  <c r="J488" i="33"/>
  <c r="J480" i="33"/>
  <c r="J472" i="33"/>
  <c r="J464" i="33"/>
  <c r="J456" i="33"/>
  <c r="J448" i="33"/>
  <c r="J432" i="33"/>
  <c r="J416" i="33"/>
  <c r="J408" i="33"/>
  <c r="J400" i="33"/>
  <c r="J392" i="33"/>
  <c r="J384" i="33"/>
  <c r="J376" i="33"/>
  <c r="J368" i="33"/>
  <c r="J360" i="33"/>
  <c r="J352" i="33"/>
  <c r="J344" i="33"/>
  <c r="J336" i="33"/>
  <c r="J497" i="33"/>
  <c r="F494" i="33"/>
  <c r="J489" i="33"/>
  <c r="F486" i="33"/>
  <c r="J481" i="33"/>
  <c r="F478" i="33"/>
  <c r="J473" i="33"/>
  <c r="F470" i="33"/>
  <c r="J465" i="33"/>
  <c r="F462" i="33"/>
  <c r="J457" i="33"/>
  <c r="F454" i="33"/>
  <c r="J449" i="33"/>
  <c r="F446" i="33"/>
  <c r="J441" i="33"/>
  <c r="F438" i="33"/>
  <c r="J433" i="33"/>
  <c r="F430" i="33"/>
  <c r="J425" i="33"/>
  <c r="F422" i="33"/>
  <c r="J417" i="33"/>
  <c r="F414" i="33"/>
  <c r="J409" i="33"/>
  <c r="F406" i="33"/>
  <c r="J401" i="33"/>
  <c r="F398" i="33"/>
  <c r="J393" i="33"/>
  <c r="F390" i="33"/>
  <c r="J385" i="33"/>
  <c r="F382" i="33"/>
  <c r="J377" i="33"/>
  <c r="F374" i="33"/>
  <c r="J369" i="33"/>
  <c r="F366" i="33"/>
  <c r="J361" i="33"/>
  <c r="F358" i="33"/>
  <c r="J353" i="33"/>
  <c r="F350" i="33"/>
  <c r="J345" i="33"/>
  <c r="F342" i="33"/>
  <c r="J337" i="33"/>
  <c r="F334" i="33"/>
  <c r="J329" i="33"/>
  <c r="F326" i="33"/>
  <c r="J321" i="33"/>
  <c r="F318" i="33"/>
  <c r="J313" i="33"/>
  <c r="F310" i="33"/>
  <c r="J305" i="33"/>
  <c r="F302" i="33"/>
  <c r="J297" i="33"/>
  <c r="F294" i="33"/>
  <c r="J289" i="33"/>
  <c r="F286" i="33"/>
  <c r="J281" i="33"/>
  <c r="F278" i="33"/>
  <c r="J273" i="33"/>
  <c r="F270" i="33"/>
  <c r="J265" i="33"/>
  <c r="F262" i="33"/>
  <c r="J257" i="33"/>
  <c r="J249" i="33"/>
  <c r="J241" i="33"/>
  <c r="J233" i="33"/>
  <c r="J225" i="33"/>
  <c r="J217" i="33"/>
  <c r="J209" i="33"/>
  <c r="J201" i="33"/>
  <c r="F198" i="33"/>
  <c r="J193" i="33"/>
  <c r="F190" i="33"/>
  <c r="J185" i="33"/>
  <c r="J177" i="33"/>
  <c r="J169" i="33"/>
  <c r="J498" i="33"/>
  <c r="F495" i="33"/>
  <c r="J490" i="33"/>
  <c r="F487" i="33"/>
  <c r="J482" i="33"/>
  <c r="F479" i="33"/>
  <c r="J474" i="33"/>
  <c r="F471" i="33"/>
  <c r="J466" i="33"/>
  <c r="F463" i="33"/>
  <c r="J458" i="33"/>
  <c r="F455" i="33"/>
  <c r="J450" i="33"/>
  <c r="F447" i="33"/>
  <c r="J442" i="33"/>
  <c r="F439" i="33"/>
  <c r="J434" i="33"/>
  <c r="F431" i="33"/>
  <c r="J426" i="33"/>
  <c r="F423" i="33"/>
  <c r="J418" i="33"/>
  <c r="F415" i="33"/>
  <c r="J410" i="33"/>
  <c r="F407" i="33"/>
  <c r="J402" i="33"/>
  <c r="F399" i="33"/>
  <c r="J394" i="33"/>
  <c r="F391" i="33"/>
  <c r="J386" i="33"/>
  <c r="F383" i="33"/>
  <c r="J378" i="33"/>
  <c r="F375" i="33"/>
  <c r="J370" i="33"/>
  <c r="F367" i="33"/>
  <c r="J362" i="33"/>
  <c r="F359" i="33"/>
  <c r="J354" i="33"/>
  <c r="F351" i="33"/>
  <c r="J346" i="33"/>
  <c r="F343" i="33"/>
  <c r="J338" i="33"/>
  <c r="F335" i="33"/>
  <c r="J330" i="33"/>
  <c r="F327" i="33"/>
  <c r="J322" i="33"/>
  <c r="F319" i="33"/>
  <c r="J314" i="33"/>
  <c r="F311" i="33"/>
  <c r="J306" i="33"/>
  <c r="F303" i="33"/>
  <c r="J298" i="33"/>
  <c r="F295" i="33"/>
  <c r="J290" i="33"/>
  <c r="F287" i="33"/>
  <c r="J282" i="33"/>
  <c r="F279" i="33"/>
  <c r="J274" i="33"/>
  <c r="F271" i="33"/>
  <c r="J266" i="33"/>
  <c r="F263" i="33"/>
  <c r="J258" i="33"/>
  <c r="F255" i="33"/>
  <c r="J250" i="33"/>
  <c r="F247" i="33"/>
  <c r="J242" i="33"/>
  <c r="F239" i="33"/>
  <c r="J234" i="33"/>
  <c r="F231" i="33"/>
  <c r="J226" i="33"/>
  <c r="F223" i="33"/>
  <c r="J218" i="33"/>
  <c r="F215" i="33"/>
  <c r="J210" i="33"/>
  <c r="F207" i="33"/>
  <c r="J202" i="33"/>
  <c r="F199" i="33"/>
  <c r="J194" i="33"/>
  <c r="F191" i="33"/>
  <c r="J437" i="33"/>
  <c r="J429" i="33"/>
  <c r="J190" i="33"/>
  <c r="F187" i="33"/>
  <c r="J182" i="33"/>
  <c r="F179" i="33"/>
  <c r="J174" i="33"/>
  <c r="F171" i="33"/>
  <c r="J487" i="33"/>
  <c r="J479" i="33"/>
  <c r="J391" i="33"/>
  <c r="J375" i="33"/>
  <c r="J367" i="33"/>
  <c r="J359" i="33"/>
  <c r="J351" i="33"/>
  <c r="J343" i="33"/>
  <c r="J327" i="33"/>
  <c r="J499" i="33"/>
  <c r="J491" i="33"/>
  <c r="J483" i="33"/>
  <c r="J475" i="33"/>
  <c r="J467" i="33"/>
  <c r="J459" i="33"/>
  <c r="J451" i="33"/>
  <c r="J443" i="33"/>
  <c r="J435" i="33"/>
  <c r="J427" i="33"/>
  <c r="J419" i="33"/>
  <c r="J411" i="33"/>
  <c r="J403" i="33"/>
  <c r="J395" i="33"/>
  <c r="J387" i="33"/>
  <c r="J379" i="33"/>
  <c r="J371" i="33"/>
  <c r="J363" i="33"/>
  <c r="J355" i="33"/>
  <c r="J347" i="33"/>
  <c r="J339" i="33"/>
  <c r="J331" i="33"/>
  <c r="J323" i="33"/>
  <c r="J315" i="33"/>
  <c r="J307" i="33"/>
  <c r="J299" i="33"/>
  <c r="J291" i="33"/>
  <c r="J283" i="33"/>
  <c r="J275" i="33"/>
  <c r="J267" i="33"/>
  <c r="J259" i="33"/>
  <c r="J251" i="33"/>
  <c r="J243" i="33"/>
  <c r="J235" i="33"/>
  <c r="J227" i="33"/>
  <c r="J219" i="33"/>
  <c r="J211" i="33"/>
  <c r="J203" i="33"/>
  <c r="J195" i="33"/>
  <c r="J187" i="33"/>
  <c r="J179" i="33"/>
  <c r="J171" i="33"/>
  <c r="J500" i="33"/>
  <c r="J492" i="33"/>
  <c r="J484" i="33"/>
  <c r="J476" i="33"/>
  <c r="J468" i="33"/>
  <c r="J460" i="33"/>
  <c r="J452" i="33"/>
  <c r="J444" i="33"/>
  <c r="J436" i="33"/>
  <c r="J428" i="33"/>
  <c r="J420" i="33"/>
  <c r="J412" i="33"/>
  <c r="J404" i="33"/>
  <c r="J396" i="33"/>
  <c r="J388" i="33"/>
  <c r="J380" i="33"/>
  <c r="J372" i="33"/>
  <c r="J364" i="33"/>
  <c r="J356" i="33"/>
  <c r="J348" i="33"/>
  <c r="J340" i="33"/>
  <c r="J332" i="33"/>
  <c r="J324" i="33"/>
  <c r="J316" i="33"/>
  <c r="J308" i="33"/>
  <c r="J300" i="33"/>
  <c r="J292" i="33"/>
  <c r="J284" i="33"/>
  <c r="J276" i="33"/>
  <c r="J268" i="33"/>
  <c r="J260" i="33"/>
  <c r="J252" i="33"/>
  <c r="J244" i="33"/>
  <c r="J236" i="33"/>
  <c r="J228" i="33"/>
  <c r="J220" i="33"/>
  <c r="J212" i="33"/>
  <c r="J204" i="33"/>
  <c r="J196" i="33"/>
  <c r="J188" i="33"/>
  <c r="J180" i="33"/>
  <c r="J172" i="33"/>
  <c r="J493" i="33"/>
  <c r="J485" i="33"/>
  <c r="J477" i="33"/>
  <c r="J469" i="33"/>
  <c r="J461" i="33"/>
  <c r="J453" i="33"/>
  <c r="J445" i="33"/>
  <c r="J421" i="33"/>
  <c r="J413" i="33"/>
  <c r="J405" i="33"/>
  <c r="J397" i="33"/>
  <c r="J389" i="33"/>
  <c r="J381" i="33"/>
  <c r="J373" i="33"/>
  <c r="J365" i="33"/>
  <c r="J357" i="33"/>
  <c r="J349" i="33"/>
  <c r="J341" i="33"/>
  <c r="J333" i="33"/>
  <c r="J325" i="33"/>
  <c r="J317" i="33"/>
  <c r="J309" i="33"/>
  <c r="J301" i="33"/>
  <c r="J293" i="33"/>
  <c r="J285" i="33"/>
  <c r="J277" i="33"/>
  <c r="J269" i="33"/>
  <c r="J261" i="33"/>
  <c r="J253" i="33"/>
  <c r="J245" i="33"/>
  <c r="J237" i="33"/>
  <c r="J229" i="33"/>
  <c r="J221" i="33"/>
  <c r="J213" i="33"/>
  <c r="J205" i="33"/>
  <c r="J197" i="33"/>
  <c r="J189" i="33"/>
  <c r="J181" i="33"/>
  <c r="J173" i="33"/>
  <c r="F499" i="33"/>
  <c r="J494" i="33"/>
  <c r="F491" i="33"/>
  <c r="J486" i="33"/>
  <c r="F483" i="33"/>
  <c r="J478" i="33"/>
  <c r="F475" i="33"/>
  <c r="J470" i="33"/>
  <c r="F467" i="33"/>
  <c r="J462" i="33"/>
  <c r="F459" i="33"/>
  <c r="J454" i="33"/>
  <c r="F451" i="33"/>
  <c r="J446" i="33"/>
  <c r="F443" i="33"/>
  <c r="J438" i="33"/>
  <c r="F435" i="33"/>
  <c r="J430" i="33"/>
  <c r="F427" i="33"/>
  <c r="J422" i="33"/>
  <c r="F419" i="33"/>
  <c r="J414" i="33"/>
  <c r="F411" i="33"/>
  <c r="J406" i="33"/>
  <c r="F403" i="33"/>
  <c r="J398" i="33"/>
  <c r="F395" i="33"/>
  <c r="J390" i="33"/>
  <c r="F387" i="33"/>
  <c r="J382" i="33"/>
  <c r="F379" i="33"/>
  <c r="J374" i="33"/>
  <c r="F371" i="33"/>
  <c r="J366" i="33"/>
  <c r="F363" i="33"/>
  <c r="J358" i="33"/>
  <c r="F355" i="33"/>
  <c r="J350" i="33"/>
  <c r="F347" i="33"/>
  <c r="J342" i="33"/>
  <c r="F339" i="33"/>
  <c r="J334" i="33"/>
  <c r="F331" i="33"/>
  <c r="J326" i="33"/>
  <c r="F323" i="33"/>
  <c r="J318" i="33"/>
  <c r="F315" i="33"/>
  <c r="J310" i="33"/>
  <c r="F307" i="33"/>
  <c r="J302" i="33"/>
  <c r="F299" i="33"/>
  <c r="J294" i="33"/>
  <c r="F291" i="33"/>
  <c r="F251" i="33"/>
  <c r="J246" i="33"/>
  <c r="F243" i="33"/>
  <c r="J238" i="33"/>
  <c r="F235" i="33"/>
  <c r="J495" i="33"/>
  <c r="J471" i="33"/>
  <c r="J463" i="33"/>
  <c r="J455" i="33"/>
  <c r="J447" i="33"/>
  <c r="J439" i="33"/>
  <c r="J431" i="33"/>
  <c r="J423" i="33"/>
  <c r="J415" i="33"/>
  <c r="J407" i="33"/>
  <c r="J399" i="33"/>
  <c r="J383" i="33"/>
  <c r="J335" i="33"/>
  <c r="J319" i="33"/>
  <c r="J311" i="33"/>
  <c r="J303" i="33"/>
  <c r="J295" i="33"/>
  <c r="J279" i="33"/>
  <c r="J271" i="33"/>
  <c r="J263" i="33"/>
  <c r="J255" i="33"/>
  <c r="J247" i="33"/>
  <c r="J239" i="33"/>
  <c r="J231" i="33"/>
  <c r="J223" i="33"/>
  <c r="J215" i="33"/>
  <c r="J207" i="33"/>
  <c r="J199" i="33"/>
  <c r="J191" i="33"/>
  <c r="J183" i="33"/>
  <c r="J175" i="33"/>
  <c r="J167" i="33"/>
  <c r="J328" i="33"/>
  <c r="J320" i="33"/>
  <c r="J312" i="33"/>
  <c r="J304" i="33"/>
  <c r="J296" i="33"/>
  <c r="J288" i="33"/>
  <c r="F285" i="33"/>
  <c r="J280" i="33"/>
  <c r="J272" i="33"/>
  <c r="J264" i="33"/>
  <c r="J256" i="33"/>
  <c r="J248" i="33"/>
  <c r="J240" i="33"/>
  <c r="J232" i="33"/>
  <c r="J224" i="33"/>
  <c r="J216" i="33"/>
  <c r="J208" i="33"/>
  <c r="J200" i="33"/>
  <c r="J192" i="33"/>
  <c r="J184" i="33"/>
  <c r="J176" i="33"/>
  <c r="J168" i="33"/>
  <c r="F254" i="33"/>
  <c r="F246" i="33"/>
  <c r="F238" i="33"/>
  <c r="F230" i="33"/>
  <c r="F222" i="33"/>
  <c r="F214" i="33"/>
  <c r="F206" i="33"/>
  <c r="F182" i="33"/>
  <c r="F174" i="33"/>
  <c r="F496" i="33"/>
  <c r="F488" i="33"/>
  <c r="F480" i="33"/>
  <c r="F472" i="33"/>
  <c r="F464" i="33"/>
  <c r="F456" i="33"/>
  <c r="F448" i="33"/>
  <c r="F440" i="33"/>
  <c r="F432" i="33"/>
  <c r="F424" i="33"/>
  <c r="F416" i="33"/>
  <c r="F408" i="33"/>
  <c r="F400" i="33"/>
  <c r="F392" i="33"/>
  <c r="F384" i="33"/>
  <c r="F376" i="33"/>
  <c r="F368" i="33"/>
  <c r="F360" i="33"/>
  <c r="F352" i="33"/>
  <c r="F344" i="33"/>
  <c r="F336" i="33"/>
  <c r="F328" i="33"/>
  <c r="F320" i="33"/>
  <c r="F312" i="33"/>
  <c r="F304" i="33"/>
  <c r="F296" i="33"/>
  <c r="F288" i="33"/>
  <c r="F280" i="33"/>
  <c r="F272" i="33"/>
  <c r="F264" i="33"/>
  <c r="F256" i="33"/>
  <c r="F248" i="33"/>
  <c r="F240" i="33"/>
  <c r="F232" i="33"/>
  <c r="F224" i="33"/>
  <c r="F216" i="33"/>
  <c r="F208" i="33"/>
  <c r="F200" i="33"/>
  <c r="F192" i="33"/>
  <c r="F184" i="33"/>
  <c r="F176" i="33"/>
  <c r="F168" i="33"/>
  <c r="F497" i="33"/>
  <c r="F489" i="33"/>
  <c r="F481" i="33"/>
  <c r="F473" i="33"/>
  <c r="F465" i="33"/>
  <c r="F457" i="33"/>
  <c r="F449" i="33"/>
  <c r="F441" i="33"/>
  <c r="F433" i="33"/>
  <c r="F425" i="33"/>
  <c r="F417" i="33"/>
  <c r="F409" i="33"/>
  <c r="F401" i="33"/>
  <c r="F393" i="33"/>
  <c r="F385" i="33"/>
  <c r="F377" i="33"/>
  <c r="F369" i="33"/>
  <c r="F361" i="33"/>
  <c r="F353" i="33"/>
  <c r="F345" i="33"/>
  <c r="F337" i="33"/>
  <c r="F329" i="33"/>
  <c r="F321" i="33"/>
  <c r="F313" i="33"/>
  <c r="F305" i="33"/>
  <c r="F297" i="33"/>
  <c r="F289" i="33"/>
  <c r="F281" i="33"/>
  <c r="F273" i="33"/>
  <c r="F265" i="33"/>
  <c r="F257" i="33"/>
  <c r="F249" i="33"/>
  <c r="F241" i="33"/>
  <c r="F233" i="33"/>
  <c r="F225" i="33"/>
  <c r="F217" i="33"/>
  <c r="F209" i="33"/>
  <c r="F201" i="33"/>
  <c r="F193" i="33"/>
  <c r="F185" i="33"/>
  <c r="F177" i="33"/>
  <c r="F169" i="33"/>
  <c r="F498" i="33"/>
  <c r="F490" i="33"/>
  <c r="F482" i="33"/>
  <c r="F474" i="33"/>
  <c r="F466" i="33"/>
  <c r="F458" i="33"/>
  <c r="F450" i="33"/>
  <c r="F442" i="33"/>
  <c r="F434" i="33"/>
  <c r="F426" i="33"/>
  <c r="F418" i="33"/>
  <c r="F410" i="33"/>
  <c r="F402" i="33"/>
  <c r="F394" i="33"/>
  <c r="F386" i="33"/>
  <c r="F378" i="33"/>
  <c r="F370" i="33"/>
  <c r="F362" i="33"/>
  <c r="F354" i="33"/>
  <c r="F346" i="33"/>
  <c r="F338" i="33"/>
  <c r="F330" i="33"/>
  <c r="F322" i="33"/>
  <c r="F314" i="33"/>
  <c r="F306" i="33"/>
  <c r="F298" i="33"/>
  <c r="F290" i="33"/>
  <c r="F282" i="33"/>
  <c r="F274" i="33"/>
  <c r="F266" i="33"/>
  <c r="F258" i="33"/>
  <c r="F250" i="33"/>
  <c r="F242" i="33"/>
  <c r="F234" i="33"/>
  <c r="F226" i="33"/>
  <c r="F218" i="33"/>
  <c r="F210" i="33"/>
  <c r="F202" i="33"/>
  <c r="F194" i="33"/>
  <c r="F186" i="33"/>
  <c r="F178" i="33"/>
  <c r="F170" i="33"/>
  <c r="F500" i="33"/>
  <c r="F492" i="33"/>
  <c r="F484" i="33"/>
  <c r="F476" i="33"/>
  <c r="F468" i="33"/>
  <c r="F460" i="33"/>
  <c r="F452" i="33"/>
  <c r="F444" i="33"/>
  <c r="F436" i="33"/>
  <c r="F428" i="33"/>
  <c r="F420" i="33"/>
  <c r="F412" i="33"/>
  <c r="F404" i="33"/>
  <c r="F396" i="33"/>
  <c r="F388" i="33"/>
  <c r="F380" i="33"/>
  <c r="F372" i="33"/>
  <c r="F364" i="33"/>
  <c r="F356" i="33"/>
  <c r="F348" i="33"/>
  <c r="F340" i="33"/>
  <c r="F332" i="33"/>
  <c r="F324" i="33"/>
  <c r="F316" i="33"/>
  <c r="F308" i="33"/>
  <c r="F300" i="33"/>
  <c r="F292" i="33"/>
  <c r="F276" i="33"/>
  <c r="F268" i="33"/>
  <c r="F260" i="33"/>
  <c r="F252" i="33"/>
  <c r="F244" i="33"/>
  <c r="F236" i="33"/>
  <c r="F228" i="33"/>
  <c r="F220" i="33"/>
  <c r="F212" i="33"/>
  <c r="F204" i="33"/>
  <c r="F196" i="33"/>
  <c r="F188" i="33"/>
  <c r="F180" i="33"/>
  <c r="F172" i="33"/>
  <c r="F493" i="33"/>
  <c r="F485" i="33"/>
  <c r="F477" i="33"/>
  <c r="F469" i="33"/>
  <c r="F461" i="33"/>
  <c r="F453" i="33"/>
  <c r="F445" i="33"/>
  <c r="F437" i="33"/>
  <c r="F429" i="33"/>
  <c r="F421" i="33"/>
  <c r="F413" i="33"/>
  <c r="F405" i="33"/>
  <c r="F397" i="33"/>
  <c r="F389" i="33"/>
  <c r="F381" i="33"/>
  <c r="F373" i="33"/>
  <c r="F365" i="33"/>
  <c r="F357" i="33"/>
  <c r="F349" i="33"/>
  <c r="F341" i="33"/>
  <c r="F333" i="33"/>
  <c r="F325" i="33"/>
  <c r="F317" i="33"/>
  <c r="F309" i="33"/>
  <c r="F301" i="33"/>
  <c r="F293" i="33"/>
  <c r="F277" i="33"/>
  <c r="F269" i="33"/>
  <c r="F261" i="33"/>
  <c r="F253" i="33"/>
  <c r="F245" i="33"/>
  <c r="F237" i="33"/>
  <c r="F229" i="33"/>
  <c r="F221" i="33"/>
  <c r="F213" i="33"/>
  <c r="F205" i="33"/>
  <c r="F197" i="33"/>
  <c r="F189" i="33"/>
  <c r="F181" i="33"/>
  <c r="F173" i="33"/>
  <c r="AR4" i="6"/>
  <c r="AO4" i="6"/>
  <c r="Z3" i="11"/>
  <c r="R3" i="11"/>
  <c r="T4" i="32"/>
  <c r="T2" i="11"/>
  <c r="T3" i="11"/>
  <c r="P2" i="11"/>
  <c r="U3" i="11"/>
  <c r="Q2" i="11"/>
  <c r="Q3" i="11"/>
  <c r="O13" i="10"/>
  <c r="O15" i="10"/>
  <c r="X13" i="10"/>
  <c r="AD13" i="10" s="1"/>
  <c r="W15" i="10"/>
  <c r="W14" i="10"/>
  <c r="Q13" i="10"/>
  <c r="O14" i="10"/>
  <c r="R14" i="10"/>
  <c r="S14" i="10" s="1"/>
  <c r="R15" i="10"/>
  <c r="S15" i="10" s="1"/>
  <c r="AO5" i="6"/>
  <c r="AQ4" i="6"/>
  <c r="AP5" i="6"/>
  <c r="AM5" i="6"/>
  <c r="AP4" i="6"/>
  <c r="AU5" i="6"/>
  <c r="AK5" i="6"/>
  <c r="AM4" i="6"/>
  <c r="AL5" i="6"/>
  <c r="AS5" i="6"/>
  <c r="AJ5" i="6"/>
  <c r="AL4" i="6"/>
  <c r="AR5" i="6"/>
  <c r="AU4" i="6"/>
  <c r="AK4" i="6"/>
  <c r="AQ5" i="6"/>
  <c r="AS4" i="6"/>
  <c r="AJ4" i="6"/>
  <c r="I5" i="6"/>
  <c r="Q4" i="6"/>
  <c r="X9" i="7"/>
  <c r="T9" i="7"/>
  <c r="AA9" i="7" s="1"/>
  <c r="AE9" i="7"/>
  <c r="AG9" i="7" s="1"/>
  <c r="AH9" i="7" s="1"/>
  <c r="X8" i="7"/>
  <c r="AE8" i="7"/>
  <c r="AG8" i="7" s="1"/>
  <c r="AH8" i="7" s="1"/>
  <c r="T8" i="7"/>
  <c r="AA8" i="7" s="1"/>
  <c r="S9" i="7"/>
  <c r="S8" i="7"/>
  <c r="AF9" i="7"/>
  <c r="AM9" i="7"/>
  <c r="AN9" i="7" s="1"/>
  <c r="AO9" i="7" s="1"/>
  <c r="AP9" i="7" s="1"/>
  <c r="AQ9" i="7" s="1"/>
  <c r="AR9" i="7" s="1"/>
  <c r="AS9" i="7" s="1"/>
  <c r="AT9" i="7" s="1"/>
  <c r="AU9" i="7" s="1"/>
  <c r="AM8" i="7"/>
  <c r="S11" i="7"/>
  <c r="AG11" i="7"/>
  <c r="AH11" i="7" s="1"/>
  <c r="AC3" i="7"/>
  <c r="AF3" i="7" s="1"/>
  <c r="AE3" i="7"/>
  <c r="AG3" i="7" s="1"/>
  <c r="AH3" i="7" s="1"/>
  <c r="AC11" i="7"/>
  <c r="AF11" i="7" s="1"/>
  <c r="S3" i="7"/>
  <c r="T11" i="7"/>
  <c r="AA11" i="7" s="1"/>
  <c r="X11" i="7"/>
  <c r="T3" i="7"/>
  <c r="AA3" i="7" s="1"/>
  <c r="S2" i="7"/>
  <c r="AC10" i="7"/>
  <c r="AF10" i="7" s="1"/>
  <c r="AN3" i="7"/>
  <c r="X2" i="7"/>
  <c r="AP11" i="7"/>
  <c r="AQ11" i="7" s="1"/>
  <c r="AR11" i="7" s="1"/>
  <c r="AS11" i="7" s="1"/>
  <c r="AT11" i="7" s="1"/>
  <c r="AU11" i="7" s="1"/>
  <c r="AE10" i="7"/>
  <c r="AG10" i="7" s="1"/>
  <c r="AH10" i="7" s="1"/>
  <c r="AE2" i="7"/>
  <c r="AG2" i="7" s="1"/>
  <c r="AH2" i="7" s="1"/>
  <c r="S10" i="7"/>
  <c r="T10" i="7"/>
  <c r="AA10" i="7" s="1"/>
  <c r="AO10" i="7"/>
  <c r="AP10" i="7" s="1"/>
  <c r="AQ10" i="7" s="1"/>
  <c r="AR10" i="7" s="1"/>
  <c r="AS10" i="7" s="1"/>
  <c r="AT10" i="7" s="1"/>
  <c r="AU10" i="7" s="1"/>
  <c r="AF2" i="7"/>
  <c r="AN2" i="7"/>
  <c r="AO2" i="7" s="1"/>
  <c r="AP2" i="7" s="1"/>
  <c r="AQ2" i="7" s="1"/>
  <c r="AR2" i="7" s="1"/>
  <c r="AS2" i="7" s="1"/>
  <c r="AT2" i="7" s="1"/>
  <c r="AU2" i="7" s="1"/>
  <c r="AN4" i="6" l="1"/>
  <c r="AV11" i="7"/>
  <c r="P4" i="6"/>
  <c r="AG13" i="10"/>
  <c r="AA13" i="10"/>
  <c r="AB13" i="10"/>
  <c r="AI13" i="10"/>
  <c r="AJ13" i="10"/>
  <c r="AE13" i="10"/>
  <c r="Z13" i="10"/>
  <c r="AH13" i="10"/>
  <c r="Y13" i="10"/>
  <c r="AF13" i="10"/>
  <c r="AC13" i="10"/>
  <c r="X15" i="10"/>
  <c r="AE15" i="10" s="1"/>
  <c r="X14" i="10"/>
  <c r="AJ14" i="10" s="1"/>
  <c r="J5" i="6"/>
  <c r="H5" i="6" s="1"/>
  <c r="P5" i="6"/>
  <c r="AY9" i="7"/>
  <c r="AV9" i="7"/>
  <c r="BC9" i="7"/>
  <c r="BD9" i="7"/>
  <c r="BE9" i="7"/>
  <c r="AW9" i="7"/>
  <c r="AX9" i="7"/>
  <c r="BF9" i="7"/>
  <c r="BB9" i="7"/>
  <c r="BG9" i="7"/>
  <c r="BA9" i="7"/>
  <c r="AN8" i="7"/>
  <c r="AZ9" i="7"/>
  <c r="BA11" i="7"/>
  <c r="AZ11" i="7"/>
  <c r="BF11" i="7"/>
  <c r="BE11" i="7"/>
  <c r="BG11" i="7"/>
  <c r="BC11" i="7"/>
  <c r="AO3" i="7"/>
  <c r="BB11" i="7"/>
  <c r="AW11" i="7"/>
  <c r="BD11" i="7"/>
  <c r="AX11" i="7"/>
  <c r="AY11" i="7"/>
  <c r="AZ10" i="7"/>
  <c r="BA10" i="7"/>
  <c r="AV10" i="7"/>
  <c r="BE10" i="7"/>
  <c r="BD10" i="7"/>
  <c r="BB10" i="7"/>
  <c r="BC10" i="7"/>
  <c r="AX10" i="7"/>
  <c r="BF10" i="7"/>
  <c r="BG10" i="7"/>
  <c r="AY10" i="7"/>
  <c r="AW10" i="7"/>
  <c r="Y15" i="10" l="1"/>
  <c r="Z15" i="10"/>
  <c r="AC15" i="10"/>
  <c r="AD15" i="10"/>
  <c r="Y14" i="10"/>
  <c r="AD14" i="10"/>
  <c r="AI14" i="10"/>
  <c r="Z14" i="10"/>
  <c r="AH14" i="10"/>
  <c r="AE14" i="10"/>
  <c r="AB14" i="10"/>
  <c r="AG14" i="10"/>
  <c r="AA14" i="10"/>
  <c r="AF14" i="10"/>
  <c r="AC14" i="10"/>
  <c r="AG15" i="10"/>
  <c r="AB15" i="10"/>
  <c r="AJ15" i="10"/>
  <c r="AF15" i="10"/>
  <c r="AH15" i="10"/>
  <c r="AA15" i="10"/>
  <c r="AI15" i="10"/>
  <c r="AN5" i="6"/>
  <c r="AT5" i="6"/>
  <c r="AO8" i="7"/>
  <c r="AP8" i="7" s="1"/>
  <c r="AQ8" i="7" s="1"/>
  <c r="AR8" i="7" s="1"/>
  <c r="AS8" i="7" s="1"/>
  <c r="AT8" i="7" s="1"/>
  <c r="AU8" i="7" s="1"/>
  <c r="BC8" i="7" s="1"/>
  <c r="AP3" i="7"/>
  <c r="AQ3" i="7" s="1"/>
  <c r="AR3" i="7" s="1"/>
  <c r="AS3" i="7" s="1"/>
  <c r="AT3" i="7" s="1"/>
  <c r="AU3" i="7" s="1"/>
  <c r="BE3" i="7" l="1"/>
  <c r="AZ8" i="7"/>
  <c r="BD8" i="7"/>
  <c r="AV8" i="7"/>
  <c r="BG8" i="7"/>
  <c r="BE8" i="7"/>
  <c r="AW8" i="7"/>
  <c r="BB8" i="7"/>
  <c r="BA8" i="7"/>
  <c r="BF8" i="7"/>
  <c r="AY8" i="7"/>
  <c r="AX8" i="7"/>
  <c r="AV3" i="7"/>
  <c r="AY3" i="7"/>
  <c r="AX3" i="7"/>
  <c r="AW3" i="7"/>
  <c r="BC3" i="7"/>
  <c r="BF3" i="7"/>
  <c r="BG3" i="7"/>
  <c r="BD3" i="7"/>
  <c r="AZ3" i="7"/>
  <c r="BB3" i="7"/>
  <c r="BA3" i="7"/>
  <c r="S44" i="3" l="1"/>
  <c r="U44" i="3"/>
  <c r="V44" i="3"/>
  <c r="Z44" i="3"/>
  <c r="S45" i="3"/>
  <c r="U45" i="3"/>
  <c r="V45" i="3"/>
  <c r="Z45" i="3"/>
  <c r="S46" i="3"/>
  <c r="U46" i="3"/>
  <c r="V46" i="3"/>
  <c r="Z46" i="3"/>
  <c r="S47" i="3"/>
  <c r="U47" i="3"/>
  <c r="T43" i="3"/>
  <c r="U43" i="3"/>
  <c r="V43" i="3"/>
  <c r="W43" i="3"/>
  <c r="X43" i="3"/>
  <c r="Y43" i="3"/>
  <c r="Z43" i="3"/>
  <c r="AC14" i="33"/>
  <c r="X26" i="33"/>
  <c r="AC26" i="33" s="1"/>
  <c r="X25" i="33"/>
  <c r="X24" i="33"/>
  <c r="X23" i="33"/>
  <c r="X22" i="33"/>
  <c r="X21" i="33"/>
  <c r="X20" i="33"/>
  <c r="AC19" i="33" s="1"/>
  <c r="AC18" i="33"/>
  <c r="AC17" i="33"/>
  <c r="AC16" i="33"/>
  <c r="AC15" i="33"/>
  <c r="AG4" i="33"/>
  <c r="AH4" i="33" s="1"/>
  <c r="AH3" i="33"/>
  <c r="BQ2" i="33" a="1"/>
  <c r="BQ2" i="33" s="1"/>
  <c r="BP2" i="33" a="1"/>
  <c r="BP2" i="33" s="1"/>
  <c r="BN2" i="33" a="1"/>
  <c r="BN2" i="33" s="1"/>
  <c r="BE2" i="33" a="1"/>
  <c r="BE2" i="33" s="1"/>
  <c r="BD2" i="33" a="1"/>
  <c r="BD2" i="33" s="1"/>
  <c r="BB2" i="33" a="1"/>
  <c r="BB2" i="33" s="1"/>
  <c r="AS2" i="33" a="1"/>
  <c r="AS2" i="33" s="1"/>
  <c r="AR2" i="33" a="1"/>
  <c r="AR2" i="33" s="1"/>
  <c r="AG2" i="33"/>
  <c r="AH2" i="33" s="1"/>
  <c r="C9" i="33" l="1"/>
  <c r="C17" i="33"/>
  <c r="C25" i="33"/>
  <c r="C33" i="33"/>
  <c r="C41" i="33"/>
  <c r="C49" i="33"/>
  <c r="C57" i="33"/>
  <c r="C65" i="33"/>
  <c r="C73" i="33"/>
  <c r="C81" i="33"/>
  <c r="C89" i="33"/>
  <c r="C97" i="33"/>
  <c r="C105" i="33"/>
  <c r="C113" i="33"/>
  <c r="C121" i="33"/>
  <c r="C129" i="33"/>
  <c r="C137" i="33"/>
  <c r="C145" i="33"/>
  <c r="C153" i="33"/>
  <c r="C161" i="33"/>
  <c r="C10" i="33"/>
  <c r="C18" i="33"/>
  <c r="C26" i="33"/>
  <c r="C34" i="33"/>
  <c r="C42" i="33"/>
  <c r="C50" i="33"/>
  <c r="C58" i="33"/>
  <c r="C66" i="33"/>
  <c r="C74" i="33"/>
  <c r="C82" i="33"/>
  <c r="C90" i="33"/>
  <c r="C98" i="33"/>
  <c r="C106" i="33"/>
  <c r="C114" i="33"/>
  <c r="C122" i="33"/>
  <c r="C130" i="33"/>
  <c r="C138" i="33"/>
  <c r="C146" i="33"/>
  <c r="C154" i="33"/>
  <c r="C162" i="33"/>
  <c r="C11" i="33"/>
  <c r="C19" i="33"/>
  <c r="C27" i="33"/>
  <c r="C35" i="33"/>
  <c r="C43" i="33"/>
  <c r="C51" i="33"/>
  <c r="C59" i="33"/>
  <c r="C67" i="33"/>
  <c r="C75" i="33"/>
  <c r="C83" i="33"/>
  <c r="C91" i="33"/>
  <c r="C99" i="33"/>
  <c r="C107" i="33"/>
  <c r="C115" i="33"/>
  <c r="C123" i="33"/>
  <c r="C131" i="33"/>
  <c r="C139" i="33"/>
  <c r="C147" i="33"/>
  <c r="C155" i="33"/>
  <c r="C163" i="33"/>
  <c r="C12" i="33"/>
  <c r="C20" i="33"/>
  <c r="C28" i="33"/>
  <c r="C36" i="33"/>
  <c r="C44" i="33"/>
  <c r="C52" i="33"/>
  <c r="C60" i="33"/>
  <c r="C68" i="33"/>
  <c r="C76" i="33"/>
  <c r="C84" i="33"/>
  <c r="C92" i="33"/>
  <c r="C100" i="33"/>
  <c r="C108" i="33"/>
  <c r="C116" i="33"/>
  <c r="C124" i="33"/>
  <c r="C132" i="33"/>
  <c r="C140" i="33"/>
  <c r="C148" i="33"/>
  <c r="C156" i="33"/>
  <c r="C164" i="33"/>
  <c r="C13" i="33"/>
  <c r="C21" i="33"/>
  <c r="C29" i="33"/>
  <c r="C37" i="33"/>
  <c r="C45" i="33"/>
  <c r="C53" i="33"/>
  <c r="C61" i="33"/>
  <c r="C69" i="33"/>
  <c r="C77" i="33"/>
  <c r="C85" i="33"/>
  <c r="C93" i="33"/>
  <c r="C101" i="33"/>
  <c r="C109" i="33"/>
  <c r="C117" i="33"/>
  <c r="C125" i="33"/>
  <c r="C133" i="33"/>
  <c r="C141" i="33"/>
  <c r="C149" i="33"/>
  <c r="C157" i="33"/>
  <c r="C165" i="33"/>
  <c r="C14" i="33"/>
  <c r="C22" i="33"/>
  <c r="C30" i="33"/>
  <c r="C38" i="33"/>
  <c r="C46" i="33"/>
  <c r="C54" i="33"/>
  <c r="C62" i="33"/>
  <c r="C70" i="33"/>
  <c r="C78" i="33"/>
  <c r="C86" i="33"/>
  <c r="C94" i="33"/>
  <c r="C102" i="33"/>
  <c r="C110" i="33"/>
  <c r="C118" i="33"/>
  <c r="C126" i="33"/>
  <c r="C134" i="33"/>
  <c r="C142" i="33"/>
  <c r="C150" i="33"/>
  <c r="C158" i="33"/>
  <c r="C166" i="33"/>
  <c r="C15" i="33"/>
  <c r="C23" i="33"/>
  <c r="C31" i="33"/>
  <c r="C39" i="33"/>
  <c r="C47" i="33"/>
  <c r="C55" i="33"/>
  <c r="C63" i="33"/>
  <c r="C71" i="33"/>
  <c r="C79" i="33"/>
  <c r="C87" i="33"/>
  <c r="C95" i="33"/>
  <c r="C103" i="33"/>
  <c r="C111" i="33"/>
  <c r="C119" i="33"/>
  <c r="C127" i="33"/>
  <c r="C135" i="33"/>
  <c r="C143" i="33"/>
  <c r="C151" i="33"/>
  <c r="C159" i="33"/>
  <c r="C16" i="33"/>
  <c r="C24" i="33"/>
  <c r="C32" i="33"/>
  <c r="C40" i="33"/>
  <c r="C48" i="33"/>
  <c r="C56" i="33"/>
  <c r="C64" i="33"/>
  <c r="C72" i="33"/>
  <c r="C80" i="33"/>
  <c r="C88" i="33"/>
  <c r="C96" i="33"/>
  <c r="C104" i="33"/>
  <c r="C112" i="33"/>
  <c r="C120" i="33"/>
  <c r="C128" i="33"/>
  <c r="C136" i="33"/>
  <c r="C144" i="33"/>
  <c r="C152" i="33"/>
  <c r="C160" i="33"/>
  <c r="I163" i="33"/>
  <c r="K164" i="33"/>
  <c r="L165" i="33"/>
  <c r="M166" i="33"/>
  <c r="K163" i="33"/>
  <c r="L164" i="33"/>
  <c r="M165" i="33"/>
  <c r="B163" i="33"/>
  <c r="B164" i="33"/>
  <c r="L163" i="33"/>
  <c r="M164" i="33"/>
  <c r="E166" i="33"/>
  <c r="M163" i="33"/>
  <c r="E165" i="33"/>
  <c r="G166" i="33"/>
  <c r="E164" i="33"/>
  <c r="G165" i="33"/>
  <c r="H166" i="33"/>
  <c r="E163" i="33"/>
  <c r="G164" i="33"/>
  <c r="H165" i="33"/>
  <c r="I166" i="33"/>
  <c r="B165" i="33"/>
  <c r="G163" i="33"/>
  <c r="H164" i="33"/>
  <c r="I165" i="33"/>
  <c r="K166" i="33"/>
  <c r="B166" i="33"/>
  <c r="H163" i="33"/>
  <c r="I164" i="33"/>
  <c r="K165" i="33"/>
  <c r="L166" i="33"/>
  <c r="B5" i="33"/>
  <c r="C3" i="33"/>
  <c r="C4" i="33"/>
  <c r="C5" i="33"/>
  <c r="C6" i="33"/>
  <c r="C7" i="33"/>
  <c r="C8" i="33"/>
  <c r="AC23" i="33"/>
  <c r="C2" i="33"/>
  <c r="E3" i="33"/>
  <c r="G4" i="33"/>
  <c r="H5" i="33"/>
  <c r="I6" i="33"/>
  <c r="K7" i="33"/>
  <c r="L8" i="33"/>
  <c r="M9" i="33"/>
  <c r="E11" i="33"/>
  <c r="G12" i="33"/>
  <c r="H13" i="33"/>
  <c r="I14" i="33"/>
  <c r="K15" i="33"/>
  <c r="L16" i="33"/>
  <c r="M17" i="33"/>
  <c r="E19" i="33"/>
  <c r="G20" i="33"/>
  <c r="H21" i="33"/>
  <c r="I22" i="33"/>
  <c r="K23" i="33"/>
  <c r="L24" i="33"/>
  <c r="M25" i="33"/>
  <c r="E27" i="33"/>
  <c r="G28" i="33"/>
  <c r="H29" i="33"/>
  <c r="I30" i="33"/>
  <c r="K31" i="33"/>
  <c r="L32" i="33"/>
  <c r="M33" i="33"/>
  <c r="E35" i="33"/>
  <c r="G36" i="33"/>
  <c r="H37" i="33"/>
  <c r="I38" i="33"/>
  <c r="K39" i="33"/>
  <c r="L40" i="33"/>
  <c r="M41" i="33"/>
  <c r="E43" i="33"/>
  <c r="G44" i="33"/>
  <c r="H45" i="33"/>
  <c r="I46" i="33"/>
  <c r="K47" i="33"/>
  <c r="L48" i="33"/>
  <c r="M49" i="33"/>
  <c r="E51" i="33"/>
  <c r="G52" i="33"/>
  <c r="H53" i="33"/>
  <c r="I54" i="33"/>
  <c r="K55" i="33"/>
  <c r="L56" i="33"/>
  <c r="M57" i="33"/>
  <c r="E59" i="33"/>
  <c r="G60" i="33"/>
  <c r="H61" i="33"/>
  <c r="I62" i="33"/>
  <c r="K63" i="33"/>
  <c r="L64" i="33"/>
  <c r="M65" i="33"/>
  <c r="E67" i="33"/>
  <c r="G68" i="33"/>
  <c r="H69" i="33"/>
  <c r="I70" i="33"/>
  <c r="K71" i="33"/>
  <c r="L72" i="33"/>
  <c r="M73" i="33"/>
  <c r="E75" i="33"/>
  <c r="G76" i="33"/>
  <c r="H77" i="33"/>
  <c r="I78" i="33"/>
  <c r="K79" i="33"/>
  <c r="L80" i="33"/>
  <c r="M81" i="33"/>
  <c r="E83" i="33"/>
  <c r="G84" i="33"/>
  <c r="H85" i="33"/>
  <c r="I86" i="33"/>
  <c r="K87" i="33"/>
  <c r="L88" i="33"/>
  <c r="M89" i="33"/>
  <c r="E91" i="33"/>
  <c r="G92" i="33"/>
  <c r="H93" i="33"/>
  <c r="I94" i="33"/>
  <c r="K95" i="33"/>
  <c r="L96" i="33"/>
  <c r="M97" i="33"/>
  <c r="E99" i="33"/>
  <c r="G3" i="33"/>
  <c r="H4" i="33"/>
  <c r="I5" i="33"/>
  <c r="K6" i="33"/>
  <c r="L7" i="33"/>
  <c r="M8" i="33"/>
  <c r="E10" i="33"/>
  <c r="G11" i="33"/>
  <c r="H12" i="33"/>
  <c r="I13" i="33"/>
  <c r="K14" i="33"/>
  <c r="L15" i="33"/>
  <c r="M16" i="33"/>
  <c r="E18" i="33"/>
  <c r="G19" i="33"/>
  <c r="H20" i="33"/>
  <c r="I21" i="33"/>
  <c r="K22" i="33"/>
  <c r="L23" i="33"/>
  <c r="M24" i="33"/>
  <c r="E26" i="33"/>
  <c r="G27" i="33"/>
  <c r="H28" i="33"/>
  <c r="I29" i="33"/>
  <c r="K30" i="33"/>
  <c r="L31" i="33"/>
  <c r="M32" i="33"/>
  <c r="E34" i="33"/>
  <c r="G35" i="33"/>
  <c r="H36" i="33"/>
  <c r="I37" i="33"/>
  <c r="K38" i="33"/>
  <c r="L39" i="33"/>
  <c r="M40" i="33"/>
  <c r="E42" i="33"/>
  <c r="G43" i="33"/>
  <c r="H44" i="33"/>
  <c r="I45" i="33"/>
  <c r="K46" i="33"/>
  <c r="L47" i="33"/>
  <c r="M48" i="33"/>
  <c r="E50" i="33"/>
  <c r="G51" i="33"/>
  <c r="H52" i="33"/>
  <c r="I53" i="33"/>
  <c r="K54" i="33"/>
  <c r="L55" i="33"/>
  <c r="M56" i="33"/>
  <c r="E58" i="33"/>
  <c r="G59" i="33"/>
  <c r="H60" i="33"/>
  <c r="I61" i="33"/>
  <c r="K62" i="33"/>
  <c r="L63" i="33"/>
  <c r="M64" i="33"/>
  <c r="E66" i="33"/>
  <c r="G67" i="33"/>
  <c r="H68" i="33"/>
  <c r="I69" i="33"/>
  <c r="K70" i="33"/>
  <c r="L71" i="33"/>
  <c r="M72" i="33"/>
  <c r="E74" i="33"/>
  <c r="G75" i="33"/>
  <c r="H76" i="33"/>
  <c r="I77" i="33"/>
  <c r="K78" i="33"/>
  <c r="L79" i="33"/>
  <c r="M80" i="33"/>
  <c r="E82" i="33"/>
  <c r="G83" i="33"/>
  <c r="H84" i="33"/>
  <c r="I85" i="33"/>
  <c r="K86" i="33"/>
  <c r="L87" i="33"/>
  <c r="M88" i="33"/>
  <c r="E90" i="33"/>
  <c r="G91" i="33"/>
  <c r="H92" i="33"/>
  <c r="I93" i="33"/>
  <c r="K94" i="33"/>
  <c r="L95" i="33"/>
  <c r="M96" i="33"/>
  <c r="E98" i="33"/>
  <c r="G99" i="33"/>
  <c r="H3" i="33"/>
  <c r="I4" i="33"/>
  <c r="K5" i="33"/>
  <c r="L6" i="33"/>
  <c r="M7" i="33"/>
  <c r="E9" i="33"/>
  <c r="G10" i="33"/>
  <c r="H11" i="33"/>
  <c r="I12" i="33"/>
  <c r="K13" i="33"/>
  <c r="L14" i="33"/>
  <c r="M15" i="33"/>
  <c r="E17" i="33"/>
  <c r="G18" i="33"/>
  <c r="H19" i="33"/>
  <c r="I20" i="33"/>
  <c r="K21" i="33"/>
  <c r="L22" i="33"/>
  <c r="M23" i="33"/>
  <c r="E25" i="33"/>
  <c r="G26" i="33"/>
  <c r="H27" i="33"/>
  <c r="I28" i="33"/>
  <c r="K29" i="33"/>
  <c r="L30" i="33"/>
  <c r="M31" i="33"/>
  <c r="E33" i="33"/>
  <c r="G34" i="33"/>
  <c r="H35" i="33"/>
  <c r="I36" i="33"/>
  <c r="K37" i="33"/>
  <c r="L38" i="33"/>
  <c r="M39" i="33"/>
  <c r="E41" i="33"/>
  <c r="G42" i="33"/>
  <c r="H43" i="33"/>
  <c r="I44" i="33"/>
  <c r="K45" i="33"/>
  <c r="L46" i="33"/>
  <c r="M47" i="33"/>
  <c r="E49" i="33"/>
  <c r="G50" i="33"/>
  <c r="H51" i="33"/>
  <c r="I52" i="33"/>
  <c r="K53" i="33"/>
  <c r="L54" i="33"/>
  <c r="M55" i="33"/>
  <c r="E57" i="33"/>
  <c r="G58" i="33"/>
  <c r="H59" i="33"/>
  <c r="I60" i="33"/>
  <c r="K61" i="33"/>
  <c r="L62" i="33"/>
  <c r="M63" i="33"/>
  <c r="E65" i="33"/>
  <c r="G66" i="33"/>
  <c r="H67" i="33"/>
  <c r="I68" i="33"/>
  <c r="K69" i="33"/>
  <c r="L70" i="33"/>
  <c r="M71" i="33"/>
  <c r="E73" i="33"/>
  <c r="G74" i="33"/>
  <c r="H75" i="33"/>
  <c r="I76" i="33"/>
  <c r="K77" i="33"/>
  <c r="L78" i="33"/>
  <c r="M79" i="33"/>
  <c r="E81" i="33"/>
  <c r="G82" i="33"/>
  <c r="H83" i="33"/>
  <c r="I84" i="33"/>
  <c r="K85" i="33"/>
  <c r="L86" i="33"/>
  <c r="M87" i="33"/>
  <c r="E89" i="33"/>
  <c r="G90" i="33"/>
  <c r="H91" i="33"/>
  <c r="I92" i="33"/>
  <c r="K93" i="33"/>
  <c r="L94" i="33"/>
  <c r="M95" i="33"/>
  <c r="E97" i="33"/>
  <c r="G98" i="33"/>
  <c r="H99" i="33"/>
  <c r="I3" i="33"/>
  <c r="K4" i="33"/>
  <c r="L5" i="33"/>
  <c r="M6" i="33"/>
  <c r="E8" i="33"/>
  <c r="G9" i="33"/>
  <c r="H10" i="33"/>
  <c r="I11" i="33"/>
  <c r="K12" i="33"/>
  <c r="L13" i="33"/>
  <c r="M14" i="33"/>
  <c r="E16" i="33"/>
  <c r="G17" i="33"/>
  <c r="H18" i="33"/>
  <c r="I19" i="33"/>
  <c r="K20" i="33"/>
  <c r="L21" i="33"/>
  <c r="M22" i="33"/>
  <c r="E24" i="33"/>
  <c r="G25" i="33"/>
  <c r="H26" i="33"/>
  <c r="I27" i="33"/>
  <c r="K28" i="33"/>
  <c r="L29" i="33"/>
  <c r="M30" i="33"/>
  <c r="E32" i="33"/>
  <c r="G33" i="33"/>
  <c r="H34" i="33"/>
  <c r="I35" i="33"/>
  <c r="K36" i="33"/>
  <c r="L37" i="33"/>
  <c r="M38" i="33"/>
  <c r="E40" i="33"/>
  <c r="G41" i="33"/>
  <c r="H42" i="33"/>
  <c r="I43" i="33"/>
  <c r="K44" i="33"/>
  <c r="L45" i="33"/>
  <c r="M46" i="33"/>
  <c r="E48" i="33"/>
  <c r="G49" i="33"/>
  <c r="H50" i="33"/>
  <c r="I51" i="33"/>
  <c r="K52" i="33"/>
  <c r="L53" i="33"/>
  <c r="M54" i="33"/>
  <c r="E56" i="33"/>
  <c r="G57" i="33"/>
  <c r="H58" i="33"/>
  <c r="I59" i="33"/>
  <c r="K60" i="33"/>
  <c r="L61" i="33"/>
  <c r="M62" i="33"/>
  <c r="E64" i="33"/>
  <c r="G65" i="33"/>
  <c r="H66" i="33"/>
  <c r="I67" i="33"/>
  <c r="K68" i="33"/>
  <c r="L69" i="33"/>
  <c r="M70" i="33"/>
  <c r="E72" i="33"/>
  <c r="G73" i="33"/>
  <c r="H74" i="33"/>
  <c r="I75" i="33"/>
  <c r="K76" i="33"/>
  <c r="L77" i="33"/>
  <c r="M78" i="33"/>
  <c r="E80" i="33"/>
  <c r="G81" i="33"/>
  <c r="H82" i="33"/>
  <c r="I83" i="33"/>
  <c r="K84" i="33"/>
  <c r="L85" i="33"/>
  <c r="M86" i="33"/>
  <c r="E88" i="33"/>
  <c r="G89" i="33"/>
  <c r="H90" i="33"/>
  <c r="I91" i="33"/>
  <c r="K92" i="33"/>
  <c r="L93" i="33"/>
  <c r="M94" i="33"/>
  <c r="E96" i="33"/>
  <c r="G97" i="33"/>
  <c r="H98" i="33"/>
  <c r="I99" i="33"/>
  <c r="K3" i="33"/>
  <c r="L4" i="33"/>
  <c r="M5" i="33"/>
  <c r="E7" i="33"/>
  <c r="G8" i="33"/>
  <c r="H9" i="33"/>
  <c r="I10" i="33"/>
  <c r="K11" i="33"/>
  <c r="L12" i="33"/>
  <c r="M13" i="33"/>
  <c r="E15" i="33"/>
  <c r="G16" i="33"/>
  <c r="H17" i="33"/>
  <c r="I18" i="33"/>
  <c r="K19" i="33"/>
  <c r="L20" i="33"/>
  <c r="M21" i="33"/>
  <c r="E23" i="33"/>
  <c r="G24" i="33"/>
  <c r="H25" i="33"/>
  <c r="I26" i="33"/>
  <c r="K27" i="33"/>
  <c r="L28" i="33"/>
  <c r="M29" i="33"/>
  <c r="E31" i="33"/>
  <c r="G32" i="33"/>
  <c r="H33" i="33"/>
  <c r="I34" i="33"/>
  <c r="K35" i="33"/>
  <c r="L36" i="33"/>
  <c r="M37" i="33"/>
  <c r="E39" i="33"/>
  <c r="G40" i="33"/>
  <c r="H41" i="33"/>
  <c r="I42" i="33"/>
  <c r="K43" i="33"/>
  <c r="L44" i="33"/>
  <c r="M45" i="33"/>
  <c r="E47" i="33"/>
  <c r="G48" i="33"/>
  <c r="H49" i="33"/>
  <c r="I50" i="33"/>
  <c r="K51" i="33"/>
  <c r="L52" i="33"/>
  <c r="M53" i="33"/>
  <c r="E55" i="33"/>
  <c r="G56" i="33"/>
  <c r="H57" i="33"/>
  <c r="I58" i="33"/>
  <c r="K59" i="33"/>
  <c r="L60" i="33"/>
  <c r="M61" i="33"/>
  <c r="E63" i="33"/>
  <c r="G64" i="33"/>
  <c r="H65" i="33"/>
  <c r="I66" i="33"/>
  <c r="K67" i="33"/>
  <c r="L68" i="33"/>
  <c r="M69" i="33"/>
  <c r="E71" i="33"/>
  <c r="G72" i="33"/>
  <c r="H73" i="33"/>
  <c r="I74" i="33"/>
  <c r="K75" i="33"/>
  <c r="L76" i="33"/>
  <c r="M77" i="33"/>
  <c r="E79" i="33"/>
  <c r="G80" i="33"/>
  <c r="H81" i="33"/>
  <c r="I82" i="33"/>
  <c r="K83" i="33"/>
  <c r="L84" i="33"/>
  <c r="M85" i="33"/>
  <c r="E87" i="33"/>
  <c r="G88" i="33"/>
  <c r="H89" i="33"/>
  <c r="I90" i="33"/>
  <c r="K91" i="33"/>
  <c r="L92" i="33"/>
  <c r="M93" i="33"/>
  <c r="E95" i="33"/>
  <c r="G96" i="33"/>
  <c r="H97" i="33"/>
  <c r="I98" i="33"/>
  <c r="K99" i="33"/>
  <c r="L3" i="33"/>
  <c r="M4" i="33"/>
  <c r="E6" i="33"/>
  <c r="G7" i="33"/>
  <c r="H8" i="33"/>
  <c r="I9" i="33"/>
  <c r="K10" i="33"/>
  <c r="L11" i="33"/>
  <c r="M12" i="33"/>
  <c r="E14" i="33"/>
  <c r="G15" i="33"/>
  <c r="H16" i="33"/>
  <c r="I17" i="33"/>
  <c r="K18" i="33"/>
  <c r="L19" i="33"/>
  <c r="M20" i="33"/>
  <c r="E22" i="33"/>
  <c r="G23" i="33"/>
  <c r="H24" i="33"/>
  <c r="I25" i="33"/>
  <c r="K26" i="33"/>
  <c r="L27" i="33"/>
  <c r="M28" i="33"/>
  <c r="E30" i="33"/>
  <c r="G31" i="33"/>
  <c r="H32" i="33"/>
  <c r="I33" i="33"/>
  <c r="K34" i="33"/>
  <c r="L35" i="33"/>
  <c r="M36" i="33"/>
  <c r="E38" i="33"/>
  <c r="G39" i="33"/>
  <c r="H40" i="33"/>
  <c r="I41" i="33"/>
  <c r="K42" i="33"/>
  <c r="L43" i="33"/>
  <c r="M44" i="33"/>
  <c r="E46" i="33"/>
  <c r="G47" i="33"/>
  <c r="H48" i="33"/>
  <c r="I49" i="33"/>
  <c r="K50" i="33"/>
  <c r="L51" i="33"/>
  <c r="M52" i="33"/>
  <c r="E54" i="33"/>
  <c r="G55" i="33"/>
  <c r="H56" i="33"/>
  <c r="I57" i="33"/>
  <c r="K58" i="33"/>
  <c r="L59" i="33"/>
  <c r="M60" i="33"/>
  <c r="E62" i="33"/>
  <c r="G63" i="33"/>
  <c r="H64" i="33"/>
  <c r="I65" i="33"/>
  <c r="K66" i="33"/>
  <c r="L67" i="33"/>
  <c r="M68" i="33"/>
  <c r="E70" i="33"/>
  <c r="G71" i="33"/>
  <c r="H72" i="33"/>
  <c r="I73" i="33"/>
  <c r="K74" i="33"/>
  <c r="L75" i="33"/>
  <c r="M76" i="33"/>
  <c r="E78" i="33"/>
  <c r="G79" i="33"/>
  <c r="H80" i="33"/>
  <c r="I81" i="33"/>
  <c r="K82" i="33"/>
  <c r="L83" i="33"/>
  <c r="M84" i="33"/>
  <c r="E86" i="33"/>
  <c r="G87" i="33"/>
  <c r="H88" i="33"/>
  <c r="I89" i="33"/>
  <c r="K90" i="33"/>
  <c r="L91" i="33"/>
  <c r="M92" i="33"/>
  <c r="E94" i="33"/>
  <c r="G95" i="33"/>
  <c r="H96" i="33"/>
  <c r="I97" i="33"/>
  <c r="K98" i="33"/>
  <c r="L99" i="33"/>
  <c r="M3" i="33"/>
  <c r="I8" i="33"/>
  <c r="E13" i="33"/>
  <c r="K17" i="33"/>
  <c r="G22" i="33"/>
  <c r="L26" i="33"/>
  <c r="H31" i="33"/>
  <c r="M35" i="33"/>
  <c r="I40" i="33"/>
  <c r="E45" i="33"/>
  <c r="K49" i="33"/>
  <c r="G54" i="33"/>
  <c r="L58" i="33"/>
  <c r="H63" i="33"/>
  <c r="M67" i="33"/>
  <c r="I72" i="33"/>
  <c r="E77" i="33"/>
  <c r="K81" i="33"/>
  <c r="G86" i="33"/>
  <c r="L90" i="33"/>
  <c r="H95" i="33"/>
  <c r="M99" i="33"/>
  <c r="E101" i="33"/>
  <c r="G102" i="33"/>
  <c r="H103" i="33"/>
  <c r="I104" i="33"/>
  <c r="K105" i="33"/>
  <c r="L106" i="33"/>
  <c r="M107" i="33"/>
  <c r="E109" i="33"/>
  <c r="G110" i="33"/>
  <c r="H111" i="33"/>
  <c r="I112" i="33"/>
  <c r="K113" i="33"/>
  <c r="L114" i="33"/>
  <c r="M115" i="33"/>
  <c r="E117" i="33"/>
  <c r="G118" i="33"/>
  <c r="H119" i="33"/>
  <c r="I120" i="33"/>
  <c r="K121" i="33"/>
  <c r="L122" i="33"/>
  <c r="M123" i="33"/>
  <c r="E125" i="33"/>
  <c r="G126" i="33"/>
  <c r="H127" i="33"/>
  <c r="I128" i="33"/>
  <c r="K129" i="33"/>
  <c r="L130" i="33"/>
  <c r="M131" i="33"/>
  <c r="E133" i="33"/>
  <c r="G134" i="33"/>
  <c r="H135" i="33"/>
  <c r="I136" i="33"/>
  <c r="K137" i="33"/>
  <c r="L138" i="33"/>
  <c r="M139" i="33"/>
  <c r="E141" i="33"/>
  <c r="G142" i="33"/>
  <c r="H143" i="33"/>
  <c r="I144" i="33"/>
  <c r="K145" i="33"/>
  <c r="L146" i="33"/>
  <c r="M147" i="33"/>
  <c r="E149" i="33"/>
  <c r="G150" i="33"/>
  <c r="H151" i="33"/>
  <c r="I152" i="33"/>
  <c r="K153" i="33"/>
  <c r="L154" i="33"/>
  <c r="M155" i="33"/>
  <c r="E157" i="33"/>
  <c r="G158" i="33"/>
  <c r="H159" i="33"/>
  <c r="I160" i="33"/>
  <c r="K161" i="33"/>
  <c r="L162" i="33"/>
  <c r="E4" i="33"/>
  <c r="K8" i="33"/>
  <c r="G13" i="33"/>
  <c r="L17" i="33"/>
  <c r="H22" i="33"/>
  <c r="M26" i="33"/>
  <c r="I31" i="33"/>
  <c r="E36" i="33"/>
  <c r="K40" i="33"/>
  <c r="G45" i="33"/>
  <c r="L49" i="33"/>
  <c r="H54" i="33"/>
  <c r="M58" i="33"/>
  <c r="I63" i="33"/>
  <c r="E68" i="33"/>
  <c r="K72" i="33"/>
  <c r="G77" i="33"/>
  <c r="L81" i="33"/>
  <c r="H86" i="33"/>
  <c r="M90" i="33"/>
  <c r="I95" i="33"/>
  <c r="E100" i="33"/>
  <c r="G101" i="33"/>
  <c r="H102" i="33"/>
  <c r="I103" i="33"/>
  <c r="K104" i="33"/>
  <c r="L105" i="33"/>
  <c r="M106" i="33"/>
  <c r="E108" i="33"/>
  <c r="G109" i="33"/>
  <c r="H110" i="33"/>
  <c r="I111" i="33"/>
  <c r="K112" i="33"/>
  <c r="L113" i="33"/>
  <c r="M114" i="33"/>
  <c r="E116" i="33"/>
  <c r="G117" i="33"/>
  <c r="H118" i="33"/>
  <c r="I119" i="33"/>
  <c r="K120" i="33"/>
  <c r="L121" i="33"/>
  <c r="M122" i="33"/>
  <c r="E124" i="33"/>
  <c r="G125" i="33"/>
  <c r="H126" i="33"/>
  <c r="I127" i="33"/>
  <c r="K128" i="33"/>
  <c r="L129" i="33"/>
  <c r="M130" i="33"/>
  <c r="E132" i="33"/>
  <c r="G133" i="33"/>
  <c r="H134" i="33"/>
  <c r="I135" i="33"/>
  <c r="K136" i="33"/>
  <c r="L137" i="33"/>
  <c r="M138" i="33"/>
  <c r="E140" i="33"/>
  <c r="G141" i="33"/>
  <c r="H142" i="33"/>
  <c r="I143" i="33"/>
  <c r="K144" i="33"/>
  <c r="L145" i="33"/>
  <c r="M146" i="33"/>
  <c r="E148" i="33"/>
  <c r="G149" i="33"/>
  <c r="H150" i="33"/>
  <c r="I151" i="33"/>
  <c r="K152" i="33"/>
  <c r="L153" i="33"/>
  <c r="M154" i="33"/>
  <c r="E156" i="33"/>
  <c r="G157" i="33"/>
  <c r="H158" i="33"/>
  <c r="I159" i="33"/>
  <c r="K160" i="33"/>
  <c r="L161" i="33"/>
  <c r="M162" i="33"/>
  <c r="E5" i="33"/>
  <c r="K9" i="33"/>
  <c r="G14" i="33"/>
  <c r="L18" i="33"/>
  <c r="H23" i="33"/>
  <c r="M27" i="33"/>
  <c r="I32" i="33"/>
  <c r="E37" i="33"/>
  <c r="K41" i="33"/>
  <c r="G46" i="33"/>
  <c r="L50" i="33"/>
  <c r="H55" i="33"/>
  <c r="M59" i="33"/>
  <c r="I64" i="33"/>
  <c r="E69" i="33"/>
  <c r="K73" i="33"/>
  <c r="G78" i="33"/>
  <c r="L82" i="33"/>
  <c r="H87" i="33"/>
  <c r="M91" i="33"/>
  <c r="I96" i="33"/>
  <c r="G100" i="33"/>
  <c r="H101" i="33"/>
  <c r="I102" i="33"/>
  <c r="K103" i="33"/>
  <c r="L104" i="33"/>
  <c r="M105" i="33"/>
  <c r="E107" i="33"/>
  <c r="G108" i="33"/>
  <c r="H109" i="33"/>
  <c r="I110" i="33"/>
  <c r="K111" i="33"/>
  <c r="L112" i="33"/>
  <c r="M113" i="33"/>
  <c r="E115" i="33"/>
  <c r="G116" i="33"/>
  <c r="H117" i="33"/>
  <c r="I118" i="33"/>
  <c r="K119" i="33"/>
  <c r="L120" i="33"/>
  <c r="M121" i="33"/>
  <c r="E123" i="33"/>
  <c r="G124" i="33"/>
  <c r="H125" i="33"/>
  <c r="I126" i="33"/>
  <c r="K127" i="33"/>
  <c r="L128" i="33"/>
  <c r="M129" i="33"/>
  <c r="E131" i="33"/>
  <c r="G132" i="33"/>
  <c r="H133" i="33"/>
  <c r="I134" i="33"/>
  <c r="K135" i="33"/>
  <c r="L136" i="33"/>
  <c r="M137" i="33"/>
  <c r="E139" i="33"/>
  <c r="G140" i="33"/>
  <c r="H141" i="33"/>
  <c r="I142" i="33"/>
  <c r="K143" i="33"/>
  <c r="L144" i="33"/>
  <c r="M145" i="33"/>
  <c r="E147" i="33"/>
  <c r="G148" i="33"/>
  <c r="H149" i="33"/>
  <c r="I150" i="33"/>
  <c r="K151" i="33"/>
  <c r="L152" i="33"/>
  <c r="M153" i="33"/>
  <c r="E155" i="33"/>
  <c r="G156" i="33"/>
  <c r="H157" i="33"/>
  <c r="I158" i="33"/>
  <c r="K159" i="33"/>
  <c r="L160" i="33"/>
  <c r="M161" i="33"/>
  <c r="G5" i="33"/>
  <c r="L9" i="33"/>
  <c r="H14" i="33"/>
  <c r="M18" i="33"/>
  <c r="I23" i="33"/>
  <c r="E28" i="33"/>
  <c r="K32" i="33"/>
  <c r="G37" i="33"/>
  <c r="L41" i="33"/>
  <c r="H46" i="33"/>
  <c r="M50" i="33"/>
  <c r="I55" i="33"/>
  <c r="E60" i="33"/>
  <c r="K64" i="33"/>
  <c r="G69" i="33"/>
  <c r="L73" i="33"/>
  <c r="H78" i="33"/>
  <c r="M82" i="33"/>
  <c r="I87" i="33"/>
  <c r="E92" i="33"/>
  <c r="K96" i="33"/>
  <c r="H100" i="33"/>
  <c r="I101" i="33"/>
  <c r="K102" i="33"/>
  <c r="L103" i="33"/>
  <c r="M104" i="33"/>
  <c r="E106" i="33"/>
  <c r="G107" i="33"/>
  <c r="H108" i="33"/>
  <c r="I109" i="33"/>
  <c r="K110" i="33"/>
  <c r="L111" i="33"/>
  <c r="M112" i="33"/>
  <c r="E114" i="33"/>
  <c r="G115" i="33"/>
  <c r="H116" i="33"/>
  <c r="I117" i="33"/>
  <c r="K118" i="33"/>
  <c r="L119" i="33"/>
  <c r="M120" i="33"/>
  <c r="E122" i="33"/>
  <c r="G123" i="33"/>
  <c r="H124" i="33"/>
  <c r="I125" i="33"/>
  <c r="K126" i="33"/>
  <c r="L127" i="33"/>
  <c r="M128" i="33"/>
  <c r="E130" i="33"/>
  <c r="G131" i="33"/>
  <c r="H132" i="33"/>
  <c r="I133" i="33"/>
  <c r="K134" i="33"/>
  <c r="L135" i="33"/>
  <c r="M136" i="33"/>
  <c r="E138" i="33"/>
  <c r="G139" i="33"/>
  <c r="H140" i="33"/>
  <c r="I141" i="33"/>
  <c r="K142" i="33"/>
  <c r="L143" i="33"/>
  <c r="M144" i="33"/>
  <c r="E146" i="33"/>
  <c r="G147" i="33"/>
  <c r="H148" i="33"/>
  <c r="I149" i="33"/>
  <c r="K150" i="33"/>
  <c r="L151" i="33"/>
  <c r="M152" i="33"/>
  <c r="E154" i="33"/>
  <c r="G155" i="33"/>
  <c r="H156" i="33"/>
  <c r="I157" i="33"/>
  <c r="K158" i="33"/>
  <c r="L159" i="33"/>
  <c r="M160" i="33"/>
  <c r="E162" i="33"/>
  <c r="G6" i="33"/>
  <c r="L10" i="33"/>
  <c r="H15" i="33"/>
  <c r="M19" i="33"/>
  <c r="I24" i="33"/>
  <c r="E29" i="33"/>
  <c r="K33" i="33"/>
  <c r="G38" i="33"/>
  <c r="L42" i="33"/>
  <c r="H47" i="33"/>
  <c r="M51" i="33"/>
  <c r="I56" i="33"/>
  <c r="E61" i="33"/>
  <c r="K65" i="33"/>
  <c r="G70" i="33"/>
  <c r="L74" i="33"/>
  <c r="H79" i="33"/>
  <c r="M83" i="33"/>
  <c r="I88" i="33"/>
  <c r="E93" i="33"/>
  <c r="K97" i="33"/>
  <c r="I100" i="33"/>
  <c r="K101" i="33"/>
  <c r="L102" i="33"/>
  <c r="M103" i="33"/>
  <c r="E105" i="33"/>
  <c r="G106" i="33"/>
  <c r="H107" i="33"/>
  <c r="I108" i="33"/>
  <c r="K109" i="33"/>
  <c r="L110" i="33"/>
  <c r="M111" i="33"/>
  <c r="E113" i="33"/>
  <c r="G114" i="33"/>
  <c r="H115" i="33"/>
  <c r="I116" i="33"/>
  <c r="K117" i="33"/>
  <c r="L118" i="33"/>
  <c r="M119" i="33"/>
  <c r="E121" i="33"/>
  <c r="G122" i="33"/>
  <c r="H123" i="33"/>
  <c r="I124" i="33"/>
  <c r="K125" i="33"/>
  <c r="L126" i="33"/>
  <c r="M127" i="33"/>
  <c r="E129" i="33"/>
  <c r="G130" i="33"/>
  <c r="H131" i="33"/>
  <c r="I132" i="33"/>
  <c r="K133" i="33"/>
  <c r="L134" i="33"/>
  <c r="M135" i="33"/>
  <c r="E137" i="33"/>
  <c r="G138" i="33"/>
  <c r="H139" i="33"/>
  <c r="I140" i="33"/>
  <c r="K141" i="33"/>
  <c r="L142" i="33"/>
  <c r="M143" i="33"/>
  <c r="E145" i="33"/>
  <c r="G146" i="33"/>
  <c r="H147" i="33"/>
  <c r="I148" i="33"/>
  <c r="K149" i="33"/>
  <c r="L150" i="33"/>
  <c r="M151" i="33"/>
  <c r="E153" i="33"/>
  <c r="G154" i="33"/>
  <c r="H155" i="33"/>
  <c r="I156" i="33"/>
  <c r="K157" i="33"/>
  <c r="L158" i="33"/>
  <c r="M159" i="33"/>
  <c r="E161" i="33"/>
  <c r="G162" i="33"/>
  <c r="H6" i="33"/>
  <c r="M10" i="33"/>
  <c r="I15" i="33"/>
  <c r="E20" i="33"/>
  <c r="K24" i="33"/>
  <c r="J24" i="33" s="1"/>
  <c r="G29" i="33"/>
  <c r="L33" i="33"/>
  <c r="H38" i="33"/>
  <c r="M42" i="33"/>
  <c r="I47" i="33"/>
  <c r="E52" i="33"/>
  <c r="K56" i="33"/>
  <c r="G61" i="33"/>
  <c r="F61" i="33" s="1"/>
  <c r="L65" i="33"/>
  <c r="H70" i="33"/>
  <c r="M74" i="33"/>
  <c r="I79" i="33"/>
  <c r="E84" i="33"/>
  <c r="K88" i="33"/>
  <c r="G93" i="33"/>
  <c r="L97" i="33"/>
  <c r="K100" i="33"/>
  <c r="L101" i="33"/>
  <c r="M102" i="33"/>
  <c r="E104" i="33"/>
  <c r="G105" i="33"/>
  <c r="H106" i="33"/>
  <c r="I107" i="33"/>
  <c r="K108" i="33"/>
  <c r="L109" i="33"/>
  <c r="M110" i="33"/>
  <c r="E112" i="33"/>
  <c r="G113" i="33"/>
  <c r="H114" i="33"/>
  <c r="I115" i="33"/>
  <c r="K116" i="33"/>
  <c r="L117" i="33"/>
  <c r="M118" i="33"/>
  <c r="E120" i="33"/>
  <c r="G121" i="33"/>
  <c r="H122" i="33"/>
  <c r="I123" i="33"/>
  <c r="K124" i="33"/>
  <c r="L125" i="33"/>
  <c r="M126" i="33"/>
  <c r="E128" i="33"/>
  <c r="G129" i="33"/>
  <c r="H130" i="33"/>
  <c r="I131" i="33"/>
  <c r="K132" i="33"/>
  <c r="L133" i="33"/>
  <c r="M134" i="33"/>
  <c r="E136" i="33"/>
  <c r="G137" i="33"/>
  <c r="H138" i="33"/>
  <c r="I139" i="33"/>
  <c r="K140" i="33"/>
  <c r="L141" i="33"/>
  <c r="M142" i="33"/>
  <c r="E144" i="33"/>
  <c r="G145" i="33"/>
  <c r="H146" i="33"/>
  <c r="I147" i="33"/>
  <c r="K148" i="33"/>
  <c r="L149" i="33"/>
  <c r="M150" i="33"/>
  <c r="E152" i="33"/>
  <c r="G153" i="33"/>
  <c r="H154" i="33"/>
  <c r="I155" i="33"/>
  <c r="K156" i="33"/>
  <c r="L157" i="33"/>
  <c r="M158" i="33"/>
  <c r="E160" i="33"/>
  <c r="G161" i="33"/>
  <c r="H162" i="33"/>
  <c r="H7" i="33"/>
  <c r="M11" i="33"/>
  <c r="I16" i="33"/>
  <c r="E21" i="33"/>
  <c r="K25" i="33"/>
  <c r="G30" i="33"/>
  <c r="L34" i="33"/>
  <c r="H39" i="33"/>
  <c r="M43" i="33"/>
  <c r="I48" i="33"/>
  <c r="E53" i="33"/>
  <c r="K57" i="33"/>
  <c r="G62" i="33"/>
  <c r="L66" i="33"/>
  <c r="H71" i="33"/>
  <c r="M75" i="33"/>
  <c r="I80" i="33"/>
  <c r="E85" i="33"/>
  <c r="K89" i="33"/>
  <c r="G94" i="33"/>
  <c r="L98" i="33"/>
  <c r="L100" i="33"/>
  <c r="M101" i="33"/>
  <c r="E103" i="33"/>
  <c r="G104" i="33"/>
  <c r="H105" i="33"/>
  <c r="I106" i="33"/>
  <c r="K107" i="33"/>
  <c r="L108" i="33"/>
  <c r="M109" i="33"/>
  <c r="E111" i="33"/>
  <c r="G112" i="33"/>
  <c r="H113" i="33"/>
  <c r="I114" i="33"/>
  <c r="K115" i="33"/>
  <c r="L116" i="33"/>
  <c r="M117" i="33"/>
  <c r="E119" i="33"/>
  <c r="G120" i="33"/>
  <c r="H121" i="33"/>
  <c r="I122" i="33"/>
  <c r="K123" i="33"/>
  <c r="L124" i="33"/>
  <c r="M125" i="33"/>
  <c r="E127" i="33"/>
  <c r="G128" i="33"/>
  <c r="H129" i="33"/>
  <c r="I130" i="33"/>
  <c r="K131" i="33"/>
  <c r="L132" i="33"/>
  <c r="M133" i="33"/>
  <c r="E135" i="33"/>
  <c r="G136" i="33"/>
  <c r="H137" i="33"/>
  <c r="I138" i="33"/>
  <c r="K139" i="33"/>
  <c r="L140" i="33"/>
  <c r="M141" i="33"/>
  <c r="E143" i="33"/>
  <c r="G144" i="33"/>
  <c r="H145" i="33"/>
  <c r="I146" i="33"/>
  <c r="K147" i="33"/>
  <c r="L148" i="33"/>
  <c r="M149" i="33"/>
  <c r="E151" i="33"/>
  <c r="G152" i="33"/>
  <c r="H153" i="33"/>
  <c r="I154" i="33"/>
  <c r="K155" i="33"/>
  <c r="L156" i="33"/>
  <c r="M157" i="33"/>
  <c r="E159" i="33"/>
  <c r="G160" i="33"/>
  <c r="H161" i="33"/>
  <c r="I162" i="33"/>
  <c r="I7" i="33"/>
  <c r="E12" i="33"/>
  <c r="K16" i="33"/>
  <c r="G21" i="33"/>
  <c r="L25" i="33"/>
  <c r="H30" i="33"/>
  <c r="M34" i="33"/>
  <c r="I39" i="33"/>
  <c r="E44" i="33"/>
  <c r="K48" i="33"/>
  <c r="G53" i="33"/>
  <c r="L57" i="33"/>
  <c r="H62" i="33"/>
  <c r="M66" i="33"/>
  <c r="I71" i="33"/>
  <c r="E76" i="33"/>
  <c r="K80" i="33"/>
  <c r="G85" i="33"/>
  <c r="L89" i="33"/>
  <c r="H94" i="33"/>
  <c r="M98" i="33"/>
  <c r="M100" i="33"/>
  <c r="E102" i="33"/>
  <c r="G103" i="33"/>
  <c r="H104" i="33"/>
  <c r="I105" i="33"/>
  <c r="K106" i="33"/>
  <c r="L107" i="33"/>
  <c r="M108" i="33"/>
  <c r="E110" i="33"/>
  <c r="G111" i="33"/>
  <c r="H112" i="33"/>
  <c r="I113" i="33"/>
  <c r="K114" i="33"/>
  <c r="L115" i="33"/>
  <c r="M116" i="33"/>
  <c r="E118" i="33"/>
  <c r="G119" i="33"/>
  <c r="H120" i="33"/>
  <c r="I121" i="33"/>
  <c r="K122" i="33"/>
  <c r="L123" i="33"/>
  <c r="M124" i="33"/>
  <c r="E126" i="33"/>
  <c r="G127" i="33"/>
  <c r="H128" i="33"/>
  <c r="I129" i="33"/>
  <c r="K130" i="33"/>
  <c r="L131" i="33"/>
  <c r="M132" i="33"/>
  <c r="E134" i="33"/>
  <c r="G135" i="33"/>
  <c r="H136" i="33"/>
  <c r="I137" i="33"/>
  <c r="K138" i="33"/>
  <c r="L139" i="33"/>
  <c r="M140" i="33"/>
  <c r="E142" i="33"/>
  <c r="G143" i="33"/>
  <c r="H144" i="33"/>
  <c r="I145" i="33"/>
  <c r="K146" i="33"/>
  <c r="L147" i="33"/>
  <c r="M148" i="33"/>
  <c r="E150" i="33"/>
  <c r="G151" i="33"/>
  <c r="H152" i="33"/>
  <c r="I153" i="33"/>
  <c r="K154" i="33"/>
  <c r="L155" i="33"/>
  <c r="M156" i="33"/>
  <c r="E158" i="33"/>
  <c r="G159" i="33"/>
  <c r="H160" i="33"/>
  <c r="I161" i="33"/>
  <c r="K162" i="33"/>
  <c r="AC25" i="33"/>
  <c r="B2" i="33"/>
  <c r="B162" i="33"/>
  <c r="B154" i="33"/>
  <c r="B146" i="33"/>
  <c r="B138" i="33"/>
  <c r="B130" i="33"/>
  <c r="B122" i="33"/>
  <c r="B114" i="33"/>
  <c r="B106" i="33"/>
  <c r="B98" i="33"/>
  <c r="B90" i="33"/>
  <c r="B82" i="33"/>
  <c r="B74" i="33"/>
  <c r="B66" i="33"/>
  <c r="B58" i="33"/>
  <c r="B50" i="33"/>
  <c r="B42" i="33"/>
  <c r="B34" i="33"/>
  <c r="B26" i="33"/>
  <c r="B18" i="33"/>
  <c r="B10" i="33"/>
  <c r="B161" i="33"/>
  <c r="B153" i="33"/>
  <c r="B145" i="33"/>
  <c r="B137" i="33"/>
  <c r="B129" i="33"/>
  <c r="B121" i="33"/>
  <c r="B113" i="33"/>
  <c r="B105" i="33"/>
  <c r="B97" i="33"/>
  <c r="B89" i="33"/>
  <c r="B81" i="33"/>
  <c r="B73" i="33"/>
  <c r="B65" i="33"/>
  <c r="B57" i="33"/>
  <c r="B49" i="33"/>
  <c r="B41" i="33"/>
  <c r="B33" i="33"/>
  <c r="B25" i="33"/>
  <c r="B17" i="33"/>
  <c r="B9" i="33"/>
  <c r="B160" i="33"/>
  <c r="B152" i="33"/>
  <c r="B144" i="33"/>
  <c r="B136" i="33"/>
  <c r="B128" i="33"/>
  <c r="B120" i="33"/>
  <c r="B112" i="33"/>
  <c r="B104" i="33"/>
  <c r="B96" i="33"/>
  <c r="B88" i="33"/>
  <c r="B80" i="33"/>
  <c r="B72" i="33"/>
  <c r="B64" i="33"/>
  <c r="B56" i="33"/>
  <c r="B48" i="33"/>
  <c r="B40" i="33"/>
  <c r="B32" i="33"/>
  <c r="B24" i="33"/>
  <c r="B16" i="33"/>
  <c r="B8" i="33"/>
  <c r="B159" i="33"/>
  <c r="B151" i="33"/>
  <c r="B143" i="33"/>
  <c r="B135" i="33"/>
  <c r="B127" i="33"/>
  <c r="B119" i="33"/>
  <c r="B111" i="33"/>
  <c r="B103" i="33"/>
  <c r="B95" i="33"/>
  <c r="B87" i="33"/>
  <c r="B79" i="33"/>
  <c r="B71" i="33"/>
  <c r="B63" i="33"/>
  <c r="B55" i="33"/>
  <c r="B47" i="33"/>
  <c r="B39" i="33"/>
  <c r="B31" i="33"/>
  <c r="B23" i="33"/>
  <c r="B15" i="33"/>
  <c r="B7" i="33"/>
  <c r="B158" i="33"/>
  <c r="B150" i="33"/>
  <c r="B142" i="33"/>
  <c r="B134" i="33"/>
  <c r="B126" i="33"/>
  <c r="B118" i="33"/>
  <c r="B110" i="33"/>
  <c r="B102" i="33"/>
  <c r="B94" i="33"/>
  <c r="B86" i="33"/>
  <c r="B78" i="33"/>
  <c r="B70" i="33"/>
  <c r="B62" i="33"/>
  <c r="B54" i="33"/>
  <c r="B46" i="33"/>
  <c r="B38" i="33"/>
  <c r="B30" i="33"/>
  <c r="B22" i="33"/>
  <c r="B14" i="33"/>
  <c r="B6" i="33"/>
  <c r="B157" i="33"/>
  <c r="B149" i="33"/>
  <c r="B141" i="33"/>
  <c r="B133" i="33"/>
  <c r="B125" i="33"/>
  <c r="B117" i="33"/>
  <c r="B109" i="33"/>
  <c r="B101" i="33"/>
  <c r="B93" i="33"/>
  <c r="B85" i="33"/>
  <c r="B77" i="33"/>
  <c r="B69" i="33"/>
  <c r="B61" i="33"/>
  <c r="B53" i="33"/>
  <c r="B45" i="33"/>
  <c r="B37" i="33"/>
  <c r="B29" i="33"/>
  <c r="B21" i="33"/>
  <c r="B13" i="33"/>
  <c r="B156" i="33"/>
  <c r="B148" i="33"/>
  <c r="B140" i="33"/>
  <c r="B132" i="33"/>
  <c r="B124" i="33"/>
  <c r="B116" i="33"/>
  <c r="B108" i="33"/>
  <c r="B100" i="33"/>
  <c r="B92" i="33"/>
  <c r="B84" i="33"/>
  <c r="B76" i="33"/>
  <c r="B68" i="33"/>
  <c r="B60" i="33"/>
  <c r="B52" i="33"/>
  <c r="B44" i="33"/>
  <c r="B36" i="33"/>
  <c r="B28" i="33"/>
  <c r="B20" i="33"/>
  <c r="B12" i="33"/>
  <c r="B4" i="33"/>
  <c r="B155" i="33"/>
  <c r="B147" i="33"/>
  <c r="B139" i="33"/>
  <c r="B131" i="33"/>
  <c r="B123" i="33"/>
  <c r="B115" i="33"/>
  <c r="B107" i="33"/>
  <c r="B99" i="33"/>
  <c r="B91" i="33"/>
  <c r="B83" i="33"/>
  <c r="B75" i="33"/>
  <c r="B67" i="33"/>
  <c r="B59" i="33"/>
  <c r="B51" i="33"/>
  <c r="B43" i="33"/>
  <c r="B35" i="33"/>
  <c r="B27" i="33"/>
  <c r="B19" i="33"/>
  <c r="B11" i="33"/>
  <c r="B3" i="33"/>
  <c r="G2" i="33"/>
  <c r="H2" i="33"/>
  <c r="I2" i="33"/>
  <c r="BA3" i="33"/>
  <c r="AC20" i="33"/>
  <c r="AC22" i="33"/>
  <c r="AC21" i="33"/>
  <c r="AO2" i="33"/>
  <c r="AO5" i="33"/>
  <c r="AO4" i="33"/>
  <c r="AO3" i="33"/>
  <c r="AO6" i="33"/>
  <c r="BA5" i="33"/>
  <c r="BA4" i="33"/>
  <c r="BA2" i="33"/>
  <c r="BA6" i="33"/>
  <c r="AH5" i="33"/>
  <c r="BM3" i="33"/>
  <c r="BM2" i="33"/>
  <c r="BM6" i="33"/>
  <c r="BM5" i="33"/>
  <c r="BM4" i="33"/>
  <c r="J64" i="33" l="1"/>
  <c r="F93" i="33"/>
  <c r="J56" i="33"/>
  <c r="F29" i="33"/>
  <c r="J96" i="33"/>
  <c r="F135" i="33"/>
  <c r="J162" i="33"/>
  <c r="J165" i="33"/>
  <c r="F37" i="33"/>
  <c r="F143" i="33"/>
  <c r="J106" i="33"/>
  <c r="F53" i="33"/>
  <c r="J16" i="33"/>
  <c r="F13" i="33"/>
  <c r="J80" i="33"/>
  <c r="F77" i="33"/>
  <c r="J40" i="33"/>
  <c r="F127" i="33"/>
  <c r="J154" i="33"/>
  <c r="J146" i="33"/>
  <c r="F119" i="33"/>
  <c r="J130" i="33"/>
  <c r="F103" i="33"/>
  <c r="J166" i="33"/>
  <c r="F159" i="33"/>
  <c r="J122" i="33"/>
  <c r="F5" i="33"/>
  <c r="F69" i="33"/>
  <c r="J32" i="33"/>
  <c r="F21" i="33"/>
  <c r="J88" i="33"/>
  <c r="F151" i="33"/>
  <c r="J114" i="33"/>
  <c r="F85" i="33"/>
  <c r="J48" i="33"/>
  <c r="J164" i="33"/>
  <c r="F165" i="33"/>
  <c r="F163" i="33"/>
  <c r="F166" i="33"/>
  <c r="J163" i="33"/>
  <c r="F164" i="33"/>
  <c r="F45" i="33"/>
  <c r="J8" i="33"/>
  <c r="J138" i="33"/>
  <c r="F111" i="33"/>
  <c r="J72" i="33"/>
  <c r="X50" i="33"/>
  <c r="X58" i="33"/>
  <c r="X60" i="33"/>
  <c r="X57" i="33"/>
  <c r="X51" i="33"/>
  <c r="X59" i="33"/>
  <c r="X52" i="33"/>
  <c r="X36" i="33"/>
  <c r="W39" i="33" a="1"/>
  <c r="X53" i="33"/>
  <c r="X61" i="33"/>
  <c r="X35" i="33"/>
  <c r="X56" i="33"/>
  <c r="X49" i="33"/>
  <c r="X34" i="33"/>
  <c r="X54" i="33"/>
  <c r="X62" i="33"/>
  <c r="X55" i="33"/>
  <c r="H10" i="3"/>
  <c r="J25" i="33"/>
  <c r="J140" i="33"/>
  <c r="J117" i="33"/>
  <c r="J97" i="33"/>
  <c r="J158" i="33"/>
  <c r="J135" i="33"/>
  <c r="J104" i="33"/>
  <c r="J129" i="33"/>
  <c r="J90" i="33"/>
  <c r="J26" i="33"/>
  <c r="J59" i="33"/>
  <c r="J92" i="33"/>
  <c r="J28" i="33"/>
  <c r="J61" i="33"/>
  <c r="J94" i="33"/>
  <c r="J30" i="33"/>
  <c r="J63" i="33"/>
  <c r="J107" i="33"/>
  <c r="J57" i="33"/>
  <c r="J148" i="33"/>
  <c r="J125" i="33"/>
  <c r="J102" i="33"/>
  <c r="J143" i="33"/>
  <c r="J112" i="33"/>
  <c r="J137" i="33"/>
  <c r="J98" i="33"/>
  <c r="J34" i="33"/>
  <c r="J67" i="33"/>
  <c r="J3" i="33"/>
  <c r="J36" i="33"/>
  <c r="J69" i="33"/>
  <c r="J5" i="33"/>
  <c r="X32" i="33" s="1"/>
  <c r="J38" i="33"/>
  <c r="J71" i="33"/>
  <c r="J7" i="33"/>
  <c r="J115" i="33"/>
  <c r="J89" i="33"/>
  <c r="J156" i="33"/>
  <c r="J133" i="33"/>
  <c r="J110" i="33"/>
  <c r="J151" i="33"/>
  <c r="J120" i="33"/>
  <c r="J145" i="33"/>
  <c r="J42" i="33"/>
  <c r="J75" i="33"/>
  <c r="J11" i="33"/>
  <c r="J44" i="33"/>
  <c r="J77" i="33"/>
  <c r="J13" i="33"/>
  <c r="J46" i="33"/>
  <c r="J79" i="33"/>
  <c r="J15" i="33"/>
  <c r="J123" i="33"/>
  <c r="J100" i="33"/>
  <c r="J141" i="33"/>
  <c r="J118" i="33"/>
  <c r="J159" i="33"/>
  <c r="J9" i="33"/>
  <c r="J128" i="33"/>
  <c r="J153" i="33"/>
  <c r="J50" i="33"/>
  <c r="J83" i="33"/>
  <c r="J19" i="33"/>
  <c r="J52" i="33"/>
  <c r="J85" i="33"/>
  <c r="J21" i="33"/>
  <c r="J54" i="33"/>
  <c r="J87" i="33"/>
  <c r="J23" i="33"/>
  <c r="J131" i="33"/>
  <c r="J108" i="33"/>
  <c r="J149" i="33"/>
  <c r="J126" i="33"/>
  <c r="J103" i="33"/>
  <c r="J41" i="33"/>
  <c r="J136" i="33"/>
  <c r="J161" i="33"/>
  <c r="J17" i="33"/>
  <c r="J58" i="33"/>
  <c r="J91" i="33"/>
  <c r="J27" i="33"/>
  <c r="J60" i="33"/>
  <c r="J93" i="33"/>
  <c r="J29" i="33"/>
  <c r="J62" i="33"/>
  <c r="J95" i="33"/>
  <c r="J31" i="33"/>
  <c r="J139" i="33"/>
  <c r="J116" i="33"/>
  <c r="J157" i="33"/>
  <c r="J134" i="33"/>
  <c r="J111" i="33"/>
  <c r="J73" i="33"/>
  <c r="J144" i="33"/>
  <c r="J105" i="33"/>
  <c r="J49" i="33"/>
  <c r="J66" i="33"/>
  <c r="J99" i="33"/>
  <c r="J35" i="33"/>
  <c r="J68" i="33"/>
  <c r="J4" i="33"/>
  <c r="J37" i="33"/>
  <c r="J70" i="33"/>
  <c r="J6" i="33"/>
  <c r="J39" i="33"/>
  <c r="J147" i="33"/>
  <c r="J124" i="33"/>
  <c r="J101" i="33"/>
  <c r="J33" i="33"/>
  <c r="J142" i="33"/>
  <c r="J119" i="33"/>
  <c r="J152" i="33"/>
  <c r="J113" i="33"/>
  <c r="J81" i="33"/>
  <c r="J74" i="33"/>
  <c r="J10" i="33"/>
  <c r="J43" i="33"/>
  <c r="J76" i="33"/>
  <c r="J12" i="33"/>
  <c r="J45" i="33"/>
  <c r="J78" i="33"/>
  <c r="J14" i="33"/>
  <c r="J47" i="33"/>
  <c r="J155" i="33"/>
  <c r="J132" i="33"/>
  <c r="J109" i="33"/>
  <c r="J65" i="33"/>
  <c r="J150" i="33"/>
  <c r="J127" i="33"/>
  <c r="J160" i="33"/>
  <c r="J121" i="33"/>
  <c r="J82" i="33"/>
  <c r="J18" i="33"/>
  <c r="J51" i="33"/>
  <c r="J84" i="33"/>
  <c r="J20" i="33"/>
  <c r="J53" i="33"/>
  <c r="J86" i="33"/>
  <c r="J22" i="33"/>
  <c r="J55" i="33"/>
  <c r="F136" i="33"/>
  <c r="F62" i="33"/>
  <c r="F113" i="33"/>
  <c r="F154" i="33"/>
  <c r="F131" i="33"/>
  <c r="F108" i="33"/>
  <c r="F141" i="33"/>
  <c r="F102" i="33"/>
  <c r="F63" i="33"/>
  <c r="F96" i="33"/>
  <c r="F32" i="33"/>
  <c r="F65" i="33"/>
  <c r="F98" i="33"/>
  <c r="F34" i="33"/>
  <c r="F67" i="33"/>
  <c r="F3" i="33"/>
  <c r="F36" i="33"/>
  <c r="F144" i="33"/>
  <c r="F94" i="33"/>
  <c r="F121" i="33"/>
  <c r="F162" i="33"/>
  <c r="F139" i="33"/>
  <c r="F116" i="33"/>
  <c r="F149" i="33"/>
  <c r="F110" i="33"/>
  <c r="F71" i="33"/>
  <c r="F7" i="33"/>
  <c r="F40" i="33"/>
  <c r="F73" i="33"/>
  <c r="F9" i="33"/>
  <c r="F42" i="33"/>
  <c r="F75" i="33"/>
  <c r="F11" i="33"/>
  <c r="F44" i="33"/>
  <c r="F152" i="33"/>
  <c r="F129" i="33"/>
  <c r="F106" i="33"/>
  <c r="F147" i="33"/>
  <c r="F124" i="33"/>
  <c r="F14" i="33"/>
  <c r="F157" i="33"/>
  <c r="F118" i="33"/>
  <c r="F79" i="33"/>
  <c r="F15" i="33"/>
  <c r="F48" i="33"/>
  <c r="F81" i="33"/>
  <c r="F17" i="33"/>
  <c r="F50" i="33"/>
  <c r="F83" i="33"/>
  <c r="F19" i="33"/>
  <c r="F52" i="33"/>
  <c r="F2" i="33"/>
  <c r="F160" i="33"/>
  <c r="F137" i="33"/>
  <c r="F114" i="33"/>
  <c r="F155" i="33"/>
  <c r="F132" i="33"/>
  <c r="F46" i="33"/>
  <c r="F101" i="33"/>
  <c r="F126" i="33"/>
  <c r="F22" i="33"/>
  <c r="F87" i="33"/>
  <c r="F23" i="33"/>
  <c r="F56" i="33"/>
  <c r="F89" i="33"/>
  <c r="F25" i="33"/>
  <c r="F58" i="33"/>
  <c r="F91" i="33"/>
  <c r="F27" i="33"/>
  <c r="F60" i="33"/>
  <c r="F104" i="33"/>
  <c r="F145" i="33"/>
  <c r="F122" i="33"/>
  <c r="F6" i="33"/>
  <c r="F140" i="33"/>
  <c r="F78" i="33"/>
  <c r="F109" i="33"/>
  <c r="F134" i="33"/>
  <c r="F54" i="33"/>
  <c r="F95" i="33"/>
  <c r="F31" i="33"/>
  <c r="F64" i="33"/>
  <c r="F97" i="33"/>
  <c r="F33" i="33"/>
  <c r="F66" i="33"/>
  <c r="F99" i="33"/>
  <c r="F35" i="33"/>
  <c r="F68" i="33"/>
  <c r="F4" i="33"/>
  <c r="F112" i="33"/>
  <c r="F153" i="33"/>
  <c r="F130" i="33"/>
  <c r="F38" i="33"/>
  <c r="F107" i="33"/>
  <c r="F148" i="33"/>
  <c r="F117" i="33"/>
  <c r="F142" i="33"/>
  <c r="F86" i="33"/>
  <c r="F39" i="33"/>
  <c r="F72" i="33"/>
  <c r="F8" i="33"/>
  <c r="F41" i="33"/>
  <c r="F74" i="33"/>
  <c r="F10" i="33"/>
  <c r="F43" i="33"/>
  <c r="F76" i="33"/>
  <c r="F12" i="33"/>
  <c r="F120" i="33"/>
  <c r="F161" i="33"/>
  <c r="F138" i="33"/>
  <c r="F70" i="33"/>
  <c r="F115" i="33"/>
  <c r="F156" i="33"/>
  <c r="F125" i="33"/>
  <c r="F150" i="33"/>
  <c r="F47" i="33"/>
  <c r="F80" i="33"/>
  <c r="F16" i="33"/>
  <c r="F49" i="33"/>
  <c r="F82" i="33"/>
  <c r="F18" i="33"/>
  <c r="F51" i="33"/>
  <c r="F84" i="33"/>
  <c r="F20" i="33"/>
  <c r="F128" i="33"/>
  <c r="F30" i="33"/>
  <c r="F105" i="33"/>
  <c r="F146" i="33"/>
  <c r="F123" i="33"/>
  <c r="F100" i="33"/>
  <c r="F133" i="33"/>
  <c r="F158" i="33"/>
  <c r="F55" i="33"/>
  <c r="F88" i="33"/>
  <c r="F24" i="33"/>
  <c r="F57" i="33"/>
  <c r="F90" i="33"/>
  <c r="F26" i="33"/>
  <c r="F59" i="33"/>
  <c r="F92" i="33"/>
  <c r="F28" i="33"/>
  <c r="L2" i="33"/>
  <c r="M2" i="33"/>
  <c r="K2" i="33"/>
  <c r="W39" i="33" l="1"/>
  <c r="X42" i="33"/>
  <c r="X41" i="33"/>
  <c r="X43" i="33"/>
  <c r="X44" i="33"/>
  <c r="X45" i="33"/>
  <c r="X40" i="33"/>
  <c r="X46" i="33"/>
  <c r="X47" i="33"/>
  <c r="X48" i="33"/>
  <c r="J2" i="33"/>
  <c r="O40" i="29" s="1"/>
  <c r="O41" i="29" s="1"/>
  <c r="AE3" i="33"/>
  <c r="AA45" i="3" s="1"/>
  <c r="T45" i="3"/>
  <c r="AB2" i="33"/>
  <c r="X44" i="3" s="1"/>
  <c r="AE2" i="33"/>
  <c r="AA44" i="3" s="1"/>
  <c r="AA2" i="33"/>
  <c r="W44" i="3" s="1"/>
  <c r="T44" i="3"/>
  <c r="AE4" i="33"/>
  <c r="AA46" i="3" s="1"/>
  <c r="T46" i="3"/>
  <c r="Y2" i="33"/>
  <c r="Z9" i="33"/>
  <c r="W5" i="33"/>
  <c r="B9" i="35" s="1"/>
  <c r="AA9" i="33"/>
  <c r="AB3" i="33"/>
  <c r="X45" i="3" s="1"/>
  <c r="AA3" i="33"/>
  <c r="Y3" i="33"/>
  <c r="AB9" i="33"/>
  <c r="AA4" i="33"/>
  <c r="Y4" i="33"/>
  <c r="AB4" i="33"/>
  <c r="X46" i="3" s="1"/>
  <c r="A2" i="35" l="1"/>
  <c r="E9" i="35" s="1"/>
  <c r="B14" i="35"/>
  <c r="X33" i="33"/>
  <c r="X31" i="33"/>
  <c r="D14" i="16"/>
  <c r="F14" i="16" s="1"/>
  <c r="H14" i="16" s="1"/>
  <c r="D12" i="16"/>
  <c r="F12" i="16" s="1"/>
  <c r="H12" i="16" s="1"/>
  <c r="D13" i="16"/>
  <c r="F13" i="16" s="1"/>
  <c r="H13" i="16" s="1"/>
  <c r="D15" i="16"/>
  <c r="F15" i="16" s="1"/>
  <c r="H15" i="16" s="1"/>
  <c r="D16" i="16"/>
  <c r="F16" i="16" s="1"/>
  <c r="H16" i="16" s="1"/>
  <c r="D21" i="16"/>
  <c r="F21" i="16" s="1"/>
  <c r="H21" i="16" s="1"/>
  <c r="D17" i="16"/>
  <c r="F17" i="16" s="1"/>
  <c r="H17" i="16" s="1"/>
  <c r="D20" i="16"/>
  <c r="F20" i="16" s="1"/>
  <c r="H20" i="16" s="1"/>
  <c r="D18" i="16"/>
  <c r="F18" i="16" s="1"/>
  <c r="H18" i="16" s="1"/>
  <c r="D19" i="16"/>
  <c r="F19" i="16" s="1"/>
  <c r="H19" i="16" s="1"/>
  <c r="D9" i="16"/>
  <c r="F9" i="16" s="1"/>
  <c r="D3" i="16"/>
  <c r="F3" i="16" s="1"/>
  <c r="D6" i="16"/>
  <c r="F6" i="16" s="1"/>
  <c r="D5" i="16"/>
  <c r="F5" i="16" s="1"/>
  <c r="D11" i="16"/>
  <c r="F11" i="16" s="1"/>
  <c r="H11" i="16" s="1"/>
  <c r="D7" i="16"/>
  <c r="F7" i="16" s="1"/>
  <c r="D4" i="16"/>
  <c r="F4" i="16" s="1"/>
  <c r="D10" i="16"/>
  <c r="F10" i="16" s="1"/>
  <c r="D8" i="16"/>
  <c r="F8" i="16" s="1"/>
  <c r="T47" i="3"/>
  <c r="I43" i="3" s="1"/>
  <c r="AE5" i="33"/>
  <c r="AA47" i="3" s="1"/>
  <c r="AC3" i="33"/>
  <c r="Y45" i="3" s="1"/>
  <c r="W45" i="3"/>
  <c r="AC4" i="33"/>
  <c r="Y46" i="3" s="1"/>
  <c r="W46" i="3"/>
  <c r="X9" i="33"/>
  <c r="AC9" i="33" s="1"/>
  <c r="AB5" i="33"/>
  <c r="X47" i="3" s="1"/>
  <c r="AC2" i="33"/>
  <c r="AA5" i="33"/>
  <c r="W47" i="3" s="1"/>
  <c r="E43" i="3" s="1"/>
  <c r="G9" i="35" l="1"/>
  <c r="F9" i="35"/>
  <c r="E3" i="35"/>
  <c r="G3" i="35"/>
  <c r="G6" i="35"/>
  <c r="F11" i="35"/>
  <c r="G11" i="35"/>
  <c r="E4" i="35"/>
  <c r="E11" i="35"/>
  <c r="F8" i="35"/>
  <c r="F7" i="35"/>
  <c r="F12" i="35"/>
  <c r="F4" i="35"/>
  <c r="G10" i="35"/>
  <c r="E8" i="35"/>
  <c r="F10" i="35"/>
  <c r="F5" i="35"/>
  <c r="F6" i="35"/>
  <c r="G12" i="35"/>
  <c r="E10" i="35"/>
  <c r="F3" i="35"/>
  <c r="G4" i="35"/>
  <c r="E5" i="35"/>
  <c r="G7" i="35"/>
  <c r="G5" i="35"/>
  <c r="E7" i="35"/>
  <c r="E12" i="35"/>
  <c r="G8" i="35"/>
  <c r="E6" i="35"/>
  <c r="X37" i="33"/>
  <c r="I10" i="3" s="1"/>
  <c r="H67" i="3"/>
  <c r="H68" i="3"/>
  <c r="H70" i="3"/>
  <c r="H66" i="3"/>
  <c r="H65" i="3"/>
  <c r="AC5" i="33"/>
  <c r="Y47" i="3" s="1"/>
  <c r="Y44" i="3"/>
  <c r="G14" i="35" l="1"/>
  <c r="E14" i="35"/>
  <c r="F14" i="35"/>
  <c r="Y81" i="27"/>
  <c r="U81" i="27"/>
  <c r="T81" i="27"/>
  <c r="P81" i="27"/>
  <c r="AB81" i="27" s="1"/>
  <c r="G9" i="11"/>
  <c r="G8" i="11"/>
  <c r="N17" i="10" l="1"/>
  <c r="G10" i="11"/>
  <c r="F10" i="11" s="1"/>
  <c r="K10" i="11"/>
  <c r="O55" i="2"/>
  <c r="T12" i="2" l="1"/>
  <c r="T13" i="2"/>
  <c r="U9" i="2"/>
  <c r="U10" i="2"/>
  <c r="U11" i="2"/>
  <c r="S80" i="2"/>
  <c r="T80" i="2"/>
  <c r="S81" i="2"/>
  <c r="T81" i="2"/>
  <c r="S82" i="2"/>
  <c r="T82" i="2"/>
  <c r="S83" i="2"/>
  <c r="T83" i="2"/>
  <c r="S84" i="2"/>
  <c r="T84" i="2"/>
  <c r="S85" i="2"/>
  <c r="T85" i="2"/>
  <c r="S86" i="2"/>
  <c r="T86" i="2"/>
  <c r="S87" i="2"/>
  <c r="T87" i="2"/>
  <c r="S88" i="2"/>
  <c r="T88" i="2"/>
  <c r="S89" i="2"/>
  <c r="T89" i="2"/>
  <c r="S90" i="2"/>
  <c r="T90" i="2"/>
  <c r="S91" i="2"/>
  <c r="T91" i="2"/>
  <c r="AE18" i="32" l="1"/>
  <c r="R23" i="10"/>
  <c r="S23" i="10" s="1"/>
  <c r="Y23" i="10" s="1"/>
  <c r="Q23" i="10"/>
  <c r="AJ23" i="10"/>
  <c r="AI23" i="10"/>
  <c r="AH23" i="10"/>
  <c r="AG23" i="10"/>
  <c r="AF23" i="10"/>
  <c r="AE23" i="10"/>
  <c r="AD23" i="10"/>
  <c r="AC23" i="10"/>
  <c r="AB23" i="10"/>
  <c r="AA23" i="10"/>
  <c r="Z23" i="10"/>
  <c r="K23" i="10"/>
  <c r="L23" i="10" s="1"/>
  <c r="N23" i="10"/>
  <c r="O23" i="10" l="1"/>
  <c r="N80" i="27" l="1"/>
  <c r="D79" i="27"/>
  <c r="F79" i="27"/>
  <c r="G79" i="27"/>
  <c r="L79" i="27"/>
  <c r="J79" i="27"/>
  <c r="E79" i="27"/>
  <c r="H79" i="27"/>
  <c r="I79" i="27"/>
  <c r="M79" i="27"/>
  <c r="C79" i="27"/>
  <c r="K79" i="27" l="1"/>
  <c r="K9" i="11" l="1"/>
  <c r="I9" i="11" s="1"/>
  <c r="E9" i="11" s="1"/>
  <c r="V35" i="10" l="1"/>
  <c r="W35" i="10" s="1"/>
  <c r="P35" i="10"/>
  <c r="X35" i="10" l="1"/>
  <c r="AI35" i="10" s="1"/>
  <c r="Q35" i="10"/>
  <c r="R35" i="10"/>
  <c r="S35" i="10"/>
  <c r="Q36" i="10"/>
  <c r="R36" i="10"/>
  <c r="N36" i="10"/>
  <c r="N35" i="10"/>
  <c r="K36" i="10"/>
  <c r="K35" i="10"/>
  <c r="R18" i="7"/>
  <c r="AE18" i="7" s="1"/>
  <c r="U18" i="7"/>
  <c r="V18" i="7" s="1"/>
  <c r="AK18" i="7"/>
  <c r="AL18" i="7" s="1"/>
  <c r="Y35" i="10" l="1"/>
  <c r="AF35" i="10"/>
  <c r="AC35" i="10"/>
  <c r="AB35" i="10"/>
  <c r="Z35" i="10"/>
  <c r="AJ35" i="10"/>
  <c r="AG35" i="10"/>
  <c r="AA35" i="10"/>
  <c r="AD35" i="10"/>
  <c r="AE35" i="10"/>
  <c r="AH35" i="10"/>
  <c r="O35" i="10"/>
  <c r="O36" i="10"/>
  <c r="L35" i="10"/>
  <c r="T18" i="7"/>
  <c r="AA18" i="7" s="1"/>
  <c r="S18" i="7"/>
  <c r="AC18" i="7"/>
  <c r="AF18" i="7" s="1"/>
  <c r="X18" i="7"/>
  <c r="Z18" i="7"/>
  <c r="AG18" i="7" s="1"/>
  <c r="AH18" i="7" s="1"/>
  <c r="AM18" i="7"/>
  <c r="AN18" i="7" s="1"/>
  <c r="AO18" i="7" s="1"/>
  <c r="AP18" i="7" s="1"/>
  <c r="AQ18" i="7" s="1"/>
  <c r="AR18" i="7" s="1"/>
  <c r="AS18" i="7" s="1"/>
  <c r="AT18" i="7" s="1"/>
  <c r="AU18" i="7" s="1"/>
  <c r="N91" i="2"/>
  <c r="BD18" i="7" l="1"/>
  <c r="BC18" i="7"/>
  <c r="BB18" i="7"/>
  <c r="BA18" i="7"/>
  <c r="BG18" i="7"/>
  <c r="AX18" i="7"/>
  <c r="AZ18" i="7"/>
  <c r="AY18" i="7"/>
  <c r="BF18" i="7"/>
  <c r="BE18" i="7"/>
  <c r="AV18" i="7"/>
  <c r="AW18" i="7"/>
  <c r="AQ91" i="2" l="1"/>
  <c r="O91" i="2"/>
  <c r="C91" i="2"/>
  <c r="F91" i="2"/>
  <c r="G91" i="2"/>
  <c r="H91" i="2"/>
  <c r="J91" i="2"/>
  <c r="Y91" i="2"/>
  <c r="AG91" i="2"/>
  <c r="I91" i="2" l="1"/>
  <c r="U91" i="2"/>
  <c r="Q91" i="2" s="1"/>
  <c r="AR91" i="2"/>
  <c r="AS91" i="2" s="1"/>
  <c r="C30" i="29"/>
  <c r="C29" i="29"/>
  <c r="BD91" i="2" l="1"/>
  <c r="AV91" i="2"/>
  <c r="BB91" i="2"/>
  <c r="AZ91" i="2"/>
  <c r="BE91" i="2"/>
  <c r="AU91" i="2"/>
  <c r="BA91" i="2"/>
  <c r="AT91" i="2"/>
  <c r="AY91" i="2"/>
  <c r="AX91" i="2"/>
  <c r="AD91" i="2"/>
  <c r="R91" i="2"/>
  <c r="L91" i="2"/>
  <c r="V91" i="2"/>
  <c r="K91" i="2"/>
  <c r="AE91" i="2" s="1"/>
  <c r="AF91" i="2" s="1"/>
  <c r="AW91" i="2" l="1"/>
  <c r="BC91" i="2"/>
  <c r="E7" i="11"/>
  <c r="M19" i="32" l="1"/>
  <c r="M20" i="32"/>
  <c r="M21" i="32"/>
  <c r="M22" i="32"/>
  <c r="M18" i="32"/>
  <c r="U13" i="32"/>
  <c r="Q13" i="32" s="1"/>
  <c r="U15" i="32"/>
  <c r="Q15" i="32" s="1"/>
  <c r="U14" i="32"/>
  <c r="Q14" i="32" s="1"/>
  <c r="T13" i="32" l="1"/>
  <c r="T15" i="32"/>
  <c r="T14" i="32"/>
  <c r="T5" i="32" l="1"/>
  <c r="G5" i="32" s="1"/>
  <c r="P13" i="32" l="1"/>
  <c r="P15" i="32"/>
  <c r="P14" i="32"/>
  <c r="P5" i="32" l="1"/>
  <c r="BJ18" i="32"/>
  <c r="Y18" i="32" s="1"/>
  <c r="BJ19" i="32"/>
  <c r="Y19" i="32" s="1"/>
  <c r="BJ20" i="32"/>
  <c r="Y20" i="32" s="1"/>
  <c r="BJ21" i="32"/>
  <c r="Y21" i="32" s="1"/>
  <c r="BJ22" i="32"/>
  <c r="Y22" i="32" s="1"/>
  <c r="U18" i="32"/>
  <c r="Q18" i="32" s="1"/>
  <c r="U19" i="32"/>
  <c r="Q19" i="32" s="1"/>
  <c r="U20" i="32"/>
  <c r="Q20" i="32" s="1"/>
  <c r="U21" i="32"/>
  <c r="Q21" i="32" s="1"/>
  <c r="U22" i="32"/>
  <c r="Q22" i="32" s="1"/>
  <c r="T19" i="32"/>
  <c r="G19" i="32" s="1"/>
  <c r="T20" i="32"/>
  <c r="T18" i="32"/>
  <c r="G18" i="32" s="1"/>
  <c r="T21" i="32"/>
  <c r="T22" i="32"/>
  <c r="H57" i="3" l="1"/>
  <c r="S22" i="32"/>
  <c r="AX22" i="32"/>
  <c r="BF22" i="32"/>
  <c r="AY22" i="32"/>
  <c r="BG22" i="32"/>
  <c r="BD22" i="32"/>
  <c r="AZ22" i="32"/>
  <c r="BH22" i="32"/>
  <c r="BA22" i="32"/>
  <c r="BI22" i="32"/>
  <c r="BB22" i="32"/>
  <c r="BC22" i="32"/>
  <c r="BE22" i="32"/>
  <c r="S20" i="32"/>
  <c r="AX20" i="32"/>
  <c r="BF20" i="32"/>
  <c r="AY20" i="32"/>
  <c r="BG20" i="32"/>
  <c r="AZ20" i="32"/>
  <c r="BH20" i="32"/>
  <c r="BA20" i="32"/>
  <c r="BI20" i="32"/>
  <c r="BD20" i="32"/>
  <c r="BB20" i="32"/>
  <c r="BC20" i="32"/>
  <c r="BE20" i="32"/>
  <c r="S19" i="32"/>
  <c r="BB19" i="32"/>
  <c r="BC19" i="32"/>
  <c r="AZ19" i="32"/>
  <c r="BD19" i="32"/>
  <c r="BH19" i="32"/>
  <c r="BE19" i="32"/>
  <c r="AX19" i="32"/>
  <c r="BF19" i="32"/>
  <c r="AY19" i="32"/>
  <c r="BG19" i="32"/>
  <c r="BA19" i="32"/>
  <c r="BI19" i="32"/>
  <c r="R22" i="32"/>
  <c r="S21" i="32"/>
  <c r="BB21" i="32"/>
  <c r="BC21" i="32"/>
  <c r="BD21" i="32"/>
  <c r="BE21" i="32"/>
  <c r="AX21" i="32"/>
  <c r="BF21" i="32"/>
  <c r="AZ21" i="32"/>
  <c r="AY21" i="32"/>
  <c r="BG21" i="32"/>
  <c r="BA21" i="32"/>
  <c r="BI21" i="32"/>
  <c r="BH21" i="32"/>
  <c r="S18" i="32"/>
  <c r="AX18" i="32"/>
  <c r="BF18" i="32"/>
  <c r="AY18" i="32"/>
  <c r="BG18" i="32"/>
  <c r="AZ18" i="32"/>
  <c r="BH18" i="32"/>
  <c r="BA18" i="32"/>
  <c r="BI18" i="32"/>
  <c r="BB18" i="32"/>
  <c r="BC18" i="32"/>
  <c r="BD18" i="32"/>
  <c r="BE18" i="32"/>
  <c r="R21" i="32"/>
  <c r="R19" i="32"/>
  <c r="R18" i="32"/>
  <c r="R20" i="32"/>
  <c r="AX29" i="32" l="1"/>
  <c r="O80" i="27" s="1"/>
  <c r="BC29" i="32"/>
  <c r="T80" i="27" s="1"/>
  <c r="BF29" i="32"/>
  <c r="W80" i="27" s="1"/>
  <c r="BE29" i="32"/>
  <c r="V80" i="27" s="1"/>
  <c r="BG29" i="32"/>
  <c r="X80" i="27" s="1"/>
  <c r="BB29" i="32"/>
  <c r="S80" i="27" s="1"/>
  <c r="BI29" i="32"/>
  <c r="Z80" i="27" s="1"/>
  <c r="BH29" i="32"/>
  <c r="Y80" i="27" s="1"/>
  <c r="BA29" i="32"/>
  <c r="R80" i="27" s="1"/>
  <c r="AZ29" i="32"/>
  <c r="Q80" i="27" s="1"/>
  <c r="BD29" i="32"/>
  <c r="U80" i="27" s="1"/>
  <c r="AY29" i="32"/>
  <c r="P80" i="27" s="1"/>
  <c r="P19" i="32"/>
  <c r="F19" i="32"/>
  <c r="P20" i="32"/>
  <c r="F20" i="32"/>
  <c r="P18" i="32"/>
  <c r="F18" i="32"/>
  <c r="P22" i="32"/>
  <c r="F22" i="32"/>
  <c r="P21" i="32"/>
  <c r="F21" i="32"/>
  <c r="U9" i="32"/>
  <c r="Q9" i="32" s="1"/>
  <c r="U8" i="32"/>
  <c r="Q8" i="32" s="1"/>
  <c r="U12" i="32"/>
  <c r="Q12" i="32" s="1"/>
  <c r="U7" i="32"/>
  <c r="Q7" i="32" s="1"/>
  <c r="T10" i="32"/>
  <c r="G10" i="32" s="1"/>
  <c r="U6" i="32"/>
  <c r="Q6" i="32" s="1"/>
  <c r="T9" i="32"/>
  <c r="G9" i="32" s="1"/>
  <c r="U5" i="32"/>
  <c r="Q5" i="32" s="1"/>
  <c r="U11" i="32"/>
  <c r="Q11" i="32" s="1"/>
  <c r="T12" i="32"/>
  <c r="G12" i="32" s="1"/>
  <c r="T11" i="32"/>
  <c r="G11" i="32" s="1"/>
  <c r="T7" i="32"/>
  <c r="G7" i="32" s="1"/>
  <c r="T8" i="32"/>
  <c r="G8" i="32" s="1"/>
  <c r="T6" i="32"/>
  <c r="G6" i="32" s="1"/>
  <c r="U10" i="32"/>
  <c r="AB80" i="27" l="1"/>
  <c r="M47" i="29"/>
  <c r="P7" i="32"/>
  <c r="Q10" i="32"/>
  <c r="V10" i="32"/>
  <c r="I57" i="3"/>
  <c r="U37" i="3"/>
  <c r="P8" i="32" l="1"/>
  <c r="P12" i="32"/>
  <c r="P6" i="32"/>
  <c r="P10" i="32"/>
  <c r="P11" i="32"/>
  <c r="P9" i="32"/>
  <c r="C27" i="29"/>
  <c r="C28" i="29" l="1"/>
  <c r="D36" i="29"/>
  <c r="U20" i="3" l="1"/>
  <c r="V17" i="3"/>
  <c r="U16" i="3"/>
  <c r="U18" i="3"/>
  <c r="V19" i="3"/>
  <c r="V20" i="3"/>
  <c r="T20" i="3"/>
  <c r="T18" i="3"/>
  <c r="V16" i="3"/>
  <c r="T16" i="3"/>
  <c r="U17" i="3"/>
  <c r="U19" i="3"/>
  <c r="T19" i="3"/>
  <c r="T17" i="3"/>
  <c r="U4" i="3"/>
  <c r="U5" i="3"/>
  <c r="U7" i="3"/>
  <c r="U8" i="3"/>
  <c r="V4" i="3"/>
  <c r="G15" i="29"/>
  <c r="G14" i="29"/>
  <c r="G16" i="29"/>
  <c r="G18" i="29"/>
  <c r="G17" i="29"/>
  <c r="L8" i="29"/>
  <c r="L9" i="29"/>
  <c r="F8" i="11" l="1"/>
  <c r="F7" i="11"/>
  <c r="F6" i="11"/>
  <c r="Y8" i="11" l="1"/>
  <c r="H51" i="3" s="1"/>
  <c r="R8" i="11"/>
  <c r="Y6" i="11"/>
  <c r="H50" i="3" s="1"/>
  <c r="R6" i="11"/>
  <c r="Y4" i="11"/>
  <c r="R4" i="11"/>
  <c r="Y7" i="11"/>
  <c r="R7" i="11"/>
  <c r="Y5" i="11"/>
  <c r="R5" i="11"/>
  <c r="V32" i="10" l="1"/>
  <c r="W32" i="10" s="1"/>
  <c r="X32" i="10" s="1"/>
  <c r="V31" i="10"/>
  <c r="W31" i="10" s="1"/>
  <c r="X31" i="10" s="1"/>
  <c r="F9" i="11"/>
  <c r="Y9" i="11" l="1"/>
  <c r="R9" i="11"/>
  <c r="AB32" i="10"/>
  <c r="AI32" i="10"/>
  <c r="AC32" i="10"/>
  <c r="AH32" i="10"/>
  <c r="Z32" i="10"/>
  <c r="Y32" i="10"/>
  <c r="AF32" i="10"/>
  <c r="AE32" i="10"/>
  <c r="AI31" i="10"/>
  <c r="AF31" i="10"/>
  <c r="AC31" i="10"/>
  <c r="Z31" i="10"/>
  <c r="V28" i="10" l="1"/>
  <c r="W28" i="10" s="1"/>
  <c r="K31" i="10"/>
  <c r="L31" i="10" s="1"/>
  <c r="K32" i="10"/>
  <c r="L32" i="10" s="1"/>
  <c r="N31" i="10"/>
  <c r="N32" i="10"/>
  <c r="R32" i="10"/>
  <c r="Q31" i="10"/>
  <c r="Q32" i="10"/>
  <c r="R31" i="10"/>
  <c r="S31" i="10" s="1"/>
  <c r="K28" i="10"/>
  <c r="L28" i="10" s="1"/>
  <c r="N28" i="10"/>
  <c r="R28" i="10"/>
  <c r="S28" i="10" s="1"/>
  <c r="AG90" i="2"/>
  <c r="AP90" i="2"/>
  <c r="N62" i="9"/>
  <c r="U2" i="7" s="1"/>
  <c r="AK17" i="7"/>
  <c r="Z17" i="7"/>
  <c r="R17" i="7"/>
  <c r="AC17" i="7" s="1"/>
  <c r="O90" i="2"/>
  <c r="N90" i="2"/>
  <c r="F90" i="2"/>
  <c r="G90" i="2"/>
  <c r="H90" i="2"/>
  <c r="C90" i="2"/>
  <c r="J90" i="2"/>
  <c r="AP85" i="2"/>
  <c r="BF85" i="2" s="1"/>
  <c r="AP86" i="2"/>
  <c r="BF86" i="2" s="1"/>
  <c r="AP87" i="2"/>
  <c r="BF87" i="2" s="1"/>
  <c r="AP88" i="2"/>
  <c r="BF88" i="2" s="1"/>
  <c r="AP89" i="2"/>
  <c r="BF89" i="2" s="1"/>
  <c r="AP80" i="2"/>
  <c r="BF80" i="2" s="1"/>
  <c r="AP81" i="2"/>
  <c r="BF81" i="2" s="1"/>
  <c r="AP82" i="2"/>
  <c r="BF82" i="2" s="1"/>
  <c r="AP83" i="2"/>
  <c r="BF83" i="2" s="1"/>
  <c r="AP84" i="2"/>
  <c r="BF84" i="2" s="1"/>
  <c r="AQ2" i="2"/>
  <c r="AQ90" i="2" l="1"/>
  <c r="AR90" i="2" s="1"/>
  <c r="AS90" i="2" s="1"/>
  <c r="BF90" i="2"/>
  <c r="U17" i="7"/>
  <c r="V17" i="7" s="1"/>
  <c r="V2" i="7"/>
  <c r="T2" i="7"/>
  <c r="AA2" i="7" s="1"/>
  <c r="AE17" i="7"/>
  <c r="AG17" i="7" s="1"/>
  <c r="AH17" i="7" s="1"/>
  <c r="BD90" i="2"/>
  <c r="I90" i="2"/>
  <c r="AE31" i="10"/>
  <c r="AB31" i="10"/>
  <c r="Y31" i="10"/>
  <c r="AH31" i="10"/>
  <c r="S32" i="10"/>
  <c r="AD32" i="10" s="1"/>
  <c r="AG31" i="10"/>
  <c r="AA31" i="10"/>
  <c r="AJ31" i="10"/>
  <c r="AD31" i="10"/>
  <c r="X28" i="10"/>
  <c r="Y28" i="10" s="1"/>
  <c r="O32" i="10"/>
  <c r="O31" i="10"/>
  <c r="O28" i="10"/>
  <c r="Q28" i="10"/>
  <c r="X17" i="7"/>
  <c r="U90" i="2"/>
  <c r="Q90" i="2" s="1"/>
  <c r="AV90" i="2"/>
  <c r="AL17" i="7"/>
  <c r="S17" i="7"/>
  <c r="AF17" i="7"/>
  <c r="AG2" i="2"/>
  <c r="AG14" i="2"/>
  <c r="AG15" i="2"/>
  <c r="AG16" i="2"/>
  <c r="AG17" i="2"/>
  <c r="AG18" i="2"/>
  <c r="AG19" i="2"/>
  <c r="AG20" i="2"/>
  <c r="AG21" i="2"/>
  <c r="AG22" i="2"/>
  <c r="AG23" i="2"/>
  <c r="AG24" i="2"/>
  <c r="AG25" i="2"/>
  <c r="AG26" i="2"/>
  <c r="AG27" i="2"/>
  <c r="AG28" i="2"/>
  <c r="AG29" i="2"/>
  <c r="AG30" i="2"/>
  <c r="AG31" i="2"/>
  <c r="AG32" i="2"/>
  <c r="AG33" i="2"/>
  <c r="AG34" i="2"/>
  <c r="AG35" i="2"/>
  <c r="AG36" i="2"/>
  <c r="AG37" i="2"/>
  <c r="AG9" i="2"/>
  <c r="AG38" i="2"/>
  <c r="AG39" i="2"/>
  <c r="AG40" i="2"/>
  <c r="AG41" i="2"/>
  <c r="AG42" i="2"/>
  <c r="AG43" i="2"/>
  <c r="AG44" i="2"/>
  <c r="AG45" i="2"/>
  <c r="AG46" i="2"/>
  <c r="AG47" i="2"/>
  <c r="AG10" i="2"/>
  <c r="AG48" i="2"/>
  <c r="AG49" i="2"/>
  <c r="AG50" i="2"/>
  <c r="AG51" i="2"/>
  <c r="AG52" i="2"/>
  <c r="AG12" i="2"/>
  <c r="AG53" i="2"/>
  <c r="AG54" i="2"/>
  <c r="AG11" i="2"/>
  <c r="AG13" i="2"/>
  <c r="AG55" i="2"/>
  <c r="AG56" i="2"/>
  <c r="AG57" i="2"/>
  <c r="AG58" i="2"/>
  <c r="AG59" i="2"/>
  <c r="AG60" i="2"/>
  <c r="AG61" i="2"/>
  <c r="AG62" i="2"/>
  <c r="AG63" i="2"/>
  <c r="AG64" i="2"/>
  <c r="AG65" i="2"/>
  <c r="AG66" i="2"/>
  <c r="AG67" i="2"/>
  <c r="AG68" i="2"/>
  <c r="AG69" i="2"/>
  <c r="AG70" i="2"/>
  <c r="AG71" i="2"/>
  <c r="AG3" i="2"/>
  <c r="AG4" i="2"/>
  <c r="AG5" i="2"/>
  <c r="AG6" i="2"/>
  <c r="AG72" i="2"/>
  <c r="AG73" i="2"/>
  <c r="AG74" i="2"/>
  <c r="AG75" i="2"/>
  <c r="AG76" i="2"/>
  <c r="AG77" i="2"/>
  <c r="AG78" i="2"/>
  <c r="AG79" i="2"/>
  <c r="AG80" i="2"/>
  <c r="AG81" i="2"/>
  <c r="AG82" i="2"/>
  <c r="AG83" i="2"/>
  <c r="AG84" i="2"/>
  <c r="AG85" i="2"/>
  <c r="AG86" i="2"/>
  <c r="AG87" i="2"/>
  <c r="AG88" i="2"/>
  <c r="AG89" i="2"/>
  <c r="BB90" i="2" l="1"/>
  <c r="AU90" i="2"/>
  <c r="BA90" i="2"/>
  <c r="BE90" i="2"/>
  <c r="AW90" i="2"/>
  <c r="AX90" i="2"/>
  <c r="AY90" i="2"/>
  <c r="AT90" i="2"/>
  <c r="AZ90" i="2"/>
  <c r="A15" i="18"/>
  <c r="T17" i="7"/>
  <c r="AA17" i="7" s="1"/>
  <c r="AW2" i="7"/>
  <c r="AX2" i="7"/>
  <c r="BF2" i="7"/>
  <c r="BA2" i="7"/>
  <c r="BE2" i="7"/>
  <c r="BG2" i="7"/>
  <c r="BC2" i="7"/>
  <c r="AY2" i="7"/>
  <c r="BD2" i="7"/>
  <c r="BB2" i="7"/>
  <c r="AV2" i="7"/>
  <c r="AZ2" i="7"/>
  <c r="AD90" i="2"/>
  <c r="AJ32" i="10"/>
  <c r="AA32" i="10"/>
  <c r="AG32" i="10"/>
  <c r="K90" i="2"/>
  <c r="AE90" i="2" s="1"/>
  <c r="R90" i="2"/>
  <c r="AB28" i="10"/>
  <c r="AJ28" i="10"/>
  <c r="AC28" i="10"/>
  <c r="AG28" i="10"/>
  <c r="Z28" i="10"/>
  <c r="AE28" i="10"/>
  <c r="AH28" i="10"/>
  <c r="AF28" i="10"/>
  <c r="AI28" i="10"/>
  <c r="AD28" i="10"/>
  <c r="AA28" i="10"/>
  <c r="V90" i="2"/>
  <c r="AM17" i="7"/>
  <c r="AN17" i="7" l="1"/>
  <c r="E10" i="11"/>
  <c r="J5" i="11"/>
  <c r="P29" i="10"/>
  <c r="Q29" i="10" s="1"/>
  <c r="K29" i="10"/>
  <c r="L29" i="10" s="1"/>
  <c r="N29" i="10"/>
  <c r="V29" i="10"/>
  <c r="N88" i="2"/>
  <c r="O88" i="2"/>
  <c r="N89" i="2"/>
  <c r="O89" i="2"/>
  <c r="C89" i="2"/>
  <c r="F89" i="2"/>
  <c r="G89" i="2"/>
  <c r="H89" i="2"/>
  <c r="J89" i="2"/>
  <c r="Y89" i="2"/>
  <c r="AQ89" i="2"/>
  <c r="AR89" i="2" s="1"/>
  <c r="AS89" i="2" s="1"/>
  <c r="C88" i="2"/>
  <c r="F88" i="2"/>
  <c r="G88" i="2"/>
  <c r="H88" i="2"/>
  <c r="J88" i="2"/>
  <c r="Y88" i="2"/>
  <c r="AQ88" i="2"/>
  <c r="AR88" i="2" s="1"/>
  <c r="AS88" i="2" s="1"/>
  <c r="A89" i="18"/>
  <c r="AO17" i="7" l="1"/>
  <c r="BC89" i="2"/>
  <c r="AT89" i="2"/>
  <c r="AV88" i="2"/>
  <c r="BB89" i="2"/>
  <c r="BE88" i="2"/>
  <c r="AU88" i="2"/>
  <c r="BA89" i="2"/>
  <c r="BD88" i="2"/>
  <c r="AT88" i="2"/>
  <c r="AZ89" i="2"/>
  <c r="BB88" i="2"/>
  <c r="AY89" i="2"/>
  <c r="BA88" i="2"/>
  <c r="AZ88" i="2"/>
  <c r="AV89" i="2"/>
  <c r="AY88" i="2"/>
  <c r="AW89" i="2"/>
  <c r="BE89" i="2"/>
  <c r="AU89" i="2"/>
  <c r="AX88" i="2"/>
  <c r="I89" i="2"/>
  <c r="U88" i="2"/>
  <c r="Q88" i="2" s="1"/>
  <c r="U89" i="2"/>
  <c r="Q89" i="2" s="1"/>
  <c r="R29" i="10"/>
  <c r="S29" i="10" s="1"/>
  <c r="W29" i="10"/>
  <c r="X29" i="10" s="1"/>
  <c r="O29" i="10"/>
  <c r="I88" i="2"/>
  <c r="A30" i="18" s="1"/>
  <c r="K89" i="2" l="1"/>
  <c r="AE89" i="2" s="1"/>
  <c r="AF89" i="2" s="1"/>
  <c r="A91" i="18"/>
  <c r="AP17" i="7"/>
  <c r="L89" i="2"/>
  <c r="R89" i="2"/>
  <c r="V89" i="2"/>
  <c r="AD89" i="2"/>
  <c r="AE29" i="10"/>
  <c r="AG29" i="10"/>
  <c r="AH29" i="10"/>
  <c r="AC29" i="10"/>
  <c r="AI29" i="10"/>
  <c r="AJ29" i="10"/>
  <c r="AD29" i="10"/>
  <c r="AF29" i="10"/>
  <c r="Z29" i="10"/>
  <c r="Y29" i="10"/>
  <c r="AB29" i="10"/>
  <c r="AA29" i="10"/>
  <c r="AD88" i="2"/>
  <c r="K88" i="2"/>
  <c r="AE88" i="2" s="1"/>
  <c r="V88" i="2"/>
  <c r="L88" i="2"/>
  <c r="R88" i="2"/>
  <c r="Z12" i="7"/>
  <c r="Z13" i="7"/>
  <c r="Z14" i="7"/>
  <c r="Z15" i="7"/>
  <c r="N87" i="2"/>
  <c r="O87" i="2"/>
  <c r="C87" i="2"/>
  <c r="F87" i="2"/>
  <c r="G87" i="2"/>
  <c r="H87" i="2"/>
  <c r="J87" i="2"/>
  <c r="Y87" i="2"/>
  <c r="AQ87" i="2"/>
  <c r="BD89" i="2" l="1"/>
  <c r="AQ17" i="7"/>
  <c r="AF88" i="2"/>
  <c r="AR87" i="2"/>
  <c r="AS87" i="2" s="1"/>
  <c r="AX89" i="2"/>
  <c r="BC88" i="2"/>
  <c r="AW88" i="2"/>
  <c r="I87" i="2"/>
  <c r="U87" i="2"/>
  <c r="Q87" i="2" s="1"/>
  <c r="A73" i="18" l="1"/>
  <c r="Y10" i="11"/>
  <c r="R10" i="11"/>
  <c r="AR17" i="7"/>
  <c r="BE87" i="2"/>
  <c r="AV87" i="2"/>
  <c r="BC87" i="2"/>
  <c r="AU87" i="2"/>
  <c r="AT87" i="2"/>
  <c r="BA87" i="2"/>
  <c r="AY87" i="2"/>
  <c r="BB87" i="2"/>
  <c r="AW87" i="2"/>
  <c r="AZ87" i="2"/>
  <c r="R87" i="2"/>
  <c r="K87" i="2"/>
  <c r="AE87" i="2" s="1"/>
  <c r="L87" i="2"/>
  <c r="V87" i="2"/>
  <c r="AD87" i="2"/>
  <c r="E6" i="11"/>
  <c r="P6" i="11" s="1"/>
  <c r="E5" i="11"/>
  <c r="E4" i="11"/>
  <c r="D119" i="9"/>
  <c r="U6" i="7" s="1"/>
  <c r="D105" i="9"/>
  <c r="D91" i="9"/>
  <c r="U13" i="7" s="1"/>
  <c r="D77" i="9"/>
  <c r="D63" i="9"/>
  <c r="U14" i="7" s="1"/>
  <c r="D49" i="9"/>
  <c r="B37" i="11"/>
  <c r="X10" i="11"/>
  <c r="S10" i="11"/>
  <c r="L6" i="11"/>
  <c r="S6" i="11"/>
  <c r="Z24" i="10"/>
  <c r="AA24" i="10"/>
  <c r="AB24" i="10"/>
  <c r="AC24" i="10"/>
  <c r="AD24" i="10"/>
  <c r="AE24" i="10"/>
  <c r="AF24" i="10"/>
  <c r="AG24" i="10"/>
  <c r="AH24" i="10"/>
  <c r="AI24" i="10"/>
  <c r="AJ24" i="10"/>
  <c r="R24" i="10"/>
  <c r="S24" i="10" s="1"/>
  <c r="Y24" i="10" s="1"/>
  <c r="Q24" i="10"/>
  <c r="K24" i="10"/>
  <c r="N24" i="10"/>
  <c r="Z10" i="11" l="1"/>
  <c r="W81" i="27"/>
  <c r="H49" i="3"/>
  <c r="Q10" i="11"/>
  <c r="AS17" i="7"/>
  <c r="AF87" i="2"/>
  <c r="BD87" i="2"/>
  <c r="AX87" i="2"/>
  <c r="T6" i="11"/>
  <c r="T10" i="11"/>
  <c r="P10" i="11"/>
  <c r="U10" i="11"/>
  <c r="O24" i="10"/>
  <c r="L24" i="10"/>
  <c r="L10" i="11" l="1"/>
  <c r="AT17" i="7"/>
  <c r="AU17" i="7" l="1"/>
  <c r="AX17" i="7" s="1"/>
  <c r="D9" i="9" a="1"/>
  <c r="D9" i="9" s="1"/>
  <c r="C9" i="9" s="1"/>
  <c r="G34" i="16" s="1"/>
  <c r="H34" i="16" s="1"/>
  <c r="I71" i="3" s="1"/>
  <c r="N86" i="2"/>
  <c r="O86" i="2"/>
  <c r="C86" i="2"/>
  <c r="F86" i="2"/>
  <c r="G86" i="2"/>
  <c r="H86" i="2"/>
  <c r="J86" i="2"/>
  <c r="AQ86" i="2"/>
  <c r="W74" i="2"/>
  <c r="W79" i="2"/>
  <c r="W80" i="2"/>
  <c r="Z22" i="10"/>
  <c r="AA22" i="10"/>
  <c r="AB22" i="10"/>
  <c r="AC22" i="10"/>
  <c r="AD22" i="10"/>
  <c r="AE22" i="10"/>
  <c r="AF22" i="10"/>
  <c r="AG22" i="10"/>
  <c r="AH22" i="10"/>
  <c r="AI22" i="10"/>
  <c r="AJ22" i="10"/>
  <c r="Q22" i="10"/>
  <c r="R22" i="10"/>
  <c r="S22" i="10" s="1"/>
  <c r="Y22" i="10" s="1"/>
  <c r="K22" i="10"/>
  <c r="L22" i="10" s="1"/>
  <c r="K77" i="10" s="1"/>
  <c r="N22" i="10"/>
  <c r="O83" i="2"/>
  <c r="O84" i="2"/>
  <c r="O85" i="2"/>
  <c r="N83" i="2"/>
  <c r="N84" i="2"/>
  <c r="N85" i="2"/>
  <c r="C85" i="2"/>
  <c r="F85" i="2"/>
  <c r="G85" i="2"/>
  <c r="H85" i="2"/>
  <c r="J85" i="2"/>
  <c r="Y85" i="2"/>
  <c r="AQ85" i="2"/>
  <c r="C84" i="2"/>
  <c r="F84" i="2"/>
  <c r="G84" i="2"/>
  <c r="H84" i="2"/>
  <c r="J84" i="2"/>
  <c r="Y84" i="2"/>
  <c r="AQ84" i="2"/>
  <c r="C83" i="2"/>
  <c r="F83" i="2"/>
  <c r="G83" i="2"/>
  <c r="H83" i="2"/>
  <c r="J83" i="2"/>
  <c r="Y83" i="2"/>
  <c r="AQ83" i="2"/>
  <c r="U85" i="2" l="1"/>
  <c r="Q85" i="2" s="1"/>
  <c r="BA17" i="7"/>
  <c r="AZ17" i="7"/>
  <c r="BE17" i="7"/>
  <c r="AY17" i="7"/>
  <c r="BC17" i="7"/>
  <c r="BB17" i="7"/>
  <c r="BG17" i="7"/>
  <c r="AW17" i="7"/>
  <c r="AV17" i="7"/>
  <c r="BF17" i="7"/>
  <c r="BD17" i="7"/>
  <c r="AR83" i="2"/>
  <c r="AS83" i="2" s="1"/>
  <c r="AR84" i="2"/>
  <c r="AS84" i="2" s="1"/>
  <c r="AR85" i="2"/>
  <c r="AS85" i="2" s="1"/>
  <c r="AX85" i="2" s="1"/>
  <c r="I86" i="2"/>
  <c r="U86" i="2"/>
  <c r="Q86" i="2" s="1"/>
  <c r="Y86" i="2"/>
  <c r="AR86" i="2"/>
  <c r="AS86" i="2" s="1"/>
  <c r="BA86" i="2" s="1"/>
  <c r="I83" i="2"/>
  <c r="I84" i="2"/>
  <c r="U83" i="2"/>
  <c r="Q83" i="2" s="1"/>
  <c r="I85" i="2"/>
  <c r="A25" i="18" s="1"/>
  <c r="U84" i="2"/>
  <c r="Q84" i="2" s="1"/>
  <c r="O22" i="10"/>
  <c r="S7" i="7"/>
  <c r="G31" i="7" s="1"/>
  <c r="A20" i="18" l="1"/>
  <c r="K86" i="2"/>
  <c r="A31" i="17"/>
  <c r="AW83" i="2"/>
  <c r="BE86" i="2"/>
  <c r="AW84" i="2"/>
  <c r="AV86" i="2"/>
  <c r="BE84" i="2"/>
  <c r="AW86" i="2"/>
  <c r="AU84" i="2"/>
  <c r="AY86" i="2"/>
  <c r="BC86" i="2"/>
  <c r="AT84" i="2"/>
  <c r="AY85" i="2"/>
  <c r="BA84" i="2"/>
  <c r="BB86" i="2"/>
  <c r="AV85" i="2"/>
  <c r="AY84" i="2"/>
  <c r="AX86" i="2"/>
  <c r="BE85" i="2"/>
  <c r="AW85" i="2"/>
  <c r="BC84" i="2"/>
  <c r="AV83" i="2"/>
  <c r="BE83" i="2"/>
  <c r="BD86" i="2"/>
  <c r="BD85" i="2"/>
  <c r="AX84" i="2"/>
  <c r="AZ84" i="2"/>
  <c r="AU83" i="2"/>
  <c r="AU85" i="2"/>
  <c r="AT83" i="2"/>
  <c r="BC85" i="2"/>
  <c r="BB83" i="2"/>
  <c r="BB85" i="2"/>
  <c r="AZ83" i="2"/>
  <c r="BC83" i="2"/>
  <c r="AZ86" i="2"/>
  <c r="AT86" i="2"/>
  <c r="BA85" i="2"/>
  <c r="BD84" i="2"/>
  <c r="AY83" i="2"/>
  <c r="BA83" i="2"/>
  <c r="K83" i="2"/>
  <c r="AE83" i="2" s="1"/>
  <c r="R85" i="2"/>
  <c r="K84" i="2"/>
  <c r="AE84" i="2" s="1"/>
  <c r="V86" i="2"/>
  <c r="R86" i="2"/>
  <c r="J19" i="3" s="1"/>
  <c r="AD86" i="2"/>
  <c r="L86" i="2"/>
  <c r="G9" i="3" s="1"/>
  <c r="L84" i="2"/>
  <c r="K85" i="2"/>
  <c r="AE85" i="2" s="1"/>
  <c r="AD84" i="2"/>
  <c r="R84" i="2"/>
  <c r="L85" i="2"/>
  <c r="R83" i="2"/>
  <c r="V85" i="2"/>
  <c r="AD85" i="2"/>
  <c r="V83" i="2"/>
  <c r="L83" i="2"/>
  <c r="V84" i="2"/>
  <c r="AD83" i="2"/>
  <c r="T6" i="6"/>
  <c r="X6" i="6"/>
  <c r="W4" i="8"/>
  <c r="E9" i="3" l="1"/>
  <c r="D9" i="3"/>
  <c r="F9" i="3"/>
  <c r="F19" i="3"/>
  <c r="AE86" i="2"/>
  <c r="AF86" i="2" s="1"/>
  <c r="D19" i="3"/>
  <c r="Q6" i="6"/>
  <c r="E19" i="3"/>
  <c r="AU86" i="2"/>
  <c r="G19" i="3"/>
  <c r="AF84" i="2"/>
  <c r="AF83" i="2"/>
  <c r="AF85" i="2"/>
  <c r="BD83" i="2"/>
  <c r="AX83" i="2"/>
  <c r="AT85" i="2"/>
  <c r="AZ85" i="2"/>
  <c r="BB84" i="2"/>
  <c r="AV84" i="2"/>
  <c r="Y6" i="6"/>
  <c r="Z6" i="6" l="1"/>
  <c r="AA6" i="6" l="1"/>
  <c r="AB6" i="6" s="1"/>
  <c r="AC6" i="6" s="1"/>
  <c r="AD6" i="6" s="1"/>
  <c r="AE6" i="6" s="1"/>
  <c r="AF6" i="6" s="1"/>
  <c r="AG6" i="6" s="1"/>
  <c r="AH6" i="6" s="1"/>
  <c r="AI6" i="6" s="1"/>
  <c r="AU6" i="6" l="1"/>
  <c r="AP6" i="6"/>
  <c r="AS6" i="6"/>
  <c r="AM6" i="6"/>
  <c r="AJ6" i="6"/>
  <c r="AO6" i="6"/>
  <c r="AR6" i="6"/>
  <c r="AQ6" i="6"/>
  <c r="AE3" i="22" l="1"/>
  <c r="AE4" i="22"/>
  <c r="AE5" i="22"/>
  <c r="AE6" i="22"/>
  <c r="AE7" i="22"/>
  <c r="AE8" i="22"/>
  <c r="AE9" i="22"/>
  <c r="AE10" i="22"/>
  <c r="AE11" i="22"/>
  <c r="AE12" i="22"/>
  <c r="AE13" i="22"/>
  <c r="AE14" i="22"/>
  <c r="AE15" i="22"/>
  <c r="AE16" i="22"/>
  <c r="AE17" i="22"/>
  <c r="AE18" i="22"/>
  <c r="AE19" i="22"/>
  <c r="AE20" i="22"/>
  <c r="AE21" i="22"/>
  <c r="AE22" i="22"/>
  <c r="AE23" i="22"/>
  <c r="AE24" i="22"/>
  <c r="AE25" i="22"/>
  <c r="AE26" i="22"/>
  <c r="AE27" i="22"/>
  <c r="AE28" i="22"/>
  <c r="AE29" i="22"/>
  <c r="AE30" i="22"/>
  <c r="AE31" i="22"/>
  <c r="AE32" i="22"/>
  <c r="AE33" i="22"/>
  <c r="AE34" i="22"/>
  <c r="AE35" i="22"/>
  <c r="X8" i="2" s="1"/>
  <c r="AE36" i="22"/>
  <c r="AE37" i="22"/>
  <c r="AE38" i="22"/>
  <c r="AE39" i="22"/>
  <c r="AE40" i="22"/>
  <c r="AE41" i="22"/>
  <c r="AE42" i="22"/>
  <c r="AE43" i="22"/>
  <c r="AE44" i="22"/>
  <c r="AE45" i="22"/>
  <c r="AE46" i="22"/>
  <c r="AE47" i="22"/>
  <c r="AE48" i="22"/>
  <c r="AE49" i="22"/>
  <c r="AE50" i="22"/>
  <c r="AE51" i="22"/>
  <c r="AE52" i="22"/>
  <c r="AE53" i="22"/>
  <c r="AE54" i="22"/>
  <c r="AE55" i="22"/>
  <c r="AE56" i="22"/>
  <c r="AE57" i="22"/>
  <c r="AE58" i="22"/>
  <c r="AE59" i="22"/>
  <c r="AE60" i="22"/>
  <c r="AE61" i="22"/>
  <c r="AE62" i="22"/>
  <c r="X7" i="2" s="1"/>
  <c r="AE63" i="22"/>
  <c r="AE64" i="22"/>
  <c r="AE65" i="22"/>
  <c r="AE66" i="22"/>
  <c r="AE67" i="22"/>
  <c r="AE68" i="22"/>
  <c r="AE69" i="22"/>
  <c r="AE70" i="22"/>
  <c r="AE71" i="22"/>
  <c r="AE72" i="22"/>
  <c r="AE73" i="22"/>
  <c r="AE74" i="22"/>
  <c r="AE75" i="22"/>
  <c r="AE76" i="22"/>
  <c r="AE77" i="22"/>
  <c r="AE78" i="22"/>
  <c r="AE79" i="22"/>
  <c r="AE80" i="22"/>
  <c r="AE81" i="22"/>
  <c r="AE82" i="22"/>
  <c r="AE83" i="22"/>
  <c r="AE84" i="22"/>
  <c r="AE85" i="22"/>
  <c r="AE86" i="22"/>
  <c r="AE87" i="22"/>
  <c r="AE88" i="22"/>
  <c r="AE89" i="22"/>
  <c r="AE90" i="22"/>
  <c r="AE91" i="22"/>
  <c r="AE92" i="22"/>
  <c r="AE93" i="22"/>
  <c r="AE94" i="22"/>
  <c r="AE95" i="22"/>
  <c r="AE96" i="22"/>
  <c r="AE97" i="22"/>
  <c r="AE98" i="22"/>
  <c r="AE99" i="22"/>
  <c r="AE100" i="22"/>
  <c r="AE101" i="22"/>
  <c r="AE102" i="22"/>
  <c r="AE103" i="22"/>
  <c r="AE104" i="22"/>
  <c r="AE105" i="22"/>
  <c r="AE106" i="22"/>
  <c r="AE107" i="22"/>
  <c r="AE108" i="22"/>
  <c r="AE109" i="22"/>
  <c r="AE110" i="22"/>
  <c r="AE111" i="22"/>
  <c r="AE112" i="22"/>
  <c r="AE113" i="22"/>
  <c r="AE114" i="22"/>
  <c r="AE115" i="22"/>
  <c r="AE116" i="22"/>
  <c r="AE117" i="22"/>
  <c r="AE118" i="22"/>
  <c r="AE119" i="22"/>
  <c r="AE120" i="22"/>
  <c r="AE121" i="22"/>
  <c r="AE122" i="22"/>
  <c r="AE123" i="22"/>
  <c r="AE124" i="22"/>
  <c r="AE125" i="22"/>
  <c r="AE126" i="22"/>
  <c r="AE127" i="22"/>
  <c r="AE128" i="22"/>
  <c r="AE129" i="22"/>
  <c r="AE130" i="22"/>
  <c r="AE131" i="22"/>
  <c r="AE132" i="22"/>
  <c r="AE133" i="22"/>
  <c r="AE134" i="22"/>
  <c r="AE135" i="22"/>
  <c r="AE136" i="22"/>
  <c r="AE137" i="22"/>
  <c r="AE138" i="22"/>
  <c r="AE139" i="22"/>
  <c r="AE140" i="22"/>
  <c r="AE141" i="22"/>
  <c r="AE142" i="22"/>
  <c r="AE143" i="22"/>
  <c r="AE144" i="22"/>
  <c r="AE145" i="22"/>
  <c r="AE146" i="22"/>
  <c r="AE147" i="22"/>
  <c r="AE148" i="22"/>
  <c r="AE149" i="22"/>
  <c r="AE150" i="22"/>
  <c r="AE151" i="22"/>
  <c r="AE152" i="22"/>
  <c r="AE153" i="22"/>
  <c r="AE154" i="22"/>
  <c r="AE155" i="22"/>
  <c r="AE156" i="22"/>
  <c r="AE157" i="22"/>
  <c r="AE158" i="22"/>
  <c r="AE159" i="22"/>
  <c r="AE160" i="22"/>
  <c r="AE161" i="22"/>
  <c r="AE162" i="22"/>
  <c r="AE163" i="22"/>
  <c r="AE164" i="22"/>
  <c r="AE165" i="22"/>
  <c r="AE166" i="22"/>
  <c r="AE167" i="22"/>
  <c r="AE168" i="22"/>
  <c r="AE169" i="22"/>
  <c r="AE170" i="22"/>
  <c r="AE171" i="22"/>
  <c r="AE172" i="22"/>
  <c r="AE173" i="22"/>
  <c r="AE174" i="22"/>
  <c r="AE175" i="22"/>
  <c r="AE176" i="22"/>
  <c r="AE177" i="22"/>
  <c r="AE178" i="22"/>
  <c r="AE179" i="22"/>
  <c r="AE180" i="22"/>
  <c r="AE181" i="22"/>
  <c r="AE182" i="22"/>
  <c r="AE183" i="22"/>
  <c r="AE184" i="22"/>
  <c r="AE185" i="22"/>
  <c r="AE186" i="22"/>
  <c r="AE187" i="22"/>
  <c r="AE188" i="22"/>
  <c r="AE189" i="22"/>
  <c r="AE190" i="22"/>
  <c r="AE191" i="22"/>
  <c r="AE192" i="22"/>
  <c r="AE193" i="22"/>
  <c r="AE194" i="22"/>
  <c r="AE195" i="22"/>
  <c r="AE196" i="22"/>
  <c r="AE197" i="22"/>
  <c r="AE198" i="22"/>
  <c r="AE199" i="22"/>
  <c r="AE200" i="22"/>
  <c r="AE201" i="22"/>
  <c r="AE202" i="22"/>
  <c r="AE203" i="22"/>
  <c r="AE204" i="22"/>
  <c r="AE205" i="22"/>
  <c r="AE206" i="22"/>
  <c r="AE207" i="22"/>
  <c r="AE208" i="22"/>
  <c r="AE209" i="22"/>
  <c r="AE210" i="22"/>
  <c r="AE211" i="22"/>
  <c r="AE212" i="22"/>
  <c r="AE213" i="22"/>
  <c r="AE214" i="22"/>
  <c r="AE215" i="22"/>
  <c r="AE216" i="22"/>
  <c r="AE217" i="22"/>
  <c r="AE218" i="22"/>
  <c r="AE219" i="22"/>
  <c r="AE220" i="22"/>
  <c r="AE221" i="22"/>
  <c r="AE222" i="22"/>
  <c r="AE223" i="22"/>
  <c r="AE224" i="22"/>
  <c r="AE225" i="22"/>
  <c r="AE226" i="22"/>
  <c r="AE227" i="22"/>
  <c r="AE228" i="22"/>
  <c r="AE229" i="22"/>
  <c r="AE230" i="22"/>
  <c r="AE231" i="22"/>
  <c r="AE232" i="22"/>
  <c r="AE233" i="22"/>
  <c r="AE234" i="22"/>
  <c r="AE235" i="22"/>
  <c r="AE236" i="22"/>
  <c r="AE237" i="22"/>
  <c r="AE238" i="22"/>
  <c r="AE239" i="22"/>
  <c r="AE240" i="22"/>
  <c r="AE241" i="22"/>
  <c r="AE242" i="22"/>
  <c r="AE243" i="22"/>
  <c r="AE244" i="22"/>
  <c r="AE245" i="22"/>
  <c r="AE2" i="22"/>
  <c r="AD3" i="22"/>
  <c r="AF3" i="22" s="1"/>
  <c r="X50" i="2" s="1"/>
  <c r="AD4" i="22"/>
  <c r="AF4" i="22" s="1"/>
  <c r="X45" i="2" s="1"/>
  <c r="AD5" i="22"/>
  <c r="AF5" i="22" s="1"/>
  <c r="X12" i="2" s="1"/>
  <c r="AD6" i="22"/>
  <c r="AF6" i="22" s="1"/>
  <c r="AD7" i="22"/>
  <c r="AD8" i="22"/>
  <c r="AF8" i="22" s="1"/>
  <c r="AD9" i="22"/>
  <c r="AD10" i="22"/>
  <c r="AD11" i="22"/>
  <c r="AF11" i="22" s="1"/>
  <c r="AD12" i="22"/>
  <c r="AF12" i="22" s="1"/>
  <c r="AD13" i="22"/>
  <c r="AF13" i="22" s="1"/>
  <c r="AD14" i="22"/>
  <c r="AF14" i="22" s="1"/>
  <c r="AD15" i="22"/>
  <c r="AD16" i="22"/>
  <c r="AF16" i="22" s="1"/>
  <c r="X87" i="2" s="1"/>
  <c r="AD17" i="22"/>
  <c r="AF17" i="22" s="1"/>
  <c r="AD18" i="22"/>
  <c r="AD19" i="22"/>
  <c r="AF19" i="22" s="1"/>
  <c r="AD20" i="22"/>
  <c r="AD21" i="22"/>
  <c r="AF21" i="22" s="1"/>
  <c r="AD22" i="22"/>
  <c r="AF22" i="22" s="1"/>
  <c r="X89" i="2" s="1"/>
  <c r="AD23" i="22"/>
  <c r="AD24" i="22"/>
  <c r="AF24" i="22" s="1"/>
  <c r="AD25" i="22"/>
  <c r="AF25" i="22" s="1"/>
  <c r="AD26" i="22"/>
  <c r="AF26" i="22" s="1"/>
  <c r="AD27" i="22"/>
  <c r="AF27" i="22" s="1"/>
  <c r="AD28" i="22"/>
  <c r="AF28" i="22" s="1"/>
  <c r="AD29" i="22"/>
  <c r="AF29" i="22" s="1"/>
  <c r="AD30" i="22"/>
  <c r="AF30" i="22" s="1"/>
  <c r="AD31" i="22"/>
  <c r="AF31" i="22" s="1"/>
  <c r="AD32" i="22"/>
  <c r="AD33" i="22"/>
  <c r="AF33" i="22" s="1"/>
  <c r="AD34" i="22"/>
  <c r="AF34" i="22" s="1"/>
  <c r="AD35" i="22"/>
  <c r="AF35" i="22" s="1"/>
  <c r="AD36" i="22"/>
  <c r="AF36" i="22" s="1"/>
  <c r="AD37" i="22"/>
  <c r="AF37" i="22" s="1"/>
  <c r="AD38" i="22"/>
  <c r="AF38" i="22" s="1"/>
  <c r="AD39" i="22"/>
  <c r="AF39" i="22" s="1"/>
  <c r="AD40" i="22"/>
  <c r="AF40" i="22" s="1"/>
  <c r="AD41" i="22"/>
  <c r="AF41" i="22" s="1"/>
  <c r="AD42" i="22"/>
  <c r="AF42" i="22" s="1"/>
  <c r="AD43" i="22"/>
  <c r="AF43" i="22" s="1"/>
  <c r="AD44" i="22"/>
  <c r="AF44" i="22" s="1"/>
  <c r="AD45" i="22"/>
  <c r="AD46" i="22"/>
  <c r="AD47" i="22"/>
  <c r="AF47" i="22" s="1"/>
  <c r="AD48" i="22"/>
  <c r="AF48" i="22" s="1"/>
  <c r="AD49" i="22"/>
  <c r="AF49" i="22" s="1"/>
  <c r="AD50" i="22"/>
  <c r="AD51" i="22"/>
  <c r="AD52" i="22"/>
  <c r="AD53" i="22"/>
  <c r="AF53" i="22" s="1"/>
  <c r="AD54" i="22"/>
  <c r="AF54" i="22" s="1"/>
  <c r="AD55" i="22"/>
  <c r="AF55" i="22" s="1"/>
  <c r="AD56" i="22"/>
  <c r="AD57" i="22"/>
  <c r="AF57" i="22" s="1"/>
  <c r="AD58" i="22"/>
  <c r="AF58" i="22" s="1"/>
  <c r="AD59" i="22"/>
  <c r="AD60" i="22"/>
  <c r="AF60" i="22" s="1"/>
  <c r="AD61" i="22"/>
  <c r="AF61" i="22" s="1"/>
  <c r="AD62" i="22"/>
  <c r="AF62" i="22" s="1"/>
  <c r="AD63" i="22"/>
  <c r="AF63" i="22" s="1"/>
  <c r="AD64" i="22"/>
  <c r="AF64" i="22" s="1"/>
  <c r="AD65" i="22"/>
  <c r="AF65" i="22" s="1"/>
  <c r="AD66" i="22"/>
  <c r="AF66" i="22" s="1"/>
  <c r="AD67" i="22"/>
  <c r="AF67" i="22" s="1"/>
  <c r="AD68" i="22"/>
  <c r="AF68" i="22" s="1"/>
  <c r="AD69" i="22"/>
  <c r="AD70" i="22"/>
  <c r="AF70" i="22" s="1"/>
  <c r="AD71" i="22"/>
  <c r="AF71" i="22" s="1"/>
  <c r="AD72" i="22"/>
  <c r="AF72" i="22" s="1"/>
  <c r="AD73" i="22"/>
  <c r="AF73" i="22" s="1"/>
  <c r="AD74" i="22"/>
  <c r="AF74" i="22" s="1"/>
  <c r="AD75" i="22"/>
  <c r="AF75" i="22" s="1"/>
  <c r="AD76" i="22"/>
  <c r="AF76" i="22" s="1"/>
  <c r="AD77" i="22"/>
  <c r="AF77" i="22" s="1"/>
  <c r="AD78" i="22"/>
  <c r="AD79" i="22"/>
  <c r="AF79" i="22" s="1"/>
  <c r="AD80" i="22"/>
  <c r="AF80" i="22" s="1"/>
  <c r="AD81" i="22"/>
  <c r="AF81" i="22" s="1"/>
  <c r="AD82" i="22"/>
  <c r="AF82" i="22" s="1"/>
  <c r="AD83" i="22"/>
  <c r="AF83" i="22" s="1"/>
  <c r="AD84" i="22"/>
  <c r="AF84" i="22" s="1"/>
  <c r="AD85" i="22"/>
  <c r="AF85" i="22" s="1"/>
  <c r="AD86" i="22"/>
  <c r="AF86" i="22" s="1"/>
  <c r="AD87" i="22"/>
  <c r="AF87" i="22" s="1"/>
  <c r="AD88" i="22"/>
  <c r="AD89" i="22"/>
  <c r="AD90" i="22"/>
  <c r="AF90" i="22" s="1"/>
  <c r="AD91" i="22"/>
  <c r="AF91" i="22" s="1"/>
  <c r="AD92" i="22"/>
  <c r="AF92" i="22" s="1"/>
  <c r="AD93" i="22"/>
  <c r="AD94" i="22"/>
  <c r="AF94" i="22" s="1"/>
  <c r="AD95" i="22"/>
  <c r="AF95" i="22" s="1"/>
  <c r="X91" i="2" s="1"/>
  <c r="AD96" i="22"/>
  <c r="AF96" i="22" s="1"/>
  <c r="AD97" i="22"/>
  <c r="AF97" i="22" s="1"/>
  <c r="AD98" i="22"/>
  <c r="AF98" i="22" s="1"/>
  <c r="AD99" i="22"/>
  <c r="AF99" i="22" s="1"/>
  <c r="X5" i="2" s="1"/>
  <c r="AD100" i="22"/>
  <c r="AF100" i="22" s="1"/>
  <c r="AD101" i="22"/>
  <c r="AF101" i="22" s="1"/>
  <c r="AD102" i="22"/>
  <c r="AF102" i="22" s="1"/>
  <c r="AD103" i="22"/>
  <c r="AF103" i="22" s="1"/>
  <c r="AD104" i="22"/>
  <c r="AF104" i="22" s="1"/>
  <c r="AD105" i="22"/>
  <c r="AF105" i="22" s="1"/>
  <c r="AD106" i="22"/>
  <c r="AF106" i="22" s="1"/>
  <c r="AD107" i="22"/>
  <c r="AF107" i="22" s="1"/>
  <c r="AD108" i="22"/>
  <c r="AF108" i="22" s="1"/>
  <c r="AD109" i="22"/>
  <c r="AF109" i="22" s="1"/>
  <c r="AD110" i="22"/>
  <c r="AF110" i="22" s="1"/>
  <c r="AD111" i="22"/>
  <c r="AF111" i="22" s="1"/>
  <c r="AD112" i="22"/>
  <c r="AF112" i="22" s="1"/>
  <c r="AD113" i="22"/>
  <c r="AF113" i="22" s="1"/>
  <c r="AD114" i="22"/>
  <c r="AF114" i="22" s="1"/>
  <c r="AD115" i="22"/>
  <c r="AF115" i="22" s="1"/>
  <c r="AD116" i="22"/>
  <c r="AF116" i="22" s="1"/>
  <c r="AD117" i="22"/>
  <c r="AF117" i="22" s="1"/>
  <c r="AD118" i="22"/>
  <c r="AD119" i="22"/>
  <c r="AD120" i="22"/>
  <c r="AF120" i="22" s="1"/>
  <c r="AD121" i="22"/>
  <c r="AF121" i="22" s="1"/>
  <c r="AD122" i="22"/>
  <c r="AD123" i="22"/>
  <c r="AF123" i="22" s="1"/>
  <c r="AD124" i="22"/>
  <c r="AF124" i="22" s="1"/>
  <c r="AD125" i="22"/>
  <c r="AF125" i="22" s="1"/>
  <c r="AD126" i="22"/>
  <c r="AF126" i="22" s="1"/>
  <c r="AD127" i="22"/>
  <c r="AF127" i="22" s="1"/>
  <c r="AD128" i="22"/>
  <c r="AF128" i="22" s="1"/>
  <c r="AD129" i="22"/>
  <c r="AD130" i="22"/>
  <c r="AF130" i="22" s="1"/>
  <c r="AD131" i="22"/>
  <c r="AD132" i="22"/>
  <c r="AD133" i="22"/>
  <c r="AF133" i="22" s="1"/>
  <c r="AD134" i="22"/>
  <c r="AF134" i="22" s="1"/>
  <c r="AD135" i="22"/>
  <c r="AF135" i="22" s="1"/>
  <c r="AD136" i="22"/>
  <c r="AF136" i="22" s="1"/>
  <c r="AD137" i="22"/>
  <c r="AF137" i="22" s="1"/>
  <c r="AD138" i="22"/>
  <c r="AF138" i="22" s="1"/>
  <c r="AD139" i="22"/>
  <c r="AF139" i="22" s="1"/>
  <c r="AD140" i="22"/>
  <c r="AF140" i="22" s="1"/>
  <c r="AD141" i="22"/>
  <c r="AF141" i="22" s="1"/>
  <c r="AD142" i="22"/>
  <c r="AF142" i="22" s="1"/>
  <c r="AD143" i="22"/>
  <c r="AF143" i="22" s="1"/>
  <c r="AD144" i="22"/>
  <c r="AF144" i="22" s="1"/>
  <c r="AD145" i="22"/>
  <c r="AD146" i="22"/>
  <c r="AF146" i="22" s="1"/>
  <c r="AD147" i="22"/>
  <c r="AF147" i="22" s="1"/>
  <c r="AD148" i="22"/>
  <c r="AF148" i="22" s="1"/>
  <c r="AD149" i="22"/>
  <c r="AF149" i="22" s="1"/>
  <c r="AD150" i="22"/>
  <c r="AF150" i="22" s="1"/>
  <c r="AD151" i="22"/>
  <c r="AF151" i="22" s="1"/>
  <c r="AD152" i="22"/>
  <c r="AF152" i="22" s="1"/>
  <c r="AD153" i="22"/>
  <c r="AD154" i="22"/>
  <c r="AF154" i="22" s="1"/>
  <c r="AD155" i="22"/>
  <c r="AF155" i="22" s="1"/>
  <c r="AD156" i="22"/>
  <c r="AF156" i="22" s="1"/>
  <c r="AD157" i="22"/>
  <c r="AF157" i="22" s="1"/>
  <c r="AD158" i="22"/>
  <c r="AF158" i="22" s="1"/>
  <c r="AD159" i="22"/>
  <c r="AF159" i="22" s="1"/>
  <c r="X6" i="2" s="1"/>
  <c r="AD160" i="22"/>
  <c r="AF160" i="22" s="1"/>
  <c r="X54" i="2" s="1"/>
  <c r="AD161" i="22"/>
  <c r="AF161" i="22" s="1"/>
  <c r="X28" i="2" s="1"/>
  <c r="AD162" i="22"/>
  <c r="AF162" i="22" s="1"/>
  <c r="AD163" i="22"/>
  <c r="AF163" i="22" s="1"/>
  <c r="AD164" i="22"/>
  <c r="AF164" i="22" s="1"/>
  <c r="AD165" i="22"/>
  <c r="AF165" i="22" s="1"/>
  <c r="X18" i="2" s="1"/>
  <c r="AD166" i="22"/>
  <c r="AF166" i="22" s="1"/>
  <c r="AD167" i="22"/>
  <c r="AF167" i="22" s="1"/>
  <c r="AD168" i="22"/>
  <c r="AF168" i="22" s="1"/>
  <c r="AD169" i="22"/>
  <c r="AF169" i="22" s="1"/>
  <c r="AD170" i="22"/>
  <c r="AF170" i="22" s="1"/>
  <c r="AD171" i="22"/>
  <c r="AF171" i="22" s="1"/>
  <c r="AD172" i="22"/>
  <c r="AF172" i="22" s="1"/>
  <c r="AD173" i="22"/>
  <c r="AF173" i="22" s="1"/>
  <c r="AD174" i="22"/>
  <c r="AF174" i="22" s="1"/>
  <c r="AD175" i="22"/>
  <c r="AF175" i="22" s="1"/>
  <c r="AD176" i="22"/>
  <c r="AF176" i="22" s="1"/>
  <c r="X56" i="2" s="1"/>
  <c r="AD177" i="22"/>
  <c r="AF177" i="22" s="1"/>
  <c r="AD178" i="22"/>
  <c r="AF178" i="22" s="1"/>
  <c r="AD179" i="22"/>
  <c r="AF179" i="22" s="1"/>
  <c r="AD180" i="22"/>
  <c r="AF180" i="22" s="1"/>
  <c r="AD181" i="22"/>
  <c r="AF181" i="22" s="1"/>
  <c r="AD182" i="22"/>
  <c r="AF182" i="22" s="1"/>
  <c r="AD183" i="22"/>
  <c r="AF183" i="22" s="1"/>
  <c r="AD184" i="22"/>
  <c r="AF184" i="22" s="1"/>
  <c r="AD185" i="22"/>
  <c r="AD186" i="22"/>
  <c r="AF186" i="22" s="1"/>
  <c r="AD187" i="22"/>
  <c r="AF187" i="22" s="1"/>
  <c r="AD188" i="22"/>
  <c r="AF188" i="22" s="1"/>
  <c r="AD189" i="22"/>
  <c r="AF189" i="22" s="1"/>
  <c r="AD190" i="22"/>
  <c r="AF190" i="22" s="1"/>
  <c r="AD191" i="22"/>
  <c r="AF191" i="22" s="1"/>
  <c r="AD192" i="22"/>
  <c r="AF192" i="22" s="1"/>
  <c r="AD193" i="22"/>
  <c r="AF193" i="22" s="1"/>
  <c r="AD194" i="22"/>
  <c r="AF194" i="22" s="1"/>
  <c r="AD195" i="22"/>
  <c r="AF195" i="22" s="1"/>
  <c r="AD196" i="22"/>
  <c r="AF196" i="22" s="1"/>
  <c r="AD197" i="22"/>
  <c r="AF197" i="22" s="1"/>
  <c r="AD198" i="22"/>
  <c r="AF198" i="22" s="1"/>
  <c r="AD199" i="22"/>
  <c r="AF199" i="22" s="1"/>
  <c r="AD200" i="22"/>
  <c r="AF200" i="22" s="1"/>
  <c r="AD201" i="22"/>
  <c r="AF201" i="22" s="1"/>
  <c r="AD202" i="22"/>
  <c r="AF202" i="22" s="1"/>
  <c r="AD203" i="22"/>
  <c r="AF203" i="22" s="1"/>
  <c r="AD204" i="22"/>
  <c r="AF204" i="22" s="1"/>
  <c r="AD205" i="22"/>
  <c r="AF205" i="22" s="1"/>
  <c r="AD206" i="22"/>
  <c r="AF206" i="22" s="1"/>
  <c r="X42" i="2" s="1"/>
  <c r="AD207" i="22"/>
  <c r="AF207" i="22" s="1"/>
  <c r="AD208" i="22"/>
  <c r="AF208" i="22" s="1"/>
  <c r="AD209" i="22"/>
  <c r="AF209" i="22" s="1"/>
  <c r="AD210" i="22"/>
  <c r="AF210" i="22" s="1"/>
  <c r="AD211" i="22"/>
  <c r="AF211" i="22" s="1"/>
  <c r="AD212" i="22"/>
  <c r="AF212" i="22" s="1"/>
  <c r="AD213" i="22"/>
  <c r="AF213" i="22" s="1"/>
  <c r="AD214" i="22"/>
  <c r="AF214" i="22" s="1"/>
  <c r="AD215" i="22"/>
  <c r="AF215" i="22" s="1"/>
  <c r="AD216" i="22"/>
  <c r="AF216" i="22" s="1"/>
  <c r="AD217" i="22"/>
  <c r="AD218" i="22"/>
  <c r="AF218" i="22" s="1"/>
  <c r="AD219" i="22"/>
  <c r="AF219" i="22" s="1"/>
  <c r="AD220" i="22"/>
  <c r="AF220" i="22" s="1"/>
  <c r="AD221" i="22"/>
  <c r="AF221" i="22" s="1"/>
  <c r="AD222" i="22"/>
  <c r="AF222" i="22" s="1"/>
  <c r="AD223" i="22"/>
  <c r="AF223" i="22" s="1"/>
  <c r="AD224" i="22"/>
  <c r="AF224" i="22" s="1"/>
  <c r="AD225" i="22"/>
  <c r="AF225" i="22" s="1"/>
  <c r="AD226" i="22"/>
  <c r="AF226" i="22" s="1"/>
  <c r="AD227" i="22"/>
  <c r="AF227" i="22" s="1"/>
  <c r="AD228" i="22"/>
  <c r="AF228" i="22" s="1"/>
  <c r="AD229" i="22"/>
  <c r="AF229" i="22" s="1"/>
  <c r="AD230" i="22"/>
  <c r="AF230" i="22" s="1"/>
  <c r="AD231" i="22"/>
  <c r="AD232" i="22"/>
  <c r="AD233" i="22"/>
  <c r="AF233" i="22" s="1"/>
  <c r="AD234" i="22"/>
  <c r="AF234" i="22" s="1"/>
  <c r="AD235" i="22"/>
  <c r="AF235" i="22" s="1"/>
  <c r="AD236" i="22"/>
  <c r="AF236" i="22" s="1"/>
  <c r="AD237" i="22"/>
  <c r="AF237" i="22" s="1"/>
  <c r="AD238" i="22"/>
  <c r="AF238" i="22" s="1"/>
  <c r="AD239" i="22"/>
  <c r="AF239" i="22" s="1"/>
  <c r="AD240" i="22"/>
  <c r="AF240" i="22" s="1"/>
  <c r="AD241" i="22"/>
  <c r="AD242" i="22"/>
  <c r="AF242" i="22" s="1"/>
  <c r="AD243" i="22"/>
  <c r="AF243" i="22" s="1"/>
  <c r="AD244" i="22"/>
  <c r="AF244" i="22" s="1"/>
  <c r="AD245" i="22"/>
  <c r="AF245" i="22" s="1"/>
  <c r="AD2" i="22"/>
  <c r="AF2" i="22" s="1"/>
  <c r="X53" i="2" s="1"/>
  <c r="Y82" i="2"/>
  <c r="N82" i="2"/>
  <c r="O82" i="2"/>
  <c r="C82" i="2"/>
  <c r="F82" i="2"/>
  <c r="G82" i="2"/>
  <c r="H82" i="2"/>
  <c r="J82" i="2"/>
  <c r="H2" i="6"/>
  <c r="N2" i="6"/>
  <c r="T2" i="6"/>
  <c r="V2" i="6" s="1"/>
  <c r="X2" i="6"/>
  <c r="Y2" i="6" s="1"/>
  <c r="P7" i="2" l="1"/>
  <c r="Z7" i="2"/>
  <c r="AB7" i="2" s="1"/>
  <c r="P8" i="2"/>
  <c r="Z8" i="2"/>
  <c r="AB8" i="2" s="1"/>
  <c r="AF52" i="22"/>
  <c r="AF20" i="22"/>
  <c r="X9" i="2"/>
  <c r="X25" i="2"/>
  <c r="AF131" i="22"/>
  <c r="X78" i="2"/>
  <c r="X60" i="2"/>
  <c r="AF132" i="22"/>
  <c r="X19" i="2" s="1"/>
  <c r="X29" i="2"/>
  <c r="X16" i="2"/>
  <c r="X68" i="2"/>
  <c r="AF122" i="22"/>
  <c r="X41" i="2" s="1"/>
  <c r="AF50" i="22"/>
  <c r="AF10" i="22"/>
  <c r="X35" i="2" s="1"/>
  <c r="X14" i="2"/>
  <c r="X34" i="2"/>
  <c r="X85" i="2"/>
  <c r="AA85" i="2" s="1"/>
  <c r="AC85" i="2" s="1"/>
  <c r="X83" i="2"/>
  <c r="P83" i="2" s="1"/>
  <c r="X61" i="2"/>
  <c r="AF145" i="22"/>
  <c r="AF88" i="22"/>
  <c r="X39" i="2" s="1"/>
  <c r="X77" i="2"/>
  <c r="X31" i="2"/>
  <c r="AF93" i="22"/>
  <c r="X44" i="2" s="1"/>
  <c r="X40" i="2"/>
  <c r="AF69" i="22"/>
  <c r="X36" i="2" s="1"/>
  <c r="X27" i="2"/>
  <c r="AF45" i="22"/>
  <c r="X67" i="2"/>
  <c r="X46" i="2"/>
  <c r="X48" i="2"/>
  <c r="X70" i="2"/>
  <c r="X24" i="2"/>
  <c r="X64" i="2"/>
  <c r="AF32" i="22"/>
  <c r="X20" i="2" s="1"/>
  <c r="X13" i="2"/>
  <c r="X43" i="2"/>
  <c r="P91" i="2"/>
  <c r="AA91" i="2"/>
  <c r="AC91" i="2" s="1"/>
  <c r="Z91" i="2"/>
  <c r="AB91" i="2" s="1"/>
  <c r="AF23" i="22"/>
  <c r="AF15" i="22"/>
  <c r="X49" i="2" s="1"/>
  <c r="X73" i="2"/>
  <c r="X81" i="2"/>
  <c r="X63" i="2"/>
  <c r="I2" i="6"/>
  <c r="Q2" i="6"/>
  <c r="Z89" i="2"/>
  <c r="AB89" i="2" s="1"/>
  <c r="P89" i="2"/>
  <c r="AA89" i="2"/>
  <c r="AC89" i="2" s="1"/>
  <c r="X37" i="2"/>
  <c r="X3" i="2"/>
  <c r="AF59" i="22"/>
  <c r="X66" i="2" s="1"/>
  <c r="AF51" i="22"/>
  <c r="X80" i="2"/>
  <c r="X82" i="2"/>
  <c r="X88" i="2"/>
  <c r="X55" i="2"/>
  <c r="X47" i="2"/>
  <c r="X11" i="2"/>
  <c r="AA87" i="2"/>
  <c r="AC87" i="2" s="1"/>
  <c r="P87" i="2"/>
  <c r="Z87" i="2"/>
  <c r="AB87" i="2" s="1"/>
  <c r="X57" i="2"/>
  <c r="X38" i="2"/>
  <c r="X58" i="2"/>
  <c r="X71" i="2"/>
  <c r="X52" i="2"/>
  <c r="X26" i="2"/>
  <c r="AF9" i="22"/>
  <c r="X75" i="2" s="1"/>
  <c r="AF232" i="22"/>
  <c r="X69" i="2" s="1"/>
  <c r="AF231" i="22"/>
  <c r="AF119" i="22"/>
  <c r="X72" i="2" s="1"/>
  <c r="AF18" i="22"/>
  <c r="X22" i="2" s="1"/>
  <c r="AF89" i="22"/>
  <c r="X21" i="2" s="1"/>
  <c r="AF241" i="22"/>
  <c r="AF217" i="22"/>
  <c r="AF185" i="22"/>
  <c r="AF153" i="22"/>
  <c r="X62" i="2" s="1"/>
  <c r="AF129" i="22"/>
  <c r="X15" i="2" s="1"/>
  <c r="AF56" i="22"/>
  <c r="X33" i="2" s="1"/>
  <c r="AF118" i="22"/>
  <c r="AF78" i="22"/>
  <c r="X86" i="2" s="1"/>
  <c r="P86" i="2" s="1"/>
  <c r="AF46" i="22"/>
  <c r="X84" i="2" s="1"/>
  <c r="Z84" i="2" s="1"/>
  <c r="AB84" i="2" s="1"/>
  <c r="AF7" i="22"/>
  <c r="AQ82" i="2"/>
  <c r="I82" i="2"/>
  <c r="U82" i="2"/>
  <c r="Z2" i="6"/>
  <c r="X10" i="2" l="1"/>
  <c r="X65" i="2"/>
  <c r="X76" i="2"/>
  <c r="X51" i="2"/>
  <c r="X79" i="2"/>
  <c r="X4" i="2"/>
  <c r="X90" i="2"/>
  <c r="A84" i="18"/>
  <c r="Z83" i="2"/>
  <c r="AB83" i="2" s="1"/>
  <c r="AA83" i="2"/>
  <c r="AC83" i="2" s="1"/>
  <c r="X23" i="2"/>
  <c r="Z85" i="2"/>
  <c r="AB85" i="2" s="1"/>
  <c r="P85" i="2"/>
  <c r="X32" i="2"/>
  <c r="O29" i="29"/>
  <c r="J2" i="6"/>
  <c r="P2" i="6"/>
  <c r="X74" i="2"/>
  <c r="AA88" i="2"/>
  <c r="AC88" i="2" s="1"/>
  <c r="P88" i="2"/>
  <c r="Z88" i="2"/>
  <c r="AB88" i="2" s="1"/>
  <c r="X17" i="2"/>
  <c r="X59" i="2"/>
  <c r="X30" i="2"/>
  <c r="AA86" i="2"/>
  <c r="Z86" i="2"/>
  <c r="P84" i="2"/>
  <c r="AA84" i="2"/>
  <c r="AC84" i="2" s="1"/>
  <c r="P82" i="2"/>
  <c r="V82" i="2"/>
  <c r="Q82" i="2"/>
  <c r="AR82" i="2"/>
  <c r="AS82" i="2" s="1"/>
  <c r="BD82" i="2" s="1"/>
  <c r="Z82" i="2"/>
  <c r="R82" i="2"/>
  <c r="L82" i="2"/>
  <c r="AA82" i="2"/>
  <c r="AD82" i="2"/>
  <c r="K82" i="2"/>
  <c r="AE82" i="2" s="1"/>
  <c r="AA2" i="6"/>
  <c r="P90" i="2" l="1"/>
  <c r="Z90" i="2"/>
  <c r="AB90" i="2" s="1"/>
  <c r="O30" i="29"/>
  <c r="AF82" i="2"/>
  <c r="AC82" i="2" s="1"/>
  <c r="AC86" i="2"/>
  <c r="AB86" i="2"/>
  <c r="H9" i="3" s="1"/>
  <c r="AY82" i="2"/>
  <c r="BB82" i="2"/>
  <c r="AV82" i="2"/>
  <c r="BC82" i="2"/>
  <c r="BE82" i="2"/>
  <c r="AX82" i="2"/>
  <c r="AU82" i="2"/>
  <c r="BA82" i="2"/>
  <c r="AW82" i="2"/>
  <c r="AZ82" i="2"/>
  <c r="AT82" i="2"/>
  <c r="AB2" i="6"/>
  <c r="I9" i="3" l="1"/>
  <c r="H19" i="3"/>
  <c r="I19" i="3"/>
  <c r="AB82" i="2"/>
  <c r="AC2" i="6"/>
  <c r="AD2" i="6" l="1"/>
  <c r="AE2" i="6" l="1"/>
  <c r="AF2" i="6" l="1"/>
  <c r="AG2" i="6" l="1"/>
  <c r="AH2" i="6" l="1"/>
  <c r="AI2" i="6" l="1"/>
  <c r="AS2" i="6" s="1"/>
  <c r="AJ2" i="6"/>
  <c r="AK2" i="6"/>
  <c r="AO2" i="6"/>
  <c r="AR2" i="6" l="1"/>
  <c r="AU2" i="6"/>
  <c r="AT2" i="6"/>
  <c r="AM2" i="6"/>
  <c r="AN2" i="6"/>
  <c r="AL2" i="6"/>
  <c r="AP2" i="6"/>
  <c r="AQ2" i="6"/>
  <c r="AP14" i="2" l="1"/>
  <c r="BF14" i="2" s="1"/>
  <c r="AP15" i="2"/>
  <c r="BF15" i="2" s="1"/>
  <c r="AP16" i="2"/>
  <c r="BF16" i="2" s="1"/>
  <c r="AP17" i="2"/>
  <c r="BF17" i="2" s="1"/>
  <c r="AP18" i="2"/>
  <c r="BF18" i="2" s="1"/>
  <c r="AP19" i="2"/>
  <c r="BF19" i="2" s="1"/>
  <c r="AP20" i="2"/>
  <c r="BF20" i="2" s="1"/>
  <c r="AP21" i="2"/>
  <c r="BF21" i="2" s="1"/>
  <c r="AP22" i="2"/>
  <c r="BF22" i="2" s="1"/>
  <c r="AP23" i="2"/>
  <c r="BF23" i="2" s="1"/>
  <c r="AP24" i="2"/>
  <c r="BF24" i="2" s="1"/>
  <c r="AP25" i="2"/>
  <c r="BF25" i="2" s="1"/>
  <c r="AP26" i="2"/>
  <c r="BF26" i="2" s="1"/>
  <c r="AP27" i="2"/>
  <c r="BF27" i="2" s="1"/>
  <c r="AP28" i="2"/>
  <c r="BF28" i="2" s="1"/>
  <c r="AP29" i="2"/>
  <c r="BF29" i="2" s="1"/>
  <c r="AP30" i="2"/>
  <c r="BF30" i="2" s="1"/>
  <c r="AP31" i="2"/>
  <c r="BF31" i="2" s="1"/>
  <c r="AP32" i="2"/>
  <c r="BF32" i="2" s="1"/>
  <c r="AP33" i="2"/>
  <c r="BF33" i="2" s="1"/>
  <c r="AP34" i="2"/>
  <c r="BF34" i="2" s="1"/>
  <c r="AP35" i="2"/>
  <c r="BF35" i="2" s="1"/>
  <c r="AP36" i="2"/>
  <c r="BF36" i="2" s="1"/>
  <c r="AP37" i="2"/>
  <c r="BF37" i="2" s="1"/>
  <c r="AP9" i="2"/>
  <c r="BF9" i="2" s="1"/>
  <c r="AP38" i="2"/>
  <c r="BF38" i="2" s="1"/>
  <c r="AP39" i="2"/>
  <c r="BF39" i="2" s="1"/>
  <c r="AP40" i="2"/>
  <c r="BF40" i="2" s="1"/>
  <c r="AP41" i="2"/>
  <c r="BF41" i="2" s="1"/>
  <c r="AP42" i="2"/>
  <c r="BF42" i="2" s="1"/>
  <c r="AP43" i="2"/>
  <c r="BF43" i="2" s="1"/>
  <c r="AP44" i="2"/>
  <c r="BF44" i="2" s="1"/>
  <c r="AP45" i="2"/>
  <c r="BF45" i="2" s="1"/>
  <c r="AP46" i="2"/>
  <c r="BF46" i="2" s="1"/>
  <c r="AP47" i="2"/>
  <c r="BF47" i="2" s="1"/>
  <c r="AP10" i="2"/>
  <c r="BF10" i="2" s="1"/>
  <c r="AP48" i="2"/>
  <c r="BF48" i="2" s="1"/>
  <c r="AP49" i="2"/>
  <c r="BF49" i="2" s="1"/>
  <c r="AP50" i="2"/>
  <c r="BF50" i="2" s="1"/>
  <c r="AP51" i="2"/>
  <c r="BF51" i="2" s="1"/>
  <c r="AP52" i="2"/>
  <c r="BF52" i="2" s="1"/>
  <c r="AP12" i="2"/>
  <c r="BF12" i="2" s="1"/>
  <c r="AP53" i="2"/>
  <c r="BF53" i="2" s="1"/>
  <c r="AP54" i="2"/>
  <c r="BF54" i="2" s="1"/>
  <c r="AP11" i="2"/>
  <c r="BF11" i="2" s="1"/>
  <c r="AP13" i="2"/>
  <c r="BF13" i="2" s="1"/>
  <c r="AP55" i="2"/>
  <c r="BF55" i="2" s="1"/>
  <c r="AP56" i="2"/>
  <c r="BF56" i="2" s="1"/>
  <c r="AP57" i="2"/>
  <c r="BF57" i="2" s="1"/>
  <c r="AP58" i="2"/>
  <c r="BF58" i="2" s="1"/>
  <c r="AP59" i="2"/>
  <c r="BF59" i="2" s="1"/>
  <c r="AP60" i="2"/>
  <c r="BF60" i="2" s="1"/>
  <c r="AP61" i="2"/>
  <c r="BF61" i="2" s="1"/>
  <c r="AP62" i="2"/>
  <c r="BF62" i="2" s="1"/>
  <c r="AP63" i="2"/>
  <c r="BF63" i="2" s="1"/>
  <c r="AP64" i="2"/>
  <c r="BF64" i="2" s="1"/>
  <c r="AP65" i="2"/>
  <c r="BF65" i="2" s="1"/>
  <c r="AP66" i="2"/>
  <c r="BF66" i="2" s="1"/>
  <c r="AP67" i="2"/>
  <c r="BF67" i="2" s="1"/>
  <c r="AP68" i="2"/>
  <c r="BF68" i="2" s="1"/>
  <c r="AP69" i="2"/>
  <c r="BF69" i="2" s="1"/>
  <c r="AP70" i="2"/>
  <c r="BF70" i="2" s="1"/>
  <c r="AP71" i="2"/>
  <c r="BF71" i="2" s="1"/>
  <c r="AP3" i="2"/>
  <c r="BF3" i="2" s="1"/>
  <c r="AP4" i="2"/>
  <c r="BF4" i="2" s="1"/>
  <c r="AP5" i="2"/>
  <c r="BF5" i="2" s="1"/>
  <c r="AP6" i="2"/>
  <c r="BF6" i="2" s="1"/>
  <c r="AP72" i="2"/>
  <c r="BF72" i="2" s="1"/>
  <c r="AP73" i="2"/>
  <c r="BF73" i="2" s="1"/>
  <c r="AP74" i="2"/>
  <c r="BF74" i="2" s="1"/>
  <c r="AP75" i="2"/>
  <c r="BF75" i="2" s="1"/>
  <c r="AP76" i="2"/>
  <c r="BF76" i="2" s="1"/>
  <c r="AP77" i="2"/>
  <c r="BF77" i="2" s="1"/>
  <c r="AP78" i="2"/>
  <c r="BF78" i="2" s="1"/>
  <c r="AP79" i="2"/>
  <c r="BF79" i="2" s="1"/>
  <c r="A96" i="18"/>
  <c r="A100" i="18"/>
  <c r="A101" i="18"/>
  <c r="A102" i="18"/>
  <c r="A103" i="18"/>
  <c r="A104" i="18"/>
  <c r="A105" i="18"/>
  <c r="A106" i="18"/>
  <c r="A107" i="18"/>
  <c r="A108" i="18"/>
  <c r="A109" i="18"/>
  <c r="A110" i="18"/>
  <c r="A111" i="18"/>
  <c r="A112" i="18"/>
  <c r="A113" i="18"/>
  <c r="A114" i="18"/>
  <c r="A115" i="18"/>
  <c r="A116" i="18"/>
  <c r="A117" i="18"/>
  <c r="A118" i="18"/>
  <c r="A119" i="18"/>
  <c r="A120" i="18"/>
  <c r="A121" i="18"/>
  <c r="A122" i="18"/>
  <c r="A123" i="18"/>
  <c r="A124" i="18"/>
  <c r="A125" i="18"/>
  <c r="A126" i="18"/>
  <c r="A127" i="18"/>
  <c r="A128" i="18"/>
  <c r="A129" i="18"/>
  <c r="A130" i="18"/>
  <c r="A131" i="18"/>
  <c r="A132" i="18"/>
  <c r="A133" i="18"/>
  <c r="A134" i="18"/>
  <c r="A135" i="18"/>
  <c r="A136" i="18"/>
  <c r="A137" i="18"/>
  <c r="A138" i="18"/>
  <c r="A139" i="18"/>
  <c r="A140" i="18"/>
  <c r="A141" i="18"/>
  <c r="A142" i="18"/>
  <c r="A143" i="18"/>
  <c r="A144" i="18"/>
  <c r="A145" i="18"/>
  <c r="A146" i="18"/>
  <c r="A147" i="18"/>
  <c r="A148" i="18"/>
  <c r="A149" i="18"/>
  <c r="A150" i="18"/>
  <c r="A151" i="18"/>
  <c r="A152" i="18"/>
  <c r="A153" i="18"/>
  <c r="A154" i="18"/>
  <c r="A155" i="18"/>
  <c r="A156" i="18"/>
  <c r="A157" i="18"/>
  <c r="A158" i="18"/>
  <c r="A159" i="18"/>
  <c r="A160" i="18"/>
  <c r="A161" i="18"/>
  <c r="A162" i="18"/>
  <c r="A163" i="18"/>
  <c r="A164" i="18"/>
  <c r="A165" i="18"/>
  <c r="A166" i="18"/>
  <c r="A167" i="18"/>
  <c r="A168" i="18"/>
  <c r="A169" i="18"/>
  <c r="A170" i="18"/>
  <c r="A171" i="18"/>
  <c r="A172" i="18"/>
  <c r="A173" i="18"/>
  <c r="A174" i="18"/>
  <c r="A175" i="18"/>
  <c r="A176" i="18"/>
  <c r="A177" i="18"/>
  <c r="A178" i="18"/>
  <c r="A179" i="18"/>
  <c r="A180" i="18"/>
  <c r="A181" i="18"/>
  <c r="A182" i="18"/>
  <c r="A183" i="18"/>
  <c r="A184" i="18"/>
  <c r="A185" i="18"/>
  <c r="A186" i="18"/>
  <c r="A187" i="18"/>
  <c r="A188" i="18"/>
  <c r="A189" i="18"/>
  <c r="A190" i="18"/>
  <c r="A191" i="18"/>
  <c r="A192" i="18"/>
  <c r="A193" i="18"/>
  <c r="A194" i="18"/>
  <c r="A195" i="18"/>
  <c r="A196" i="18"/>
  <c r="A197" i="18"/>
  <c r="A198" i="18"/>
  <c r="A199" i="18"/>
  <c r="A200" i="18"/>
  <c r="A201" i="18"/>
  <c r="A202" i="18"/>
  <c r="A203" i="18"/>
  <c r="A204" i="18"/>
  <c r="A205" i="18"/>
  <c r="A206" i="18"/>
  <c r="A207" i="18"/>
  <c r="A208" i="18"/>
  <c r="A209" i="18"/>
  <c r="A210" i="18"/>
  <c r="A211" i="18"/>
  <c r="A212" i="18"/>
  <c r="A213" i="18"/>
  <c r="A214" i="18"/>
  <c r="A215" i="18"/>
  <c r="A216" i="18"/>
  <c r="A217" i="18"/>
  <c r="A218" i="18"/>
  <c r="A219" i="18"/>
  <c r="A220" i="18"/>
  <c r="A221" i="18"/>
  <c r="A222" i="18"/>
  <c r="A223" i="18"/>
  <c r="A224" i="18"/>
  <c r="A225" i="18"/>
  <c r="A226" i="18"/>
  <c r="A227" i="18"/>
  <c r="A228" i="18"/>
  <c r="A229" i="18"/>
  <c r="A230" i="18"/>
  <c r="A231" i="18"/>
  <c r="A232" i="18"/>
  <c r="A233" i="18"/>
  <c r="A234" i="18"/>
  <c r="A235" i="18"/>
  <c r="A236" i="18"/>
  <c r="A237" i="18"/>
  <c r="A238" i="18"/>
  <c r="A239" i="18"/>
  <c r="A240" i="18"/>
  <c r="A241" i="18"/>
  <c r="A242" i="18"/>
  <c r="A243" i="18"/>
  <c r="A244" i="18"/>
  <c r="A245" i="18"/>
  <c r="A246" i="18"/>
  <c r="A247" i="18"/>
  <c r="A248" i="18"/>
  <c r="A249" i="18"/>
  <c r="A250" i="18"/>
  <c r="A251" i="18"/>
  <c r="A252" i="18"/>
  <c r="A253" i="18"/>
  <c r="A254" i="18"/>
  <c r="A255" i="18"/>
  <c r="A256" i="18"/>
  <c r="A257" i="18"/>
  <c r="A258" i="18"/>
  <c r="A259" i="18"/>
  <c r="A260" i="18"/>
  <c r="A261" i="18"/>
  <c r="A262" i="18"/>
  <c r="A263" i="18"/>
  <c r="A264" i="18"/>
  <c r="A265" i="18"/>
  <c r="A266" i="18"/>
  <c r="A267" i="18"/>
  <c r="A268" i="18"/>
  <c r="A269" i="18"/>
  <c r="A270" i="18"/>
  <c r="A271" i="18"/>
  <c r="A272" i="18"/>
  <c r="A273" i="18"/>
  <c r="A274" i="18"/>
  <c r="A275" i="18"/>
  <c r="A276" i="18"/>
  <c r="A277" i="18"/>
  <c r="A278" i="18"/>
  <c r="A279" i="18"/>
  <c r="A280" i="18"/>
  <c r="A281" i="18"/>
  <c r="A282" i="18"/>
  <c r="P55" i="26"/>
  <c r="P54" i="26"/>
  <c r="P53" i="26"/>
  <c r="P52" i="26"/>
  <c r="P51" i="26"/>
  <c r="P50" i="26"/>
  <c r="P49" i="26"/>
  <c r="P48" i="26"/>
  <c r="P47" i="26"/>
  <c r="P46" i="26"/>
  <c r="P45" i="26"/>
  <c r="P43" i="26"/>
  <c r="P41" i="26"/>
  <c r="O58" i="27"/>
  <c r="O59" i="27"/>
  <c r="C58" i="27"/>
  <c r="C59" i="27"/>
  <c r="O63" i="27"/>
  <c r="D64" i="27"/>
  <c r="Q64" i="27" s="1"/>
  <c r="E64" i="27"/>
  <c r="R64" i="27" s="1"/>
  <c r="F64" i="27"/>
  <c r="S64" i="27" s="1"/>
  <c r="G64" i="27"/>
  <c r="T64" i="27" s="1"/>
  <c r="H64" i="27"/>
  <c r="U64" i="27" s="1"/>
  <c r="I64" i="27"/>
  <c r="V64" i="27" s="1"/>
  <c r="J64" i="27"/>
  <c r="W64" i="27" s="1"/>
  <c r="K64" i="27"/>
  <c r="X64" i="27" s="1"/>
  <c r="L64" i="27"/>
  <c r="Y64" i="27" s="1"/>
  <c r="M64" i="27"/>
  <c r="Z64" i="27" s="1"/>
  <c r="N64" i="27"/>
  <c r="O64" i="27"/>
  <c r="D65" i="27"/>
  <c r="Q65" i="27" s="1"/>
  <c r="E65" i="27"/>
  <c r="R65" i="27" s="1"/>
  <c r="F65" i="27"/>
  <c r="S65" i="27" s="1"/>
  <c r="G65" i="27"/>
  <c r="T65" i="27" s="1"/>
  <c r="H65" i="27"/>
  <c r="U65" i="27" s="1"/>
  <c r="I65" i="27"/>
  <c r="V65" i="27" s="1"/>
  <c r="J65" i="27"/>
  <c r="W65" i="27" s="1"/>
  <c r="K65" i="27"/>
  <c r="X65" i="27" s="1"/>
  <c r="L65" i="27"/>
  <c r="Y65" i="27" s="1"/>
  <c r="M65" i="27"/>
  <c r="Z65" i="27" s="1"/>
  <c r="N65" i="27"/>
  <c r="O65" i="27"/>
  <c r="C64" i="27"/>
  <c r="P64" i="27" s="1"/>
  <c r="C65" i="27"/>
  <c r="P65" i="27" s="1"/>
  <c r="N63" i="27"/>
  <c r="L63" i="27"/>
  <c r="Y63" i="27" s="1"/>
  <c r="K63" i="27"/>
  <c r="X63" i="27" s="1"/>
  <c r="J63" i="27"/>
  <c r="W63" i="27" s="1"/>
  <c r="H63" i="27"/>
  <c r="U63" i="27" s="1"/>
  <c r="F63" i="27"/>
  <c r="S63" i="27" s="1"/>
  <c r="C63" i="27"/>
  <c r="P63" i="27" s="1"/>
  <c r="X3" i="6"/>
  <c r="AB65" i="27" l="1"/>
  <c r="AB64" i="27"/>
  <c r="Y3" i="6"/>
  <c r="Z3" i="6" l="1"/>
  <c r="Z59" i="27"/>
  <c r="Y59" i="27"/>
  <c r="X59" i="27"/>
  <c r="W59" i="27"/>
  <c r="V59" i="27"/>
  <c r="U59" i="27"/>
  <c r="T59" i="27"/>
  <c r="S59" i="27"/>
  <c r="R59" i="27"/>
  <c r="Q59" i="27"/>
  <c r="P59" i="27"/>
  <c r="Z58" i="27"/>
  <c r="Y58" i="27"/>
  <c r="X58" i="27"/>
  <c r="W58" i="27"/>
  <c r="V58" i="27"/>
  <c r="U58" i="27"/>
  <c r="T58" i="27"/>
  <c r="S58" i="27"/>
  <c r="R58" i="27"/>
  <c r="Q58" i="27"/>
  <c r="P58" i="27"/>
  <c r="N58" i="27"/>
  <c r="N59" i="27"/>
  <c r="M58" i="27"/>
  <c r="M59" i="27"/>
  <c r="L58" i="27"/>
  <c r="L59" i="27"/>
  <c r="K59" i="27"/>
  <c r="J59" i="27"/>
  <c r="I59" i="27"/>
  <c r="H59" i="27"/>
  <c r="G59" i="27"/>
  <c r="F59" i="27"/>
  <c r="E59" i="27"/>
  <c r="D59" i="27"/>
  <c r="K58" i="27"/>
  <c r="J58" i="27"/>
  <c r="I58" i="27"/>
  <c r="H58" i="27"/>
  <c r="G58" i="27"/>
  <c r="F58" i="27"/>
  <c r="E58" i="27"/>
  <c r="D58" i="27"/>
  <c r="V15" i="7"/>
  <c r="D1" i="26"/>
  <c r="E1" i="26" s="1"/>
  <c r="F1" i="26" s="1"/>
  <c r="G1" i="26" s="1"/>
  <c r="H1" i="26" s="1"/>
  <c r="I1" i="26" s="1"/>
  <c r="J1" i="26" s="1"/>
  <c r="K1" i="26" s="1"/>
  <c r="L1" i="26" s="1"/>
  <c r="M1" i="26" s="1"/>
  <c r="N1" i="26" s="1"/>
  <c r="O1" i="26" s="1"/>
  <c r="P1" i="26" s="1"/>
  <c r="Q1" i="26" s="1"/>
  <c r="R1" i="26" s="1"/>
  <c r="S1" i="26" s="1"/>
  <c r="T1" i="26" s="1"/>
  <c r="U1" i="26" s="1"/>
  <c r="V1" i="26" s="1"/>
  <c r="W1" i="26" s="1"/>
  <c r="X1" i="26" s="1"/>
  <c r="Y1" i="26" s="1"/>
  <c r="Z1" i="26" s="1"/>
  <c r="AA1" i="26" s="1"/>
  <c r="C1" i="27"/>
  <c r="D1" i="27" s="1"/>
  <c r="AA93" i="26"/>
  <c r="Z93" i="26"/>
  <c r="Y93" i="26"/>
  <c r="X93" i="26"/>
  <c r="W93" i="26"/>
  <c r="V93" i="26"/>
  <c r="U93" i="26"/>
  <c r="T93" i="26"/>
  <c r="S93" i="26"/>
  <c r="R93" i="26"/>
  <c r="Q93" i="26"/>
  <c r="P93" i="26"/>
  <c r="AA92" i="26"/>
  <c r="Z92" i="26"/>
  <c r="Y92" i="26"/>
  <c r="X92" i="26"/>
  <c r="W92" i="26"/>
  <c r="V92" i="26"/>
  <c r="U92" i="26"/>
  <c r="T92" i="26"/>
  <c r="S92" i="26"/>
  <c r="R92" i="26"/>
  <c r="Q92" i="26"/>
  <c r="P92" i="26"/>
  <c r="AA90" i="26"/>
  <c r="Z90" i="26"/>
  <c r="Y90" i="26"/>
  <c r="X90" i="26"/>
  <c r="W90" i="26"/>
  <c r="V90" i="26"/>
  <c r="U90" i="26"/>
  <c r="T90" i="26"/>
  <c r="S90" i="26"/>
  <c r="R90" i="26"/>
  <c r="Q90" i="26"/>
  <c r="P90" i="26"/>
  <c r="AA89" i="26"/>
  <c r="Z89" i="26"/>
  <c r="Y89" i="26"/>
  <c r="X89" i="26"/>
  <c r="W89" i="26"/>
  <c r="V89" i="26"/>
  <c r="U89" i="26"/>
  <c r="T89" i="26"/>
  <c r="S89" i="26"/>
  <c r="R89" i="26"/>
  <c r="Q89" i="26"/>
  <c r="P89" i="26"/>
  <c r="AA87" i="26"/>
  <c r="Z87" i="26"/>
  <c r="Y87" i="26"/>
  <c r="X87" i="26"/>
  <c r="W87" i="26"/>
  <c r="V87" i="26"/>
  <c r="U87" i="26"/>
  <c r="T87" i="26"/>
  <c r="S87" i="26"/>
  <c r="R87" i="26"/>
  <c r="Q87" i="26"/>
  <c r="P87" i="26"/>
  <c r="AA86" i="26"/>
  <c r="Z86" i="26"/>
  <c r="Y86" i="26"/>
  <c r="X86" i="26"/>
  <c r="W86" i="26"/>
  <c r="V86" i="26"/>
  <c r="U86" i="26"/>
  <c r="T86" i="26"/>
  <c r="S86" i="26"/>
  <c r="R86" i="26"/>
  <c r="Q86" i="26"/>
  <c r="P86" i="26"/>
  <c r="AA85" i="26"/>
  <c r="Z85" i="26"/>
  <c r="Y85" i="26"/>
  <c r="X85" i="26"/>
  <c r="W85" i="26"/>
  <c r="V85" i="26"/>
  <c r="U85" i="26"/>
  <c r="T85" i="26"/>
  <c r="S85" i="26"/>
  <c r="R85" i="26"/>
  <c r="Q85" i="26"/>
  <c r="P85" i="26"/>
  <c r="AA84" i="26"/>
  <c r="Z84" i="26"/>
  <c r="Y84" i="26"/>
  <c r="X84" i="26"/>
  <c r="W84" i="26"/>
  <c r="V84" i="26"/>
  <c r="U84" i="26"/>
  <c r="T84" i="26"/>
  <c r="S84" i="26"/>
  <c r="R84" i="26"/>
  <c r="Q84" i="26"/>
  <c r="P84" i="26"/>
  <c r="AA83" i="26"/>
  <c r="Z83" i="26"/>
  <c r="Y83" i="26"/>
  <c r="X83" i="26"/>
  <c r="W83" i="26"/>
  <c r="V83" i="26"/>
  <c r="U83" i="26"/>
  <c r="T83" i="26"/>
  <c r="S83" i="26"/>
  <c r="R83" i="26"/>
  <c r="Q83" i="26"/>
  <c r="P83" i="26"/>
  <c r="Z80" i="26"/>
  <c r="W80" i="26"/>
  <c r="O83" i="26"/>
  <c r="O84" i="26"/>
  <c r="O85" i="26"/>
  <c r="O86" i="26"/>
  <c r="O87" i="26"/>
  <c r="O89" i="26"/>
  <c r="O90" i="26"/>
  <c r="O92" i="26"/>
  <c r="O93" i="26"/>
  <c r="N80" i="26"/>
  <c r="N83" i="26"/>
  <c r="N84" i="26"/>
  <c r="N85" i="26"/>
  <c r="N86" i="26"/>
  <c r="N87" i="26"/>
  <c r="N89" i="26"/>
  <c r="N90" i="26"/>
  <c r="N92" i="26"/>
  <c r="N93" i="26"/>
  <c r="M83" i="26"/>
  <c r="M84" i="26"/>
  <c r="M85" i="26"/>
  <c r="M86" i="26"/>
  <c r="M87" i="26"/>
  <c r="M89" i="26"/>
  <c r="M90" i="26"/>
  <c r="M92" i="26"/>
  <c r="M93" i="26"/>
  <c r="L83" i="26"/>
  <c r="L84" i="26"/>
  <c r="L85" i="26"/>
  <c r="L86" i="26"/>
  <c r="L87" i="26"/>
  <c r="L89" i="26"/>
  <c r="L90" i="26"/>
  <c r="L92" i="26"/>
  <c r="L93" i="26"/>
  <c r="K80" i="26"/>
  <c r="K83" i="26"/>
  <c r="K84" i="26"/>
  <c r="K85" i="26"/>
  <c r="K86" i="26"/>
  <c r="K87" i="26"/>
  <c r="K89" i="26"/>
  <c r="K90" i="26"/>
  <c r="K92" i="26"/>
  <c r="K93" i="26"/>
  <c r="J83" i="26"/>
  <c r="J84" i="26"/>
  <c r="J85" i="26"/>
  <c r="J86" i="26"/>
  <c r="J87" i="26"/>
  <c r="J89" i="26"/>
  <c r="J90" i="26"/>
  <c r="J92" i="26"/>
  <c r="J93" i="26"/>
  <c r="I83" i="26"/>
  <c r="I84" i="26"/>
  <c r="I85" i="26"/>
  <c r="I86" i="26"/>
  <c r="I87" i="26"/>
  <c r="I89" i="26"/>
  <c r="I90" i="26"/>
  <c r="I92" i="26"/>
  <c r="I93" i="26"/>
  <c r="H83" i="26"/>
  <c r="H84" i="26"/>
  <c r="H85" i="26"/>
  <c r="H86" i="26"/>
  <c r="H87" i="26"/>
  <c r="H89" i="26"/>
  <c r="H90" i="26"/>
  <c r="H92" i="26"/>
  <c r="H93" i="26"/>
  <c r="G83" i="26"/>
  <c r="G84" i="26"/>
  <c r="G85" i="26"/>
  <c r="G86" i="26"/>
  <c r="G87" i="26"/>
  <c r="G89" i="26"/>
  <c r="G90" i="26"/>
  <c r="G92" i="26"/>
  <c r="G93" i="26"/>
  <c r="F83" i="26"/>
  <c r="F84" i="26"/>
  <c r="F85" i="26"/>
  <c r="F86" i="26"/>
  <c r="F87" i="26"/>
  <c r="F89" i="26"/>
  <c r="F90" i="26"/>
  <c r="F92" i="26"/>
  <c r="F93" i="26"/>
  <c r="E83" i="26"/>
  <c r="E84" i="26"/>
  <c r="E85" i="26"/>
  <c r="E86" i="26"/>
  <c r="E87" i="26"/>
  <c r="E89" i="26"/>
  <c r="E90" i="26"/>
  <c r="E92" i="26"/>
  <c r="E93" i="26"/>
  <c r="D93" i="26"/>
  <c r="D92" i="26"/>
  <c r="D90" i="26"/>
  <c r="D89" i="26"/>
  <c r="D87" i="26"/>
  <c r="D86" i="26"/>
  <c r="D85" i="26"/>
  <c r="D84" i="26"/>
  <c r="D83" i="26"/>
  <c r="AA55" i="26"/>
  <c r="Z55" i="26"/>
  <c r="Y55" i="26"/>
  <c r="X55" i="26"/>
  <c r="W55" i="26"/>
  <c r="V55" i="26"/>
  <c r="U55" i="26"/>
  <c r="T55" i="26"/>
  <c r="S55" i="26"/>
  <c r="R55" i="26"/>
  <c r="Q55" i="26"/>
  <c r="AA54" i="26"/>
  <c r="Z54" i="26"/>
  <c r="Y54" i="26"/>
  <c r="X54" i="26"/>
  <c r="W54" i="26"/>
  <c r="V54" i="26"/>
  <c r="U54" i="26"/>
  <c r="T54" i="26"/>
  <c r="S54" i="26"/>
  <c r="R54" i="26"/>
  <c r="Q54" i="26"/>
  <c r="AA53" i="26"/>
  <c r="Z53" i="26"/>
  <c r="Y53" i="26"/>
  <c r="X53" i="26"/>
  <c r="W53" i="26"/>
  <c r="V53" i="26"/>
  <c r="U53" i="26"/>
  <c r="T53" i="26"/>
  <c r="S53" i="26"/>
  <c r="R53" i="26"/>
  <c r="Q53" i="26"/>
  <c r="AA52" i="26"/>
  <c r="Z52" i="26"/>
  <c r="Y52" i="26"/>
  <c r="X52" i="26"/>
  <c r="W52" i="26"/>
  <c r="V52" i="26"/>
  <c r="U52" i="26"/>
  <c r="T52" i="26"/>
  <c r="S52" i="26"/>
  <c r="R52" i="26"/>
  <c r="Q52" i="26"/>
  <c r="AA51" i="26"/>
  <c r="Z51" i="26"/>
  <c r="Y51" i="26"/>
  <c r="X51" i="26"/>
  <c r="W51" i="26"/>
  <c r="V51" i="26"/>
  <c r="U51" i="26"/>
  <c r="T51" i="26"/>
  <c r="S51" i="26"/>
  <c r="R51" i="26"/>
  <c r="Q51" i="26"/>
  <c r="AA50" i="26"/>
  <c r="Z50" i="26"/>
  <c r="Y50" i="26"/>
  <c r="X50" i="26"/>
  <c r="W50" i="26"/>
  <c r="V50" i="26"/>
  <c r="U50" i="26"/>
  <c r="T50" i="26"/>
  <c r="S50" i="26"/>
  <c r="R50" i="26"/>
  <c r="Q50" i="26"/>
  <c r="AA49" i="26"/>
  <c r="Z49" i="26"/>
  <c r="Y49" i="26"/>
  <c r="X49" i="26"/>
  <c r="W49" i="26"/>
  <c r="V49" i="26"/>
  <c r="U49" i="26"/>
  <c r="T49" i="26"/>
  <c r="S49" i="26"/>
  <c r="R49" i="26"/>
  <c r="Q49" i="26"/>
  <c r="AA48" i="26"/>
  <c r="Z48" i="26"/>
  <c r="Y48" i="26"/>
  <c r="X48" i="26"/>
  <c r="W48" i="26"/>
  <c r="V48" i="26"/>
  <c r="U48" i="26"/>
  <c r="T48" i="26"/>
  <c r="S48" i="26"/>
  <c r="R48" i="26"/>
  <c r="Q48" i="26"/>
  <c r="AA47" i="26"/>
  <c r="Z47" i="26"/>
  <c r="Y47" i="26"/>
  <c r="X47" i="26"/>
  <c r="W47" i="26"/>
  <c r="V47" i="26"/>
  <c r="U47" i="26"/>
  <c r="T47" i="26"/>
  <c r="S47" i="26"/>
  <c r="R47" i="26"/>
  <c r="Q47" i="26"/>
  <c r="AA46" i="26"/>
  <c r="Z46" i="26"/>
  <c r="Y46" i="26"/>
  <c r="X46" i="26"/>
  <c r="W46" i="26"/>
  <c r="V46" i="26"/>
  <c r="U46" i="26"/>
  <c r="T46" i="26"/>
  <c r="S46" i="26"/>
  <c r="R46" i="26"/>
  <c r="Q46" i="26"/>
  <c r="AA45" i="26"/>
  <c r="Z45" i="26"/>
  <c r="Y45" i="26"/>
  <c r="X45" i="26"/>
  <c r="W45" i="26"/>
  <c r="V45" i="26"/>
  <c r="U45" i="26"/>
  <c r="T45" i="26"/>
  <c r="S45" i="26"/>
  <c r="R45" i="26"/>
  <c r="Q45" i="26"/>
  <c r="AA43" i="26"/>
  <c r="Z43" i="26"/>
  <c r="Y43" i="26"/>
  <c r="X43" i="26"/>
  <c r="W43" i="26"/>
  <c r="V43" i="26"/>
  <c r="U43" i="26"/>
  <c r="T43" i="26"/>
  <c r="S43" i="26"/>
  <c r="R43" i="26"/>
  <c r="Q43" i="26"/>
  <c r="AA41" i="26"/>
  <c r="Z41" i="26"/>
  <c r="Y41" i="26"/>
  <c r="X41" i="26"/>
  <c r="W41" i="26"/>
  <c r="V41" i="26"/>
  <c r="U41" i="26"/>
  <c r="T41" i="26"/>
  <c r="S41" i="26"/>
  <c r="R41" i="26"/>
  <c r="Q41" i="26"/>
  <c r="O55" i="26"/>
  <c r="O54" i="26"/>
  <c r="O53" i="26"/>
  <c r="O52" i="26"/>
  <c r="O51" i="26"/>
  <c r="O50" i="26"/>
  <c r="O49" i="26"/>
  <c r="O48" i="26"/>
  <c r="O47" i="26"/>
  <c r="O46" i="26"/>
  <c r="O45" i="26"/>
  <c r="O43" i="26"/>
  <c r="O41" i="26"/>
  <c r="N55" i="26"/>
  <c r="N54" i="26"/>
  <c r="N53" i="26"/>
  <c r="N52" i="26"/>
  <c r="N51" i="26"/>
  <c r="N50" i="26"/>
  <c r="N49" i="26"/>
  <c r="N48" i="26"/>
  <c r="N47" i="26"/>
  <c r="N46" i="26"/>
  <c r="N45" i="26"/>
  <c r="N43" i="26"/>
  <c r="N41" i="26"/>
  <c r="M55" i="26"/>
  <c r="M54" i="26"/>
  <c r="M53" i="26"/>
  <c r="M52" i="26"/>
  <c r="M51" i="26"/>
  <c r="M50" i="26"/>
  <c r="M49" i="26"/>
  <c r="M48" i="26"/>
  <c r="M47" i="26"/>
  <c r="M46" i="26"/>
  <c r="M45" i="26"/>
  <c r="M43" i="26"/>
  <c r="M41" i="26"/>
  <c r="L55" i="26"/>
  <c r="L54" i="26"/>
  <c r="L53" i="26"/>
  <c r="L52" i="26"/>
  <c r="L51" i="26"/>
  <c r="L50" i="26"/>
  <c r="L49" i="26"/>
  <c r="L48" i="26"/>
  <c r="L47" i="26"/>
  <c r="L46" i="26"/>
  <c r="L45" i="26"/>
  <c r="L43" i="26"/>
  <c r="L41" i="26"/>
  <c r="K55" i="26"/>
  <c r="K54" i="26"/>
  <c r="K53" i="26"/>
  <c r="K52" i="26"/>
  <c r="K51" i="26"/>
  <c r="K50" i="26"/>
  <c r="K49" i="26"/>
  <c r="K48" i="26"/>
  <c r="K47" i="26"/>
  <c r="K46" i="26"/>
  <c r="K45" i="26"/>
  <c r="K43" i="26"/>
  <c r="K41" i="26"/>
  <c r="J55" i="26"/>
  <c r="J54" i="26"/>
  <c r="J53" i="26"/>
  <c r="J52" i="26"/>
  <c r="J51" i="26"/>
  <c r="J50" i="26"/>
  <c r="J49" i="26"/>
  <c r="J48" i="26"/>
  <c r="J47" i="26"/>
  <c r="J46" i="26"/>
  <c r="J45" i="26"/>
  <c r="J43" i="26"/>
  <c r="J41" i="26"/>
  <c r="I55" i="26"/>
  <c r="I54" i="26"/>
  <c r="I53" i="26"/>
  <c r="I52" i="26"/>
  <c r="I51" i="26"/>
  <c r="I50" i="26"/>
  <c r="I49" i="26"/>
  <c r="I48" i="26"/>
  <c r="I47" i="26"/>
  <c r="I46" i="26"/>
  <c r="I45" i="26"/>
  <c r="I43" i="26"/>
  <c r="I41" i="26"/>
  <c r="H55" i="26"/>
  <c r="H54" i="26"/>
  <c r="H53" i="26"/>
  <c r="H52" i="26"/>
  <c r="H51" i="26"/>
  <c r="H50" i="26"/>
  <c r="H49" i="26"/>
  <c r="H48" i="26"/>
  <c r="H47" i="26"/>
  <c r="H46" i="26"/>
  <c r="H45" i="26"/>
  <c r="H43" i="26"/>
  <c r="H41" i="26"/>
  <c r="G55" i="26"/>
  <c r="G54" i="26"/>
  <c r="G53" i="26"/>
  <c r="G52" i="26"/>
  <c r="G51" i="26"/>
  <c r="G50" i="26"/>
  <c r="G49" i="26"/>
  <c r="G48" i="26"/>
  <c r="G47" i="26"/>
  <c r="G46" i="26"/>
  <c r="G45" i="26"/>
  <c r="G43" i="26"/>
  <c r="G41" i="26"/>
  <c r="F55" i="26"/>
  <c r="F54" i="26"/>
  <c r="F53" i="26"/>
  <c r="F52" i="26"/>
  <c r="F51" i="26"/>
  <c r="F50" i="26"/>
  <c r="F49" i="26"/>
  <c r="F48" i="26"/>
  <c r="F47" i="26"/>
  <c r="F46" i="26"/>
  <c r="F45" i="26"/>
  <c r="F43" i="26"/>
  <c r="F41" i="26"/>
  <c r="E55" i="26"/>
  <c r="E54" i="26"/>
  <c r="E53" i="26"/>
  <c r="E52" i="26"/>
  <c r="E51" i="26"/>
  <c r="E50" i="26"/>
  <c r="E49" i="26"/>
  <c r="E48" i="26"/>
  <c r="E47" i="26"/>
  <c r="E46" i="26"/>
  <c r="E45" i="26"/>
  <c r="E43" i="26"/>
  <c r="E41" i="26"/>
  <c r="D55" i="26"/>
  <c r="D54" i="26"/>
  <c r="D53" i="26"/>
  <c r="D52" i="26"/>
  <c r="D51" i="26"/>
  <c r="D50" i="26"/>
  <c r="D49" i="26"/>
  <c r="D48" i="26"/>
  <c r="D47" i="26"/>
  <c r="D46" i="26"/>
  <c r="D45" i="26"/>
  <c r="D43" i="26"/>
  <c r="D41" i="26"/>
  <c r="Q24" i="26"/>
  <c r="R24" i="26"/>
  <c r="S24" i="26"/>
  <c r="T24" i="26"/>
  <c r="U24" i="26"/>
  <c r="V24" i="26"/>
  <c r="W24" i="26"/>
  <c r="X24" i="26"/>
  <c r="Y24" i="26"/>
  <c r="Z24" i="26"/>
  <c r="AA24" i="26"/>
  <c r="Q25" i="26"/>
  <c r="R25" i="26"/>
  <c r="S25" i="26"/>
  <c r="T25" i="26"/>
  <c r="U25" i="26"/>
  <c r="V25" i="26"/>
  <c r="W25" i="26"/>
  <c r="X25" i="26"/>
  <c r="Y25" i="26"/>
  <c r="Z25" i="26"/>
  <c r="AA25" i="26"/>
  <c r="Q26" i="26"/>
  <c r="R26" i="26"/>
  <c r="S26" i="26"/>
  <c r="T26" i="26"/>
  <c r="U26" i="26"/>
  <c r="V26" i="26"/>
  <c r="W26" i="26"/>
  <c r="X26" i="26"/>
  <c r="Y26" i="26"/>
  <c r="Z26" i="26"/>
  <c r="AA26" i="26"/>
  <c r="Q28" i="26"/>
  <c r="R28" i="26"/>
  <c r="S28" i="26"/>
  <c r="T28" i="26"/>
  <c r="U28" i="26"/>
  <c r="V28" i="26"/>
  <c r="W28" i="26"/>
  <c r="X28" i="26"/>
  <c r="Y28" i="26"/>
  <c r="Z28" i="26"/>
  <c r="AA28" i="26"/>
  <c r="Q30" i="26"/>
  <c r="R30" i="26"/>
  <c r="S30" i="26"/>
  <c r="T30" i="26"/>
  <c r="U30" i="26"/>
  <c r="V30" i="26"/>
  <c r="W30" i="26"/>
  <c r="X30" i="26"/>
  <c r="Y30" i="26"/>
  <c r="Z30" i="26"/>
  <c r="AA30" i="26"/>
  <c r="Q31" i="26"/>
  <c r="R31" i="26"/>
  <c r="S31" i="26"/>
  <c r="T31" i="26"/>
  <c r="U31" i="26"/>
  <c r="V31" i="26"/>
  <c r="W31" i="26"/>
  <c r="X31" i="26"/>
  <c r="Y31" i="26"/>
  <c r="Z31" i="26"/>
  <c r="AA31" i="26"/>
  <c r="Q32" i="26"/>
  <c r="R32" i="26"/>
  <c r="S32" i="26"/>
  <c r="T32" i="26"/>
  <c r="U32" i="26"/>
  <c r="V32" i="26"/>
  <c r="W32" i="26"/>
  <c r="X32" i="26"/>
  <c r="Y32" i="26"/>
  <c r="Z32" i="26"/>
  <c r="AA32" i="26"/>
  <c r="Q33" i="26"/>
  <c r="R33" i="26"/>
  <c r="S33" i="26"/>
  <c r="T33" i="26"/>
  <c r="U33" i="26"/>
  <c r="V33" i="26"/>
  <c r="W33" i="26"/>
  <c r="X33" i="26"/>
  <c r="Y33" i="26"/>
  <c r="Z33" i="26"/>
  <c r="AA33" i="26"/>
  <c r="Q35" i="26"/>
  <c r="R35" i="26"/>
  <c r="S35" i="26"/>
  <c r="T35" i="26"/>
  <c r="U35" i="26"/>
  <c r="V35" i="26"/>
  <c r="W35" i="26"/>
  <c r="X35" i="26"/>
  <c r="Y35" i="26"/>
  <c r="Z35" i="26"/>
  <c r="AA35" i="26"/>
  <c r="Q36" i="26"/>
  <c r="R36" i="26"/>
  <c r="S36" i="26"/>
  <c r="T36" i="26"/>
  <c r="U36" i="26"/>
  <c r="V36" i="26"/>
  <c r="W36" i="26"/>
  <c r="X36" i="26"/>
  <c r="Y36" i="26"/>
  <c r="Z36" i="26"/>
  <c r="AA36" i="26"/>
  <c r="P24" i="26"/>
  <c r="P25" i="26"/>
  <c r="P26" i="26"/>
  <c r="P28" i="26"/>
  <c r="P30" i="26"/>
  <c r="P31" i="26"/>
  <c r="P32" i="26"/>
  <c r="P33" i="26"/>
  <c r="P35" i="26"/>
  <c r="P36" i="26"/>
  <c r="D30" i="26"/>
  <c r="E30" i="26"/>
  <c r="F30" i="26"/>
  <c r="G30" i="26"/>
  <c r="H30" i="26"/>
  <c r="I30" i="26"/>
  <c r="J30" i="26"/>
  <c r="K30" i="26"/>
  <c r="L30" i="26"/>
  <c r="M30" i="26"/>
  <c r="N30" i="26"/>
  <c r="O30" i="26"/>
  <c r="D31" i="26"/>
  <c r="E31" i="26"/>
  <c r="F31" i="26"/>
  <c r="G31" i="26"/>
  <c r="H31" i="26"/>
  <c r="I31" i="26"/>
  <c r="J31" i="26"/>
  <c r="K31" i="26"/>
  <c r="L31" i="26"/>
  <c r="M31" i="26"/>
  <c r="N31" i="26"/>
  <c r="O31" i="26"/>
  <c r="D32" i="26"/>
  <c r="E32" i="26"/>
  <c r="F32" i="26"/>
  <c r="G32" i="26"/>
  <c r="H32" i="26"/>
  <c r="I32" i="26"/>
  <c r="J32" i="26"/>
  <c r="K32" i="26"/>
  <c r="L32" i="26"/>
  <c r="M32" i="26"/>
  <c r="N32" i="26"/>
  <c r="O32" i="26"/>
  <c r="D33" i="26"/>
  <c r="E33" i="26"/>
  <c r="F33" i="26"/>
  <c r="G33" i="26"/>
  <c r="H33" i="26"/>
  <c r="I33" i="26"/>
  <c r="J33" i="26"/>
  <c r="K33" i="26"/>
  <c r="L33" i="26"/>
  <c r="M33" i="26"/>
  <c r="N33" i="26"/>
  <c r="O33" i="26"/>
  <c r="D35" i="26"/>
  <c r="E35" i="26"/>
  <c r="F35" i="26"/>
  <c r="G35" i="26"/>
  <c r="H35" i="26"/>
  <c r="I35" i="26"/>
  <c r="J35" i="26"/>
  <c r="K35" i="26"/>
  <c r="L35" i="26"/>
  <c r="M35" i="26"/>
  <c r="N35" i="26"/>
  <c r="O35" i="26"/>
  <c r="D36" i="26"/>
  <c r="E36" i="26"/>
  <c r="F36" i="26"/>
  <c r="G36" i="26"/>
  <c r="H36" i="26"/>
  <c r="I36" i="26"/>
  <c r="J36" i="26"/>
  <c r="K36" i="26"/>
  <c r="L36" i="26"/>
  <c r="M36" i="26"/>
  <c r="N36" i="26"/>
  <c r="O36" i="26"/>
  <c r="O28" i="26"/>
  <c r="N28" i="26"/>
  <c r="M28" i="26"/>
  <c r="L28" i="26"/>
  <c r="K28" i="26"/>
  <c r="J28" i="26"/>
  <c r="I28" i="26"/>
  <c r="H28" i="26"/>
  <c r="G28" i="26"/>
  <c r="F28" i="26"/>
  <c r="E28" i="26"/>
  <c r="D28" i="26"/>
  <c r="O26" i="26"/>
  <c r="N26" i="26"/>
  <c r="M26" i="26"/>
  <c r="L26" i="26"/>
  <c r="K26" i="26"/>
  <c r="J26" i="26"/>
  <c r="I26" i="26"/>
  <c r="H26" i="26"/>
  <c r="G26" i="26"/>
  <c r="F26" i="26"/>
  <c r="E26" i="26"/>
  <c r="D26" i="26"/>
  <c r="O25" i="26"/>
  <c r="N25" i="26"/>
  <c r="M25" i="26"/>
  <c r="L25" i="26"/>
  <c r="K25" i="26"/>
  <c r="J25" i="26"/>
  <c r="I25" i="26"/>
  <c r="H25" i="26"/>
  <c r="G25" i="26"/>
  <c r="F25" i="26"/>
  <c r="E25" i="26"/>
  <c r="D25" i="26"/>
  <c r="O24" i="26"/>
  <c r="N24" i="26"/>
  <c r="M24" i="26"/>
  <c r="L24" i="26"/>
  <c r="K24" i="26"/>
  <c r="J24" i="26"/>
  <c r="I24" i="26"/>
  <c r="H24" i="26"/>
  <c r="G24" i="26"/>
  <c r="F24" i="26"/>
  <c r="E24" i="26"/>
  <c r="D24" i="26"/>
  <c r="P30" i="10"/>
  <c r="Q30" i="10" s="1"/>
  <c r="Q33" i="10"/>
  <c r="Q27" i="10"/>
  <c r="Q17" i="10"/>
  <c r="P16" i="10"/>
  <c r="Q16" i="10" s="1"/>
  <c r="R27" i="10"/>
  <c r="R17" i="10"/>
  <c r="AK15" i="7"/>
  <c r="AL15" i="7" s="1"/>
  <c r="AM15" i="7" s="1"/>
  <c r="AN15" i="7" s="1"/>
  <c r="AO15" i="7" s="1"/>
  <c r="AP15" i="7" s="1"/>
  <c r="AQ15" i="7" s="1"/>
  <c r="AR15" i="7" s="1"/>
  <c r="AS15" i="7" s="1"/>
  <c r="AT15" i="7" s="1"/>
  <c r="AU15" i="7" s="1"/>
  <c r="AK14" i="7"/>
  <c r="AK13" i="7"/>
  <c r="AK12" i="7"/>
  <c r="AL12" i="7" s="1"/>
  <c r="AM12" i="7" s="1"/>
  <c r="AN12" i="7" s="1"/>
  <c r="AO12" i="7" s="1"/>
  <c r="AP12" i="7" s="1"/>
  <c r="AQ12" i="7" s="1"/>
  <c r="AR12" i="7" s="1"/>
  <c r="AS12" i="7" s="1"/>
  <c r="AT12" i="7" s="1"/>
  <c r="AU12" i="7" s="1"/>
  <c r="AK7" i="7"/>
  <c r="AK6" i="7"/>
  <c r="AL6" i="7" s="1"/>
  <c r="AM6" i="7" s="1"/>
  <c r="AN6" i="7" s="1"/>
  <c r="AO6" i="7" s="1"/>
  <c r="AP6" i="7" s="1"/>
  <c r="AQ6" i="7" s="1"/>
  <c r="AR6" i="7" s="1"/>
  <c r="AS6" i="7" s="1"/>
  <c r="AT6" i="7" s="1"/>
  <c r="AU6" i="7" s="1"/>
  <c r="AK5" i="7"/>
  <c r="V17" i="10"/>
  <c r="W17" i="10" s="1"/>
  <c r="X17" i="10" s="1"/>
  <c r="V16" i="10"/>
  <c r="W16" i="10" s="1"/>
  <c r="X16" i="10" s="1"/>
  <c r="V27" i="10"/>
  <c r="W27" i="10" s="1"/>
  <c r="X27" i="10" s="1"/>
  <c r="V30" i="10"/>
  <c r="W30" i="10" s="1"/>
  <c r="X30" i="10" s="1"/>
  <c r="V33" i="10"/>
  <c r="W33" i="10" s="1"/>
  <c r="X33" i="10" s="1"/>
  <c r="AB59" i="27" l="1"/>
  <c r="AB58" i="27"/>
  <c r="AA3" i="6"/>
  <c r="AB33" i="10"/>
  <c r="AJ33" i="10"/>
  <c r="AV12" i="7"/>
  <c r="AY12" i="7"/>
  <c r="BB12" i="7"/>
  <c r="BE12" i="7"/>
  <c r="BF15" i="7"/>
  <c r="AW15" i="7"/>
  <c r="AZ15" i="7"/>
  <c r="BC15" i="7"/>
  <c r="BG12" i="7"/>
  <c r="AV15" i="7"/>
  <c r="AX12" i="7"/>
  <c r="AY15" i="7"/>
  <c r="BA12" i="7"/>
  <c r="BB15" i="7"/>
  <c r="BD12" i="7"/>
  <c r="BE15" i="7"/>
  <c r="AW12" i="7"/>
  <c r="AZ12" i="7"/>
  <c r="BC12" i="7"/>
  <c r="BG15" i="7"/>
  <c r="AX15" i="7"/>
  <c r="BA15" i="7"/>
  <c r="BD15" i="7"/>
  <c r="AC33" i="10"/>
  <c r="AD33" i="10"/>
  <c r="AE33" i="10"/>
  <c r="AH33" i="10"/>
  <c r="Y33" i="10"/>
  <c r="AI33" i="10"/>
  <c r="AD30" i="10"/>
  <c r="AE30" i="10"/>
  <c r="AG30" i="10"/>
  <c r="Y30" i="10"/>
  <c r="AI30" i="10"/>
  <c r="AA30" i="10"/>
  <c r="AJ30" i="10"/>
  <c r="AC30" i="10"/>
  <c r="AF27" i="10"/>
  <c r="AH27" i="10"/>
  <c r="Y27" i="10"/>
  <c r="Z27" i="10"/>
  <c r="AJ27" i="10"/>
  <c r="AB27" i="10"/>
  <c r="AD27" i="10"/>
  <c r="AE27" i="10"/>
  <c r="Y78" i="26"/>
  <c r="G78" i="26"/>
  <c r="AG16" i="10"/>
  <c r="Y16" i="10"/>
  <c r="AH16" i="10"/>
  <c r="AA16" i="10"/>
  <c r="AI16" i="10"/>
  <c r="AB16" i="10"/>
  <c r="AC16" i="10"/>
  <c r="AD16" i="10"/>
  <c r="AE16" i="10"/>
  <c r="AF16" i="10"/>
  <c r="AB17" i="10"/>
  <c r="AC17" i="10"/>
  <c r="AD17" i="10"/>
  <c r="AE17" i="10"/>
  <c r="AF17" i="10"/>
  <c r="Y17" i="10"/>
  <c r="AG17" i="10"/>
  <c r="AH17" i="10"/>
  <c r="AA17" i="10"/>
  <c r="AI17" i="10"/>
  <c r="F81" i="26"/>
  <c r="F5" i="26" s="1"/>
  <c r="L11" i="26"/>
  <c r="T13" i="26"/>
  <c r="V14" i="26"/>
  <c r="AA7" i="26"/>
  <c r="AA11" i="26"/>
  <c r="S11" i="26"/>
  <c r="F14" i="26"/>
  <c r="M14" i="26"/>
  <c r="L7" i="26"/>
  <c r="J14" i="26"/>
  <c r="H11" i="26"/>
  <c r="G17" i="26"/>
  <c r="M11" i="26"/>
  <c r="M16" i="26"/>
  <c r="H7" i="26"/>
  <c r="N14" i="26"/>
  <c r="U14" i="26"/>
  <c r="Y9" i="26"/>
  <c r="M7" i="26"/>
  <c r="I14" i="26"/>
  <c r="L13" i="26"/>
  <c r="D11" i="26"/>
  <c r="H16" i="26"/>
  <c r="G14" i="26"/>
  <c r="D7" i="26"/>
  <c r="O14" i="26"/>
  <c r="W11" i="26"/>
  <c r="D40" i="26"/>
  <c r="J7" i="26"/>
  <c r="U13" i="26"/>
  <c r="O17" i="26"/>
  <c r="Y17" i="26"/>
  <c r="Y13" i="26"/>
  <c r="X7" i="26"/>
  <c r="W7" i="26"/>
  <c r="I11" i="26"/>
  <c r="S7" i="26"/>
  <c r="E7" i="26"/>
  <c r="E11" i="26"/>
  <c r="E16" i="26"/>
  <c r="Q13" i="26"/>
  <c r="Q9" i="26"/>
  <c r="E14" i="26"/>
  <c r="Q17" i="26"/>
  <c r="D13" i="26"/>
  <c r="E13" i="26"/>
  <c r="F7" i="26"/>
  <c r="N7" i="26"/>
  <c r="J9" i="26"/>
  <c r="M17" i="26"/>
  <c r="E17" i="26"/>
  <c r="I16" i="26"/>
  <c r="H14" i="26"/>
  <c r="X14" i="26"/>
  <c r="AA13" i="26"/>
  <c r="S13" i="26"/>
  <c r="I9" i="26"/>
  <c r="M13" i="26"/>
  <c r="Q14" i="26"/>
  <c r="K9" i="26"/>
  <c r="L17" i="26"/>
  <c r="Y16" i="26"/>
  <c r="Q16" i="26"/>
  <c r="W14" i="26"/>
  <c r="U9" i="26"/>
  <c r="N17" i="26"/>
  <c r="Y14" i="26"/>
  <c r="L9" i="26"/>
  <c r="K17" i="26"/>
  <c r="J11" i="26"/>
  <c r="U17" i="26"/>
  <c r="X16" i="26"/>
  <c r="T9" i="26"/>
  <c r="I7" i="26"/>
  <c r="P16" i="26"/>
  <c r="T17" i="26"/>
  <c r="W16" i="26"/>
  <c r="AA9" i="26"/>
  <c r="S9" i="26"/>
  <c r="N9" i="26"/>
  <c r="P14" i="26"/>
  <c r="AA17" i="26"/>
  <c r="S17" i="26"/>
  <c r="U11" i="26"/>
  <c r="U7" i="26"/>
  <c r="F9" i="26"/>
  <c r="I17" i="26"/>
  <c r="D14" i="26"/>
  <c r="G9" i="26"/>
  <c r="O9" i="26"/>
  <c r="H17" i="26"/>
  <c r="K14" i="26"/>
  <c r="T11" i="26"/>
  <c r="T7" i="26"/>
  <c r="C2" i="27"/>
  <c r="E1" i="27"/>
  <c r="D2" i="27"/>
  <c r="K16" i="26"/>
  <c r="O16" i="26"/>
  <c r="R7" i="26"/>
  <c r="Z7" i="26"/>
  <c r="R11" i="26"/>
  <c r="Z11" i="26"/>
  <c r="V7" i="26"/>
  <c r="G16" i="26"/>
  <c r="K11" i="26"/>
  <c r="P9" i="26"/>
  <c r="X9" i="26"/>
  <c r="P13" i="26"/>
  <c r="P17" i="26"/>
  <c r="X17" i="26"/>
  <c r="H13" i="26"/>
  <c r="S16" i="26"/>
  <c r="AA16" i="26"/>
  <c r="F11" i="26"/>
  <c r="H9" i="26"/>
  <c r="N11" i="26"/>
  <c r="D17" i="26"/>
  <c r="D9" i="26"/>
  <c r="K13" i="26"/>
  <c r="V16" i="26"/>
  <c r="T14" i="26"/>
  <c r="W13" i="26"/>
  <c r="E9" i="26"/>
  <c r="M9" i="26"/>
  <c r="J17" i="26"/>
  <c r="N16" i="26"/>
  <c r="F16" i="26"/>
  <c r="J13" i="26"/>
  <c r="Z17" i="26"/>
  <c r="R17" i="26"/>
  <c r="U16" i="26"/>
  <c r="AA14" i="26"/>
  <c r="S14" i="26"/>
  <c r="V13" i="26"/>
  <c r="Z9" i="26"/>
  <c r="R9" i="26"/>
  <c r="P11" i="26"/>
  <c r="T16" i="26"/>
  <c r="X13" i="26"/>
  <c r="R14" i="26"/>
  <c r="K7" i="26"/>
  <c r="L16" i="26"/>
  <c r="D16" i="26"/>
  <c r="L14" i="26"/>
  <c r="G7" i="26"/>
  <c r="V11" i="26"/>
  <c r="Z14" i="26"/>
  <c r="D5" i="26"/>
  <c r="O13" i="26"/>
  <c r="G13" i="26"/>
  <c r="O11" i="26"/>
  <c r="G11" i="26"/>
  <c r="W17" i="26"/>
  <c r="Z16" i="26"/>
  <c r="R16" i="26"/>
  <c r="Y11" i="26"/>
  <c r="Q11" i="26"/>
  <c r="W9" i="26"/>
  <c r="O7" i="26"/>
  <c r="I13" i="26"/>
  <c r="F17" i="26"/>
  <c r="J16" i="26"/>
  <c r="N13" i="26"/>
  <c r="F13" i="26"/>
  <c r="P7" i="26"/>
  <c r="V17" i="26"/>
  <c r="Z13" i="26"/>
  <c r="R13" i="26"/>
  <c r="X11" i="26"/>
  <c r="V9" i="26"/>
  <c r="Y7" i="26"/>
  <c r="Q7" i="26"/>
  <c r="R16" i="10"/>
  <c r="AL7" i="7"/>
  <c r="AM7" i="7" s="1"/>
  <c r="AN7" i="7" s="1"/>
  <c r="AO7" i="7" s="1"/>
  <c r="AP7" i="7" s="1"/>
  <c r="AQ7" i="7" s="1"/>
  <c r="AR7" i="7" s="1"/>
  <c r="AS7" i="7" s="1"/>
  <c r="AT7" i="7" s="1"/>
  <c r="AU7" i="7" s="1"/>
  <c r="AL14" i="7"/>
  <c r="AM14" i="7" s="1"/>
  <c r="AN14" i="7" s="1"/>
  <c r="AO14" i="7" s="1"/>
  <c r="AP14" i="7" s="1"/>
  <c r="AQ14" i="7" s="1"/>
  <c r="AR14" i="7" s="1"/>
  <c r="AS14" i="7" s="1"/>
  <c r="AT14" i="7" s="1"/>
  <c r="AU14" i="7" s="1"/>
  <c r="AL13" i="7"/>
  <c r="AL5" i="7"/>
  <c r="AM5" i="7" s="1"/>
  <c r="AN5" i="7" s="1"/>
  <c r="AO5" i="7" s="1"/>
  <c r="AP5" i="7" s="1"/>
  <c r="AQ5" i="7" s="1"/>
  <c r="AR5" i="7" s="1"/>
  <c r="AS5" i="7" s="1"/>
  <c r="AT5" i="7" s="1"/>
  <c r="AU5" i="7" s="1"/>
  <c r="V6" i="7"/>
  <c r="BG6" i="7" s="1"/>
  <c r="S42" i="9"/>
  <c r="S28" i="9"/>
  <c r="W71" i="27" l="1"/>
  <c r="AB3" i="6"/>
  <c r="AY6" i="7"/>
  <c r="BA6" i="7"/>
  <c r="I42" i="26"/>
  <c r="BE6" i="7"/>
  <c r="AW14" i="7"/>
  <c r="BD6" i="7"/>
  <c r="AV14" i="7"/>
  <c r="AX6" i="7"/>
  <c r="BF14" i="7"/>
  <c r="BE14" i="7"/>
  <c r="BC6" i="7"/>
  <c r="AW6" i="7"/>
  <c r="AZ6" i="7"/>
  <c r="BC14" i="7"/>
  <c r="AY14" i="7"/>
  <c r="BB6" i="7"/>
  <c r="BB14" i="7"/>
  <c r="AM13" i="7"/>
  <c r="BF6" i="7"/>
  <c r="AV6" i="7"/>
  <c r="AZ14" i="7"/>
  <c r="K82" i="26"/>
  <c r="J71" i="27"/>
  <c r="S78" i="26"/>
  <c r="M82" i="26"/>
  <c r="J78" i="26"/>
  <c r="N82" i="26"/>
  <c r="V78" i="26"/>
  <c r="W81" i="26"/>
  <c r="W5" i="26" s="1"/>
  <c r="X81" i="26"/>
  <c r="X5" i="26" s="1"/>
  <c r="AA81" i="26"/>
  <c r="AA5" i="26" s="1"/>
  <c r="U81" i="26"/>
  <c r="U5" i="26" s="1"/>
  <c r="T81" i="26"/>
  <c r="T5" i="26" s="1"/>
  <c r="C71" i="27"/>
  <c r="U82" i="26"/>
  <c r="R81" i="26"/>
  <c r="R5" i="26" s="1"/>
  <c r="Q81" i="26"/>
  <c r="Q5" i="26" s="1"/>
  <c r="E81" i="26"/>
  <c r="E5" i="26" s="1"/>
  <c r="W82" i="26"/>
  <c r="O71" i="27"/>
  <c r="T82" i="26"/>
  <c r="P82" i="26"/>
  <c r="X71" i="27"/>
  <c r="Y82" i="26"/>
  <c r="L71" i="27"/>
  <c r="U79" i="26"/>
  <c r="Y71" i="27"/>
  <c r="M71" i="27"/>
  <c r="O81" i="26"/>
  <c r="O5" i="26" s="1"/>
  <c r="V82" i="26"/>
  <c r="H71" i="27"/>
  <c r="Z82" i="26"/>
  <c r="K81" i="26"/>
  <c r="K5" i="26" s="1"/>
  <c r="Q71" i="27"/>
  <c r="M78" i="26"/>
  <c r="T71" i="27"/>
  <c r="I82" i="26"/>
  <c r="AA79" i="26"/>
  <c r="R82" i="26"/>
  <c r="X82" i="26"/>
  <c r="P79" i="26"/>
  <c r="F82" i="26"/>
  <c r="S71" i="27"/>
  <c r="V79" i="26"/>
  <c r="S82" i="26"/>
  <c r="F71" i="27"/>
  <c r="G71" i="27"/>
  <c r="G82" i="26"/>
  <c r="R71" i="27"/>
  <c r="L82" i="26"/>
  <c r="V71" i="27"/>
  <c r="I71" i="27"/>
  <c r="E71" i="27"/>
  <c r="U71" i="27"/>
  <c r="K71" i="27"/>
  <c r="I81" i="26"/>
  <c r="I5" i="26" s="1"/>
  <c r="H81" i="26"/>
  <c r="H5" i="26" s="1"/>
  <c r="L81" i="26"/>
  <c r="L5" i="26" s="1"/>
  <c r="T72" i="27"/>
  <c r="H72" i="27"/>
  <c r="U88" i="26"/>
  <c r="U12" i="26" s="1"/>
  <c r="D44" i="26"/>
  <c r="F1" i="27"/>
  <c r="E2" i="27"/>
  <c r="J79" i="26"/>
  <c r="I88" i="26"/>
  <c r="I12" i="26" s="1"/>
  <c r="J82" i="26"/>
  <c r="I79" i="26"/>
  <c r="D79" i="26"/>
  <c r="O79" i="26"/>
  <c r="D82" i="26"/>
  <c r="H82" i="26"/>
  <c r="AQ12" i="2"/>
  <c r="AQ11" i="2"/>
  <c r="AQ13" i="2"/>
  <c r="AQ3" i="2"/>
  <c r="AQ4" i="2"/>
  <c r="AQ5" i="2"/>
  <c r="AQ6" i="2"/>
  <c r="AC3" i="6" l="1"/>
  <c r="U42" i="26"/>
  <c r="L42" i="26"/>
  <c r="X42" i="26"/>
  <c r="E42" i="26"/>
  <c r="Q42" i="26"/>
  <c r="N42" i="26"/>
  <c r="Z42" i="26"/>
  <c r="AA42" i="26"/>
  <c r="O42" i="26"/>
  <c r="AN13" i="7"/>
  <c r="H42" i="26"/>
  <c r="T42" i="26"/>
  <c r="W42" i="26"/>
  <c r="K42" i="26"/>
  <c r="R42" i="26"/>
  <c r="F42" i="26"/>
  <c r="N88" i="26"/>
  <c r="N12" i="26" s="1"/>
  <c r="F88" i="26"/>
  <c r="F12" i="26" s="1"/>
  <c r="O88" i="26"/>
  <c r="O12" i="26" s="1"/>
  <c r="K88" i="26"/>
  <c r="K12" i="26" s="1"/>
  <c r="G88" i="26"/>
  <c r="G12" i="26" s="1"/>
  <c r="M88" i="26"/>
  <c r="M12" i="26" s="1"/>
  <c r="E88" i="26"/>
  <c r="E12" i="26" s="1"/>
  <c r="K72" i="27"/>
  <c r="W72" i="27"/>
  <c r="X88" i="26"/>
  <c r="X12" i="26" s="1"/>
  <c r="O72" i="27"/>
  <c r="C72" i="27"/>
  <c r="P88" i="26"/>
  <c r="P12" i="26" s="1"/>
  <c r="L88" i="26"/>
  <c r="L12" i="26" s="1"/>
  <c r="L72" i="27"/>
  <c r="Y88" i="26"/>
  <c r="Y12" i="26" s="1"/>
  <c r="X72" i="27"/>
  <c r="Z72" i="27"/>
  <c r="N72" i="27"/>
  <c r="AA88" i="26"/>
  <c r="AA12" i="26" s="1"/>
  <c r="Q88" i="26"/>
  <c r="Q12" i="26" s="1"/>
  <c r="P72" i="27"/>
  <c r="D72" i="27"/>
  <c r="Y72" i="27"/>
  <c r="M72" i="27"/>
  <c r="Z88" i="26"/>
  <c r="Z12" i="26" s="1"/>
  <c r="J72" i="27"/>
  <c r="W88" i="26"/>
  <c r="W12" i="26" s="1"/>
  <c r="V72" i="27"/>
  <c r="R88" i="26"/>
  <c r="R12" i="26" s="1"/>
  <c r="E72" i="27"/>
  <c r="Q72" i="27"/>
  <c r="R72" i="27"/>
  <c r="F72" i="27"/>
  <c r="S88" i="26"/>
  <c r="S12" i="26" s="1"/>
  <c r="D6" i="26"/>
  <c r="F2" i="27"/>
  <c r="G1" i="27"/>
  <c r="G2" i="27" s="1"/>
  <c r="D88" i="26"/>
  <c r="D12" i="26" s="1"/>
  <c r="AR11" i="2"/>
  <c r="AS11" i="2" s="1"/>
  <c r="AR13" i="2"/>
  <c r="AR12" i="2"/>
  <c r="AR5" i="2"/>
  <c r="AR6" i="2"/>
  <c r="AR4" i="2"/>
  <c r="AR3" i="2"/>
  <c r="R33" i="10"/>
  <c r="R30" i="10"/>
  <c r="BC11" i="2" l="1"/>
  <c r="BE11" i="2"/>
  <c r="AW11" i="2"/>
  <c r="AV11" i="2"/>
  <c r="AT11" i="2"/>
  <c r="BD11" i="2"/>
  <c r="AZ11" i="2"/>
  <c r="AY11" i="2"/>
  <c r="AX11" i="2"/>
  <c r="BB11" i="2"/>
  <c r="AD3" i="6"/>
  <c r="AO13" i="7"/>
  <c r="AS13" i="2"/>
  <c r="AT13" i="2" s="1"/>
  <c r="AS12" i="2"/>
  <c r="BC12" i="2" s="1"/>
  <c r="AS6" i="2"/>
  <c r="AS5" i="2"/>
  <c r="AY5" i="2" s="1"/>
  <c r="AS4" i="2"/>
  <c r="BA4" i="2" s="1"/>
  <c r="AS3" i="2"/>
  <c r="AZ3" i="2" s="1"/>
  <c r="K27" i="10"/>
  <c r="K30" i="10"/>
  <c r="K33" i="10"/>
  <c r="N27" i="10"/>
  <c r="N30" i="10"/>
  <c r="N33" i="10"/>
  <c r="AU4" i="2" l="1"/>
  <c r="BB12" i="2"/>
  <c r="AW3" i="2"/>
  <c r="BD3" i="2"/>
  <c r="BA12" i="2"/>
  <c r="AX12" i="2"/>
  <c r="AV12" i="2"/>
  <c r="AZ4" i="2"/>
  <c r="BC4" i="2"/>
  <c r="BD4" i="2"/>
  <c r="BD12" i="2"/>
  <c r="BB4" i="2"/>
  <c r="AU3" i="2"/>
  <c r="AW4" i="2"/>
  <c r="BA3" i="2"/>
  <c r="AT6" i="2"/>
  <c r="AW6" i="2"/>
  <c r="AX6" i="2"/>
  <c r="AU6" i="2"/>
  <c r="AZ6" i="2"/>
  <c r="AU13" i="2"/>
  <c r="BA6" i="2"/>
  <c r="AW12" i="2"/>
  <c r="AZ12" i="2"/>
  <c r="AV5" i="2"/>
  <c r="AX5" i="2"/>
  <c r="AU5" i="2"/>
  <c r="AZ5" i="2"/>
  <c r="AY6" i="2"/>
  <c r="AX13" i="2"/>
  <c r="AY13" i="2"/>
  <c r="BD13" i="2"/>
  <c r="BE13" i="2"/>
  <c r="BA13" i="2"/>
  <c r="BC5" i="2"/>
  <c r="BC6" i="2"/>
  <c r="BC13" i="2"/>
  <c r="AZ13" i="2"/>
  <c r="AV3" i="2"/>
  <c r="AY3" i="2"/>
  <c r="AX3" i="2"/>
  <c r="BC3" i="2"/>
  <c r="AT3" i="2"/>
  <c r="BE3" i="2"/>
  <c r="AW13" i="2"/>
  <c r="AT12" i="2"/>
  <c r="AU12" i="2"/>
  <c r="AX4" i="2"/>
  <c r="AY4" i="2"/>
  <c r="AT5" i="2"/>
  <c r="BE4" i="2"/>
  <c r="AV4" i="2"/>
  <c r="AV6" i="2"/>
  <c r="BE6" i="2"/>
  <c r="BE5" i="2"/>
  <c r="BA5" i="2"/>
  <c r="BD5" i="2"/>
  <c r="BB5" i="2"/>
  <c r="BD6" i="2"/>
  <c r="AE3" i="6"/>
  <c r="AP13" i="7"/>
  <c r="H1" i="27"/>
  <c r="O33" i="10"/>
  <c r="H41" i="3"/>
  <c r="E41" i="3"/>
  <c r="O27" i="10"/>
  <c r="O30" i="10"/>
  <c r="AF3" i="6" l="1"/>
  <c r="AQ13" i="7"/>
  <c r="D52" i="27"/>
  <c r="U52" i="27"/>
  <c r="Y52" i="27"/>
  <c r="W34" i="26"/>
  <c r="M51" i="27"/>
  <c r="K34" i="26"/>
  <c r="E34" i="26"/>
  <c r="H34" i="26"/>
  <c r="V34" i="26"/>
  <c r="T34" i="26"/>
  <c r="J52" i="27"/>
  <c r="V52" i="27"/>
  <c r="Z34" i="26"/>
  <c r="S52" i="27"/>
  <c r="J34" i="26"/>
  <c r="I52" i="27"/>
  <c r="R51" i="27"/>
  <c r="F51" i="27"/>
  <c r="F44" i="27" s="1"/>
  <c r="S29" i="26"/>
  <c r="S10" i="26" s="1"/>
  <c r="G29" i="26"/>
  <c r="G10" i="26" s="1"/>
  <c r="Q34" i="26"/>
  <c r="G52" i="27"/>
  <c r="T29" i="26"/>
  <c r="T10" i="26" s="1"/>
  <c r="G51" i="27"/>
  <c r="H29" i="26"/>
  <c r="H10" i="26" s="1"/>
  <c r="S51" i="27"/>
  <c r="C51" i="27"/>
  <c r="C44" i="27" s="1"/>
  <c r="D29" i="26"/>
  <c r="D10" i="26" s="1"/>
  <c r="O51" i="27"/>
  <c r="P29" i="26"/>
  <c r="P10" i="26" s="1"/>
  <c r="P52" i="27"/>
  <c r="M52" i="27"/>
  <c r="N29" i="26"/>
  <c r="N10" i="26" s="1"/>
  <c r="Y51" i="27"/>
  <c r="X52" i="27"/>
  <c r="L52" i="27"/>
  <c r="Y34" i="26"/>
  <c r="M34" i="26"/>
  <c r="N34" i="26"/>
  <c r="Z29" i="26"/>
  <c r="Z10" i="26" s="1"/>
  <c r="E29" i="26"/>
  <c r="E10" i="26" s="1"/>
  <c r="D51" i="27"/>
  <c r="D44" i="27" s="1"/>
  <c r="Q29" i="26"/>
  <c r="Q10" i="26" s="1"/>
  <c r="P51" i="27"/>
  <c r="I1" i="27"/>
  <c r="H2" i="27"/>
  <c r="D41" i="3"/>
  <c r="F41" i="3"/>
  <c r="AG3" i="6" l="1"/>
  <c r="AR13" i="7"/>
  <c r="I2" i="27"/>
  <c r="J1" i="27"/>
  <c r="O81" i="2"/>
  <c r="AH3" i="6" l="1"/>
  <c r="AS13" i="7"/>
  <c r="K1" i="27"/>
  <c r="J2" i="27"/>
  <c r="AQ81" i="2"/>
  <c r="R13" i="7"/>
  <c r="R14" i="7"/>
  <c r="T14" i="7" s="1"/>
  <c r="R15" i="7"/>
  <c r="S15" i="7" s="1"/>
  <c r="S13" i="7" l="1"/>
  <c r="V14" i="7"/>
  <c r="BA14" i="7" s="1"/>
  <c r="S14" i="7"/>
  <c r="H33" i="3"/>
  <c r="AI3" i="6"/>
  <c r="AP3" i="6" s="1"/>
  <c r="AT13" i="7"/>
  <c r="I63" i="27"/>
  <c r="V63" i="27" s="1"/>
  <c r="L1" i="27"/>
  <c r="K2" i="27"/>
  <c r="AR81" i="2"/>
  <c r="X13" i="7"/>
  <c r="X14" i="7"/>
  <c r="X15" i="7"/>
  <c r="AA14" i="7"/>
  <c r="AA15" i="7"/>
  <c r="AC13" i="7"/>
  <c r="AC14" i="7"/>
  <c r="AC15" i="7"/>
  <c r="AE13" i="7"/>
  <c r="AG13" i="7" s="1"/>
  <c r="AE14" i="7"/>
  <c r="AG14" i="7" s="1"/>
  <c r="AE15" i="7"/>
  <c r="AG15" i="7" s="1"/>
  <c r="N81" i="2"/>
  <c r="C81" i="2"/>
  <c r="F81" i="2"/>
  <c r="G81" i="2"/>
  <c r="H81" i="2"/>
  <c r="J81" i="2"/>
  <c r="Y81" i="2"/>
  <c r="AU3" i="6" l="1"/>
  <c r="AX14" i="7"/>
  <c r="F33" i="3"/>
  <c r="BG14" i="7"/>
  <c r="BD14" i="7"/>
  <c r="AL3" i="6"/>
  <c r="AR3" i="6"/>
  <c r="AM3" i="6"/>
  <c r="AT3" i="6"/>
  <c r="AQ3" i="6"/>
  <c r="AN3" i="6"/>
  <c r="AO3" i="6"/>
  <c r="AJ3" i="6"/>
  <c r="AK3" i="6"/>
  <c r="AU13" i="7"/>
  <c r="M1" i="27"/>
  <c r="L2" i="27"/>
  <c r="AS81" i="2"/>
  <c r="BA81" i="2" s="1"/>
  <c r="I81" i="2"/>
  <c r="U81" i="2"/>
  <c r="Q81" i="2" s="1"/>
  <c r="AF15" i="7"/>
  <c r="AH15" i="7" s="1"/>
  <c r="AF14" i="7"/>
  <c r="AH14" i="7" s="1"/>
  <c r="AF13" i="7"/>
  <c r="AH13" i="7" s="1"/>
  <c r="O80" i="2"/>
  <c r="O79" i="2"/>
  <c r="N80" i="2"/>
  <c r="N79" i="2"/>
  <c r="T79" i="2"/>
  <c r="T78" i="2"/>
  <c r="T77" i="2"/>
  <c r="T76" i="2"/>
  <c r="T75" i="2"/>
  <c r="T74" i="2"/>
  <c r="T73" i="2"/>
  <c r="T72" i="2"/>
  <c r="T71" i="2"/>
  <c r="T70" i="2"/>
  <c r="T69" i="2"/>
  <c r="T68" i="2"/>
  <c r="T67" i="2"/>
  <c r="T66" i="2"/>
  <c r="T65" i="2"/>
  <c r="T64" i="2"/>
  <c r="T63" i="2"/>
  <c r="T62" i="2"/>
  <c r="T61" i="2"/>
  <c r="T60" i="2"/>
  <c r="T59" i="2"/>
  <c r="T58" i="2"/>
  <c r="T57" i="2"/>
  <c r="T56" i="2"/>
  <c r="T55" i="2"/>
  <c r="T54" i="2"/>
  <c r="T53" i="2"/>
  <c r="T52" i="2"/>
  <c r="T51" i="2"/>
  <c r="T50" i="2"/>
  <c r="T49" i="2"/>
  <c r="T48" i="2"/>
  <c r="T47" i="2"/>
  <c r="T46" i="2"/>
  <c r="T45" i="2"/>
  <c r="T44" i="2"/>
  <c r="T43" i="2"/>
  <c r="T42" i="2"/>
  <c r="T41" i="2"/>
  <c r="T40" i="2"/>
  <c r="T39" i="2"/>
  <c r="T38" i="2"/>
  <c r="T37" i="2"/>
  <c r="T36" i="2"/>
  <c r="T35" i="2"/>
  <c r="T34" i="2"/>
  <c r="T33" i="2"/>
  <c r="T32" i="2"/>
  <c r="T31" i="2"/>
  <c r="T30" i="2"/>
  <c r="T29" i="2"/>
  <c r="T28" i="2"/>
  <c r="T27" i="2"/>
  <c r="T26" i="2"/>
  <c r="T25" i="2"/>
  <c r="T24" i="2"/>
  <c r="T23" i="2"/>
  <c r="T22" i="2"/>
  <c r="T21" i="2"/>
  <c r="T20" i="2"/>
  <c r="T19" i="2"/>
  <c r="T18" i="2"/>
  <c r="T17" i="2"/>
  <c r="T16" i="2"/>
  <c r="T15" i="2"/>
  <c r="T14" i="2"/>
  <c r="T2" i="2"/>
  <c r="T3" i="2"/>
  <c r="T4" i="2"/>
  <c r="T5" i="2"/>
  <c r="T6" i="2"/>
  <c r="S79" i="2"/>
  <c r="S78" i="2"/>
  <c r="S77" i="2"/>
  <c r="S76" i="2"/>
  <c r="S75" i="2"/>
  <c r="S74" i="2"/>
  <c r="S73" i="2"/>
  <c r="S72" i="2"/>
  <c r="S71" i="2"/>
  <c r="S70" i="2"/>
  <c r="S69" i="2"/>
  <c r="S68" i="2"/>
  <c r="S67" i="2"/>
  <c r="S66" i="2"/>
  <c r="S65" i="2"/>
  <c r="S64" i="2"/>
  <c r="S63" i="2"/>
  <c r="S62" i="2"/>
  <c r="S61" i="2"/>
  <c r="S60" i="2"/>
  <c r="S59" i="2"/>
  <c r="S58" i="2"/>
  <c r="S57" i="2"/>
  <c r="S56" i="2"/>
  <c r="S55" i="2"/>
  <c r="S54" i="2"/>
  <c r="S53" i="2"/>
  <c r="S52" i="2"/>
  <c r="S51" i="2"/>
  <c r="S50" i="2"/>
  <c r="S49" i="2"/>
  <c r="S48" i="2"/>
  <c r="S47" i="2"/>
  <c r="S46" i="2"/>
  <c r="S45" i="2"/>
  <c r="S44" i="2"/>
  <c r="S43" i="2"/>
  <c r="S42" i="2"/>
  <c r="S41" i="2"/>
  <c r="S40" i="2"/>
  <c r="S39" i="2"/>
  <c r="S38" i="2"/>
  <c r="S37" i="2"/>
  <c r="S36" i="2"/>
  <c r="S35" i="2"/>
  <c r="S34" i="2"/>
  <c r="S33" i="2"/>
  <c r="S32" i="2"/>
  <c r="S31" i="2"/>
  <c r="S30" i="2"/>
  <c r="S29" i="2"/>
  <c r="S28" i="2"/>
  <c r="S27" i="2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2" i="2"/>
  <c r="O78" i="2"/>
  <c r="O77" i="2"/>
  <c r="O76" i="2"/>
  <c r="O75" i="2"/>
  <c r="O74" i="2"/>
  <c r="O73" i="2"/>
  <c r="O72" i="2"/>
  <c r="O71" i="2"/>
  <c r="O70" i="2"/>
  <c r="O69" i="2"/>
  <c r="O68" i="2"/>
  <c r="O67" i="2"/>
  <c r="O66" i="2"/>
  <c r="O65" i="2"/>
  <c r="O64" i="2"/>
  <c r="O63" i="2"/>
  <c r="O62" i="2"/>
  <c r="O61" i="2"/>
  <c r="O60" i="2"/>
  <c r="O59" i="2"/>
  <c r="O58" i="2"/>
  <c r="O57" i="2"/>
  <c r="O56" i="2"/>
  <c r="O54" i="2"/>
  <c r="O53" i="2"/>
  <c r="O52" i="2"/>
  <c r="O51" i="2"/>
  <c r="O50" i="2"/>
  <c r="O49" i="2"/>
  <c r="O48" i="2"/>
  <c r="O10" i="2"/>
  <c r="O47" i="2"/>
  <c r="O46" i="2"/>
  <c r="O45" i="2"/>
  <c r="O44" i="2"/>
  <c r="O43" i="2"/>
  <c r="O42" i="2"/>
  <c r="O41" i="2"/>
  <c r="O40" i="2"/>
  <c r="O39" i="2"/>
  <c r="O38" i="2"/>
  <c r="O9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N78" i="2"/>
  <c r="N77" i="2"/>
  <c r="N76" i="2"/>
  <c r="N75" i="2"/>
  <c r="N74" i="2"/>
  <c r="N73" i="2"/>
  <c r="N72" i="2"/>
  <c r="N71" i="2"/>
  <c r="N70" i="2"/>
  <c r="N69" i="2"/>
  <c r="N68" i="2"/>
  <c r="N67" i="2"/>
  <c r="N66" i="2"/>
  <c r="N65" i="2"/>
  <c r="N64" i="2"/>
  <c r="N63" i="2"/>
  <c r="N62" i="2"/>
  <c r="N61" i="2"/>
  <c r="N60" i="2"/>
  <c r="N59" i="2"/>
  <c r="N58" i="2"/>
  <c r="N57" i="2"/>
  <c r="N56" i="2"/>
  <c r="N55" i="2"/>
  <c r="N54" i="2"/>
  <c r="N53" i="2"/>
  <c r="N52" i="2"/>
  <c r="N51" i="2"/>
  <c r="N50" i="2"/>
  <c r="N49" i="2"/>
  <c r="N48" i="2"/>
  <c r="N10" i="2"/>
  <c r="N47" i="2"/>
  <c r="N46" i="2"/>
  <c r="N45" i="2"/>
  <c r="N44" i="2"/>
  <c r="N43" i="2"/>
  <c r="N42" i="2"/>
  <c r="N41" i="2"/>
  <c r="N40" i="2"/>
  <c r="N39" i="2"/>
  <c r="N38" i="2"/>
  <c r="N9" i="2"/>
  <c r="N37" i="2"/>
  <c r="N36" i="2"/>
  <c r="N35" i="2"/>
  <c r="N34" i="2"/>
  <c r="N33" i="2"/>
  <c r="N32" i="2"/>
  <c r="N31" i="2"/>
  <c r="N30" i="2"/>
  <c r="N29" i="2"/>
  <c r="N28" i="2"/>
  <c r="N27" i="2"/>
  <c r="N26" i="2"/>
  <c r="N25" i="2"/>
  <c r="N24" i="2"/>
  <c r="N23" i="2"/>
  <c r="N22" i="2"/>
  <c r="N21" i="2"/>
  <c r="N20" i="2"/>
  <c r="N19" i="2"/>
  <c r="N18" i="2"/>
  <c r="N17" i="2"/>
  <c r="N16" i="2"/>
  <c r="N15" i="2"/>
  <c r="N14" i="2"/>
  <c r="N2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10" i="2"/>
  <c r="H47" i="2"/>
  <c r="H46" i="2"/>
  <c r="H45" i="2"/>
  <c r="H44" i="2"/>
  <c r="H43" i="2"/>
  <c r="H42" i="2"/>
  <c r="H41" i="2"/>
  <c r="H40" i="2"/>
  <c r="H39" i="2"/>
  <c r="H38" i="2"/>
  <c r="H9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2" i="2"/>
  <c r="H12" i="2"/>
  <c r="H11" i="2"/>
  <c r="H13" i="2"/>
  <c r="H3" i="2"/>
  <c r="H4" i="2"/>
  <c r="H5" i="2"/>
  <c r="H6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G2" i="2"/>
  <c r="G12" i="2"/>
  <c r="G13" i="2"/>
  <c r="G3" i="2"/>
  <c r="G4" i="2"/>
  <c r="G5" i="2"/>
  <c r="G6" i="2"/>
  <c r="F2" i="2"/>
  <c r="F12" i="2"/>
  <c r="F13" i="2"/>
  <c r="C80" i="2"/>
  <c r="J80" i="2"/>
  <c r="C79" i="2"/>
  <c r="J79" i="2"/>
  <c r="J18" i="2"/>
  <c r="H3" i="6"/>
  <c r="I3" i="6" s="1"/>
  <c r="P3" i="6" s="1"/>
  <c r="U12" i="2" l="1"/>
  <c r="U13" i="2"/>
  <c r="I4" i="2"/>
  <c r="I6" i="2"/>
  <c r="I3" i="2"/>
  <c r="I5" i="2"/>
  <c r="U6" i="2"/>
  <c r="U5" i="2"/>
  <c r="U4" i="2"/>
  <c r="U3" i="2"/>
  <c r="R81" i="2"/>
  <c r="A71" i="18"/>
  <c r="BB81" i="2"/>
  <c r="AV81" i="2"/>
  <c r="BD81" i="2"/>
  <c r="AT81" i="2"/>
  <c r="AW81" i="2"/>
  <c r="BC81" i="2"/>
  <c r="AX81" i="2"/>
  <c r="AU81" i="2"/>
  <c r="AZ81" i="2"/>
  <c r="BG13" i="7"/>
  <c r="I53" i="2"/>
  <c r="I11" i="2"/>
  <c r="A32" i="17" s="1"/>
  <c r="I13" i="2"/>
  <c r="I54" i="2"/>
  <c r="I9" i="2"/>
  <c r="I10" i="2"/>
  <c r="I12" i="2"/>
  <c r="AW13" i="7"/>
  <c r="Q40" i="26" s="1"/>
  <c r="AX13" i="7"/>
  <c r="BD13" i="7"/>
  <c r="AZ13" i="7"/>
  <c r="S56" i="27" s="1"/>
  <c r="BC13" i="7"/>
  <c r="V56" i="27" s="1"/>
  <c r="BA13" i="7"/>
  <c r="BF13" i="7"/>
  <c r="N1" i="27"/>
  <c r="M2" i="27"/>
  <c r="AQ21" i="2"/>
  <c r="AQ29" i="2"/>
  <c r="AQ22" i="2"/>
  <c r="AQ30" i="2"/>
  <c r="AQ15" i="2"/>
  <c r="AQ23" i="2"/>
  <c r="AQ31" i="2"/>
  <c r="AQ16" i="2"/>
  <c r="AQ24" i="2"/>
  <c r="AQ17" i="2"/>
  <c r="AQ25" i="2"/>
  <c r="AQ18" i="2"/>
  <c r="AQ26" i="2"/>
  <c r="AQ19" i="2"/>
  <c r="AQ27" i="2"/>
  <c r="AQ20" i="2"/>
  <c r="AQ28" i="2"/>
  <c r="AQ34" i="2"/>
  <c r="AQ46" i="2"/>
  <c r="AQ53" i="2"/>
  <c r="AQ60" i="2"/>
  <c r="AQ65" i="2"/>
  <c r="AQ72" i="2"/>
  <c r="AQ35" i="2"/>
  <c r="AQ40" i="2"/>
  <c r="AQ47" i="2"/>
  <c r="AQ54" i="2"/>
  <c r="AQ66" i="2"/>
  <c r="AQ73" i="2"/>
  <c r="AQ36" i="2"/>
  <c r="AQ41" i="2"/>
  <c r="AQ10" i="2"/>
  <c r="AQ55" i="2"/>
  <c r="AQ67" i="2"/>
  <c r="AQ37" i="2"/>
  <c r="AQ42" i="2"/>
  <c r="AQ48" i="2"/>
  <c r="AQ61" i="2"/>
  <c r="AQ74" i="2"/>
  <c r="AQ14" i="2"/>
  <c r="AQ9" i="2"/>
  <c r="AQ49" i="2"/>
  <c r="AQ56" i="2"/>
  <c r="AQ62" i="2"/>
  <c r="AQ68" i="2"/>
  <c r="AQ75" i="2"/>
  <c r="AQ38" i="2"/>
  <c r="AQ43" i="2"/>
  <c r="AQ50" i="2"/>
  <c r="AQ57" i="2"/>
  <c r="AQ69" i="2"/>
  <c r="AQ76" i="2"/>
  <c r="AQ32" i="2"/>
  <c r="AQ39" i="2"/>
  <c r="AQ44" i="2"/>
  <c r="AQ51" i="2"/>
  <c r="AQ58" i="2"/>
  <c r="AQ63" i="2"/>
  <c r="AQ70" i="2"/>
  <c r="AQ77" i="2"/>
  <c r="AQ79" i="2"/>
  <c r="AQ33" i="2"/>
  <c r="AQ45" i="2"/>
  <c r="AQ52" i="2"/>
  <c r="AQ59" i="2"/>
  <c r="AQ64" i="2"/>
  <c r="AQ71" i="2"/>
  <c r="AQ78" i="2"/>
  <c r="AQ80" i="2"/>
  <c r="AA81" i="2"/>
  <c r="AD81" i="2"/>
  <c r="L81" i="2"/>
  <c r="Z81" i="2"/>
  <c r="K81" i="2"/>
  <c r="AE81" i="2" s="1"/>
  <c r="V81" i="2"/>
  <c r="P81" i="2"/>
  <c r="U79" i="2"/>
  <c r="Q79" i="2" s="1"/>
  <c r="U80" i="2"/>
  <c r="Q80" i="2" s="1"/>
  <c r="U14" i="2"/>
  <c r="U62" i="2"/>
  <c r="U78" i="2"/>
  <c r="U72" i="2"/>
  <c r="U69" i="2"/>
  <c r="U60" i="2"/>
  <c r="U45" i="2"/>
  <c r="U41" i="2"/>
  <c r="U38" i="2"/>
  <c r="U29" i="2"/>
  <c r="U21" i="2"/>
  <c r="U16" i="2"/>
  <c r="U24" i="2"/>
  <c r="U37" i="2"/>
  <c r="U51" i="2"/>
  <c r="U56" i="2"/>
  <c r="U77" i="2"/>
  <c r="U63" i="2"/>
  <c r="U59" i="2"/>
  <c r="U50" i="2"/>
  <c r="U40" i="2"/>
  <c r="U33" i="2"/>
  <c r="U28" i="2"/>
  <c r="U20" i="2"/>
  <c r="U76" i="2"/>
  <c r="U68" i="2"/>
  <c r="U58" i="2"/>
  <c r="U54" i="2"/>
  <c r="U49" i="2"/>
  <c r="U44" i="2"/>
  <c r="U27" i="2"/>
  <c r="U19" i="2"/>
  <c r="U75" i="2"/>
  <c r="U57" i="2"/>
  <c r="U53" i="2"/>
  <c r="U48" i="2"/>
  <c r="U43" i="2"/>
  <c r="U26" i="2"/>
  <c r="U18" i="2"/>
  <c r="U32" i="2"/>
  <c r="U25" i="2"/>
  <c r="U17" i="2"/>
  <c r="U74" i="2"/>
  <c r="U66" i="2"/>
  <c r="U61" i="2"/>
  <c r="U36" i="2"/>
  <c r="U71" i="2"/>
  <c r="U65" i="2"/>
  <c r="U55" i="2"/>
  <c r="U47" i="2"/>
  <c r="U35" i="2"/>
  <c r="U31" i="2"/>
  <c r="U23" i="2"/>
  <c r="U15" i="2"/>
  <c r="U67" i="2"/>
  <c r="U73" i="2"/>
  <c r="U70" i="2"/>
  <c r="U64" i="2"/>
  <c r="U52" i="2"/>
  <c r="U46" i="2"/>
  <c r="U42" i="2"/>
  <c r="U39" i="2"/>
  <c r="U34" i="2"/>
  <c r="U30" i="2"/>
  <c r="U22" i="2"/>
  <c r="I80" i="2"/>
  <c r="I79" i="2"/>
  <c r="A16" i="18" s="1"/>
  <c r="I77" i="2"/>
  <c r="I49" i="2"/>
  <c r="I33" i="2"/>
  <c r="I42" i="2"/>
  <c r="I20" i="2"/>
  <c r="I28" i="2"/>
  <c r="I39" i="2"/>
  <c r="A88" i="18"/>
  <c r="I69" i="2"/>
  <c r="I75" i="2"/>
  <c r="I23" i="2"/>
  <c r="I55" i="2"/>
  <c r="I65" i="2"/>
  <c r="I38" i="2"/>
  <c r="I63" i="2"/>
  <c r="I21" i="2"/>
  <c r="I34" i="2"/>
  <c r="I48" i="2"/>
  <c r="A82" i="18"/>
  <c r="I64" i="2"/>
  <c r="I70" i="2"/>
  <c r="I76" i="2"/>
  <c r="A29" i="18" s="1"/>
  <c r="I15" i="2"/>
  <c r="A29" i="17" s="1"/>
  <c r="I50" i="2"/>
  <c r="I51" i="2"/>
  <c r="I60" i="2"/>
  <c r="A30" i="17" s="1"/>
  <c r="I36" i="2"/>
  <c r="A23" i="18" s="1"/>
  <c r="I43" i="2"/>
  <c r="A69" i="17" s="1"/>
  <c r="I72" i="2"/>
  <c r="A28" i="17" s="1"/>
  <c r="I78" i="2"/>
  <c r="I71" i="2"/>
  <c r="I30" i="2"/>
  <c r="I35" i="2"/>
  <c r="I16" i="2"/>
  <c r="I37" i="2"/>
  <c r="I44" i="2"/>
  <c r="I56" i="2"/>
  <c r="I62" i="2"/>
  <c r="I67" i="2"/>
  <c r="I73" i="2"/>
  <c r="I17" i="2"/>
  <c r="I25" i="2"/>
  <c r="I45" i="2"/>
  <c r="A39" i="17" s="1"/>
  <c r="I52" i="2"/>
  <c r="I57" i="2"/>
  <c r="A79" i="18"/>
  <c r="A74" i="18"/>
  <c r="I18" i="2"/>
  <c r="A26" i="17" s="1"/>
  <c r="I26" i="2"/>
  <c r="I58" i="2"/>
  <c r="I68" i="2"/>
  <c r="I47" i="2"/>
  <c r="I59" i="2"/>
  <c r="I22" i="2"/>
  <c r="I61" i="2"/>
  <c r="A19" i="18" s="1"/>
  <c r="I66" i="2"/>
  <c r="A28" i="18" s="1"/>
  <c r="I14" i="2"/>
  <c r="I29" i="2"/>
  <c r="I31" i="2"/>
  <c r="I32" i="2"/>
  <c r="I40" i="2"/>
  <c r="I41" i="2"/>
  <c r="I46" i="2"/>
  <c r="I24" i="2"/>
  <c r="A94" i="17" s="1"/>
  <c r="I74" i="2"/>
  <c r="A31" i="18" s="1"/>
  <c r="I19" i="2"/>
  <c r="I27" i="2"/>
  <c r="I2" i="2"/>
  <c r="A75" i="17" l="1"/>
  <c r="A89" i="17"/>
  <c r="A73" i="17"/>
  <c r="A18" i="18"/>
  <c r="A27" i="18"/>
  <c r="A22" i="18"/>
  <c r="A21" i="18"/>
  <c r="A26" i="18"/>
  <c r="A24" i="18"/>
  <c r="A27" i="17"/>
  <c r="A17" i="18"/>
  <c r="A95" i="17"/>
  <c r="A32" i="18"/>
  <c r="A35" i="17"/>
  <c r="A38" i="17"/>
  <c r="A37" i="17"/>
  <c r="A61" i="17"/>
  <c r="A34" i="17"/>
  <c r="A36" i="17"/>
  <c r="A40" i="17"/>
  <c r="A83" i="17"/>
  <c r="A87" i="17"/>
  <c r="A33" i="17"/>
  <c r="A97" i="17"/>
  <c r="A98" i="17"/>
  <c r="A87" i="18"/>
  <c r="A86" i="17"/>
  <c r="A62" i="18"/>
  <c r="A64" i="17"/>
  <c r="A48" i="17"/>
  <c r="A98" i="18"/>
  <c r="A96" i="17"/>
  <c r="A86" i="18"/>
  <c r="A85" i="17"/>
  <c r="A78" i="18"/>
  <c r="A79" i="17"/>
  <c r="A54" i="18"/>
  <c r="A56" i="17"/>
  <c r="A45" i="17"/>
  <c r="A56" i="18"/>
  <c r="A58" i="17"/>
  <c r="A83" i="18"/>
  <c r="A82" i="17"/>
  <c r="A47" i="17"/>
  <c r="A44" i="17"/>
  <c r="A81" i="18"/>
  <c r="A81" i="17"/>
  <c r="A90" i="18"/>
  <c r="A88" i="17"/>
  <c r="A52" i="18"/>
  <c r="A54" i="17"/>
  <c r="A72" i="18"/>
  <c r="A74" i="17"/>
  <c r="A49" i="17"/>
  <c r="A53" i="18"/>
  <c r="A55" i="17"/>
  <c r="A94" i="18"/>
  <c r="A92" i="17"/>
  <c r="A51" i="18"/>
  <c r="A53" i="17"/>
  <c r="A66" i="18"/>
  <c r="A68" i="17"/>
  <c r="A76" i="18"/>
  <c r="A77" i="17"/>
  <c r="A63" i="18"/>
  <c r="A65" i="17"/>
  <c r="A55" i="18"/>
  <c r="A57" i="17"/>
  <c r="A60" i="18"/>
  <c r="A62" i="17"/>
  <c r="A68" i="18"/>
  <c r="A70" i="17"/>
  <c r="A57" i="18"/>
  <c r="A59" i="17"/>
  <c r="A75" i="18"/>
  <c r="A76" i="17"/>
  <c r="A92" i="18"/>
  <c r="A90" i="17"/>
  <c r="A43" i="17"/>
  <c r="A77" i="18"/>
  <c r="A78" i="17"/>
  <c r="A95" i="18"/>
  <c r="A93" i="17"/>
  <c r="A85" i="18"/>
  <c r="A84" i="17"/>
  <c r="A41" i="17"/>
  <c r="A49" i="18"/>
  <c r="A51" i="17"/>
  <c r="A70" i="18"/>
  <c r="A72" i="17"/>
  <c r="A65" i="18"/>
  <c r="A67" i="17"/>
  <c r="A80" i="18"/>
  <c r="A80" i="17"/>
  <c r="A64" i="18"/>
  <c r="A66" i="17"/>
  <c r="A61" i="18"/>
  <c r="A63" i="17"/>
  <c r="A42" i="17"/>
  <c r="A69" i="18"/>
  <c r="A71" i="17"/>
  <c r="A58" i="18"/>
  <c r="A60" i="17"/>
  <c r="A93" i="18"/>
  <c r="A91" i="17"/>
  <c r="A50" i="18"/>
  <c r="A52" i="17"/>
  <c r="A46" i="17"/>
  <c r="A50" i="17"/>
  <c r="A97" i="18"/>
  <c r="A99" i="18"/>
  <c r="A59" i="18"/>
  <c r="A67" i="18"/>
  <c r="AF81" i="2"/>
  <c r="AC81" i="2" s="1"/>
  <c r="AB81" i="2"/>
  <c r="BE81" i="2"/>
  <c r="AY81" i="2"/>
  <c r="E40" i="26"/>
  <c r="P56" i="27"/>
  <c r="D56" i="27"/>
  <c r="H40" i="26"/>
  <c r="T40" i="26"/>
  <c r="G56" i="27"/>
  <c r="J56" i="27"/>
  <c r="K40" i="26"/>
  <c r="W40" i="26"/>
  <c r="O1" i="27"/>
  <c r="N2" i="27"/>
  <c r="AR9" i="2"/>
  <c r="AR52" i="2"/>
  <c r="AR58" i="2"/>
  <c r="AR57" i="2"/>
  <c r="AR49" i="2"/>
  <c r="AR10" i="2"/>
  <c r="AR40" i="2"/>
  <c r="AR34" i="2"/>
  <c r="AR51" i="2"/>
  <c r="AR41" i="2"/>
  <c r="AR44" i="2"/>
  <c r="AR72" i="2"/>
  <c r="AR80" i="2"/>
  <c r="AR33" i="2"/>
  <c r="AR39" i="2"/>
  <c r="AR38" i="2"/>
  <c r="AR37" i="2"/>
  <c r="AR73" i="2"/>
  <c r="AR65" i="2"/>
  <c r="AR19" i="2"/>
  <c r="AR26" i="2"/>
  <c r="AR16" i="2"/>
  <c r="AR48" i="2"/>
  <c r="AR27" i="2"/>
  <c r="AR17" i="2"/>
  <c r="AR78" i="2"/>
  <c r="AR79" i="2"/>
  <c r="AR32" i="2"/>
  <c r="AR75" i="2"/>
  <c r="AR14" i="2"/>
  <c r="AR66" i="2"/>
  <c r="AR60" i="2"/>
  <c r="AR24" i="2"/>
  <c r="AR42" i="2"/>
  <c r="AR71" i="2"/>
  <c r="AR77" i="2"/>
  <c r="AR76" i="2"/>
  <c r="AR68" i="2"/>
  <c r="AR74" i="2"/>
  <c r="AR67" i="2"/>
  <c r="AR53" i="2"/>
  <c r="AR28" i="2"/>
  <c r="AR18" i="2"/>
  <c r="AR31" i="2"/>
  <c r="AR29" i="2"/>
  <c r="AR50" i="2"/>
  <c r="AR35" i="2"/>
  <c r="AR15" i="2"/>
  <c r="AR43" i="2"/>
  <c r="AR64" i="2"/>
  <c r="AR70" i="2"/>
  <c r="AR69" i="2"/>
  <c r="AR62" i="2"/>
  <c r="AR54" i="2"/>
  <c r="AR46" i="2"/>
  <c r="AR45" i="2"/>
  <c r="AR22" i="2"/>
  <c r="AR36" i="2"/>
  <c r="AR59" i="2"/>
  <c r="AR63" i="2"/>
  <c r="AR56" i="2"/>
  <c r="AR61" i="2"/>
  <c r="AR55" i="2"/>
  <c r="AR47" i="2"/>
  <c r="AR20" i="2"/>
  <c r="AR25" i="2"/>
  <c r="AR23" i="2"/>
  <c r="AR30" i="2"/>
  <c r="AR21" i="2"/>
  <c r="AD80" i="2"/>
  <c r="P80" i="2"/>
  <c r="P79" i="2"/>
  <c r="V80" i="2"/>
  <c r="Z80" i="2"/>
  <c r="K80" i="2"/>
  <c r="AE80" i="2" s="1"/>
  <c r="R80" i="2"/>
  <c r="V79" i="2"/>
  <c r="R79" i="2"/>
  <c r="Z79" i="2"/>
  <c r="AD79" i="2"/>
  <c r="K79" i="2"/>
  <c r="AE79" i="2" s="1"/>
  <c r="R78" i="2"/>
  <c r="R77" i="2"/>
  <c r="AD78" i="2"/>
  <c r="AA78" i="2"/>
  <c r="AD77" i="2"/>
  <c r="C78" i="2"/>
  <c r="J78" i="2"/>
  <c r="Q78" i="2" s="1"/>
  <c r="P78" i="2"/>
  <c r="Y78" i="2"/>
  <c r="Z78" i="2"/>
  <c r="C77" i="2"/>
  <c r="J77" i="2"/>
  <c r="Q77" i="2" s="1"/>
  <c r="P77" i="2"/>
  <c r="Z77" i="2"/>
  <c r="B38" i="11"/>
  <c r="D2" i="9" a="1"/>
  <c r="D2" i="9" s="1"/>
  <c r="C2" i="9" s="1"/>
  <c r="G17" i="1" s="1"/>
  <c r="D3" i="9" a="1"/>
  <c r="D3" i="9" s="1"/>
  <c r="C3" i="9" s="1"/>
  <c r="D4" i="9" a="1"/>
  <c r="D4" i="9" s="1"/>
  <c r="C4" i="9" s="1"/>
  <c r="D5" i="9" a="1"/>
  <c r="D5" i="9" s="1"/>
  <c r="C5" i="9" s="1"/>
  <c r="D6" i="9" a="1"/>
  <c r="D6" i="9" s="1"/>
  <c r="D7" i="9" a="1"/>
  <c r="D7" i="9" s="1"/>
  <c r="C7" i="9" s="1"/>
  <c r="E26" i="3"/>
  <c r="D26" i="3"/>
  <c r="Y98" i="2" l="1"/>
  <c r="AA98" i="2" s="1"/>
  <c r="G10" i="16"/>
  <c r="H10" i="16" s="1"/>
  <c r="L68" i="10"/>
  <c r="S67" i="10"/>
  <c r="AD67" i="10" s="1"/>
  <c r="L67" i="10"/>
  <c r="S68" i="10"/>
  <c r="L98" i="2"/>
  <c r="AF98" i="2"/>
  <c r="BJ16" i="32"/>
  <c r="Y16" i="32" s="1"/>
  <c r="L9" i="10"/>
  <c r="S9" i="10"/>
  <c r="L64" i="10"/>
  <c r="S64" i="10"/>
  <c r="Y64" i="10" s="1"/>
  <c r="G33" i="1"/>
  <c r="G8" i="1"/>
  <c r="G9" i="1"/>
  <c r="G2" i="1"/>
  <c r="G20" i="1"/>
  <c r="G3" i="1"/>
  <c r="G4" i="1"/>
  <c r="G5" i="1"/>
  <c r="G6" i="1"/>
  <c r="G7" i="1"/>
  <c r="G11" i="1"/>
  <c r="G14" i="1"/>
  <c r="G19" i="1"/>
  <c r="G15" i="1"/>
  <c r="G10" i="1"/>
  <c r="G12" i="1"/>
  <c r="G13" i="1"/>
  <c r="L62" i="10"/>
  <c r="S59" i="10"/>
  <c r="S63" i="10"/>
  <c r="L61" i="10"/>
  <c r="S62" i="10"/>
  <c r="L63" i="10"/>
  <c r="L60" i="10"/>
  <c r="S47" i="10"/>
  <c r="AJ47" i="10" s="1"/>
  <c r="S61" i="10"/>
  <c r="L57" i="10"/>
  <c r="L47" i="10"/>
  <c r="L59" i="10"/>
  <c r="S60" i="10"/>
  <c r="AD60" i="10" s="1"/>
  <c r="S57" i="10"/>
  <c r="L6" i="10"/>
  <c r="L7" i="10"/>
  <c r="L8" i="10"/>
  <c r="S6" i="10"/>
  <c r="S7" i="10"/>
  <c r="S8" i="10"/>
  <c r="Y7" i="2"/>
  <c r="L7" i="2" s="1"/>
  <c r="Y8" i="2"/>
  <c r="G3" i="16"/>
  <c r="H3" i="16" s="1"/>
  <c r="S21" i="10"/>
  <c r="G7" i="3" s="1"/>
  <c r="L21" i="10"/>
  <c r="L3" i="10"/>
  <c r="L4" i="10"/>
  <c r="L5" i="10"/>
  <c r="S3" i="10"/>
  <c r="S4" i="10"/>
  <c r="S5" i="10"/>
  <c r="S2" i="10"/>
  <c r="L2" i="10"/>
  <c r="BJ2" i="32"/>
  <c r="Q36" i="32" s="1"/>
  <c r="Q38" i="32" s="1"/>
  <c r="G26" i="1"/>
  <c r="G36" i="1"/>
  <c r="G37" i="1"/>
  <c r="G38" i="1"/>
  <c r="G32" i="1"/>
  <c r="G41" i="1"/>
  <c r="G34" i="1"/>
  <c r="G42" i="1"/>
  <c r="G27" i="1"/>
  <c r="G28" i="1"/>
  <c r="G29" i="1"/>
  <c r="G30" i="1"/>
  <c r="G39" i="1"/>
  <c r="G5" i="16"/>
  <c r="H5" i="16" s="1"/>
  <c r="BJ3" i="32"/>
  <c r="G29" i="16"/>
  <c r="H29" i="16" s="1"/>
  <c r="G24" i="1"/>
  <c r="L39" i="10"/>
  <c r="L37" i="10"/>
  <c r="S39" i="10"/>
  <c r="AC39" i="10" s="1"/>
  <c r="S37" i="10"/>
  <c r="AB37" i="10" s="1"/>
  <c r="L34" i="10"/>
  <c r="I76" i="10" s="1"/>
  <c r="S34" i="10"/>
  <c r="G6" i="16"/>
  <c r="H6" i="16" s="1"/>
  <c r="G28" i="16"/>
  <c r="H28" i="16" s="1"/>
  <c r="G4" i="16"/>
  <c r="H4" i="16" s="1"/>
  <c r="G27" i="16"/>
  <c r="H27" i="16" s="1"/>
  <c r="Y90" i="2"/>
  <c r="L90" i="2" s="1"/>
  <c r="BC90" i="2" s="1"/>
  <c r="G33" i="16"/>
  <c r="H33" i="16" s="1"/>
  <c r="I69" i="3" s="1"/>
  <c r="BJ5" i="32"/>
  <c r="BJ4" i="32"/>
  <c r="I33" i="3"/>
  <c r="BF25" i="32"/>
  <c r="BA25" i="32"/>
  <c r="BJ14" i="32"/>
  <c r="BJ15" i="32"/>
  <c r="BJ17" i="32"/>
  <c r="BJ13" i="32"/>
  <c r="S36" i="10"/>
  <c r="L36" i="10"/>
  <c r="BJ6" i="32"/>
  <c r="BJ7" i="32"/>
  <c r="BJ12" i="32"/>
  <c r="BJ8" i="32"/>
  <c r="BJ9" i="32"/>
  <c r="Y9" i="32" s="1"/>
  <c r="BJ10" i="32"/>
  <c r="Y10" i="32" s="1"/>
  <c r="BJ11" i="32"/>
  <c r="V18" i="3"/>
  <c r="AB80" i="2"/>
  <c r="X6" i="11"/>
  <c r="Z6" i="11" s="1"/>
  <c r="Y79" i="2"/>
  <c r="L79" i="2" s="1"/>
  <c r="C6" i="9"/>
  <c r="Y2" i="2"/>
  <c r="G33" i="3"/>
  <c r="P1" i="27"/>
  <c r="O2" i="27"/>
  <c r="AS45" i="2"/>
  <c r="BC45" i="2" s="1"/>
  <c r="AS64" i="2"/>
  <c r="AU64" i="2" s="1"/>
  <c r="AS16" i="2"/>
  <c r="AW16" i="2" s="1"/>
  <c r="AS65" i="2"/>
  <c r="AV65" i="2" s="1"/>
  <c r="AS30" i="2"/>
  <c r="BC30" i="2" s="1"/>
  <c r="AS20" i="2"/>
  <c r="AW20" i="2" s="1"/>
  <c r="AS61" i="2"/>
  <c r="AY61" i="2" s="1"/>
  <c r="AS59" i="2"/>
  <c r="AX59" i="2" s="1"/>
  <c r="AS50" i="2"/>
  <c r="AT50" i="2" s="1"/>
  <c r="AS18" i="2"/>
  <c r="AZ18" i="2" s="1"/>
  <c r="AS76" i="2"/>
  <c r="AX76" i="2" s="1"/>
  <c r="AS24" i="2"/>
  <c r="AW24" i="2" s="1"/>
  <c r="AS66" i="2"/>
  <c r="BD66" i="2" s="1"/>
  <c r="AS32" i="2"/>
  <c r="BA32" i="2" s="1"/>
  <c r="AS44" i="2"/>
  <c r="BC44" i="2" s="1"/>
  <c r="AS40" i="2"/>
  <c r="BD40" i="2" s="1"/>
  <c r="AS57" i="2"/>
  <c r="AZ57" i="2" s="1"/>
  <c r="AS46" i="2"/>
  <c r="AU46" i="2" s="1"/>
  <c r="AS62" i="2"/>
  <c r="BE62" i="2" s="1"/>
  <c r="AS17" i="2"/>
  <c r="BD17" i="2" s="1"/>
  <c r="AS26" i="2"/>
  <c r="AZ26" i="2" s="1"/>
  <c r="AS73" i="2"/>
  <c r="AT73" i="2" s="1"/>
  <c r="AS33" i="2"/>
  <c r="AT33" i="2" s="1"/>
  <c r="AS23" i="2"/>
  <c r="BC23" i="2" s="1"/>
  <c r="AS56" i="2"/>
  <c r="AU56" i="2" s="1"/>
  <c r="AS43" i="2"/>
  <c r="BD43" i="2" s="1"/>
  <c r="AS29" i="2"/>
  <c r="AX29" i="2" s="1"/>
  <c r="AS67" i="2"/>
  <c r="BD67" i="2" s="1"/>
  <c r="AS77" i="2"/>
  <c r="BC77" i="2" s="1"/>
  <c r="AS79" i="2"/>
  <c r="AU79" i="2" s="1"/>
  <c r="AS41" i="2"/>
  <c r="AZ41" i="2" s="1"/>
  <c r="AS10" i="2"/>
  <c r="BE10" i="2" s="1"/>
  <c r="AS58" i="2"/>
  <c r="AZ58" i="2" s="1"/>
  <c r="AS36" i="2"/>
  <c r="AU36" i="2" s="1"/>
  <c r="AS54" i="2"/>
  <c r="AY54" i="2" s="1"/>
  <c r="AS69" i="2"/>
  <c r="BA69" i="2" s="1"/>
  <c r="AS27" i="2"/>
  <c r="AW27" i="2" s="1"/>
  <c r="AS19" i="2"/>
  <c r="BB19" i="2" s="1"/>
  <c r="AS37" i="2"/>
  <c r="BD37" i="2" s="1"/>
  <c r="AS80" i="2"/>
  <c r="BA80" i="2" s="1"/>
  <c r="AS47" i="2"/>
  <c r="AT47" i="2" s="1"/>
  <c r="AS15" i="2"/>
  <c r="BA15" i="2" s="1"/>
  <c r="AS31" i="2"/>
  <c r="BE31" i="2" s="1"/>
  <c r="AS28" i="2"/>
  <c r="AY28" i="2" s="1"/>
  <c r="AS74" i="2"/>
  <c r="AX74" i="2" s="1"/>
  <c r="AS71" i="2"/>
  <c r="AW71" i="2" s="1"/>
  <c r="AS14" i="2"/>
  <c r="AX14" i="2" s="1"/>
  <c r="AS78" i="2"/>
  <c r="AX78" i="2" s="1"/>
  <c r="AS51" i="2"/>
  <c r="BE51" i="2" s="1"/>
  <c r="AS52" i="2"/>
  <c r="AX52" i="2" s="1"/>
  <c r="AS22" i="2"/>
  <c r="BD22" i="2" s="1"/>
  <c r="AS70" i="2"/>
  <c r="AV70" i="2" s="1"/>
  <c r="AS48" i="2"/>
  <c r="AT48" i="2" s="1"/>
  <c r="AS38" i="2"/>
  <c r="AX38" i="2" s="1"/>
  <c r="AS21" i="2"/>
  <c r="BB21" i="2" s="1"/>
  <c r="AS25" i="2"/>
  <c r="AY25" i="2" s="1"/>
  <c r="AS55" i="2"/>
  <c r="AW55" i="2" s="1"/>
  <c r="AS63" i="2"/>
  <c r="AT63" i="2" s="1"/>
  <c r="AS35" i="2"/>
  <c r="BD35" i="2" s="1"/>
  <c r="AS53" i="2"/>
  <c r="BD53" i="2" s="1"/>
  <c r="AS68" i="2"/>
  <c r="AV68" i="2" s="1"/>
  <c r="AS42" i="2"/>
  <c r="BA42" i="2" s="1"/>
  <c r="AS60" i="2"/>
  <c r="AX60" i="2" s="1"/>
  <c r="AS75" i="2"/>
  <c r="AU75" i="2" s="1"/>
  <c r="AS72" i="2"/>
  <c r="AW72" i="2" s="1"/>
  <c r="AS34" i="2"/>
  <c r="BA34" i="2" s="1"/>
  <c r="AS49" i="2"/>
  <c r="AT49" i="2" s="1"/>
  <c r="AS39" i="2"/>
  <c r="AU39" i="2" s="1"/>
  <c r="AS9" i="2"/>
  <c r="AY9" i="2" s="1"/>
  <c r="S27" i="10"/>
  <c r="L27" i="10"/>
  <c r="Y80" i="2"/>
  <c r="AA80" i="2" s="1"/>
  <c r="L33" i="10"/>
  <c r="S33" i="10"/>
  <c r="L30" i="10"/>
  <c r="S30" i="10"/>
  <c r="V77" i="2"/>
  <c r="K78" i="2"/>
  <c r="AE78" i="2" s="1"/>
  <c r="V78" i="2"/>
  <c r="K77" i="2"/>
  <c r="AE77" i="2" s="1"/>
  <c r="L78" i="2"/>
  <c r="Y77" i="2"/>
  <c r="Z72" i="2"/>
  <c r="AA73" i="2"/>
  <c r="P76" i="2"/>
  <c r="R73" i="2"/>
  <c r="R74" i="2"/>
  <c r="R75" i="2"/>
  <c r="R76" i="2"/>
  <c r="R72" i="2"/>
  <c r="AD72" i="2"/>
  <c r="AD73" i="2"/>
  <c r="AD74" i="2"/>
  <c r="AD75" i="2"/>
  <c r="AD76" i="2"/>
  <c r="Q4" i="2"/>
  <c r="Q3" i="2"/>
  <c r="Q5" i="2"/>
  <c r="Q6" i="2"/>
  <c r="C2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9" i="2"/>
  <c r="C38" i="2"/>
  <c r="C39" i="2"/>
  <c r="C40" i="2"/>
  <c r="C41" i="2"/>
  <c r="C42" i="2"/>
  <c r="C43" i="2"/>
  <c r="C44" i="2"/>
  <c r="C45" i="2"/>
  <c r="C46" i="2"/>
  <c r="C47" i="2"/>
  <c r="C10" i="2"/>
  <c r="C48" i="2"/>
  <c r="C49" i="2"/>
  <c r="C50" i="2"/>
  <c r="C51" i="2"/>
  <c r="C52" i="2"/>
  <c r="C12" i="2"/>
  <c r="C53" i="2"/>
  <c r="C54" i="2"/>
  <c r="C11" i="2"/>
  <c r="C13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3" i="2"/>
  <c r="C4" i="2"/>
  <c r="C5" i="2"/>
  <c r="C6" i="2"/>
  <c r="C72" i="2"/>
  <c r="C73" i="2"/>
  <c r="C74" i="2"/>
  <c r="C75" i="2"/>
  <c r="C76" i="2"/>
  <c r="J76" i="2"/>
  <c r="V76" i="2" s="1"/>
  <c r="Y76" i="2"/>
  <c r="Z76" i="2"/>
  <c r="J75" i="2"/>
  <c r="V75" i="2" s="1"/>
  <c r="P75" i="2"/>
  <c r="Y75" i="2"/>
  <c r="AA75" i="2" s="1"/>
  <c r="Z75" i="2"/>
  <c r="J74" i="2"/>
  <c r="V74" i="2" s="1"/>
  <c r="P74" i="2"/>
  <c r="Y74" i="2"/>
  <c r="Z74" i="2"/>
  <c r="J73" i="2"/>
  <c r="V73" i="2" s="1"/>
  <c r="P73" i="2"/>
  <c r="Y73" i="2"/>
  <c r="J72" i="2"/>
  <c r="V72" i="2" s="1"/>
  <c r="P72" i="2"/>
  <c r="Y72" i="2"/>
  <c r="P4" i="11"/>
  <c r="U4" i="11"/>
  <c r="X4" i="11"/>
  <c r="Z4" i="11" s="1"/>
  <c r="S4" i="11"/>
  <c r="R6" i="7"/>
  <c r="G7" i="16" l="1"/>
  <c r="H7" i="16" s="1"/>
  <c r="G18" i="1"/>
  <c r="AC98" i="2"/>
  <c r="I77" i="10"/>
  <c r="BB98" i="2"/>
  <c r="BE98" i="2"/>
  <c r="AY98" i="2"/>
  <c r="AV98" i="2"/>
  <c r="R16" i="32"/>
  <c r="F16" i="32"/>
  <c r="AG68" i="10"/>
  <c r="AA68" i="10"/>
  <c r="Z9" i="10"/>
  <c r="AF9" i="10"/>
  <c r="S16" i="32"/>
  <c r="G9" i="16"/>
  <c r="H9" i="16" s="1"/>
  <c r="I65" i="3" s="1"/>
  <c r="G16" i="1"/>
  <c r="S6" i="7"/>
  <c r="AB57" i="10"/>
  <c r="AA57" i="10"/>
  <c r="Y57" i="10"/>
  <c r="Z57" i="10"/>
  <c r="AJ62" i="10"/>
  <c r="AG62" i="10"/>
  <c r="AD62" i="10"/>
  <c r="AA62" i="10"/>
  <c r="Y63" i="10"/>
  <c r="AH63" i="10"/>
  <c r="AE63" i="10"/>
  <c r="AB63" i="10"/>
  <c r="AJ59" i="10"/>
  <c r="O80" i="26" s="1"/>
  <c r="AA59" i="10"/>
  <c r="AG59" i="10"/>
  <c r="AD59" i="10"/>
  <c r="AE61" i="10"/>
  <c r="Y61" i="10"/>
  <c r="BF28" i="32"/>
  <c r="BB27" i="32"/>
  <c r="AX27" i="32"/>
  <c r="AY28" i="32"/>
  <c r="BG28" i="32"/>
  <c r="BC27" i="32"/>
  <c r="AZ28" i="32"/>
  <c r="BH28" i="32"/>
  <c r="BD27" i="32"/>
  <c r="BE28" i="32"/>
  <c r="BA28" i="32"/>
  <c r="BI28" i="32"/>
  <c r="BE27" i="32"/>
  <c r="BB28" i="32"/>
  <c r="AX28" i="32"/>
  <c r="BF27" i="32"/>
  <c r="BA27" i="32"/>
  <c r="BI27" i="32"/>
  <c r="BC28" i="32"/>
  <c r="AY27" i="32"/>
  <c r="BG27" i="32"/>
  <c r="BD28" i="32"/>
  <c r="AZ27" i="32"/>
  <c r="BH27" i="32"/>
  <c r="P40" i="29"/>
  <c r="AX4" i="32"/>
  <c r="BF4" i="32"/>
  <c r="AY4" i="32"/>
  <c r="BG4" i="32"/>
  <c r="AZ4" i="32"/>
  <c r="BH4" i="32"/>
  <c r="BA4" i="32"/>
  <c r="BI4" i="32"/>
  <c r="BD4" i="32"/>
  <c r="BB4" i="32"/>
  <c r="BC4" i="32"/>
  <c r="BE4" i="32"/>
  <c r="F2" i="32"/>
  <c r="AX2" i="32"/>
  <c r="BF2" i="32"/>
  <c r="AY2" i="32"/>
  <c r="BG2" i="32"/>
  <c r="AZ2" i="32"/>
  <c r="BH2" i="32"/>
  <c r="BA2" i="32"/>
  <c r="BI2" i="32"/>
  <c r="BB2" i="32"/>
  <c r="BC2" i="32"/>
  <c r="BD2" i="32"/>
  <c r="BE2" i="32"/>
  <c r="Y3" i="32"/>
  <c r="BB3" i="32"/>
  <c r="BC3" i="32"/>
  <c r="BD3" i="32"/>
  <c r="BH3" i="32"/>
  <c r="BE3" i="32"/>
  <c r="AX3" i="32"/>
  <c r="BF3" i="32"/>
  <c r="AZ3" i="32"/>
  <c r="AY3" i="32"/>
  <c r="BG3" i="32"/>
  <c r="BA3" i="32"/>
  <c r="BI3" i="32"/>
  <c r="AD6" i="10"/>
  <c r="AJ6" i="10"/>
  <c r="AC8" i="10"/>
  <c r="Y8" i="10"/>
  <c r="AG8" i="10"/>
  <c r="AI7" i="10"/>
  <c r="AC7" i="10"/>
  <c r="AF7" i="2"/>
  <c r="AA7" i="2"/>
  <c r="AA8" i="2"/>
  <c r="L8" i="2"/>
  <c r="AF8" i="2"/>
  <c r="AV7" i="2"/>
  <c r="AY7" i="2"/>
  <c r="BE7" i="2"/>
  <c r="BB7" i="2"/>
  <c r="F6" i="32"/>
  <c r="Y6" i="32"/>
  <c r="F14" i="32"/>
  <c r="Y14" i="32"/>
  <c r="F11" i="32"/>
  <c r="Y11" i="32"/>
  <c r="F4" i="32"/>
  <c r="Y4" i="32"/>
  <c r="R2" i="32"/>
  <c r="Y2" i="32"/>
  <c r="F8" i="32"/>
  <c r="Y8" i="32"/>
  <c r="F13" i="32"/>
  <c r="Y13" i="32"/>
  <c r="F12" i="32"/>
  <c r="M45" i="29" s="1"/>
  <c r="Y12" i="32"/>
  <c r="U17" i="32"/>
  <c r="Q17" i="32" s="1"/>
  <c r="Y17" i="32"/>
  <c r="Y5" i="32"/>
  <c r="F7" i="32"/>
  <c r="Y7" i="32"/>
  <c r="F15" i="32"/>
  <c r="Y15" i="32"/>
  <c r="Y36" i="10"/>
  <c r="AH21" i="10"/>
  <c r="Y21" i="10"/>
  <c r="AB21" i="10"/>
  <c r="AE21" i="10"/>
  <c r="S2" i="32"/>
  <c r="AG2" i="10"/>
  <c r="AA2" i="10"/>
  <c r="AE5" i="10"/>
  <c r="Y5" i="10"/>
  <c r="AI4" i="10"/>
  <c r="AC4" i="10"/>
  <c r="AB3" i="10"/>
  <c r="Y3" i="10"/>
  <c r="AH3" i="10"/>
  <c r="AE3" i="10"/>
  <c r="S3" i="32"/>
  <c r="R3" i="32"/>
  <c r="F3" i="32"/>
  <c r="F9" i="32"/>
  <c r="F10" i="32"/>
  <c r="N82" i="27"/>
  <c r="N79" i="27" s="1"/>
  <c r="T80" i="26"/>
  <c r="H80" i="26"/>
  <c r="AA34" i="10"/>
  <c r="AG34" i="10"/>
  <c r="AA90" i="2"/>
  <c r="AF90" i="2"/>
  <c r="I67" i="3"/>
  <c r="R5" i="32"/>
  <c r="AX5" i="32"/>
  <c r="G8" i="16"/>
  <c r="H8" i="16" s="1"/>
  <c r="I66" i="3" s="1"/>
  <c r="G32" i="16"/>
  <c r="H32" i="16" s="1"/>
  <c r="BF5" i="32"/>
  <c r="BD5" i="32"/>
  <c r="BI5" i="32"/>
  <c r="BA5" i="32"/>
  <c r="BG5" i="32"/>
  <c r="AY5" i="32"/>
  <c r="BC5" i="32"/>
  <c r="BB5" i="32"/>
  <c r="S5" i="32"/>
  <c r="BH5" i="32"/>
  <c r="AZ5" i="32"/>
  <c r="BE5" i="32"/>
  <c r="F5" i="32"/>
  <c r="P39" i="29"/>
  <c r="H37" i="29" s="1"/>
  <c r="U35" i="3" s="1"/>
  <c r="U6" i="6"/>
  <c r="V6" i="6" s="1"/>
  <c r="I50" i="3"/>
  <c r="S4" i="32"/>
  <c r="R4" i="32"/>
  <c r="T4" i="11"/>
  <c r="G8" i="29" a="1"/>
  <c r="G8" i="29" s="1"/>
  <c r="G9" i="29" a="1"/>
  <c r="G9" i="29" s="1"/>
  <c r="T5" i="3" a="1"/>
  <c r="T5" i="3" s="1"/>
  <c r="T6" i="3" a="1"/>
  <c r="T6" i="3" s="1"/>
  <c r="T7" i="3" a="1"/>
  <c r="T7" i="3" s="1"/>
  <c r="T4" i="3" a="1"/>
  <c r="T4" i="3" s="1"/>
  <c r="T8" i="3" a="1"/>
  <c r="T8" i="3" s="1"/>
  <c r="U6" i="3"/>
  <c r="G6" i="29" a="1"/>
  <c r="G6" i="29" s="1"/>
  <c r="G7" i="29" a="1"/>
  <c r="G7" i="29" s="1"/>
  <c r="V5" i="3"/>
  <c r="V7" i="3"/>
  <c r="BB10" i="32"/>
  <c r="BC10" i="32"/>
  <c r="BD10" i="32"/>
  <c r="BH10" i="32"/>
  <c r="BE10" i="32"/>
  <c r="AZ10" i="32"/>
  <c r="AX10" i="32"/>
  <c r="BF10" i="32"/>
  <c r="AY10" i="32"/>
  <c r="BG10" i="32"/>
  <c r="BA10" i="32"/>
  <c r="BI10" i="32"/>
  <c r="T17" i="32"/>
  <c r="G17" i="32" s="1"/>
  <c r="BB17" i="32"/>
  <c r="BH17" i="32"/>
  <c r="BC17" i="32"/>
  <c r="BD17" i="32"/>
  <c r="BE17" i="32"/>
  <c r="AX17" i="32"/>
  <c r="BF17" i="32"/>
  <c r="BG17" i="32"/>
  <c r="BA17" i="32"/>
  <c r="BI17" i="32"/>
  <c r="AZ17" i="32"/>
  <c r="AX9" i="32"/>
  <c r="BF9" i="32"/>
  <c r="BD9" i="32"/>
  <c r="AY9" i="32"/>
  <c r="BG9" i="32"/>
  <c r="AZ9" i="32"/>
  <c r="BH9" i="32"/>
  <c r="BA9" i="32"/>
  <c r="BI9" i="32"/>
  <c r="BB9" i="32"/>
  <c r="BC9" i="32"/>
  <c r="BE9" i="32"/>
  <c r="AX15" i="32"/>
  <c r="BF15" i="32"/>
  <c r="AY15" i="32"/>
  <c r="BG15" i="32"/>
  <c r="AZ15" i="32"/>
  <c r="BH15" i="32"/>
  <c r="BA15" i="32"/>
  <c r="BI15" i="32"/>
  <c r="BB15" i="32"/>
  <c r="BD15" i="32"/>
  <c r="BC15" i="32"/>
  <c r="BE15" i="32"/>
  <c r="BB8" i="32"/>
  <c r="BC8" i="32"/>
  <c r="BH8" i="32"/>
  <c r="BD8" i="32"/>
  <c r="BE8" i="32"/>
  <c r="AX8" i="32"/>
  <c r="BF8" i="32"/>
  <c r="AY8" i="32"/>
  <c r="BG8" i="32"/>
  <c r="BA8" i="32"/>
  <c r="BI8" i="32"/>
  <c r="AZ8" i="32"/>
  <c r="BB14" i="32"/>
  <c r="BC14" i="32"/>
  <c r="BD14" i="32"/>
  <c r="AZ14" i="32"/>
  <c r="BE14" i="32"/>
  <c r="BH14" i="32"/>
  <c r="AX14" i="32"/>
  <c r="BF14" i="32"/>
  <c r="AY14" i="32"/>
  <c r="BG14" i="32"/>
  <c r="BA14" i="32"/>
  <c r="BI14" i="32"/>
  <c r="BB12" i="32"/>
  <c r="BC12" i="32"/>
  <c r="BD12" i="32"/>
  <c r="BE12" i="32"/>
  <c r="AX12" i="32"/>
  <c r="BF12" i="32"/>
  <c r="AZ12" i="32"/>
  <c r="AY12" i="32"/>
  <c r="BG12" i="32"/>
  <c r="BH12" i="32"/>
  <c r="BA12" i="32"/>
  <c r="BI12" i="32"/>
  <c r="BB6" i="32"/>
  <c r="BC6" i="32"/>
  <c r="BD6" i="32"/>
  <c r="BE6" i="32"/>
  <c r="BH6" i="32"/>
  <c r="AX6" i="32"/>
  <c r="BF6" i="32"/>
  <c r="AZ6" i="32"/>
  <c r="AY6" i="32"/>
  <c r="BG6" i="32"/>
  <c r="BA6" i="32"/>
  <c r="BI6" i="32"/>
  <c r="AX7" i="32"/>
  <c r="BF7" i="32"/>
  <c r="AY7" i="32"/>
  <c r="BG7" i="32"/>
  <c r="AZ7" i="32"/>
  <c r="BH7" i="32"/>
  <c r="BD7" i="32"/>
  <c r="BA7" i="32"/>
  <c r="BI7" i="32"/>
  <c r="BB7" i="32"/>
  <c r="BC7" i="32"/>
  <c r="BE7" i="32"/>
  <c r="AX11" i="32"/>
  <c r="BF11" i="32"/>
  <c r="AY11" i="32"/>
  <c r="BG11" i="32"/>
  <c r="AZ11" i="32"/>
  <c r="BH11" i="32"/>
  <c r="BA11" i="32"/>
  <c r="BI11" i="32"/>
  <c r="BB11" i="32"/>
  <c r="BC11" i="32"/>
  <c r="BE11" i="32"/>
  <c r="BD11" i="32"/>
  <c r="AX13" i="32"/>
  <c r="BF13" i="32"/>
  <c r="AY13" i="32"/>
  <c r="BG13" i="32"/>
  <c r="BD13" i="32"/>
  <c r="AZ13" i="32"/>
  <c r="BH13" i="32"/>
  <c r="BA13" i="32"/>
  <c r="BI13" i="32"/>
  <c r="BB13" i="32"/>
  <c r="BC13" i="32"/>
  <c r="BE13" i="32"/>
  <c r="BC25" i="32"/>
  <c r="AX25" i="32"/>
  <c r="BI25" i="32"/>
  <c r="AZ25" i="32"/>
  <c r="BG25" i="32"/>
  <c r="BH25" i="32"/>
  <c r="BD25" i="32"/>
  <c r="AY25" i="32"/>
  <c r="BB25" i="32"/>
  <c r="BE25" i="32"/>
  <c r="S10" i="32"/>
  <c r="R10" i="32"/>
  <c r="S15" i="32"/>
  <c r="R15" i="32"/>
  <c r="S9" i="32"/>
  <c r="R9" i="32"/>
  <c r="S8" i="32"/>
  <c r="R8" i="32"/>
  <c r="S14" i="32"/>
  <c r="R14" i="32"/>
  <c r="S12" i="32"/>
  <c r="R12" i="32"/>
  <c r="S7" i="32"/>
  <c r="R7" i="32"/>
  <c r="S6" i="32"/>
  <c r="R6" i="32"/>
  <c r="S17" i="32"/>
  <c r="S11" i="32"/>
  <c r="R11" i="32"/>
  <c r="S13" i="32"/>
  <c r="R13" i="32"/>
  <c r="U21" i="3"/>
  <c r="Q4" i="11"/>
  <c r="P28" i="29"/>
  <c r="H19" i="29"/>
  <c r="J18" i="3"/>
  <c r="AF78" i="2"/>
  <c r="AC78" i="2" s="1"/>
  <c r="AB79" i="2"/>
  <c r="AF77" i="2"/>
  <c r="AF80" i="2"/>
  <c r="AC80" i="2" s="1"/>
  <c r="AF79" i="2"/>
  <c r="AB77" i="2"/>
  <c r="AW77" i="2"/>
  <c r="AX26" i="2"/>
  <c r="AX71" i="2"/>
  <c r="AT55" i="2"/>
  <c r="AX16" i="2"/>
  <c r="BA22" i="2"/>
  <c r="BE47" i="2"/>
  <c r="BC80" i="2"/>
  <c r="AZ80" i="2"/>
  <c r="BE28" i="2"/>
  <c r="AV10" i="2"/>
  <c r="BD77" i="2"/>
  <c r="BB47" i="2"/>
  <c r="BD26" i="2"/>
  <c r="BC28" i="2"/>
  <c r="AT10" i="2"/>
  <c r="BC18" i="2"/>
  <c r="AY47" i="2"/>
  <c r="BB64" i="2"/>
  <c r="AW75" i="2"/>
  <c r="AX64" i="2"/>
  <c r="BC16" i="2"/>
  <c r="AX70" i="2"/>
  <c r="BA40" i="2"/>
  <c r="BE57" i="2"/>
  <c r="BD75" i="2"/>
  <c r="BC64" i="2"/>
  <c r="BE14" i="2"/>
  <c r="BD70" i="2"/>
  <c r="BE40" i="2"/>
  <c r="BE18" i="2"/>
  <c r="BB57" i="2"/>
  <c r="AT75" i="2"/>
  <c r="BA55" i="2"/>
  <c r="AU14" i="2"/>
  <c r="AY70" i="2"/>
  <c r="AT57" i="2"/>
  <c r="AU71" i="2"/>
  <c r="BE55" i="2"/>
  <c r="BA14" i="2"/>
  <c r="AV22" i="2"/>
  <c r="AU49" i="2"/>
  <c r="AU57" i="2"/>
  <c r="AY49" i="2"/>
  <c r="AV49" i="2"/>
  <c r="AX80" i="2"/>
  <c r="AW26" i="2"/>
  <c r="AX75" i="2"/>
  <c r="BD71" i="2"/>
  <c r="AX28" i="2"/>
  <c r="BD64" i="2"/>
  <c r="AW64" i="2"/>
  <c r="AY45" i="2"/>
  <c r="BC55" i="2"/>
  <c r="AU23" i="2"/>
  <c r="AU10" i="2"/>
  <c r="AX33" i="2"/>
  <c r="BE16" i="2"/>
  <c r="AV14" i="2"/>
  <c r="AW14" i="2"/>
  <c r="BA77" i="2"/>
  <c r="AY18" i="2"/>
  <c r="BE70" i="2"/>
  <c r="AT22" i="2"/>
  <c r="AV47" i="2"/>
  <c r="BD47" i="2"/>
  <c r="AY40" i="2"/>
  <c r="AT39" i="2"/>
  <c r="BD39" i="2"/>
  <c r="BD48" i="2"/>
  <c r="AW76" i="2"/>
  <c r="BB31" i="2"/>
  <c r="AT31" i="2"/>
  <c r="AY69" i="2"/>
  <c r="AX36" i="2"/>
  <c r="BB20" i="2"/>
  <c r="AY23" i="2"/>
  <c r="AZ34" i="2"/>
  <c r="AT34" i="2"/>
  <c r="BA38" i="2"/>
  <c r="AV27" i="2"/>
  <c r="BA66" i="2"/>
  <c r="AX68" i="2"/>
  <c r="AY68" i="2"/>
  <c r="AT29" i="2"/>
  <c r="BA62" i="2"/>
  <c r="BD59" i="2"/>
  <c r="BE59" i="2"/>
  <c r="AZ25" i="2"/>
  <c r="AW9" i="2"/>
  <c r="AT9" i="2"/>
  <c r="BB51" i="2"/>
  <c r="BE37" i="2"/>
  <c r="AV17" i="2"/>
  <c r="AZ60" i="2"/>
  <c r="BA74" i="2"/>
  <c r="BC50" i="2"/>
  <c r="AV50" i="2"/>
  <c r="BA63" i="2"/>
  <c r="BE52" i="2"/>
  <c r="AY41" i="2"/>
  <c r="AT41" i="2"/>
  <c r="AV78" i="2"/>
  <c r="BE67" i="2"/>
  <c r="BC35" i="2"/>
  <c r="AT35" i="2"/>
  <c r="AX30" i="2"/>
  <c r="AT37" i="2"/>
  <c r="AY58" i="2"/>
  <c r="BA44" i="2"/>
  <c r="AU65" i="2"/>
  <c r="BD79" i="2"/>
  <c r="AU24" i="2"/>
  <c r="AT15" i="2"/>
  <c r="AT54" i="2"/>
  <c r="AZ56" i="2"/>
  <c r="AV21" i="2"/>
  <c r="AX37" i="2"/>
  <c r="AT72" i="2"/>
  <c r="AT19" i="2"/>
  <c r="AX32" i="2"/>
  <c r="AX42" i="2"/>
  <c r="AT53" i="2"/>
  <c r="AT43" i="2"/>
  <c r="BA46" i="2"/>
  <c r="BB46" i="2"/>
  <c r="BE61" i="2"/>
  <c r="AW49" i="2"/>
  <c r="AX45" i="2"/>
  <c r="AY57" i="2"/>
  <c r="BB49" i="2"/>
  <c r="AU80" i="2"/>
  <c r="AU26" i="2"/>
  <c r="BE26" i="2"/>
  <c r="BC75" i="2"/>
  <c r="BC71" i="2"/>
  <c r="AT28" i="2"/>
  <c r="BA64" i="2"/>
  <c r="AZ45" i="2"/>
  <c r="AW45" i="2"/>
  <c r="AU55" i="2"/>
  <c r="BA10" i="2"/>
  <c r="BB10" i="2"/>
  <c r="BE33" i="2"/>
  <c r="AU16" i="2"/>
  <c r="BC14" i="2"/>
  <c r="AZ77" i="2"/>
  <c r="BD18" i="2"/>
  <c r="AV18" i="2"/>
  <c r="AZ70" i="2"/>
  <c r="AU22" i="2"/>
  <c r="AZ47" i="2"/>
  <c r="AW40" i="2"/>
  <c r="BE39" i="2"/>
  <c r="AZ48" i="2"/>
  <c r="BA48" i="2"/>
  <c r="AU76" i="2"/>
  <c r="BA31" i="2"/>
  <c r="BD31" i="2"/>
  <c r="AX69" i="2"/>
  <c r="BD36" i="2"/>
  <c r="AV20" i="2"/>
  <c r="BE23" i="2"/>
  <c r="AW34" i="2"/>
  <c r="AY34" i="2"/>
  <c r="AY38" i="2"/>
  <c r="BC27" i="2"/>
  <c r="AZ66" i="2"/>
  <c r="AU68" i="2"/>
  <c r="AW68" i="2"/>
  <c r="BE29" i="2"/>
  <c r="AX62" i="2"/>
  <c r="BC59" i="2"/>
  <c r="AW25" i="2"/>
  <c r="AV25" i="2"/>
  <c r="BC9" i="2"/>
  <c r="AZ9" i="2"/>
  <c r="BC51" i="2"/>
  <c r="AZ17" i="2"/>
  <c r="BA17" i="2"/>
  <c r="AV60" i="2"/>
  <c r="AV74" i="2"/>
  <c r="AZ50" i="2"/>
  <c r="BB50" i="2"/>
  <c r="BD63" i="2"/>
  <c r="AV52" i="2"/>
  <c r="BB41" i="2"/>
  <c r="BC73" i="2"/>
  <c r="BB78" i="2"/>
  <c r="BC67" i="2"/>
  <c r="AZ35" i="2"/>
  <c r="AX35" i="2"/>
  <c r="BB30" i="2"/>
  <c r="BD58" i="2"/>
  <c r="AV58" i="2"/>
  <c r="AX44" i="2"/>
  <c r="AT65" i="2"/>
  <c r="AX79" i="2"/>
  <c r="BD24" i="2"/>
  <c r="AX15" i="2"/>
  <c r="BE54" i="2"/>
  <c r="AX56" i="2"/>
  <c r="BA21" i="2"/>
  <c r="AV19" i="2"/>
  <c r="BD72" i="2"/>
  <c r="BC19" i="2"/>
  <c r="AW32" i="2"/>
  <c r="AV42" i="2"/>
  <c r="BC53" i="2"/>
  <c r="AV43" i="2"/>
  <c r="BC46" i="2"/>
  <c r="AV46" i="2"/>
  <c r="AU61" i="2"/>
  <c r="BB65" i="2"/>
  <c r="BA57" i="2"/>
  <c r="BA49" i="2"/>
  <c r="AT80" i="2"/>
  <c r="AT26" i="2"/>
  <c r="BA26" i="2"/>
  <c r="AY75" i="2"/>
  <c r="BA71" i="2"/>
  <c r="AZ28" i="2"/>
  <c r="AY64" i="2"/>
  <c r="BE45" i="2"/>
  <c r="BD45" i="2"/>
  <c r="AV55" i="2"/>
  <c r="AZ10" i="2"/>
  <c r="AY10" i="2"/>
  <c r="AW33" i="2"/>
  <c r="BD16" i="2"/>
  <c r="BB14" i="2"/>
  <c r="AX77" i="2"/>
  <c r="AT18" i="2"/>
  <c r="AW18" i="2"/>
  <c r="BB70" i="2"/>
  <c r="AZ22" i="2"/>
  <c r="AW47" i="2"/>
  <c r="BB73" i="2"/>
  <c r="BB40" i="2"/>
  <c r="BA39" i="2"/>
  <c r="BC48" i="2"/>
  <c r="AY48" i="2"/>
  <c r="AT76" i="2"/>
  <c r="AY31" i="2"/>
  <c r="AU69" i="2"/>
  <c r="AV69" i="2"/>
  <c r="BE36" i="2"/>
  <c r="AU20" i="2"/>
  <c r="AZ23" i="2"/>
  <c r="AV34" i="2"/>
  <c r="AU38" i="2"/>
  <c r="BE38" i="2"/>
  <c r="BB27" i="2"/>
  <c r="AT66" i="2"/>
  <c r="BD68" i="2"/>
  <c r="BB29" i="2"/>
  <c r="AW29" i="2"/>
  <c r="AY62" i="2"/>
  <c r="AU59" i="2"/>
  <c r="BE25" i="2"/>
  <c r="AX25" i="2"/>
  <c r="BE9" i="2"/>
  <c r="AY51" i="2"/>
  <c r="BA51" i="2"/>
  <c r="AY17" i="2"/>
  <c r="BB17" i="2"/>
  <c r="BC60" i="2"/>
  <c r="BC74" i="2"/>
  <c r="AY50" i="2"/>
  <c r="BC63" i="2"/>
  <c r="AU73" i="2"/>
  <c r="AU52" i="2"/>
  <c r="AW41" i="2"/>
  <c r="AZ73" i="2"/>
  <c r="AZ78" i="2"/>
  <c r="AV67" i="2"/>
  <c r="BA35" i="2"/>
  <c r="BE30" i="2"/>
  <c r="BB58" i="2"/>
  <c r="BE58" i="2"/>
  <c r="AY44" i="2"/>
  <c r="BD65" i="2"/>
  <c r="AW79" i="2"/>
  <c r="BC24" i="2"/>
  <c r="AZ15" i="2"/>
  <c r="AY15" i="2"/>
  <c r="AU54" i="2"/>
  <c r="AW56" i="2"/>
  <c r="AY21" i="2"/>
  <c r="BD57" i="2"/>
  <c r="BE72" i="2"/>
  <c r="BC32" i="2"/>
  <c r="BD32" i="2"/>
  <c r="BB42" i="2"/>
  <c r="BA53" i="2"/>
  <c r="BB43" i="2"/>
  <c r="BD46" i="2"/>
  <c r="AX61" i="2"/>
  <c r="BD61" i="2"/>
  <c r="BA65" i="2"/>
  <c r="AY39" i="2"/>
  <c r="AX48" i="2"/>
  <c r="BC76" i="2"/>
  <c r="AX31" i="2"/>
  <c r="BD69" i="2"/>
  <c r="BE69" i="2"/>
  <c r="AT36" i="2"/>
  <c r="BA20" i="2"/>
  <c r="BA23" i="2"/>
  <c r="BC34" i="2"/>
  <c r="AW38" i="2"/>
  <c r="AZ38" i="2"/>
  <c r="AZ27" i="2"/>
  <c r="AY66" i="2"/>
  <c r="BC68" i="2"/>
  <c r="BD29" i="2"/>
  <c r="BC29" i="2"/>
  <c r="AZ62" i="2"/>
  <c r="BB59" i="2"/>
  <c r="BD25" i="2"/>
  <c r="AX9" i="2"/>
  <c r="BD51" i="2"/>
  <c r="AU51" i="2"/>
  <c r="AX17" i="2"/>
  <c r="AU60" i="2"/>
  <c r="BD60" i="2"/>
  <c r="BB74" i="2"/>
  <c r="AX50" i="2"/>
  <c r="AZ63" i="2"/>
  <c r="BD52" i="2"/>
  <c r="BE41" i="2"/>
  <c r="AY73" i="2"/>
  <c r="BD78" i="2"/>
  <c r="BB67" i="2"/>
  <c r="AY35" i="2"/>
  <c r="AU30" i="2"/>
  <c r="AT58" i="2"/>
  <c r="AV44" i="2"/>
  <c r="AW44" i="2"/>
  <c r="AZ79" i="2"/>
  <c r="BA79" i="2"/>
  <c r="BB24" i="2"/>
  <c r="BD15" i="2"/>
  <c r="AW15" i="2"/>
  <c r="BD54" i="2"/>
  <c r="AT56" i="2"/>
  <c r="BE21" i="2"/>
  <c r="BA72" i="2"/>
  <c r="AV72" i="2"/>
  <c r="AT32" i="2"/>
  <c r="AV32" i="2"/>
  <c r="AY42" i="2"/>
  <c r="AZ53" i="2"/>
  <c r="BA43" i="2"/>
  <c r="AY46" i="2"/>
  <c r="BC61" i="2"/>
  <c r="AT61" i="2"/>
  <c r="AV33" i="2"/>
  <c r="AV57" i="2"/>
  <c r="BE49" i="2"/>
  <c r="BD80" i="2"/>
  <c r="BC26" i="2"/>
  <c r="BE75" i="2"/>
  <c r="BA75" i="2"/>
  <c r="AT71" i="2"/>
  <c r="BA28" i="2"/>
  <c r="BE64" i="2"/>
  <c r="AV45" i="2"/>
  <c r="AZ55" i="2"/>
  <c r="BB55" i="2"/>
  <c r="BD10" i="2"/>
  <c r="BB33" i="2"/>
  <c r="BD33" i="2"/>
  <c r="AT16" i="2"/>
  <c r="AY14" i="2"/>
  <c r="AU77" i="2"/>
  <c r="BB18" i="2"/>
  <c r="BC70" i="2"/>
  <c r="AT70" i="2"/>
  <c r="BC22" i="2"/>
  <c r="BC47" i="2"/>
  <c r="AW23" i="2"/>
  <c r="AX40" i="2"/>
  <c r="AZ39" i="2"/>
  <c r="BE48" i="2"/>
  <c r="AZ76" i="2"/>
  <c r="AZ31" i="2"/>
  <c r="BB69" i="2"/>
  <c r="AY36" i="2"/>
  <c r="BA36" i="2"/>
  <c r="BC20" i="2"/>
  <c r="AX23" i="2"/>
  <c r="BE34" i="2"/>
  <c r="BD38" i="2"/>
  <c r="AY27" i="2"/>
  <c r="BE27" i="2"/>
  <c r="AV66" i="2"/>
  <c r="BE68" i="2"/>
  <c r="BA29" i="2"/>
  <c r="AU29" i="2"/>
  <c r="BD62" i="2"/>
  <c r="AW59" i="2"/>
  <c r="AT25" i="2"/>
  <c r="AU9" i="2"/>
  <c r="AX51" i="2"/>
  <c r="AZ37" i="2"/>
  <c r="AT17" i="2"/>
  <c r="BB60" i="2"/>
  <c r="AW60" i="2"/>
  <c r="AY74" i="2"/>
  <c r="BE50" i="2"/>
  <c r="AX63" i="2"/>
  <c r="AT23" i="2"/>
  <c r="AT52" i="2"/>
  <c r="AV41" i="2"/>
  <c r="AV73" i="2"/>
  <c r="AT78" i="2"/>
  <c r="AY67" i="2"/>
  <c r="BE35" i="2"/>
  <c r="BD30" i="2"/>
  <c r="AU58" i="2"/>
  <c r="BD44" i="2"/>
  <c r="BE44" i="2"/>
  <c r="AY79" i="2"/>
  <c r="BB79" i="2"/>
  <c r="BA24" i="2"/>
  <c r="BC15" i="2"/>
  <c r="AV54" i="2"/>
  <c r="AZ54" i="2"/>
  <c r="BD56" i="2"/>
  <c r="BC21" i="2"/>
  <c r="AY72" i="2"/>
  <c r="BC72" i="2"/>
  <c r="AZ32" i="2"/>
  <c r="AU42" i="2"/>
  <c r="AW53" i="2"/>
  <c r="AX53" i="2"/>
  <c r="AY43" i="2"/>
  <c r="AX46" i="2"/>
  <c r="AZ61" i="2"/>
  <c r="BA37" i="2"/>
  <c r="BC33" i="2"/>
  <c r="BC79" i="2"/>
  <c r="AX57" i="2"/>
  <c r="AY37" i="2"/>
  <c r="BC49" i="2"/>
  <c r="AW80" i="2"/>
  <c r="AY26" i="2"/>
  <c r="AZ75" i="2"/>
  <c r="AZ71" i="2"/>
  <c r="AU28" i="2"/>
  <c r="AW28" i="2"/>
  <c r="AV64" i="2"/>
  <c r="AT45" i="2"/>
  <c r="AY55" i="2"/>
  <c r="AX10" i="2"/>
  <c r="AY33" i="2"/>
  <c r="AZ16" i="2"/>
  <c r="BA16" i="2"/>
  <c r="BD14" i="2"/>
  <c r="AT77" i="2"/>
  <c r="AX18" i="2"/>
  <c r="AW70" i="2"/>
  <c r="BB22" i="2"/>
  <c r="AX22" i="2"/>
  <c r="AX47" i="2"/>
  <c r="BC40" i="2"/>
  <c r="AV40" i="2"/>
  <c r="AX39" i="2"/>
  <c r="AW48" i="2"/>
  <c r="BA76" i="2"/>
  <c r="AV31" i="2"/>
  <c r="AT69" i="2"/>
  <c r="AV36" i="2"/>
  <c r="BB36" i="2"/>
  <c r="AY20" i="2"/>
  <c r="AU34" i="2"/>
  <c r="AT38" i="2"/>
  <c r="AT27" i="2"/>
  <c r="BD27" i="2"/>
  <c r="AX66" i="2"/>
  <c r="BB68" i="2"/>
  <c r="AY29" i="2"/>
  <c r="AU62" i="2"/>
  <c r="AW62" i="2"/>
  <c r="AY59" i="2"/>
  <c r="BC25" i="2"/>
  <c r="BD9" i="2"/>
  <c r="AW51" i="2"/>
  <c r="AW37" i="2"/>
  <c r="BE17" i="2"/>
  <c r="AT60" i="2"/>
  <c r="AW74" i="2"/>
  <c r="AZ74" i="2"/>
  <c r="AW50" i="2"/>
  <c r="AW63" i="2"/>
  <c r="AY52" i="2"/>
  <c r="BB52" i="2"/>
  <c r="BC41" i="2"/>
  <c r="AW73" i="2"/>
  <c r="AY78" i="2"/>
  <c r="BA67" i="2"/>
  <c r="AW35" i="2"/>
  <c r="AW30" i="2"/>
  <c r="AX58" i="2"/>
  <c r="BB44" i="2"/>
  <c r="AX65" i="2"/>
  <c r="BE79" i="2"/>
  <c r="AT79" i="2"/>
  <c r="AX24" i="2"/>
  <c r="BE15" i="2"/>
  <c r="BA54" i="2"/>
  <c r="AX54" i="2"/>
  <c r="BC56" i="2"/>
  <c r="AW21" i="2"/>
  <c r="AX72" i="2"/>
  <c r="BB72" i="2"/>
  <c r="BB32" i="2"/>
  <c r="BE42" i="2"/>
  <c r="AU53" i="2"/>
  <c r="AY53" i="2"/>
  <c r="BE43" i="2"/>
  <c r="AW46" i="2"/>
  <c r="BA61" i="2"/>
  <c r="BD23" i="2"/>
  <c r="AW19" i="2"/>
  <c r="BA19" i="2"/>
  <c r="AZ19" i="2"/>
  <c r="AZ49" i="2"/>
  <c r="BB45" i="2"/>
  <c r="AZ65" i="2"/>
  <c r="BD28" i="2"/>
  <c r="BC37" i="2"/>
  <c r="AZ33" i="2"/>
  <c r="AY16" i="2"/>
  <c r="AW22" i="2"/>
  <c r="AU40" i="2"/>
  <c r="AW39" i="2"/>
  <c r="AU48" i="2"/>
  <c r="AY76" i="2"/>
  <c r="BE76" i="2"/>
  <c r="AU31" i="2"/>
  <c r="AZ69" i="2"/>
  <c r="AZ36" i="2"/>
  <c r="AX20" i="2"/>
  <c r="BE20" i="2"/>
  <c r="BA73" i="2"/>
  <c r="BB34" i="2"/>
  <c r="BC38" i="2"/>
  <c r="AX27" i="2"/>
  <c r="BE66" i="2"/>
  <c r="AU66" i="2"/>
  <c r="BA68" i="2"/>
  <c r="AZ29" i="2"/>
  <c r="AT62" i="2"/>
  <c r="BC62" i="2"/>
  <c r="BA59" i="2"/>
  <c r="BB25" i="2"/>
  <c r="BA9" i="2"/>
  <c r="AV51" i="2"/>
  <c r="AU37" i="2"/>
  <c r="AU17" i="2"/>
  <c r="BA60" i="2"/>
  <c r="BE74" i="2"/>
  <c r="AT74" i="2"/>
  <c r="BD50" i="2"/>
  <c r="AU63" i="2"/>
  <c r="BA52" i="2"/>
  <c r="AZ52" i="2"/>
  <c r="AU41" i="2"/>
  <c r="AW78" i="2"/>
  <c r="BC78" i="2"/>
  <c r="AU67" i="2"/>
  <c r="AW67" i="2"/>
  <c r="AU35" i="2"/>
  <c r="AV30" i="2"/>
  <c r="BA30" i="2"/>
  <c r="BA58" i="2"/>
  <c r="AU44" i="2"/>
  <c r="BE65" i="2"/>
  <c r="AV79" i="2"/>
  <c r="BE24" i="2"/>
  <c r="AV24" i="2"/>
  <c r="AU15" i="2"/>
  <c r="BB54" i="2"/>
  <c r="BA56" i="2"/>
  <c r="AT21" i="2"/>
  <c r="AU21" i="2"/>
  <c r="AZ72" i="2"/>
  <c r="AX19" i="2"/>
  <c r="AU32" i="2"/>
  <c r="BD42" i="2"/>
  <c r="BE53" i="2"/>
  <c r="AX43" i="2"/>
  <c r="AZ43" i="2"/>
  <c r="BE46" i="2"/>
  <c r="AW61" i="2"/>
  <c r="BE73" i="2"/>
  <c r="BC39" i="2"/>
  <c r="BD76" i="2"/>
  <c r="BD20" i="2"/>
  <c r="AU19" i="2"/>
  <c r="BB66" i="2"/>
  <c r="AV59" i="2"/>
  <c r="BD74" i="2"/>
  <c r="BA41" i="2"/>
  <c r="BE78" i="2"/>
  <c r="AX67" i="2"/>
  <c r="AY30" i="2"/>
  <c r="AY65" i="2"/>
  <c r="AY24" i="2"/>
  <c r="AZ21" i="2"/>
  <c r="BD19" i="2"/>
  <c r="AU43" i="2"/>
  <c r="BA78" i="2"/>
  <c r="AU78" i="2"/>
  <c r="Q6" i="11"/>
  <c r="AA79" i="2"/>
  <c r="AC27" i="10"/>
  <c r="AI27" i="10"/>
  <c r="AA33" i="10"/>
  <c r="AG33" i="10"/>
  <c r="AH30" i="10"/>
  <c r="AB30" i="10"/>
  <c r="AA27" i="10"/>
  <c r="AG27" i="10"/>
  <c r="Z33" i="10"/>
  <c r="AF33" i="10"/>
  <c r="AF30" i="10"/>
  <c r="Z30" i="10"/>
  <c r="P42" i="26"/>
  <c r="Q1" i="27"/>
  <c r="P2" i="27"/>
  <c r="I41" i="3"/>
  <c r="G41" i="3"/>
  <c r="L80" i="2"/>
  <c r="L77" i="2"/>
  <c r="AA77" i="2"/>
  <c r="K74" i="2"/>
  <c r="AE74" i="2" s="1"/>
  <c r="K73" i="2"/>
  <c r="AE73" i="2" s="1"/>
  <c r="L72" i="2"/>
  <c r="L73" i="2"/>
  <c r="K72" i="2"/>
  <c r="K76" i="2"/>
  <c r="AE76" i="2" s="1"/>
  <c r="L76" i="2"/>
  <c r="K75" i="2"/>
  <c r="AE75" i="2" s="1"/>
  <c r="AA76" i="2"/>
  <c r="Z73" i="2"/>
  <c r="AA74" i="2"/>
  <c r="L75" i="2"/>
  <c r="L74" i="2"/>
  <c r="AA72" i="2"/>
  <c r="Q73" i="2"/>
  <c r="Q72" i="2"/>
  <c r="Q76" i="2"/>
  <c r="Q75" i="2"/>
  <c r="Q74" i="2"/>
  <c r="V6" i="3" l="1"/>
  <c r="I68" i="3"/>
  <c r="V73" i="27"/>
  <c r="K91" i="26"/>
  <c r="K15" i="26" s="1"/>
  <c r="J73" i="27"/>
  <c r="W91" i="26"/>
  <c r="W15" i="26" s="1"/>
  <c r="E91" i="26"/>
  <c r="E15" i="26" s="1"/>
  <c r="P73" i="27"/>
  <c r="D73" i="27"/>
  <c r="Q91" i="26"/>
  <c r="Q15" i="26" s="1"/>
  <c r="AA80" i="26"/>
  <c r="L80" i="26"/>
  <c r="X80" i="26"/>
  <c r="I80" i="26"/>
  <c r="U80" i="26"/>
  <c r="Y80" i="26"/>
  <c r="M80" i="26"/>
  <c r="V80" i="26"/>
  <c r="J80" i="26"/>
  <c r="Q41" i="29"/>
  <c r="P41" i="29" s="1"/>
  <c r="M40" i="29"/>
  <c r="R40" i="29" s="1"/>
  <c r="BD23" i="32"/>
  <c r="BC23" i="32"/>
  <c r="BF23" i="32"/>
  <c r="BB23" i="32"/>
  <c r="AX23" i="32"/>
  <c r="BI23" i="32"/>
  <c r="BA23" i="32"/>
  <c r="BH23" i="32"/>
  <c r="AZ23" i="32"/>
  <c r="BE23" i="32"/>
  <c r="BG23" i="32"/>
  <c r="M43" i="29"/>
  <c r="M44" i="29"/>
  <c r="Z73" i="27"/>
  <c r="O91" i="26"/>
  <c r="AA91" i="26"/>
  <c r="N73" i="27"/>
  <c r="I91" i="26"/>
  <c r="H73" i="27"/>
  <c r="T73" i="27"/>
  <c r="U91" i="26"/>
  <c r="N91" i="26"/>
  <c r="N15" i="26" s="1"/>
  <c r="S73" i="27"/>
  <c r="BB8" i="2"/>
  <c r="AV8" i="2"/>
  <c r="AC7" i="2"/>
  <c r="AC8" i="2"/>
  <c r="X82" i="27"/>
  <c r="G8" i="3"/>
  <c r="F8" i="3"/>
  <c r="J81" i="26"/>
  <c r="J5" i="26" s="1"/>
  <c r="I70" i="27"/>
  <c r="U70" i="27"/>
  <c r="V81" i="26"/>
  <c r="V5" i="26" s="1"/>
  <c r="G81" i="26"/>
  <c r="G5" i="26" s="1"/>
  <c r="S81" i="26"/>
  <c r="S5" i="26" s="1"/>
  <c r="M81" i="26"/>
  <c r="M5" i="26" s="1"/>
  <c r="Y81" i="26"/>
  <c r="Y5" i="26" s="1"/>
  <c r="T91" i="26"/>
  <c r="T15" i="26" s="1"/>
  <c r="G73" i="27"/>
  <c r="Y73" i="27"/>
  <c r="R73" i="27"/>
  <c r="S91" i="26"/>
  <c r="F73" i="27"/>
  <c r="G91" i="26"/>
  <c r="C73" i="27"/>
  <c r="O73" i="27"/>
  <c r="P91" i="26"/>
  <c r="D91" i="26"/>
  <c r="H91" i="26"/>
  <c r="H15" i="26" s="1"/>
  <c r="I73" i="27"/>
  <c r="J91" i="26"/>
  <c r="J15" i="26" s="1"/>
  <c r="U73" i="27"/>
  <c r="V91" i="26"/>
  <c r="V15" i="26" s="1"/>
  <c r="Q73" i="27"/>
  <c r="R91" i="26"/>
  <c r="E73" i="27"/>
  <c r="F91" i="26"/>
  <c r="X73" i="27"/>
  <c r="Y91" i="26"/>
  <c r="Y15" i="26" s="1"/>
  <c r="M91" i="26"/>
  <c r="M15" i="26" s="1"/>
  <c r="L73" i="27"/>
  <c r="W73" i="27"/>
  <c r="X91" i="26"/>
  <c r="L91" i="26"/>
  <c r="K73" i="27"/>
  <c r="Z91" i="26"/>
  <c r="Z15" i="26" s="1"/>
  <c r="M73" i="27"/>
  <c r="S80" i="26"/>
  <c r="G80" i="26"/>
  <c r="D80" i="26"/>
  <c r="P80" i="26"/>
  <c r="F80" i="26"/>
  <c r="R80" i="26"/>
  <c r="Q80" i="26"/>
  <c r="E80" i="26"/>
  <c r="Y82" i="27"/>
  <c r="Y79" i="27" s="1"/>
  <c r="O82" i="27"/>
  <c r="AC90" i="2"/>
  <c r="V82" i="27"/>
  <c r="Q82" i="27"/>
  <c r="W82" i="27"/>
  <c r="W79" i="27" s="1"/>
  <c r="U82" i="27"/>
  <c r="U79" i="27" s="1"/>
  <c r="R82" i="27"/>
  <c r="Z82" i="27"/>
  <c r="M41" i="29"/>
  <c r="I70" i="3"/>
  <c r="I72" i="3" s="1"/>
  <c r="M30" i="29"/>
  <c r="S82" i="27"/>
  <c r="T82" i="27"/>
  <c r="T79" i="27" s="1"/>
  <c r="E8" i="3"/>
  <c r="G19" i="29"/>
  <c r="T21" i="3"/>
  <c r="Q29" i="29"/>
  <c r="R17" i="32"/>
  <c r="V8" i="3"/>
  <c r="BD24" i="32"/>
  <c r="BI24" i="32"/>
  <c r="BB24" i="32"/>
  <c r="AX24" i="32"/>
  <c r="BF24" i="32"/>
  <c r="AY24" i="32"/>
  <c r="AZ24" i="32"/>
  <c r="BG24" i="32"/>
  <c r="BA24" i="32"/>
  <c r="P82" i="27"/>
  <c r="P79" i="27" s="1"/>
  <c r="AY17" i="32"/>
  <c r="AY23" i="32" s="1"/>
  <c r="BC24" i="32"/>
  <c r="BE24" i="32"/>
  <c r="BH24" i="32"/>
  <c r="H28" i="29"/>
  <c r="U27" i="3" s="1"/>
  <c r="D8" i="3"/>
  <c r="G18" i="3"/>
  <c r="E18" i="3"/>
  <c r="D18" i="3"/>
  <c r="AE72" i="2"/>
  <c r="AF72" i="2" s="1"/>
  <c r="AC72" i="2" s="1"/>
  <c r="F18" i="3"/>
  <c r="AB78" i="2"/>
  <c r="AC79" i="2"/>
  <c r="AF73" i="2"/>
  <c r="AC73" i="2" s="1"/>
  <c r="AF74" i="2"/>
  <c r="AC74" i="2" s="1"/>
  <c r="AF75" i="2"/>
  <c r="AC75" i="2" s="1"/>
  <c r="AF76" i="2"/>
  <c r="AC76" i="2" s="1"/>
  <c r="AC77" i="2"/>
  <c r="AB75" i="2"/>
  <c r="AB74" i="2"/>
  <c r="AB76" i="2"/>
  <c r="AB73" i="2"/>
  <c r="AU74" i="2"/>
  <c r="AU72" i="2"/>
  <c r="AV75" i="2"/>
  <c r="BB75" i="2"/>
  <c r="AV77" i="2"/>
  <c r="BE77" i="2"/>
  <c r="BB77" i="2"/>
  <c r="AY77" i="2"/>
  <c r="BB76" i="2"/>
  <c r="AV76" i="2"/>
  <c r="BD73" i="2"/>
  <c r="AX73" i="2"/>
  <c r="BB80" i="2"/>
  <c r="AV80" i="2"/>
  <c r="BE80" i="2"/>
  <c r="AY80" i="2"/>
  <c r="G79" i="26"/>
  <c r="S79" i="26"/>
  <c r="R70" i="27"/>
  <c r="F70" i="27"/>
  <c r="M79" i="26"/>
  <c r="L70" i="27"/>
  <c r="Y79" i="26"/>
  <c r="X70" i="27"/>
  <c r="D70" i="27"/>
  <c r="N79" i="26"/>
  <c r="Z79" i="26"/>
  <c r="T79" i="26"/>
  <c r="H79" i="26"/>
  <c r="Q79" i="26"/>
  <c r="E79" i="26"/>
  <c r="W79" i="26"/>
  <c r="K79" i="26"/>
  <c r="X79" i="26"/>
  <c r="L79" i="26"/>
  <c r="R79" i="26"/>
  <c r="F79" i="26"/>
  <c r="V42" i="26"/>
  <c r="J42" i="26"/>
  <c r="D42" i="26"/>
  <c r="G42" i="26"/>
  <c r="S42" i="26"/>
  <c r="Y42" i="26"/>
  <c r="M42" i="26"/>
  <c r="Y44" i="27"/>
  <c r="M44" i="27"/>
  <c r="P44" i="27"/>
  <c r="Q2" i="27"/>
  <c r="R1" i="27"/>
  <c r="Y22" i="26"/>
  <c r="E23" i="26"/>
  <c r="Q23" i="26"/>
  <c r="Q22" i="26"/>
  <c r="E22" i="26"/>
  <c r="V22" i="26"/>
  <c r="V3" i="26" s="1"/>
  <c r="J22" i="26"/>
  <c r="J3" i="26" s="1"/>
  <c r="M22" i="26"/>
  <c r="Z22" i="26"/>
  <c r="N22" i="26"/>
  <c r="T23" i="26"/>
  <c r="T4" i="26" s="1"/>
  <c r="H23" i="26"/>
  <c r="H4" i="26" s="1"/>
  <c r="H22" i="26"/>
  <c r="T22" i="26"/>
  <c r="N23" i="26"/>
  <c r="N4" i="26" s="1"/>
  <c r="Z23" i="26"/>
  <c r="Z4" i="26" s="1"/>
  <c r="W22" i="26"/>
  <c r="K22" i="26"/>
  <c r="W23" i="26"/>
  <c r="W4" i="26" s="1"/>
  <c r="K23" i="26"/>
  <c r="K4" i="26" s="1"/>
  <c r="K4" i="2"/>
  <c r="AE4" i="2" s="1"/>
  <c r="K5" i="2"/>
  <c r="AE5" i="2" s="1"/>
  <c r="K6" i="2"/>
  <c r="AE6" i="2" s="1"/>
  <c r="P4" i="2"/>
  <c r="P5" i="2"/>
  <c r="P6" i="2"/>
  <c r="R4" i="2"/>
  <c r="R5" i="2"/>
  <c r="R6" i="2"/>
  <c r="V6" i="2"/>
  <c r="Y4" i="2"/>
  <c r="Y5" i="2"/>
  <c r="Y6" i="2"/>
  <c r="Z4" i="2"/>
  <c r="Z5" i="2"/>
  <c r="Z6" i="2"/>
  <c r="AD4" i="2"/>
  <c r="AD5" i="2"/>
  <c r="AD6" i="2"/>
  <c r="K3" i="2"/>
  <c r="P3" i="2"/>
  <c r="R3" i="2"/>
  <c r="Y3" i="2"/>
  <c r="Z3" i="2"/>
  <c r="AD3" i="2"/>
  <c r="J71" i="2"/>
  <c r="K71" i="2" s="1"/>
  <c r="AE71" i="2" s="1"/>
  <c r="R71" i="2"/>
  <c r="P71" i="2"/>
  <c r="Y71" i="2"/>
  <c r="AA71" i="2" s="1"/>
  <c r="Z71" i="2"/>
  <c r="AD71" i="2"/>
  <c r="R70" i="2"/>
  <c r="K16" i="10"/>
  <c r="L16" i="10" s="1"/>
  <c r="N16" i="10"/>
  <c r="K17" i="10"/>
  <c r="L17" i="10" s="1"/>
  <c r="J70" i="2"/>
  <c r="K70" i="2" s="1"/>
  <c r="AE70" i="2" s="1"/>
  <c r="P70" i="2"/>
  <c r="Y70" i="2"/>
  <c r="Z70" i="2"/>
  <c r="AA70" i="2"/>
  <c r="AD70" i="2"/>
  <c r="Y14" i="2"/>
  <c r="J77" i="10" l="1"/>
  <c r="BQ132" i="2"/>
  <c r="Q27" i="35" s="1"/>
  <c r="AB73" i="27"/>
  <c r="AB82" i="27"/>
  <c r="Q4" i="26"/>
  <c r="E4" i="26"/>
  <c r="H7" i="3"/>
  <c r="E7" i="3"/>
  <c r="I8" i="3"/>
  <c r="AE3" i="2"/>
  <c r="AB3" i="2" s="1"/>
  <c r="H38" i="29"/>
  <c r="U36" i="3" s="1"/>
  <c r="Q30" i="29"/>
  <c r="P30" i="29" s="1"/>
  <c r="R30" i="29" s="1"/>
  <c r="P29" i="29"/>
  <c r="F17" i="32"/>
  <c r="H59" i="3"/>
  <c r="P17" i="32"/>
  <c r="D7" i="3"/>
  <c r="AB72" i="2"/>
  <c r="H8" i="3" s="1"/>
  <c r="AB4" i="2"/>
  <c r="AB6" i="2"/>
  <c r="AF5" i="2"/>
  <c r="AF4" i="2"/>
  <c r="AB5" i="2"/>
  <c r="I18" i="3"/>
  <c r="AF71" i="2"/>
  <c r="AC71" i="2" s="1"/>
  <c r="BU112" i="2" s="1"/>
  <c r="AF70" i="2"/>
  <c r="AC70" i="2" s="1"/>
  <c r="AA3" i="2"/>
  <c r="L6" i="2"/>
  <c r="BB6" i="2" s="1"/>
  <c r="AF6" i="2"/>
  <c r="AB70" i="2"/>
  <c r="AB71" i="2"/>
  <c r="N3" i="26"/>
  <c r="P70" i="27"/>
  <c r="V70" i="27"/>
  <c r="J70" i="27"/>
  <c r="M3" i="26"/>
  <c r="Z3" i="26"/>
  <c r="T3" i="26"/>
  <c r="Y3" i="26"/>
  <c r="Q78" i="26"/>
  <c r="E78" i="26"/>
  <c r="H3" i="26"/>
  <c r="Z78" i="26"/>
  <c r="N78" i="26"/>
  <c r="W78" i="26"/>
  <c r="K78" i="26"/>
  <c r="H78" i="26"/>
  <c r="S70" i="27"/>
  <c r="T78" i="26"/>
  <c r="G70" i="27"/>
  <c r="Q3" i="26"/>
  <c r="E3" i="26"/>
  <c r="K3" i="26"/>
  <c r="W3" i="26"/>
  <c r="L78" i="26"/>
  <c r="X78" i="26"/>
  <c r="K70" i="27"/>
  <c r="W70" i="27"/>
  <c r="U78" i="26"/>
  <c r="T70" i="27"/>
  <c r="H70" i="27"/>
  <c r="I78" i="26"/>
  <c r="Q70" i="27"/>
  <c r="R78" i="26"/>
  <c r="E70" i="27"/>
  <c r="F78" i="26"/>
  <c r="AA78" i="26"/>
  <c r="O78" i="26"/>
  <c r="Z70" i="27"/>
  <c r="N70" i="27"/>
  <c r="S1" i="27"/>
  <c r="R2" i="27"/>
  <c r="AA6" i="2"/>
  <c r="L5" i="2"/>
  <c r="AW5" i="2" s="1"/>
  <c r="L4" i="2"/>
  <c r="AT4" i="2" s="1"/>
  <c r="V4" i="2"/>
  <c r="AA4" i="2"/>
  <c r="AA5" i="2"/>
  <c r="V5" i="2"/>
  <c r="V3" i="2"/>
  <c r="L3" i="2"/>
  <c r="Q71" i="2"/>
  <c r="V71" i="2"/>
  <c r="L71" i="2"/>
  <c r="L70" i="2"/>
  <c r="E39" i="3"/>
  <c r="O16" i="10"/>
  <c r="I7" i="3"/>
  <c r="O17" i="10"/>
  <c r="I39" i="3"/>
  <c r="H39" i="3"/>
  <c r="Q70" i="2"/>
  <c r="V70" i="2"/>
  <c r="AA62" i="2"/>
  <c r="P67" i="2"/>
  <c r="P68" i="2"/>
  <c r="Z69" i="2"/>
  <c r="R67" i="2"/>
  <c r="R68" i="2"/>
  <c r="R69" i="2"/>
  <c r="R61" i="2"/>
  <c r="R62" i="2"/>
  <c r="R64" i="2"/>
  <c r="R66" i="2"/>
  <c r="J69" i="2"/>
  <c r="P69" i="2"/>
  <c r="Y69" i="2"/>
  <c r="AD69" i="2"/>
  <c r="J68" i="2"/>
  <c r="Y68" i="2"/>
  <c r="AD68" i="2"/>
  <c r="J67" i="2"/>
  <c r="Y67" i="2"/>
  <c r="AD67" i="2"/>
  <c r="AD59" i="2"/>
  <c r="AD60" i="2"/>
  <c r="AD61" i="2"/>
  <c r="AD62" i="2"/>
  <c r="AD63" i="2"/>
  <c r="AD64" i="2"/>
  <c r="AD65" i="2"/>
  <c r="AD66" i="2"/>
  <c r="AA60" i="2"/>
  <c r="AA61" i="2"/>
  <c r="AA63" i="2"/>
  <c r="AA64" i="2"/>
  <c r="AA65" i="2"/>
  <c r="AA66" i="2"/>
  <c r="Y60" i="2"/>
  <c r="Y61" i="2"/>
  <c r="Y62" i="2"/>
  <c r="Y63" i="2"/>
  <c r="Y64" i="2"/>
  <c r="Y65" i="2"/>
  <c r="Y66" i="2"/>
  <c r="R60" i="2"/>
  <c r="R63" i="2"/>
  <c r="R65" i="2"/>
  <c r="U14" i="9"/>
  <c r="U15" i="9"/>
  <c r="U16" i="9"/>
  <c r="N20" i="9"/>
  <c r="N19" i="9"/>
  <c r="BU125" i="2" l="1"/>
  <c r="U20" i="35" s="1"/>
  <c r="BU145" i="2"/>
  <c r="U40" i="35" s="1"/>
  <c r="U7" i="35"/>
  <c r="M46" i="29"/>
  <c r="F55" i="32"/>
  <c r="BB3" i="2"/>
  <c r="X34" i="26" s="1"/>
  <c r="X15" i="26" s="1"/>
  <c r="AF3" i="2"/>
  <c r="AC3" i="2" s="1"/>
  <c r="I59" i="3"/>
  <c r="H29" i="29"/>
  <c r="U28" i="3" s="1"/>
  <c r="D22" i="26"/>
  <c r="D3" i="26" s="1"/>
  <c r="P22" i="26"/>
  <c r="P3" i="26" s="1"/>
  <c r="G22" i="26"/>
  <c r="G3" i="26" s="1"/>
  <c r="S22" i="26"/>
  <c r="S3" i="26" s="1"/>
  <c r="H18" i="3"/>
  <c r="AC5" i="2"/>
  <c r="AC4" i="2"/>
  <c r="AC6" i="2"/>
  <c r="AV71" i="2"/>
  <c r="BE71" i="2"/>
  <c r="AY71" i="2"/>
  <c r="BB71" i="2"/>
  <c r="BA70" i="2"/>
  <c r="AU70" i="2"/>
  <c r="C52" i="27"/>
  <c r="O52" i="27"/>
  <c r="D34" i="26"/>
  <c r="D15" i="26" s="1"/>
  <c r="P34" i="26"/>
  <c r="P15" i="26" s="1"/>
  <c r="G34" i="26"/>
  <c r="G15" i="26" s="1"/>
  <c r="R52" i="27"/>
  <c r="S34" i="26"/>
  <c r="S15" i="26" s="1"/>
  <c r="F52" i="27"/>
  <c r="Q52" i="27"/>
  <c r="R34" i="26"/>
  <c r="R15" i="26" s="1"/>
  <c r="F34" i="26"/>
  <c r="F15" i="26" s="1"/>
  <c r="E52" i="27"/>
  <c r="S2" i="27"/>
  <c r="T1" i="27"/>
  <c r="S16" i="10"/>
  <c r="S17" i="10"/>
  <c r="K67" i="2"/>
  <c r="AE67" i="2" s="1"/>
  <c r="Q68" i="2"/>
  <c r="V69" i="2"/>
  <c r="Z68" i="2"/>
  <c r="AA69" i="2"/>
  <c r="AA68" i="2"/>
  <c r="Z67" i="2"/>
  <c r="AA67" i="2"/>
  <c r="K68" i="2"/>
  <c r="AE68" i="2" s="1"/>
  <c r="K69" i="2"/>
  <c r="AE69" i="2" s="1"/>
  <c r="Q69" i="2"/>
  <c r="V68" i="2"/>
  <c r="V67" i="2"/>
  <c r="Q67" i="2"/>
  <c r="L69" i="2"/>
  <c r="L68" i="2"/>
  <c r="L67" i="2"/>
  <c r="J57" i="2"/>
  <c r="J58" i="2"/>
  <c r="J59" i="2"/>
  <c r="J60" i="2"/>
  <c r="J61" i="2"/>
  <c r="J62" i="2"/>
  <c r="J63" i="2"/>
  <c r="J64" i="2"/>
  <c r="J65" i="2"/>
  <c r="J66" i="2"/>
  <c r="J56" i="2"/>
  <c r="P64" i="2"/>
  <c r="P65" i="2"/>
  <c r="P66" i="2"/>
  <c r="Z64" i="2"/>
  <c r="Z65" i="2"/>
  <c r="Z66" i="2"/>
  <c r="P61" i="2"/>
  <c r="P62" i="2"/>
  <c r="P63" i="2"/>
  <c r="Z61" i="2"/>
  <c r="Z62" i="2"/>
  <c r="Z63" i="2"/>
  <c r="P60" i="2"/>
  <c r="Z60" i="2"/>
  <c r="AH71" i="12"/>
  <c r="AH72" i="12"/>
  <c r="AH73" i="12"/>
  <c r="AH74" i="12"/>
  <c r="AH75" i="12"/>
  <c r="AH76" i="12"/>
  <c r="AH77" i="12"/>
  <c r="AH78" i="12"/>
  <c r="AH79" i="12"/>
  <c r="AH80" i="12"/>
  <c r="AH81" i="12"/>
  <c r="AH82" i="12"/>
  <c r="AH83" i="12"/>
  <c r="AH84" i="12"/>
  <c r="AH85" i="12"/>
  <c r="AH86" i="12"/>
  <c r="AH87" i="12"/>
  <c r="AH88" i="12"/>
  <c r="AH89" i="12"/>
  <c r="AH90" i="12"/>
  <c r="AH91" i="12"/>
  <c r="AH92" i="12"/>
  <c r="AH93" i="12"/>
  <c r="AH94" i="12"/>
  <c r="AH95" i="12"/>
  <c r="AH96" i="12"/>
  <c r="AH97" i="12"/>
  <c r="AH98" i="12"/>
  <c r="AH99" i="12"/>
  <c r="AH100" i="12"/>
  <c r="AH101" i="12"/>
  <c r="AH102" i="12"/>
  <c r="AH103" i="12"/>
  <c r="AH104" i="12"/>
  <c r="AH105" i="12"/>
  <c r="AH106" i="12"/>
  <c r="AH107" i="12"/>
  <c r="AH108" i="12"/>
  <c r="AH109" i="12"/>
  <c r="AH110" i="12"/>
  <c r="AH111" i="12"/>
  <c r="AH112" i="12"/>
  <c r="AH113" i="12"/>
  <c r="AH114" i="12"/>
  <c r="AH115" i="12"/>
  <c r="AH116" i="12"/>
  <c r="AH117" i="12"/>
  <c r="AH118" i="12"/>
  <c r="AH119" i="12"/>
  <c r="AH120" i="12"/>
  <c r="AH121" i="12"/>
  <c r="AH122" i="12"/>
  <c r="AH123" i="12"/>
  <c r="AH124" i="12"/>
  <c r="AH125" i="12"/>
  <c r="AH126" i="12"/>
  <c r="AH127" i="12"/>
  <c r="AH128" i="12"/>
  <c r="AH129" i="12"/>
  <c r="AH130" i="12"/>
  <c r="AH131" i="12"/>
  <c r="AH132" i="12"/>
  <c r="AH133" i="12"/>
  <c r="AH134" i="12"/>
  <c r="AH135" i="12"/>
  <c r="AH136" i="12"/>
  <c r="AH137" i="12"/>
  <c r="AH138" i="12"/>
  <c r="AH139" i="12"/>
  <c r="AH140" i="12"/>
  <c r="AH141" i="12"/>
  <c r="AH142" i="12"/>
  <c r="AH143" i="12"/>
  <c r="AH144" i="12"/>
  <c r="AH145" i="12"/>
  <c r="AH146" i="12"/>
  <c r="AH147" i="12"/>
  <c r="AH148" i="12"/>
  <c r="AH149" i="12"/>
  <c r="AH150" i="12"/>
  <c r="AH151" i="12"/>
  <c r="AI71" i="12"/>
  <c r="AI72" i="12"/>
  <c r="AI73" i="12"/>
  <c r="AI74" i="12"/>
  <c r="AI75" i="12"/>
  <c r="AI76" i="12"/>
  <c r="AI77" i="12"/>
  <c r="AI78" i="12"/>
  <c r="AI79" i="12"/>
  <c r="AI80" i="12"/>
  <c r="AI81" i="12"/>
  <c r="AI82" i="12"/>
  <c r="AI83" i="12"/>
  <c r="AI84" i="12"/>
  <c r="AI85" i="12"/>
  <c r="AI86" i="12"/>
  <c r="AI87" i="12"/>
  <c r="AI88" i="12"/>
  <c r="AI89" i="12"/>
  <c r="AI90" i="12"/>
  <c r="AI91" i="12"/>
  <c r="AI92" i="12"/>
  <c r="AI93" i="12"/>
  <c r="AI94" i="12"/>
  <c r="AI95" i="12"/>
  <c r="AI96" i="12"/>
  <c r="AI97" i="12"/>
  <c r="AI98" i="12"/>
  <c r="AI99" i="12"/>
  <c r="AI100" i="12"/>
  <c r="AI101" i="12"/>
  <c r="AI102" i="12"/>
  <c r="AI103" i="12"/>
  <c r="AI104" i="12"/>
  <c r="AI105" i="12"/>
  <c r="AI106" i="12"/>
  <c r="AI107" i="12"/>
  <c r="AI108" i="12"/>
  <c r="AI109" i="12"/>
  <c r="AI110" i="12"/>
  <c r="AI111" i="12"/>
  <c r="AI112" i="12"/>
  <c r="AI113" i="12"/>
  <c r="AI114" i="12"/>
  <c r="AI115" i="12"/>
  <c r="AI116" i="12"/>
  <c r="AI117" i="12"/>
  <c r="AI118" i="12"/>
  <c r="AI119" i="12"/>
  <c r="AI120" i="12"/>
  <c r="AI121" i="12"/>
  <c r="AI122" i="12"/>
  <c r="AI123" i="12"/>
  <c r="AI124" i="12"/>
  <c r="AI125" i="12"/>
  <c r="AI126" i="12"/>
  <c r="AI127" i="12"/>
  <c r="AI128" i="12"/>
  <c r="AI129" i="12"/>
  <c r="AI130" i="12"/>
  <c r="AI131" i="12"/>
  <c r="AI132" i="12"/>
  <c r="AI133" i="12"/>
  <c r="AI134" i="12"/>
  <c r="AI135" i="12"/>
  <c r="AI136" i="12"/>
  <c r="AI137" i="12"/>
  <c r="AI138" i="12"/>
  <c r="AI139" i="12"/>
  <c r="AI140" i="12"/>
  <c r="AI141" i="12"/>
  <c r="AI142" i="12"/>
  <c r="AI143" i="12"/>
  <c r="AI144" i="12"/>
  <c r="AI145" i="12"/>
  <c r="AI146" i="12"/>
  <c r="AI147" i="12"/>
  <c r="AI148" i="12"/>
  <c r="AI149" i="12"/>
  <c r="AI150" i="12"/>
  <c r="AI151" i="12"/>
  <c r="BU128" i="2" l="1"/>
  <c r="U23" i="35" s="1"/>
  <c r="BQ126" i="2"/>
  <c r="Q21" i="35" s="1"/>
  <c r="BU127" i="2"/>
  <c r="U22" i="35" s="1"/>
  <c r="I34" i="26"/>
  <c r="I15" i="26" s="1"/>
  <c r="I22" i="26"/>
  <c r="I3" i="26" s="1"/>
  <c r="U22" i="26"/>
  <c r="U3" i="26" s="1"/>
  <c r="O34" i="26"/>
  <c r="O15" i="26" s="1"/>
  <c r="AA22" i="26"/>
  <c r="AA3" i="26" s="1"/>
  <c r="O22" i="26"/>
  <c r="O3" i="26" s="1"/>
  <c r="Z52" i="27"/>
  <c r="AA34" i="26"/>
  <c r="AA15" i="26" s="1"/>
  <c r="U34" i="26"/>
  <c r="U15" i="26" s="1"/>
  <c r="H52" i="27"/>
  <c r="T52" i="27"/>
  <c r="L34" i="26"/>
  <c r="L15" i="26" s="1"/>
  <c r="W52" i="27"/>
  <c r="N52" i="27"/>
  <c r="K52" i="27"/>
  <c r="AF69" i="2"/>
  <c r="AC69" i="2" s="1"/>
  <c r="AF68" i="2"/>
  <c r="AC68" i="2" s="1"/>
  <c r="AF67" i="2"/>
  <c r="AC67" i="2" s="1"/>
  <c r="AB69" i="2"/>
  <c r="AB67" i="2"/>
  <c r="AB68" i="2"/>
  <c r="AZ67" i="2"/>
  <c r="AT67" i="2"/>
  <c r="AZ68" i="2"/>
  <c r="AT68" i="2"/>
  <c r="AW69" i="2"/>
  <c r="BC69" i="2"/>
  <c r="L40" i="26"/>
  <c r="W56" i="27"/>
  <c r="K56" i="27"/>
  <c r="X40" i="26"/>
  <c r="I40" i="26"/>
  <c r="T56" i="27"/>
  <c r="H56" i="27"/>
  <c r="U40" i="26"/>
  <c r="Q56" i="27"/>
  <c r="F40" i="26"/>
  <c r="E56" i="27"/>
  <c r="R40" i="26"/>
  <c r="AA40" i="26"/>
  <c r="N56" i="27"/>
  <c r="Z56" i="27"/>
  <c r="O40" i="26"/>
  <c r="AJ17" i="10"/>
  <c r="Z17" i="10"/>
  <c r="AJ16" i="10"/>
  <c r="Z16" i="10"/>
  <c r="U1" i="27"/>
  <c r="T2" i="27"/>
  <c r="F39" i="3"/>
  <c r="D39" i="3"/>
  <c r="L64" i="2"/>
  <c r="L63" i="2"/>
  <c r="L66" i="2"/>
  <c r="L62" i="2"/>
  <c r="K64" i="2"/>
  <c r="AE64" i="2" s="1"/>
  <c r="Q66" i="2"/>
  <c r="V66" i="2"/>
  <c r="K65" i="2"/>
  <c r="AE65" i="2" s="1"/>
  <c r="V65" i="2"/>
  <c r="Q65" i="2"/>
  <c r="L61" i="2"/>
  <c r="V64" i="2"/>
  <c r="Q64" i="2"/>
  <c r="K61" i="2"/>
  <c r="AE61" i="2" s="1"/>
  <c r="V63" i="2"/>
  <c r="Q63" i="2"/>
  <c r="K60" i="2"/>
  <c r="AE60" i="2" s="1"/>
  <c r="V60" i="2"/>
  <c r="Q60" i="2"/>
  <c r="K63" i="2"/>
  <c r="AE63" i="2" s="1"/>
  <c r="V62" i="2"/>
  <c r="Q62" i="2"/>
  <c r="Q61" i="2"/>
  <c r="V61" i="2"/>
  <c r="L65" i="2"/>
  <c r="L60" i="2"/>
  <c r="K62" i="2"/>
  <c r="AE62" i="2" s="1"/>
  <c r="K66" i="2"/>
  <c r="AE66" i="2" s="1"/>
  <c r="AG2" i="12" a="1"/>
  <c r="AJ70" i="12" s="1"/>
  <c r="AK149" i="12"/>
  <c r="AL146" i="12"/>
  <c r="AJ144" i="12"/>
  <c r="AK141" i="12"/>
  <c r="AL138" i="12"/>
  <c r="AJ136" i="12"/>
  <c r="AK133" i="12"/>
  <c r="AL130" i="12"/>
  <c r="AJ128" i="12"/>
  <c r="AK125" i="12"/>
  <c r="AL122" i="12"/>
  <c r="AJ120" i="12"/>
  <c r="AK117" i="12"/>
  <c r="AL114" i="12"/>
  <c r="AJ112" i="12"/>
  <c r="AK109" i="12"/>
  <c r="AL106" i="12"/>
  <c r="AJ104" i="12"/>
  <c r="AK101" i="12"/>
  <c r="AL98" i="12"/>
  <c r="AJ96" i="12"/>
  <c r="AK93" i="12"/>
  <c r="AL90" i="12"/>
  <c r="AJ88" i="12"/>
  <c r="AK85" i="12"/>
  <c r="AL82" i="12"/>
  <c r="AJ80" i="12"/>
  <c r="AK77" i="12"/>
  <c r="AL74" i="12"/>
  <c r="AJ72" i="12"/>
  <c r="AL151" i="12"/>
  <c r="AJ149" i="12"/>
  <c r="AK146" i="12"/>
  <c r="AL143" i="12"/>
  <c r="AJ141" i="12"/>
  <c r="AK138" i="12"/>
  <c r="AL135" i="12"/>
  <c r="AJ133" i="12"/>
  <c r="AK130" i="12"/>
  <c r="AL127" i="12"/>
  <c r="AJ125" i="12"/>
  <c r="AK122" i="12"/>
  <c r="AL119" i="12"/>
  <c r="AJ117" i="12"/>
  <c r="AK114" i="12"/>
  <c r="AL111" i="12"/>
  <c r="AJ109" i="12"/>
  <c r="AK106" i="12"/>
  <c r="AL103" i="12"/>
  <c r="AJ101" i="12"/>
  <c r="AK98" i="12"/>
  <c r="AL95" i="12"/>
  <c r="AJ93" i="12"/>
  <c r="AK90" i="12"/>
  <c r="AL87" i="12"/>
  <c r="AJ85" i="12"/>
  <c r="AK82" i="12"/>
  <c r="AL79" i="12"/>
  <c r="AJ77" i="12"/>
  <c r="AK74" i="12"/>
  <c r="AL71" i="12"/>
  <c r="AJ122" i="12"/>
  <c r="AL140" i="12"/>
  <c r="AK127" i="12"/>
  <c r="AK111" i="12"/>
  <c r="AJ98" i="12"/>
  <c r="AJ82" i="12"/>
  <c r="AJ74" i="12"/>
  <c r="AJ151" i="12"/>
  <c r="AK148" i="12"/>
  <c r="AL145" i="12"/>
  <c r="AJ143" i="12"/>
  <c r="AK140" i="12"/>
  <c r="AL137" i="12"/>
  <c r="AJ135" i="12"/>
  <c r="AK132" i="12"/>
  <c r="AL129" i="12"/>
  <c r="AJ127" i="12"/>
  <c r="AK124" i="12"/>
  <c r="AL121" i="12"/>
  <c r="AJ119" i="12"/>
  <c r="AK116" i="12"/>
  <c r="AL113" i="12"/>
  <c r="AJ111" i="12"/>
  <c r="AK108" i="12"/>
  <c r="AL105" i="12"/>
  <c r="AJ103" i="12"/>
  <c r="AK100" i="12"/>
  <c r="AL97" i="12"/>
  <c r="AJ95" i="12"/>
  <c r="AK92" i="12"/>
  <c r="AL89" i="12"/>
  <c r="AJ87" i="12"/>
  <c r="AK84" i="12"/>
  <c r="AL81" i="12"/>
  <c r="AJ79" i="12"/>
  <c r="AK76" i="12"/>
  <c r="AL73" i="12"/>
  <c r="AJ71" i="12"/>
  <c r="AK151" i="12"/>
  <c r="AJ138" i="12"/>
  <c r="AL124" i="12"/>
  <c r="AL108" i="12"/>
  <c r="AK95" i="12"/>
  <c r="AL84" i="12"/>
  <c r="AL150" i="12"/>
  <c r="AJ148" i="12"/>
  <c r="AK145" i="12"/>
  <c r="AL142" i="12"/>
  <c r="AJ140" i="12"/>
  <c r="AK137" i="12"/>
  <c r="AL134" i="12"/>
  <c r="AJ132" i="12"/>
  <c r="AK129" i="12"/>
  <c r="AL126" i="12"/>
  <c r="AJ124" i="12"/>
  <c r="AK121" i="12"/>
  <c r="AL118" i="12"/>
  <c r="AJ116" i="12"/>
  <c r="AK113" i="12"/>
  <c r="AL110" i="12"/>
  <c r="AJ108" i="12"/>
  <c r="AK105" i="12"/>
  <c r="AL102" i="12"/>
  <c r="AJ100" i="12"/>
  <c r="AK97" i="12"/>
  <c r="AL94" i="12"/>
  <c r="AJ92" i="12"/>
  <c r="AK89" i="12"/>
  <c r="AL86" i="12"/>
  <c r="AJ84" i="12"/>
  <c r="AK81" i="12"/>
  <c r="AL78" i="12"/>
  <c r="AJ76" i="12"/>
  <c r="AK73" i="12"/>
  <c r="AK143" i="12"/>
  <c r="AJ130" i="12"/>
  <c r="AK119" i="12"/>
  <c r="AJ106" i="12"/>
  <c r="AK87" i="12"/>
  <c r="AK71" i="12"/>
  <c r="AK150" i="12"/>
  <c r="AL147" i="12"/>
  <c r="AJ145" i="12"/>
  <c r="AK142" i="12"/>
  <c r="AL139" i="12"/>
  <c r="AJ137" i="12"/>
  <c r="AK134" i="12"/>
  <c r="AL131" i="12"/>
  <c r="AJ129" i="12"/>
  <c r="AK126" i="12"/>
  <c r="AL123" i="12"/>
  <c r="AJ121" i="12"/>
  <c r="AK118" i="12"/>
  <c r="AL115" i="12"/>
  <c r="AJ113" i="12"/>
  <c r="AK110" i="12"/>
  <c r="AL107" i="12"/>
  <c r="AJ105" i="12"/>
  <c r="AK102" i="12"/>
  <c r="AL99" i="12"/>
  <c r="AJ97" i="12"/>
  <c r="AK94" i="12"/>
  <c r="AL91" i="12"/>
  <c r="AJ89" i="12"/>
  <c r="AK86" i="12"/>
  <c r="AL83" i="12"/>
  <c r="AJ81" i="12"/>
  <c r="AK78" i="12"/>
  <c r="AL75" i="12"/>
  <c r="AJ73" i="12"/>
  <c r="AL148" i="12"/>
  <c r="AK135" i="12"/>
  <c r="AL116" i="12"/>
  <c r="AK103" i="12"/>
  <c r="AL92" i="12"/>
  <c r="AK79" i="12"/>
  <c r="AJ150" i="12"/>
  <c r="AK147" i="12"/>
  <c r="AL144" i="12"/>
  <c r="AJ142" i="12"/>
  <c r="AK139" i="12"/>
  <c r="AL136" i="12"/>
  <c r="AJ134" i="12"/>
  <c r="AK131" i="12"/>
  <c r="AL128" i="12"/>
  <c r="AJ126" i="12"/>
  <c r="AK123" i="12"/>
  <c r="AL120" i="12"/>
  <c r="AJ118" i="12"/>
  <c r="AK115" i="12"/>
  <c r="AL112" i="12"/>
  <c r="AJ110" i="12"/>
  <c r="AK107" i="12"/>
  <c r="AL104" i="12"/>
  <c r="AJ102" i="12"/>
  <c r="AK99" i="12"/>
  <c r="AL96" i="12"/>
  <c r="AJ94" i="12"/>
  <c r="AK91" i="12"/>
  <c r="AL88" i="12"/>
  <c r="AJ86" i="12"/>
  <c r="AK83" i="12"/>
  <c r="AL80" i="12"/>
  <c r="AJ78" i="12"/>
  <c r="AK75" i="12"/>
  <c r="AL72" i="12"/>
  <c r="AJ146" i="12"/>
  <c r="AL132" i="12"/>
  <c r="AJ114" i="12"/>
  <c r="AL100" i="12"/>
  <c r="AJ90" i="12"/>
  <c r="AL76" i="12"/>
  <c r="AL149" i="12"/>
  <c r="AJ147" i="12"/>
  <c r="AK144" i="12"/>
  <c r="AL141" i="12"/>
  <c r="AJ139" i="12"/>
  <c r="AK136" i="12"/>
  <c r="AL133" i="12"/>
  <c r="AJ131" i="12"/>
  <c r="AK128" i="12"/>
  <c r="AL125" i="12"/>
  <c r="AJ123" i="12"/>
  <c r="AK120" i="12"/>
  <c r="AL117" i="12"/>
  <c r="AJ115" i="12"/>
  <c r="AK112" i="12"/>
  <c r="AL109" i="12"/>
  <c r="AJ107" i="12"/>
  <c r="AK104" i="12"/>
  <c r="AL101" i="12"/>
  <c r="AJ99" i="12"/>
  <c r="AK96" i="12"/>
  <c r="AL93" i="12"/>
  <c r="AJ91" i="12"/>
  <c r="AK88" i="12"/>
  <c r="AL85" i="12"/>
  <c r="AJ83" i="12"/>
  <c r="AK80" i="12"/>
  <c r="AL77" i="12"/>
  <c r="AJ75" i="12"/>
  <c r="AK72" i="12"/>
  <c r="BQ119" i="2" l="1"/>
  <c r="Q14" i="35" s="1"/>
  <c r="AB52" i="27"/>
  <c r="AF63" i="2"/>
  <c r="AC63" i="2" s="1"/>
  <c r="AF65" i="2"/>
  <c r="AC65" i="2" s="1"/>
  <c r="AF66" i="2"/>
  <c r="AC66" i="2" s="1"/>
  <c r="AF62" i="2"/>
  <c r="AC62" i="2" s="1"/>
  <c r="AF64" i="2"/>
  <c r="AC64" i="2" s="1"/>
  <c r="AF61" i="2"/>
  <c r="AC61" i="2" s="1"/>
  <c r="AB61" i="2"/>
  <c r="AB66" i="2"/>
  <c r="AB63" i="2"/>
  <c r="AB62" i="2"/>
  <c r="AB65" i="2"/>
  <c r="AB64" i="2"/>
  <c r="BC65" i="2"/>
  <c r="AW65" i="2"/>
  <c r="BB63" i="2"/>
  <c r="AV63" i="2"/>
  <c r="BE63" i="2"/>
  <c r="AY63" i="2"/>
  <c r="AT64" i="2"/>
  <c r="AZ64" i="2"/>
  <c r="AV61" i="2"/>
  <c r="BB61" i="2"/>
  <c r="BB62" i="2"/>
  <c r="AV62" i="2"/>
  <c r="BE60" i="2"/>
  <c r="AY60" i="2"/>
  <c r="AW66" i="2"/>
  <c r="BC66" i="2"/>
  <c r="N71" i="27"/>
  <c r="O82" i="26"/>
  <c r="AA82" i="26"/>
  <c r="Z71" i="27"/>
  <c r="E82" i="26"/>
  <c r="D71" i="27"/>
  <c r="Q82" i="26"/>
  <c r="P71" i="27"/>
  <c r="P78" i="26"/>
  <c r="D78" i="26"/>
  <c r="V1" i="27"/>
  <c r="U2" i="27"/>
  <c r="G39" i="3"/>
  <c r="AK70" i="12"/>
  <c r="AL70" i="12"/>
  <c r="AH70" i="12"/>
  <c r="AI70" i="12"/>
  <c r="AK68" i="12"/>
  <c r="AH69" i="12"/>
  <c r="AI69" i="12"/>
  <c r="AJ69" i="12"/>
  <c r="AK69" i="12"/>
  <c r="AL69" i="12"/>
  <c r="AJ68" i="12"/>
  <c r="AL68" i="12"/>
  <c r="AH68" i="12"/>
  <c r="AI68" i="12"/>
  <c r="AH65" i="12"/>
  <c r="AI65" i="12"/>
  <c r="AH66" i="12"/>
  <c r="AI66" i="12"/>
  <c r="AH67" i="12"/>
  <c r="AI67" i="12"/>
  <c r="AH64" i="12"/>
  <c r="AI64" i="12"/>
  <c r="AK67" i="12"/>
  <c r="AJ66" i="12"/>
  <c r="AL67" i="12"/>
  <c r="AL66" i="12"/>
  <c r="AK64" i="12"/>
  <c r="AJ67" i="12"/>
  <c r="AK65" i="12"/>
  <c r="AL65" i="12"/>
  <c r="AK66" i="12"/>
  <c r="AL64" i="12"/>
  <c r="AJ65" i="12"/>
  <c r="AJ64" i="12"/>
  <c r="AK63" i="12"/>
  <c r="AJ63" i="12"/>
  <c r="AG2" i="12"/>
  <c r="AH2" i="12" s="1"/>
  <c r="AH63" i="12"/>
  <c r="AI63" i="12"/>
  <c r="AL63" i="12"/>
  <c r="AL25" i="12"/>
  <c r="AH12" i="12"/>
  <c r="AI59" i="12"/>
  <c r="AI45" i="12"/>
  <c r="AH9" i="12"/>
  <c r="AI52" i="12"/>
  <c r="AI61" i="12"/>
  <c r="AI62" i="12"/>
  <c r="AH43" i="12"/>
  <c r="AL45" i="12"/>
  <c r="AL8" i="12"/>
  <c r="AL55" i="12"/>
  <c r="AL60" i="12"/>
  <c r="AL58" i="12"/>
  <c r="AI34" i="12"/>
  <c r="AH36" i="12"/>
  <c r="AI19" i="12"/>
  <c r="AH21" i="12"/>
  <c r="AH33" i="12"/>
  <c r="AI4" i="12"/>
  <c r="AH6" i="12"/>
  <c r="AI5" i="12"/>
  <c r="AH7" i="12"/>
  <c r="AI39" i="12"/>
  <c r="AH8" i="12"/>
  <c r="AI48" i="12"/>
  <c r="AH59" i="12"/>
  <c r="AL32" i="12"/>
  <c r="AL38" i="12"/>
  <c r="AI10" i="12"/>
  <c r="AI44" i="12"/>
  <c r="AI46" i="12"/>
  <c r="AL46" i="12"/>
  <c r="AI60" i="12"/>
  <c r="AH62" i="12"/>
  <c r="AI15" i="12"/>
  <c r="AL48" i="12"/>
  <c r="AL51" i="12"/>
  <c r="AL22" i="12"/>
  <c r="AL54" i="12"/>
  <c r="AL49" i="12"/>
  <c r="AI42" i="12"/>
  <c r="AH44" i="12"/>
  <c r="AI27" i="12"/>
  <c r="AH29" i="12"/>
  <c r="AI12" i="12"/>
  <c r="AH14" i="12"/>
  <c r="AI31" i="12"/>
  <c r="AI13" i="12"/>
  <c r="AH15" i="12"/>
  <c r="AH25" i="12"/>
  <c r="AH16" i="12"/>
  <c r="AI56" i="12"/>
  <c r="AI47" i="12"/>
  <c r="AH61" i="12"/>
  <c r="AH46" i="12"/>
  <c r="AH47" i="12"/>
  <c r="AK9" i="12"/>
  <c r="AL39" i="12"/>
  <c r="AI18" i="12"/>
  <c r="AH20" i="12"/>
  <c r="AH54" i="12"/>
  <c r="AI53" i="12"/>
  <c r="AI54" i="12"/>
  <c r="AI57" i="12"/>
  <c r="AL47" i="12"/>
  <c r="AH41" i="12"/>
  <c r="AI40" i="12"/>
  <c r="AL13" i="12"/>
  <c r="AL27" i="12"/>
  <c r="AL9" i="12"/>
  <c r="AI50" i="12"/>
  <c r="AH52" i="12"/>
  <c r="AI35" i="12"/>
  <c r="AH37" i="12"/>
  <c r="AI20" i="12"/>
  <c r="AH22" i="12"/>
  <c r="AI21" i="12"/>
  <c r="AH23" i="12"/>
  <c r="AH49" i="12"/>
  <c r="AI6" i="12"/>
  <c r="AH40" i="12"/>
  <c r="AL6" i="12"/>
  <c r="AL43" i="12"/>
  <c r="AL28" i="12"/>
  <c r="AI26" i="12"/>
  <c r="AH28" i="12"/>
  <c r="AL24" i="12"/>
  <c r="AL59" i="12"/>
  <c r="AL30" i="12"/>
  <c r="AL62" i="12"/>
  <c r="AL57" i="12"/>
  <c r="AL12" i="12"/>
  <c r="AL44" i="12"/>
  <c r="AI58" i="12"/>
  <c r="AH60" i="12"/>
  <c r="AI43" i="12"/>
  <c r="AH45" i="12"/>
  <c r="AI28" i="12"/>
  <c r="AH30" i="12"/>
  <c r="AI29" i="12"/>
  <c r="AH31" i="12"/>
  <c r="AI14" i="12"/>
  <c r="AH48" i="12"/>
  <c r="AH42" i="12"/>
  <c r="AL26" i="12"/>
  <c r="AI3" i="12"/>
  <c r="AH5" i="12"/>
  <c r="AH55" i="12"/>
  <c r="AL40" i="12"/>
  <c r="AI11" i="12"/>
  <c r="AH13" i="12"/>
  <c r="AI7" i="12"/>
  <c r="AL21" i="12"/>
  <c r="AL29" i="12"/>
  <c r="AL61" i="12"/>
  <c r="AL56" i="12"/>
  <c r="AL7" i="12"/>
  <c r="AL31" i="12"/>
  <c r="AK13" i="12"/>
  <c r="AL42" i="12"/>
  <c r="AH4" i="12"/>
  <c r="AI23" i="12"/>
  <c r="AI51" i="12"/>
  <c r="AH53" i="12"/>
  <c r="AI36" i="12"/>
  <c r="AH38" i="12"/>
  <c r="AI37" i="12"/>
  <c r="AH39" i="12"/>
  <c r="AI38" i="12"/>
  <c r="AH56" i="12"/>
  <c r="AH34" i="12"/>
  <c r="AI22" i="12"/>
  <c r="AH24" i="12"/>
  <c r="AI55" i="12"/>
  <c r="AH50" i="12"/>
  <c r="AI30" i="12"/>
  <c r="AH32" i="12"/>
  <c r="AH17" i="12"/>
  <c r="AI32" i="12"/>
  <c r="AH58" i="12"/>
  <c r="AH35" i="12"/>
  <c r="AH57" i="12"/>
  <c r="AI8" i="12"/>
  <c r="AH10" i="12"/>
  <c r="AI16" i="12"/>
  <c r="AH18" i="12"/>
  <c r="AI33" i="12"/>
  <c r="AI24" i="12"/>
  <c r="AH26" i="12"/>
  <c r="AI41" i="12"/>
  <c r="AI49" i="12"/>
  <c r="AH51" i="12"/>
  <c r="AH3" i="12"/>
  <c r="AI9" i="12"/>
  <c r="AH11" i="12"/>
  <c r="AI17" i="12"/>
  <c r="AH19" i="12"/>
  <c r="AI25" i="12"/>
  <c r="AH27" i="12"/>
  <c r="R12" i="7"/>
  <c r="S12" i="7" s="1"/>
  <c r="D32" i="7" s="1"/>
  <c r="U5" i="7"/>
  <c r="X9" i="11"/>
  <c r="Z9" i="11" s="1"/>
  <c r="X7" i="11"/>
  <c r="Z7" i="11" s="1"/>
  <c r="T3" i="6"/>
  <c r="Y43" i="2"/>
  <c r="Y39" i="2"/>
  <c r="Y30" i="2"/>
  <c r="Y57" i="2"/>
  <c r="L57" i="2" s="1"/>
  <c r="Y11" i="2"/>
  <c r="Y10" i="2"/>
  <c r="Y13" i="2"/>
  <c r="Y27" i="2"/>
  <c r="Y47" i="2"/>
  <c r="Y32" i="2"/>
  <c r="Y12" i="2"/>
  <c r="Y46" i="2"/>
  <c r="Y48" i="2"/>
  <c r="Y9" i="2"/>
  <c r="Y54" i="2"/>
  <c r="Y49" i="2"/>
  <c r="Y28" i="2"/>
  <c r="Y52" i="2"/>
  <c r="Y35" i="2"/>
  <c r="Y33" i="2"/>
  <c r="Y34" i="2"/>
  <c r="Y45" i="2"/>
  <c r="Y38" i="2"/>
  <c r="Y25" i="2"/>
  <c r="Y36" i="2"/>
  <c r="Y17" i="2"/>
  <c r="Y55" i="2"/>
  <c r="Y41" i="2"/>
  <c r="Y26" i="2"/>
  <c r="Y40" i="2"/>
  <c r="Y20" i="2"/>
  <c r="Y16" i="2"/>
  <c r="Y50" i="2"/>
  <c r="Y24" i="2"/>
  <c r="Y18" i="2"/>
  <c r="Y44" i="2"/>
  <c r="Y23" i="2"/>
  <c r="Y22" i="2"/>
  <c r="Y19" i="2"/>
  <c r="Y21" i="2"/>
  <c r="Y42" i="2"/>
  <c r="Y15" i="2"/>
  <c r="Y31" i="2"/>
  <c r="H42" i="3"/>
  <c r="R5" i="7"/>
  <c r="E32" i="3" s="1"/>
  <c r="R43" i="2"/>
  <c r="J43" i="2"/>
  <c r="P43" i="2"/>
  <c r="Z43" i="2"/>
  <c r="AA43" i="2"/>
  <c r="AD43" i="2"/>
  <c r="BQ120" i="2" l="1"/>
  <c r="Q15" i="35" s="1"/>
  <c r="BU123" i="2"/>
  <c r="U18" i="35" s="1"/>
  <c r="F32" i="7"/>
  <c r="AB71" i="27"/>
  <c r="Q3" i="6"/>
  <c r="V3" i="6"/>
  <c r="AB60" i="2"/>
  <c r="AF60" i="2"/>
  <c r="AC60" i="2" s="1"/>
  <c r="S5" i="7"/>
  <c r="D31" i="7" s="1"/>
  <c r="E32" i="7" s="1"/>
  <c r="V5" i="7"/>
  <c r="U12" i="7"/>
  <c r="V12" i="7" s="1"/>
  <c r="BF12" i="7" s="1"/>
  <c r="M56" i="27" s="1"/>
  <c r="AC12" i="7"/>
  <c r="W1" i="27"/>
  <c r="V2" i="27"/>
  <c r="T5" i="7"/>
  <c r="AI2" i="12"/>
  <c r="AL2" i="12"/>
  <c r="K43" i="2"/>
  <c r="AE43" i="2" s="1"/>
  <c r="E42" i="3"/>
  <c r="L43" i="2"/>
  <c r="Q43" i="2"/>
  <c r="V43" i="2"/>
  <c r="F31" i="7" l="1"/>
  <c r="E31" i="7"/>
  <c r="E33" i="7"/>
  <c r="D32" i="3"/>
  <c r="M37" i="29"/>
  <c r="G38" i="29" s="1"/>
  <c r="T36" i="3" s="1"/>
  <c r="M29" i="29"/>
  <c r="L9" i="11"/>
  <c r="AV5" i="7"/>
  <c r="AX5" i="7"/>
  <c r="AY5" i="7"/>
  <c r="BA5" i="7"/>
  <c r="AZ5" i="7"/>
  <c r="AW5" i="7"/>
  <c r="AW43" i="2"/>
  <c r="BC43" i="2"/>
  <c r="I32" i="3"/>
  <c r="BC5" i="7"/>
  <c r="BG5" i="7"/>
  <c r="BD5" i="7"/>
  <c r="BF5" i="7"/>
  <c r="BB5" i="7"/>
  <c r="BE5" i="7"/>
  <c r="N40" i="26"/>
  <c r="Y56" i="27"/>
  <c r="Z40" i="26"/>
  <c r="X1" i="27"/>
  <c r="W2" i="27"/>
  <c r="I42" i="3"/>
  <c r="F42" i="3"/>
  <c r="D42" i="3"/>
  <c r="U17" i="9"/>
  <c r="Q11" i="2"/>
  <c r="Q13" i="2"/>
  <c r="Q12" i="2"/>
  <c r="K12" i="2"/>
  <c r="AE12" i="2" s="1"/>
  <c r="K13" i="2"/>
  <c r="AE13" i="2" s="1"/>
  <c r="K11" i="2"/>
  <c r="AE11" i="2" s="1"/>
  <c r="P12" i="2"/>
  <c r="P13" i="2"/>
  <c r="P11" i="2"/>
  <c r="R12" i="2"/>
  <c r="R13" i="2"/>
  <c r="R11" i="2"/>
  <c r="V12" i="2"/>
  <c r="V13" i="2"/>
  <c r="V11" i="2"/>
  <c r="L12" i="2"/>
  <c r="L13" i="2"/>
  <c r="L11" i="2"/>
  <c r="Z12" i="2"/>
  <c r="Z13" i="2"/>
  <c r="Z11" i="2"/>
  <c r="AA12" i="2"/>
  <c r="AA13" i="2"/>
  <c r="AA11" i="2"/>
  <c r="AD12" i="2"/>
  <c r="AD13" i="2"/>
  <c r="AD11" i="2"/>
  <c r="I38" i="29" l="1"/>
  <c r="V36" i="3" s="1"/>
  <c r="AB11" i="2"/>
  <c r="AF13" i="2"/>
  <c r="AC13" i="2" s="1"/>
  <c r="AF12" i="2"/>
  <c r="AC12" i="2" s="1"/>
  <c r="AB43" i="2"/>
  <c r="AF43" i="2"/>
  <c r="AC43" i="2" s="1"/>
  <c r="BA11" i="2"/>
  <c r="AU11" i="2"/>
  <c r="BB13" i="2"/>
  <c r="AV13" i="2"/>
  <c r="BE12" i="2"/>
  <c r="AY12" i="2"/>
  <c r="K29" i="26"/>
  <c r="K10" i="26" s="1"/>
  <c r="W29" i="26"/>
  <c r="W10" i="26" s="1"/>
  <c r="J51" i="27"/>
  <c r="J44" i="27" s="1"/>
  <c r="V51" i="27"/>
  <c r="V44" i="27" s="1"/>
  <c r="X51" i="27"/>
  <c r="M29" i="26"/>
  <c r="M10" i="26" s="1"/>
  <c r="L51" i="27"/>
  <c r="Y29" i="26"/>
  <c r="Y10" i="26" s="1"/>
  <c r="Y1" i="27"/>
  <c r="X2" i="27"/>
  <c r="G42" i="3"/>
  <c r="J26" i="2"/>
  <c r="J37" i="2"/>
  <c r="P26" i="2"/>
  <c r="P37" i="2"/>
  <c r="R26" i="2"/>
  <c r="R37" i="2"/>
  <c r="Z26" i="2"/>
  <c r="Z37" i="2"/>
  <c r="AA26" i="2"/>
  <c r="AD26" i="2"/>
  <c r="AD37" i="2"/>
  <c r="J28" i="2"/>
  <c r="P28" i="2"/>
  <c r="R28" i="2"/>
  <c r="AA28" i="2"/>
  <c r="Z28" i="2"/>
  <c r="AD28" i="2"/>
  <c r="J40" i="2"/>
  <c r="J51" i="2"/>
  <c r="P40" i="2"/>
  <c r="P51" i="2"/>
  <c r="R40" i="2"/>
  <c r="R51" i="2"/>
  <c r="AA40" i="2"/>
  <c r="Z40" i="2"/>
  <c r="Z51" i="2"/>
  <c r="AD40" i="2"/>
  <c r="AD51" i="2"/>
  <c r="J53" i="2"/>
  <c r="P53" i="2"/>
  <c r="J23" i="2"/>
  <c r="P23" i="2"/>
  <c r="R23" i="2"/>
  <c r="AA23" i="2"/>
  <c r="Z23" i="2"/>
  <c r="AD23" i="2"/>
  <c r="J9" i="2"/>
  <c r="P9" i="2"/>
  <c r="J10" i="2"/>
  <c r="P10" i="2"/>
  <c r="J27" i="2"/>
  <c r="P27" i="2"/>
  <c r="R27" i="2"/>
  <c r="AA27" i="2"/>
  <c r="Z27" i="2"/>
  <c r="AD27" i="2"/>
  <c r="J15" i="2"/>
  <c r="P15" i="2"/>
  <c r="R15" i="2"/>
  <c r="AA15" i="2"/>
  <c r="Z15" i="2"/>
  <c r="AD15" i="2"/>
  <c r="J2" i="2"/>
  <c r="R2" i="2"/>
  <c r="Z2" i="2"/>
  <c r="S9" i="11"/>
  <c r="BU132" i="2" l="1"/>
  <c r="U27" i="35" s="1"/>
  <c r="AF11" i="2"/>
  <c r="AC11" i="2" s="1"/>
  <c r="AB12" i="2"/>
  <c r="AB13" i="2"/>
  <c r="E51" i="27"/>
  <c r="E44" i="27" s="1"/>
  <c r="R29" i="26"/>
  <c r="R10" i="26" s="1"/>
  <c r="F29" i="26"/>
  <c r="F10" i="26" s="1"/>
  <c r="Q51" i="27"/>
  <c r="AA29" i="26"/>
  <c r="AA10" i="26" s="1"/>
  <c r="O29" i="26"/>
  <c r="O10" i="26" s="1"/>
  <c r="N51" i="27"/>
  <c r="Z51" i="27"/>
  <c r="U29" i="26"/>
  <c r="U10" i="26" s="1"/>
  <c r="H51" i="27"/>
  <c r="I29" i="26"/>
  <c r="I10" i="26" s="1"/>
  <c r="T51" i="27"/>
  <c r="L29" i="26"/>
  <c r="L10" i="26" s="1"/>
  <c r="X29" i="26"/>
  <c r="X10" i="26" s="1"/>
  <c r="K51" i="27"/>
  <c r="W51" i="27"/>
  <c r="Y70" i="27"/>
  <c r="N81" i="26"/>
  <c r="N5" i="26" s="1"/>
  <c r="M70" i="27"/>
  <c r="Z81" i="26"/>
  <c r="Z5" i="26" s="1"/>
  <c r="D81" i="26"/>
  <c r="P81" i="26"/>
  <c r="P5" i="26" s="1"/>
  <c r="O70" i="27"/>
  <c r="C70" i="27"/>
  <c r="Y2" i="27"/>
  <c r="Z1" i="27"/>
  <c r="Z2" i="27" s="1"/>
  <c r="Q9" i="2"/>
  <c r="V23" i="2"/>
  <c r="K27" i="2"/>
  <c r="AE27" i="2" s="1"/>
  <c r="Q37" i="2"/>
  <c r="V28" i="2"/>
  <c r="K15" i="2"/>
  <c r="Q26" i="2"/>
  <c r="K51" i="2"/>
  <c r="AE51" i="2" s="1"/>
  <c r="K2" i="2"/>
  <c r="K40" i="2"/>
  <c r="AE40" i="2" s="1"/>
  <c r="Q10" i="2"/>
  <c r="K26" i="2"/>
  <c r="AE26" i="2" s="1"/>
  <c r="K28" i="2"/>
  <c r="AE28" i="2" s="1"/>
  <c r="L26" i="2"/>
  <c r="V51" i="2"/>
  <c r="V37" i="2"/>
  <c r="V40" i="2"/>
  <c r="V26" i="2"/>
  <c r="Q15" i="2"/>
  <c r="Q40" i="2"/>
  <c r="Q23" i="2"/>
  <c r="V15" i="2"/>
  <c r="V27" i="2"/>
  <c r="K23" i="2"/>
  <c r="AE23" i="2" s="1"/>
  <c r="K37" i="2"/>
  <c r="AE37" i="2" s="1"/>
  <c r="Q53" i="2"/>
  <c r="Q27" i="2"/>
  <c r="Q51" i="2"/>
  <c r="Q28" i="2"/>
  <c r="L23" i="2"/>
  <c r="L28" i="2"/>
  <c r="L40" i="2"/>
  <c r="L27" i="2"/>
  <c r="L15" i="2"/>
  <c r="T9" i="11"/>
  <c r="Q9" i="11"/>
  <c r="U9" i="11"/>
  <c r="P9" i="11"/>
  <c r="S8" i="11"/>
  <c r="U7" i="11"/>
  <c r="S7" i="11"/>
  <c r="T7" i="11" s="1"/>
  <c r="P7" i="11"/>
  <c r="P5" i="11"/>
  <c r="S5" i="11"/>
  <c r="U5" i="11"/>
  <c r="BQ131" i="2" l="1"/>
  <c r="Q26" i="35" s="1"/>
  <c r="AB70" i="27"/>
  <c r="T5" i="11"/>
  <c r="AE2" i="2"/>
  <c r="AF2" i="2" s="1"/>
  <c r="AE15" i="2"/>
  <c r="BB26" i="2"/>
  <c r="AV26" i="2"/>
  <c r="AV15" i="2"/>
  <c r="BB15" i="2"/>
  <c r="AV23" i="2"/>
  <c r="BB23" i="2"/>
  <c r="BA27" i="2"/>
  <c r="AU27" i="2"/>
  <c r="AT40" i="2"/>
  <c r="AZ40" i="2"/>
  <c r="BB28" i="2"/>
  <c r="AV28" i="2"/>
  <c r="AK39" i="12"/>
  <c r="AK41" i="12"/>
  <c r="AK40" i="12"/>
  <c r="AL4" i="12"/>
  <c r="AL3" i="12"/>
  <c r="AL41" i="12"/>
  <c r="AK2" i="12"/>
  <c r="P8" i="11"/>
  <c r="T8" i="11"/>
  <c r="U8" i="11"/>
  <c r="Q7" i="11"/>
  <c r="AB2" i="2" l="1"/>
  <c r="AB40" i="2"/>
  <c r="AF40" i="2"/>
  <c r="AC40" i="2" s="1"/>
  <c r="AB27" i="2"/>
  <c r="AF27" i="2"/>
  <c r="AC27" i="2" s="1"/>
  <c r="AB26" i="2"/>
  <c r="AF26" i="2"/>
  <c r="AC26" i="2" s="1"/>
  <c r="AB37" i="2"/>
  <c r="AB28" i="2"/>
  <c r="AF28" i="2"/>
  <c r="AC28" i="2" s="1"/>
  <c r="AB15" i="2"/>
  <c r="AF15" i="2"/>
  <c r="AC15" i="2" s="1"/>
  <c r="AB51" i="2"/>
  <c r="AB23" i="2"/>
  <c r="AF23" i="2"/>
  <c r="AC23" i="2" s="1"/>
  <c r="U18" i="9"/>
  <c r="U19" i="9"/>
  <c r="P39" i="2"/>
  <c r="N17" i="9"/>
  <c r="N18" i="9" s="1"/>
  <c r="L18" i="9" s="1"/>
  <c r="R39" i="2"/>
  <c r="J39" i="2"/>
  <c r="Z39" i="2"/>
  <c r="AD39" i="2"/>
  <c r="J42" i="2"/>
  <c r="P42" i="2"/>
  <c r="R42" i="2"/>
  <c r="AA42" i="2"/>
  <c r="Z42" i="2"/>
  <c r="AD42" i="2"/>
  <c r="P59" i="2"/>
  <c r="J30" i="2"/>
  <c r="P30" i="2"/>
  <c r="R30" i="2"/>
  <c r="AA30" i="2"/>
  <c r="Z30" i="2"/>
  <c r="AD30" i="2"/>
  <c r="J44" i="2"/>
  <c r="P44" i="2"/>
  <c r="R44" i="2"/>
  <c r="Z44" i="2"/>
  <c r="AA44" i="2"/>
  <c r="AD44" i="2"/>
  <c r="BU126" i="2" l="1"/>
  <c r="U21" i="35" s="1"/>
  <c r="AK7" i="12"/>
  <c r="K30" i="2"/>
  <c r="AE30" i="2" s="1"/>
  <c r="V39" i="2"/>
  <c r="Q42" i="2"/>
  <c r="AK27" i="12"/>
  <c r="AK29" i="12"/>
  <c r="K44" i="2"/>
  <c r="AE44" i="2" s="1"/>
  <c r="AA39" i="2"/>
  <c r="K42" i="2"/>
  <c r="AE42" i="2" s="1"/>
  <c r="K39" i="2"/>
  <c r="AE39" i="2" s="1"/>
  <c r="Q39" i="2"/>
  <c r="V42" i="2"/>
  <c r="Q59" i="2"/>
  <c r="L42" i="2"/>
  <c r="L39" i="2"/>
  <c r="L44" i="2"/>
  <c r="Q44" i="2"/>
  <c r="Q30" i="2"/>
  <c r="L30" i="2"/>
  <c r="V30" i="2"/>
  <c r="V44" i="2"/>
  <c r="AZ44" i="2" l="1"/>
  <c r="AT44" i="2"/>
  <c r="BB39" i="2"/>
  <c r="AV39" i="2"/>
  <c r="AZ30" i="2"/>
  <c r="AT30" i="2"/>
  <c r="AW42" i="2"/>
  <c r="AT42" i="2"/>
  <c r="AZ42" i="2"/>
  <c r="BC42" i="2"/>
  <c r="F20" i="9"/>
  <c r="R45" i="2"/>
  <c r="U20" i="9"/>
  <c r="J45" i="2"/>
  <c r="P45" i="2"/>
  <c r="Z45" i="2"/>
  <c r="AD45" i="2"/>
  <c r="J25" i="2"/>
  <c r="P25" i="2"/>
  <c r="AB30" i="2" l="1"/>
  <c r="AF30" i="2"/>
  <c r="AC30" i="2" s="1"/>
  <c r="AB39" i="2"/>
  <c r="AF39" i="2"/>
  <c r="AC39" i="2" s="1"/>
  <c r="AB44" i="2"/>
  <c r="AF44" i="2"/>
  <c r="AC44" i="2" s="1"/>
  <c r="AB42" i="2"/>
  <c r="AF42" i="2"/>
  <c r="AC42" i="2" s="1"/>
  <c r="V7" i="7"/>
  <c r="K45" i="2"/>
  <c r="AE45" i="2" s="1"/>
  <c r="V45" i="2"/>
  <c r="Q25" i="2"/>
  <c r="Q45" i="2"/>
  <c r="N16" i="9"/>
  <c r="N15" i="9"/>
  <c r="N14" i="9"/>
  <c r="U26" i="9"/>
  <c r="U25" i="9"/>
  <c r="U24" i="9"/>
  <c r="U23" i="9"/>
  <c r="U22" i="9"/>
  <c r="U21" i="9"/>
  <c r="T6" i="7" s="1"/>
  <c r="BU130" i="2" l="1"/>
  <c r="AV7" i="7"/>
  <c r="AY7" i="7"/>
  <c r="AX7" i="7"/>
  <c r="BD7" i="7"/>
  <c r="AZ7" i="7"/>
  <c r="BF7" i="7"/>
  <c r="BA7" i="7"/>
  <c r="AW7" i="7"/>
  <c r="BC7" i="7"/>
  <c r="BG7" i="7"/>
  <c r="BB7" i="7"/>
  <c r="BE7" i="7"/>
  <c r="AK43" i="12"/>
  <c r="AK42" i="12"/>
  <c r="AK44" i="12"/>
  <c r="AJ59" i="12"/>
  <c r="AJ62" i="12"/>
  <c r="AA5" i="7"/>
  <c r="BU149" i="2" l="1"/>
  <c r="U44" i="35" s="1"/>
  <c r="U25" i="35"/>
  <c r="AB45" i="2"/>
  <c r="AF45" i="2"/>
  <c r="Q44" i="26"/>
  <c r="Q6" i="26" s="1"/>
  <c r="P57" i="27"/>
  <c r="D57" i="27"/>
  <c r="E44" i="26"/>
  <c r="E6" i="26" s="1"/>
  <c r="I44" i="26"/>
  <c r="I6" i="26" s="1"/>
  <c r="T57" i="27"/>
  <c r="U44" i="26"/>
  <c r="U6" i="26" s="1"/>
  <c r="H57" i="27"/>
  <c r="Z44" i="26"/>
  <c r="Z6" i="26" s="1"/>
  <c r="Y57" i="27"/>
  <c r="M57" i="27"/>
  <c r="N44" i="26"/>
  <c r="N6" i="26" s="1"/>
  <c r="H44" i="26"/>
  <c r="H6" i="26" s="1"/>
  <c r="T44" i="26"/>
  <c r="T6" i="26" s="1"/>
  <c r="G57" i="27"/>
  <c r="S57" i="27"/>
  <c r="Y44" i="26"/>
  <c r="Y6" i="26" s="1"/>
  <c r="M44" i="26"/>
  <c r="M6" i="26" s="1"/>
  <c r="L57" i="27"/>
  <c r="X57" i="27"/>
  <c r="K57" i="27"/>
  <c r="L44" i="26"/>
  <c r="L6" i="26" s="1"/>
  <c r="X44" i="26"/>
  <c r="X6" i="26" s="1"/>
  <c r="W57" i="27"/>
  <c r="V44" i="26"/>
  <c r="V6" i="26" s="1"/>
  <c r="U57" i="27"/>
  <c r="I57" i="27"/>
  <c r="J44" i="26"/>
  <c r="J6" i="26" s="1"/>
  <c r="E57" i="27"/>
  <c r="F44" i="26"/>
  <c r="F6" i="26" s="1"/>
  <c r="R44" i="26"/>
  <c r="R6" i="26" s="1"/>
  <c r="Q57" i="27"/>
  <c r="Z57" i="27"/>
  <c r="O44" i="26"/>
  <c r="O6" i="26" s="1"/>
  <c r="AA44" i="26"/>
  <c r="AA6" i="26" s="1"/>
  <c r="N57" i="27"/>
  <c r="F57" i="27"/>
  <c r="S44" i="26"/>
  <c r="S6" i="26" s="1"/>
  <c r="G44" i="26"/>
  <c r="G6" i="26" s="1"/>
  <c r="R57" i="27"/>
  <c r="W44" i="26"/>
  <c r="W6" i="26" s="1"/>
  <c r="V57" i="27"/>
  <c r="K44" i="26"/>
  <c r="K6" i="26" s="1"/>
  <c r="J57" i="27"/>
  <c r="P44" i="26"/>
  <c r="P6" i="26" s="1"/>
  <c r="C57" i="27"/>
  <c r="O57" i="27"/>
  <c r="AA7" i="7"/>
  <c r="AA6" i="7"/>
  <c r="AB57" i="27" l="1"/>
  <c r="P58" i="2"/>
  <c r="P38" i="2"/>
  <c r="R58" i="2"/>
  <c r="J34" i="2"/>
  <c r="P34" i="2"/>
  <c r="R34" i="2"/>
  <c r="Z34" i="2"/>
  <c r="AD34" i="2"/>
  <c r="J38" i="2"/>
  <c r="R38" i="2"/>
  <c r="AD38" i="2"/>
  <c r="J32" i="2"/>
  <c r="P32" i="2"/>
  <c r="AE5" i="7"/>
  <c r="AG5" i="7" s="1"/>
  <c r="AE6" i="7"/>
  <c r="AG6" i="7" s="1"/>
  <c r="AE7" i="7"/>
  <c r="AG7" i="7" s="1"/>
  <c r="AE12" i="7"/>
  <c r="AG12" i="7" s="1"/>
  <c r="Z58" i="2"/>
  <c r="AD58" i="2"/>
  <c r="AK30" i="12" l="1"/>
  <c r="K58" i="2"/>
  <c r="AE58" i="2" s="1"/>
  <c r="V38" i="2"/>
  <c r="K34" i="2"/>
  <c r="AE34" i="2" s="1"/>
  <c r="Z38" i="2"/>
  <c r="AA34" i="2"/>
  <c r="AA38" i="2"/>
  <c r="K38" i="2"/>
  <c r="AE38" i="2" s="1"/>
  <c r="Q32" i="2"/>
  <c r="Q38" i="2"/>
  <c r="Q34" i="2"/>
  <c r="V34" i="2"/>
  <c r="L34" i="2"/>
  <c r="L38" i="2"/>
  <c r="Q58" i="2"/>
  <c r="V58" i="2"/>
  <c r="H32" i="3"/>
  <c r="Z56" i="2"/>
  <c r="Z21" i="2"/>
  <c r="Z16" i="2"/>
  <c r="Z19" i="2"/>
  <c r="Z35" i="2"/>
  <c r="Z24" i="2"/>
  <c r="Z36" i="2"/>
  <c r="Z33" i="2"/>
  <c r="Z46" i="2"/>
  <c r="Z47" i="2"/>
  <c r="Z17" i="2"/>
  <c r="Z50" i="2"/>
  <c r="Z41" i="2"/>
  <c r="Z48" i="2"/>
  <c r="Z54" i="2"/>
  <c r="Z29" i="2"/>
  <c r="Z57" i="2"/>
  <c r="Z52" i="2"/>
  <c r="Z55" i="2"/>
  <c r="Z18" i="2"/>
  <c r="Z31" i="2"/>
  <c r="Z20" i="2"/>
  <c r="AS18" i="8"/>
  <c r="AS17" i="8"/>
  <c r="AS16" i="8"/>
  <c r="AS15" i="8"/>
  <c r="AS14" i="8"/>
  <c r="AS13" i="8"/>
  <c r="AS12" i="8"/>
  <c r="AF38" i="2" l="1"/>
  <c r="AC38" i="2" s="1"/>
  <c r="AV38" i="2"/>
  <c r="BB38" i="2"/>
  <c r="AX34" i="2"/>
  <c r="BD34" i="2"/>
  <c r="AK20" i="12"/>
  <c r="AK18" i="12"/>
  <c r="AK32" i="12"/>
  <c r="AK31" i="12"/>
  <c r="AK17" i="12"/>
  <c r="AK12" i="12"/>
  <c r="S81" i="27"/>
  <c r="S79" i="27" s="1"/>
  <c r="R20" i="2"/>
  <c r="P31" i="2"/>
  <c r="R31" i="2"/>
  <c r="J20" i="2"/>
  <c r="P20" i="2"/>
  <c r="AA20" i="2"/>
  <c r="AD20" i="2"/>
  <c r="J31" i="2"/>
  <c r="AD31" i="2"/>
  <c r="AD56" i="2"/>
  <c r="AD21" i="2"/>
  <c r="AD16" i="2"/>
  <c r="AD19" i="2"/>
  <c r="AD35" i="2"/>
  <c r="AD24" i="2"/>
  <c r="AD36" i="2"/>
  <c r="AD33" i="2"/>
  <c r="AD46" i="2"/>
  <c r="AD47" i="2"/>
  <c r="AD17" i="2"/>
  <c r="AD50" i="2"/>
  <c r="AD41" i="2"/>
  <c r="AD48" i="2"/>
  <c r="AD54" i="2"/>
  <c r="AD29" i="2"/>
  <c r="AD57" i="2"/>
  <c r="AD52" i="2"/>
  <c r="AD55" i="2"/>
  <c r="AD18" i="2"/>
  <c r="AL2" i="8"/>
  <c r="R81" i="27" l="1"/>
  <c r="R79" i="27" s="1"/>
  <c r="Q81" i="27"/>
  <c r="AB38" i="2"/>
  <c r="AB58" i="2"/>
  <c r="AB34" i="2"/>
  <c r="AF34" i="2"/>
  <c r="AC34" i="2" s="1"/>
  <c r="K20" i="2"/>
  <c r="AE20" i="2" s="1"/>
  <c r="K31" i="2"/>
  <c r="AE31" i="2" s="1"/>
  <c r="Q31" i="2"/>
  <c r="V20" i="2"/>
  <c r="L31" i="2"/>
  <c r="Q20" i="2"/>
  <c r="L20" i="2"/>
  <c r="AA31" i="2"/>
  <c r="V31" i="2"/>
  <c r="P22" i="2"/>
  <c r="P18" i="2"/>
  <c r="P49" i="2"/>
  <c r="P55" i="2"/>
  <c r="P52" i="2"/>
  <c r="P57" i="2"/>
  <c r="P29" i="2"/>
  <c r="P54" i="2"/>
  <c r="P48" i="2"/>
  <c r="P41" i="2"/>
  <c r="P50" i="2"/>
  <c r="P17" i="2"/>
  <c r="P47" i="2"/>
  <c r="P46" i="2"/>
  <c r="P33" i="2"/>
  <c r="P36" i="2"/>
  <c r="P24" i="2"/>
  <c r="P35" i="2"/>
  <c r="P19" i="2"/>
  <c r="P16" i="2"/>
  <c r="P21" i="2"/>
  <c r="P14" i="2"/>
  <c r="P56" i="2"/>
  <c r="J22" i="2"/>
  <c r="R18" i="2"/>
  <c r="AA18" i="2"/>
  <c r="AD2" i="12" a="1"/>
  <c r="AW31" i="2" l="1"/>
  <c r="BC31" i="2"/>
  <c r="AZ20" i="2"/>
  <c r="AT20" i="2"/>
  <c r="AJ61" i="12"/>
  <c r="K18" i="2"/>
  <c r="AE18" i="2" s="1"/>
  <c r="AD2" i="12"/>
  <c r="Q22" i="2"/>
  <c r="L18" i="2"/>
  <c r="Q18" i="2"/>
  <c r="V18" i="2"/>
  <c r="U25" i="8"/>
  <c r="U26" i="8" s="1"/>
  <c r="U27" i="8" s="1"/>
  <c r="U23" i="8"/>
  <c r="AF12" i="7"/>
  <c r="AB31" i="2" l="1"/>
  <c r="AF31" i="2"/>
  <c r="AC31" i="2" s="1"/>
  <c r="AB20" i="2"/>
  <c r="AF20" i="2"/>
  <c r="BA18" i="2"/>
  <c r="AU18" i="2"/>
  <c r="H40" i="3"/>
  <c r="E40" i="3"/>
  <c r="X12" i="7"/>
  <c r="AH12" i="7"/>
  <c r="AE149" i="12"/>
  <c r="Z54" i="12"/>
  <c r="T70" i="12"/>
  <c r="AA35" i="2"/>
  <c r="R41" i="2"/>
  <c r="R21" i="2"/>
  <c r="R35" i="2"/>
  <c r="R36" i="2"/>
  <c r="R16" i="2"/>
  <c r="R33" i="2"/>
  <c r="R48" i="2"/>
  <c r="R17" i="2"/>
  <c r="J49" i="2"/>
  <c r="J50" i="2"/>
  <c r="J47" i="2"/>
  <c r="J46" i="2"/>
  <c r="J29" i="2"/>
  <c r="J52" i="2"/>
  <c r="J54" i="2"/>
  <c r="J55" i="2"/>
  <c r="J14" i="2"/>
  <c r="J24" i="2"/>
  <c r="AK3" i="12"/>
  <c r="J41" i="2"/>
  <c r="J17" i="2"/>
  <c r="J33" i="2"/>
  <c r="J48" i="2"/>
  <c r="AK24" i="12"/>
  <c r="AA2" i="12" a="1"/>
  <c r="AA2" i="12" s="1"/>
  <c r="J16" i="2"/>
  <c r="AA16" i="2"/>
  <c r="J36" i="2"/>
  <c r="AA36" i="2"/>
  <c r="J35" i="2"/>
  <c r="J21" i="2"/>
  <c r="AA21" i="2"/>
  <c r="AE150" i="12"/>
  <c r="AE144" i="12"/>
  <c r="AE142" i="12"/>
  <c r="AE136" i="12"/>
  <c r="AE134" i="12"/>
  <c r="AE128" i="12"/>
  <c r="AE126" i="12"/>
  <c r="AE120" i="12"/>
  <c r="AE118" i="12"/>
  <c r="AE112" i="12"/>
  <c r="AE110" i="12"/>
  <c r="AE107" i="12"/>
  <c r="AE106" i="12"/>
  <c r="AE104" i="12"/>
  <c r="Z56" i="12"/>
  <c r="Z55" i="12"/>
  <c r="Z48" i="12"/>
  <c r="Z47" i="12"/>
  <c r="T68" i="12"/>
  <c r="T60" i="12"/>
  <c r="T52" i="12"/>
  <c r="BU118" i="2" l="1"/>
  <c r="BQ124" i="2"/>
  <c r="Q19" i="35" s="1"/>
  <c r="AC20" i="2"/>
  <c r="AB18" i="2"/>
  <c r="AF18" i="2"/>
  <c r="AK26" i="12"/>
  <c r="AK25" i="12"/>
  <c r="AJ58" i="12"/>
  <c r="AJ4" i="12"/>
  <c r="AJ60" i="12"/>
  <c r="AK28" i="12"/>
  <c r="AL14" i="12"/>
  <c r="Q57" i="2"/>
  <c r="Q55" i="2"/>
  <c r="AK6" i="12"/>
  <c r="Q24" i="2"/>
  <c r="AJ16" i="12"/>
  <c r="Q29" i="2"/>
  <c r="AK21" i="12"/>
  <c r="AJ52" i="12"/>
  <c r="AL34" i="12"/>
  <c r="Q56" i="2"/>
  <c r="Q49" i="2"/>
  <c r="D40" i="3"/>
  <c r="F40" i="3"/>
  <c r="Q54" i="2"/>
  <c r="Q14" i="2"/>
  <c r="Q50" i="2"/>
  <c r="Q16" i="2"/>
  <c r="Q47" i="2"/>
  <c r="Q52" i="2"/>
  <c r="Q46" i="2"/>
  <c r="K36" i="2"/>
  <c r="AE36" i="2" s="1"/>
  <c r="Q36" i="2"/>
  <c r="V35" i="2"/>
  <c r="Q35" i="2"/>
  <c r="K48" i="2"/>
  <c r="AE48" i="2" s="1"/>
  <c r="Q48" i="2"/>
  <c r="K17" i="2"/>
  <c r="AE17" i="2" s="1"/>
  <c r="Q17" i="2"/>
  <c r="K21" i="2"/>
  <c r="AE21" i="2" s="1"/>
  <c r="Q21" i="2"/>
  <c r="K33" i="2"/>
  <c r="AE33" i="2" s="1"/>
  <c r="Q33" i="2"/>
  <c r="K41" i="2"/>
  <c r="AE41" i="2" s="1"/>
  <c r="Q41" i="2"/>
  <c r="AE111" i="12"/>
  <c r="AE119" i="12"/>
  <c r="AE127" i="12"/>
  <c r="AE135" i="12"/>
  <c r="AE143" i="12"/>
  <c r="AE151" i="12"/>
  <c r="AE152" i="12"/>
  <c r="AE105" i="12"/>
  <c r="AE113" i="12"/>
  <c r="AE121" i="12"/>
  <c r="AE129" i="12"/>
  <c r="AE137" i="12"/>
  <c r="AE145" i="12"/>
  <c r="AE153" i="12"/>
  <c r="AE114" i="12"/>
  <c r="AE122" i="12"/>
  <c r="AE130" i="12"/>
  <c r="AE138" i="12"/>
  <c r="AE146" i="12"/>
  <c r="AE154" i="12"/>
  <c r="AE115" i="12"/>
  <c r="AE123" i="12"/>
  <c r="AE131" i="12"/>
  <c r="AE139" i="12"/>
  <c r="AE147" i="12"/>
  <c r="AE155" i="12"/>
  <c r="AE108" i="12"/>
  <c r="AE116" i="12"/>
  <c r="AE124" i="12"/>
  <c r="AE132" i="12"/>
  <c r="AE140" i="12"/>
  <c r="AE148" i="12"/>
  <c r="AE109" i="12"/>
  <c r="AE117" i="12"/>
  <c r="AE125" i="12"/>
  <c r="AE133" i="12"/>
  <c r="AE141" i="12"/>
  <c r="Z49" i="12"/>
  <c r="Z42" i="12"/>
  <c r="Z50" i="12"/>
  <c r="Z43" i="12"/>
  <c r="Z51" i="12"/>
  <c r="Z44" i="12"/>
  <c r="Z52" i="12"/>
  <c r="Z45" i="12"/>
  <c r="Z53" i="12"/>
  <c r="Z46" i="12"/>
  <c r="T47" i="12"/>
  <c r="T55" i="12"/>
  <c r="T63" i="12"/>
  <c r="T71" i="12"/>
  <c r="T48" i="12"/>
  <c r="T56" i="12"/>
  <c r="T64" i="12"/>
  <c r="T72" i="12"/>
  <c r="T49" i="12"/>
  <c r="T57" i="12"/>
  <c r="T65" i="12"/>
  <c r="T50" i="12"/>
  <c r="T58" i="12"/>
  <c r="T66" i="12"/>
  <c r="T51" i="12"/>
  <c r="T59" i="12"/>
  <c r="T67" i="12"/>
  <c r="T53" i="12"/>
  <c r="T61" i="12"/>
  <c r="T69" i="12"/>
  <c r="T46" i="12"/>
  <c r="T54" i="12"/>
  <c r="T62" i="12"/>
  <c r="V16" i="2"/>
  <c r="V48" i="2"/>
  <c r="L48" i="2"/>
  <c r="L33" i="2"/>
  <c r="L41" i="2"/>
  <c r="L17" i="2"/>
  <c r="AA41" i="2"/>
  <c r="AA48" i="2"/>
  <c r="AA33" i="2"/>
  <c r="AA17" i="2"/>
  <c r="V17" i="2"/>
  <c r="V41" i="2"/>
  <c r="V33" i="2"/>
  <c r="K35" i="2"/>
  <c r="AE35" i="2" s="1"/>
  <c r="K16" i="2"/>
  <c r="AE16" i="2" s="1"/>
  <c r="AE101" i="12"/>
  <c r="AE102" i="12"/>
  <c r="T45" i="12"/>
  <c r="L16" i="2"/>
  <c r="L36" i="2"/>
  <c r="L35" i="2"/>
  <c r="V36" i="2"/>
  <c r="T44" i="12"/>
  <c r="V21" i="2"/>
  <c r="L21" i="2"/>
  <c r="T43" i="12"/>
  <c r="S2" i="12" a="1"/>
  <c r="Z41" i="12"/>
  <c r="BU147" i="2" l="1"/>
  <c r="U42" i="35" s="1"/>
  <c r="U13" i="35"/>
  <c r="AC18" i="2"/>
  <c r="AW17" i="2"/>
  <c r="BC17" i="2"/>
  <c r="BD21" i="2"/>
  <c r="AX21" i="2"/>
  <c r="AV35" i="2"/>
  <c r="BB35" i="2"/>
  <c r="AX41" i="2"/>
  <c r="BD41" i="2"/>
  <c r="BA33" i="2"/>
  <c r="AU33" i="2"/>
  <c r="BC36" i="2"/>
  <c r="AW36" i="2"/>
  <c r="BB16" i="2"/>
  <c r="AV16" i="2"/>
  <c r="AV48" i="2"/>
  <c r="BB48" i="2"/>
  <c r="AJ48" i="12"/>
  <c r="AJ54" i="12"/>
  <c r="AK45" i="12"/>
  <c r="AJ44" i="12"/>
  <c r="AJ37" i="12"/>
  <c r="AK48" i="12"/>
  <c r="AK47" i="12"/>
  <c r="AJ27" i="12"/>
  <c r="AJ36" i="12"/>
  <c r="AK49" i="12"/>
  <c r="AK46" i="12"/>
  <c r="AJ3" i="12"/>
  <c r="AJ2" i="12"/>
  <c r="AK51" i="12"/>
  <c r="AK50" i="12"/>
  <c r="AJ29" i="12"/>
  <c r="AJ33" i="12"/>
  <c r="AJ34" i="12"/>
  <c r="AJ32" i="12"/>
  <c r="AJ25" i="12"/>
  <c r="AJ15" i="12"/>
  <c r="AJ50" i="12"/>
  <c r="Z37" i="12"/>
  <c r="Z40" i="12"/>
  <c r="Z39" i="12"/>
  <c r="Z38" i="12"/>
  <c r="AJ18" i="12"/>
  <c r="AJ31" i="12"/>
  <c r="AJ40" i="12"/>
  <c r="AK61" i="12"/>
  <c r="AK53" i="12"/>
  <c r="AK54" i="12"/>
  <c r="AK52" i="12"/>
  <c r="AK56" i="12"/>
  <c r="AK55" i="12"/>
  <c r="AJ53" i="12"/>
  <c r="AJ35" i="12"/>
  <c r="AJ46" i="12"/>
  <c r="AJ17" i="12"/>
  <c r="AJ41" i="12"/>
  <c r="AL18" i="12"/>
  <c r="AL17" i="12"/>
  <c r="AJ47" i="12"/>
  <c r="AL10" i="12"/>
  <c r="AL15" i="12"/>
  <c r="AK23" i="12"/>
  <c r="AK57" i="12"/>
  <c r="AL36" i="12"/>
  <c r="AL35" i="12"/>
  <c r="AL52" i="12"/>
  <c r="AL19" i="12"/>
  <c r="AJ39" i="12"/>
  <c r="AJ24" i="12"/>
  <c r="AJ57" i="12"/>
  <c r="AJ56" i="12"/>
  <c r="AJ20" i="12"/>
  <c r="AJ43" i="12"/>
  <c r="AJ45" i="12"/>
  <c r="AJ30" i="12"/>
  <c r="AL20" i="12"/>
  <c r="AL50" i="12"/>
  <c r="AL16" i="12"/>
  <c r="AL11" i="12"/>
  <c r="AJ23" i="12"/>
  <c r="AJ5" i="12"/>
  <c r="AK58" i="12"/>
  <c r="AK60" i="12"/>
  <c r="AK8" i="12"/>
  <c r="AJ51" i="12"/>
  <c r="AJ26" i="12"/>
  <c r="AJ42" i="12"/>
  <c r="AJ19" i="12"/>
  <c r="AK62" i="12"/>
  <c r="AK4" i="12"/>
  <c r="AL37" i="12"/>
  <c r="AL23" i="12"/>
  <c r="AL53" i="12"/>
  <c r="AJ6" i="12"/>
  <c r="AL5" i="12"/>
  <c r="AJ12" i="12"/>
  <c r="AK19" i="12"/>
  <c r="AJ14" i="12"/>
  <c r="AJ38" i="12"/>
  <c r="AJ11" i="12"/>
  <c r="AK22" i="12"/>
  <c r="AJ49" i="12"/>
  <c r="AJ28" i="12"/>
  <c r="AJ13" i="12"/>
  <c r="AK59" i="12"/>
  <c r="AL33" i="12"/>
  <c r="Z32" i="12"/>
  <c r="Z31" i="12"/>
  <c r="Z35" i="12"/>
  <c r="Z34" i="12"/>
  <c r="Z36" i="12"/>
  <c r="Z33" i="12"/>
  <c r="S2" i="12"/>
  <c r="AE103" i="12"/>
  <c r="AE100" i="12"/>
  <c r="I34" i="3"/>
  <c r="H26" i="3"/>
  <c r="AB33" i="2" l="1"/>
  <c r="AF33" i="2"/>
  <c r="AC33" i="2" s="1"/>
  <c r="AB48" i="2"/>
  <c r="AF48" i="2"/>
  <c r="AC48" i="2" s="1"/>
  <c r="AB41" i="2"/>
  <c r="AF41" i="2"/>
  <c r="AC41" i="2" s="1"/>
  <c r="AB16" i="2"/>
  <c r="AF16" i="2"/>
  <c r="AB17" i="2"/>
  <c r="AF17" i="2"/>
  <c r="AB36" i="2"/>
  <c r="AF36" i="2"/>
  <c r="AC36" i="2" s="1"/>
  <c r="BU121" i="2" s="1"/>
  <c r="AB21" i="2"/>
  <c r="AF21" i="2"/>
  <c r="AB35" i="2"/>
  <c r="AF35" i="2"/>
  <c r="AC35" i="2" s="1"/>
  <c r="C32" i="3"/>
  <c r="C33" i="3"/>
  <c r="BQ116" i="2" l="1"/>
  <c r="Q11" i="35" s="1"/>
  <c r="U16" i="35"/>
  <c r="BQ113" i="2"/>
  <c r="Q8" i="35" s="1"/>
  <c r="BU122" i="2"/>
  <c r="U17" i="35" s="1"/>
  <c r="BQ114" i="2"/>
  <c r="Q9" i="35" s="1"/>
  <c r="AC21" i="2"/>
  <c r="AC17" i="2"/>
  <c r="AC16" i="2"/>
  <c r="AL5" i="8"/>
  <c r="AL6" i="8"/>
  <c r="AL7" i="8"/>
  <c r="AL8" i="8"/>
  <c r="AL4" i="8"/>
  <c r="F7" i="8"/>
  <c r="F8" i="8"/>
  <c r="F9" i="8"/>
  <c r="F10" i="8"/>
  <c r="F11" i="8"/>
  <c r="F12" i="8"/>
  <c r="F13" i="8"/>
  <c r="F14" i="8"/>
  <c r="F15" i="8"/>
  <c r="F6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5" i="8"/>
  <c r="V6" i="8"/>
  <c r="V7" i="8"/>
  <c r="V8" i="8"/>
  <c r="V9" i="8"/>
  <c r="V10" i="8"/>
  <c r="V11" i="8"/>
  <c r="V12" i="8"/>
  <c r="V13" i="8"/>
  <c r="V14" i="8"/>
  <c r="V15" i="8"/>
  <c r="V16" i="8"/>
  <c r="V17" i="8"/>
  <c r="V18" i="8"/>
  <c r="V19" i="8"/>
  <c r="V20" i="8"/>
  <c r="V21" i="8"/>
  <c r="V5" i="8"/>
  <c r="V4" i="8"/>
  <c r="AS11" i="8"/>
  <c r="AS10" i="8"/>
  <c r="AS9" i="8"/>
  <c r="AS8" i="8"/>
  <c r="AS7" i="8"/>
  <c r="AS6" i="8"/>
  <c r="AS5" i="8"/>
  <c r="AU5" i="8" s="1"/>
  <c r="AS4" i="8"/>
  <c r="AB14" i="8"/>
  <c r="BU124" i="2" l="1"/>
  <c r="U19" i="35" s="1"/>
  <c r="BU141" i="2"/>
  <c r="BQ117" i="2"/>
  <c r="Q12" i="35" s="1"/>
  <c r="V1" i="8"/>
  <c r="AO5" i="8"/>
  <c r="AQ5" i="8" s="1"/>
  <c r="AU4" i="8"/>
  <c r="AQ4" i="8"/>
  <c r="AP4" i="8"/>
  <c r="U32" i="8"/>
  <c r="U30" i="8"/>
  <c r="S21" i="8"/>
  <c r="W20" i="8"/>
  <c r="W19" i="8"/>
  <c r="W18" i="8"/>
  <c r="W17" i="8"/>
  <c r="S20" i="8"/>
  <c r="R20" i="8"/>
  <c r="S19" i="8"/>
  <c r="R19" i="8"/>
  <c r="S18" i="8"/>
  <c r="R18" i="8"/>
  <c r="S17" i="8"/>
  <c r="R17" i="8"/>
  <c r="AM9" i="8"/>
  <c r="AM8" i="8"/>
  <c r="AM7" i="8"/>
  <c r="AM6" i="8"/>
  <c r="AI9" i="8"/>
  <c r="AI8" i="8"/>
  <c r="AI7" i="8"/>
  <c r="AI6" i="8"/>
  <c r="AI5" i="8"/>
  <c r="AH9" i="8"/>
  <c r="AH8" i="8"/>
  <c r="AH7" i="8"/>
  <c r="AH6" i="8"/>
  <c r="AH5" i="8"/>
  <c r="AC7" i="7"/>
  <c r="AF7" i="7" s="1"/>
  <c r="AA19" i="2"/>
  <c r="AA24" i="2"/>
  <c r="AA57" i="2"/>
  <c r="AA55" i="2"/>
  <c r="AA54" i="2"/>
  <c r="AA52" i="2"/>
  <c r="AA46" i="2"/>
  <c r="AA47" i="2"/>
  <c r="AA50" i="2"/>
  <c r="BU156" i="2" l="1"/>
  <c r="U51" i="35" s="1"/>
  <c r="U36" i="35"/>
  <c r="F66" i="27"/>
  <c r="J66" i="27"/>
  <c r="D66" i="27"/>
  <c r="H66" i="27"/>
  <c r="G66" i="27"/>
  <c r="I66" i="27"/>
  <c r="E66" i="27"/>
  <c r="M66" i="27"/>
  <c r="C66" i="27"/>
  <c r="N66" i="27"/>
  <c r="N45" i="27" s="1"/>
  <c r="K66" i="27"/>
  <c r="AO6" i="8"/>
  <c r="AO7" i="8" s="1"/>
  <c r="AO8" i="8" s="1"/>
  <c r="AT5" i="8"/>
  <c r="AE96" i="12"/>
  <c r="M24" i="8"/>
  <c r="T42" i="12"/>
  <c r="AP5" i="8"/>
  <c r="W21" i="8"/>
  <c r="Q22" i="8"/>
  <c r="R21" i="8"/>
  <c r="E19" i="1"/>
  <c r="AC5" i="7"/>
  <c r="AF5" i="7" s="1"/>
  <c r="AH5" i="7" s="1"/>
  <c r="R19" i="2"/>
  <c r="J19" i="2"/>
  <c r="BC22" i="8"/>
  <c r="BC21" i="8"/>
  <c r="BC20" i="8"/>
  <c r="BC19" i="8"/>
  <c r="BC18" i="8"/>
  <c r="BC17" i="8"/>
  <c r="BC16" i="8"/>
  <c r="BC15" i="8"/>
  <c r="BC14" i="8"/>
  <c r="BC13" i="8"/>
  <c r="BC12" i="8"/>
  <c r="BC11" i="8"/>
  <c r="BC10" i="8"/>
  <c r="BC9" i="8"/>
  <c r="BC8" i="8"/>
  <c r="BC7" i="8"/>
  <c r="BC6" i="8"/>
  <c r="BC5" i="8"/>
  <c r="BC4" i="8"/>
  <c r="AW5" i="8"/>
  <c r="AY5" i="8" s="1"/>
  <c r="AY4" i="8"/>
  <c r="AX4" i="8"/>
  <c r="AB8" i="8"/>
  <c r="AB9" i="8" s="1"/>
  <c r="BD3" i="8"/>
  <c r="BE3" i="8"/>
  <c r="BF3" i="8"/>
  <c r="BI3" i="8"/>
  <c r="BD4" i="8"/>
  <c r="BE4" i="8"/>
  <c r="BF4" i="8"/>
  <c r="BI4" i="8"/>
  <c r="BD5" i="8"/>
  <c r="BE5" i="8"/>
  <c r="BF5" i="8"/>
  <c r="BI5" i="8"/>
  <c r="BD6" i="8"/>
  <c r="BE6" i="8"/>
  <c r="BF6" i="8"/>
  <c r="BI6" i="8"/>
  <c r="BD7" i="8"/>
  <c r="BE7" i="8"/>
  <c r="BF7" i="8"/>
  <c r="BI7" i="8"/>
  <c r="BD8" i="8"/>
  <c r="BE8" i="8"/>
  <c r="BF8" i="8"/>
  <c r="BI8" i="8"/>
  <c r="BD9" i="8"/>
  <c r="BE9" i="8"/>
  <c r="BF9" i="8"/>
  <c r="BI9" i="8"/>
  <c r="BD10" i="8"/>
  <c r="BE10" i="8"/>
  <c r="BF10" i="8"/>
  <c r="BI10" i="8"/>
  <c r="BD11" i="8"/>
  <c r="BE11" i="8"/>
  <c r="BF11" i="8"/>
  <c r="BI11" i="8"/>
  <c r="BD12" i="8"/>
  <c r="BE12" i="8"/>
  <c r="BF12" i="8"/>
  <c r="BI12" i="8"/>
  <c r="BD13" i="8"/>
  <c r="BE13" i="8"/>
  <c r="BF13" i="8"/>
  <c r="BI13" i="8"/>
  <c r="BD14" i="8"/>
  <c r="BE14" i="8"/>
  <c r="BF14" i="8"/>
  <c r="BI14" i="8"/>
  <c r="BD15" i="8"/>
  <c r="BE15" i="8"/>
  <c r="BF15" i="8"/>
  <c r="BI15" i="8"/>
  <c r="BD16" i="8"/>
  <c r="BE16" i="8"/>
  <c r="BF16" i="8"/>
  <c r="BI16" i="8"/>
  <c r="BD17" i="8"/>
  <c r="BE17" i="8"/>
  <c r="BF17" i="8"/>
  <c r="BI17" i="8"/>
  <c r="BD18" i="8"/>
  <c r="BE18" i="8"/>
  <c r="BF18" i="8"/>
  <c r="BI18" i="8"/>
  <c r="BD19" i="8"/>
  <c r="BE19" i="8"/>
  <c r="BF19" i="8"/>
  <c r="BI19" i="8"/>
  <c r="BD20" i="8"/>
  <c r="BE20" i="8"/>
  <c r="BF20" i="8"/>
  <c r="BI20" i="8"/>
  <c r="BD21" i="8"/>
  <c r="BE21" i="8"/>
  <c r="BF21" i="8"/>
  <c r="BI21" i="8"/>
  <c r="BD22" i="8"/>
  <c r="BE22" i="8"/>
  <c r="BF22" i="8"/>
  <c r="BI22" i="8"/>
  <c r="BD23" i="8"/>
  <c r="BE23" i="8"/>
  <c r="BF23" i="8"/>
  <c r="BI23" i="8"/>
  <c r="BD24" i="8"/>
  <c r="BE24" i="8"/>
  <c r="BF24" i="8"/>
  <c r="BI24" i="8"/>
  <c r="BD25" i="8"/>
  <c r="BE25" i="8"/>
  <c r="BF25" i="8"/>
  <c r="BI25" i="8"/>
  <c r="BD26" i="8"/>
  <c r="BE26" i="8"/>
  <c r="BF26" i="8"/>
  <c r="BI26" i="8"/>
  <c r="BD27" i="8"/>
  <c r="BE27" i="8"/>
  <c r="BF27" i="8"/>
  <c r="BI27" i="8"/>
  <c r="BD28" i="8"/>
  <c r="BE28" i="8"/>
  <c r="BF28" i="8"/>
  <c r="BI28" i="8"/>
  <c r="BD29" i="8"/>
  <c r="BE29" i="8"/>
  <c r="BF29" i="8"/>
  <c r="BI29" i="8"/>
  <c r="BD30" i="8"/>
  <c r="BE30" i="8"/>
  <c r="BF30" i="8"/>
  <c r="BI30" i="8"/>
  <c r="BD31" i="8"/>
  <c r="BE31" i="8"/>
  <c r="BF31" i="8"/>
  <c r="BI31" i="8"/>
  <c r="BD32" i="8"/>
  <c r="BE32" i="8"/>
  <c r="BF32" i="8"/>
  <c r="BI32" i="8"/>
  <c r="BD33" i="8"/>
  <c r="BE33" i="8"/>
  <c r="BF33" i="8"/>
  <c r="BI33" i="8"/>
  <c r="BD34" i="8"/>
  <c r="BE34" i="8"/>
  <c r="BF34" i="8"/>
  <c r="BI34" i="8"/>
  <c r="BD35" i="8"/>
  <c r="BE35" i="8"/>
  <c r="BF35" i="8"/>
  <c r="BI35" i="8"/>
  <c r="BD36" i="8"/>
  <c r="BE36" i="8"/>
  <c r="BF36" i="8"/>
  <c r="BI36" i="8"/>
  <c r="BD37" i="8"/>
  <c r="BE37" i="8"/>
  <c r="BF37" i="8"/>
  <c r="BI37" i="8"/>
  <c r="BD38" i="8"/>
  <c r="BE38" i="8"/>
  <c r="BF38" i="8"/>
  <c r="BI38" i="8"/>
  <c r="BD39" i="8"/>
  <c r="BE39" i="8"/>
  <c r="BF39" i="8"/>
  <c r="BI39" i="8"/>
  <c r="BD40" i="8"/>
  <c r="BE40" i="8"/>
  <c r="BF40" i="8"/>
  <c r="BI40" i="8"/>
  <c r="BD41" i="8"/>
  <c r="BE41" i="8"/>
  <c r="BF41" i="8"/>
  <c r="BI41" i="8"/>
  <c r="BD42" i="8"/>
  <c r="BE42" i="8"/>
  <c r="BF42" i="8"/>
  <c r="BI42" i="8"/>
  <c r="BD43" i="8"/>
  <c r="BE43" i="8"/>
  <c r="BF43" i="8"/>
  <c r="BI43" i="8"/>
  <c r="BD44" i="8"/>
  <c r="BE44" i="8"/>
  <c r="BF44" i="8"/>
  <c r="BI44" i="8"/>
  <c r="BD45" i="8"/>
  <c r="BE45" i="8"/>
  <c r="BF45" i="8"/>
  <c r="BI45" i="8"/>
  <c r="BD46" i="8"/>
  <c r="BE46" i="8"/>
  <c r="BF46" i="8"/>
  <c r="BI46" i="8"/>
  <c r="BD47" i="8"/>
  <c r="BE47" i="8"/>
  <c r="BF47" i="8"/>
  <c r="BI47" i="8"/>
  <c r="BD48" i="8"/>
  <c r="BE48" i="8"/>
  <c r="BF48" i="8"/>
  <c r="BI48" i="8"/>
  <c r="BD49" i="8"/>
  <c r="BE49" i="8"/>
  <c r="BF49" i="8"/>
  <c r="BI49" i="8"/>
  <c r="BD50" i="8"/>
  <c r="BE50" i="8"/>
  <c r="BF50" i="8"/>
  <c r="BI50" i="8"/>
  <c r="BD51" i="8"/>
  <c r="BE51" i="8"/>
  <c r="BF51" i="8"/>
  <c r="BI51" i="8"/>
  <c r="BD52" i="8"/>
  <c r="BE52" i="8"/>
  <c r="BF52" i="8"/>
  <c r="BI52" i="8"/>
  <c r="BD53" i="8"/>
  <c r="BE53" i="8"/>
  <c r="BF53" i="8"/>
  <c r="BI53" i="8"/>
  <c r="BD54" i="8"/>
  <c r="BE54" i="8"/>
  <c r="BF54" i="8"/>
  <c r="BI54" i="8"/>
  <c r="BD55" i="8"/>
  <c r="BE55" i="8"/>
  <c r="BF55" i="8"/>
  <c r="BI55" i="8"/>
  <c r="BD56" i="8"/>
  <c r="BE56" i="8"/>
  <c r="BF56" i="8"/>
  <c r="BI56" i="8"/>
  <c r="BD57" i="8"/>
  <c r="BE57" i="8"/>
  <c r="BF57" i="8"/>
  <c r="BI57" i="8"/>
  <c r="BD58" i="8"/>
  <c r="BE58" i="8"/>
  <c r="BF58" i="8"/>
  <c r="BI58" i="8"/>
  <c r="BD59" i="8"/>
  <c r="BE59" i="8"/>
  <c r="BF59" i="8"/>
  <c r="BI59" i="8"/>
  <c r="BD60" i="8"/>
  <c r="BE60" i="8"/>
  <c r="BF60" i="8"/>
  <c r="BI60" i="8"/>
  <c r="BD61" i="8"/>
  <c r="BE61" i="8"/>
  <c r="BF61" i="8"/>
  <c r="BI61" i="8"/>
  <c r="BD62" i="8"/>
  <c r="BE62" i="8"/>
  <c r="BF62" i="8"/>
  <c r="BI62" i="8"/>
  <c r="BD63" i="8"/>
  <c r="BE63" i="8"/>
  <c r="BF63" i="8"/>
  <c r="BI63" i="8"/>
  <c r="BD64" i="8"/>
  <c r="BE64" i="8"/>
  <c r="BF64" i="8"/>
  <c r="BI64" i="8"/>
  <c r="BD65" i="8"/>
  <c r="BE65" i="8"/>
  <c r="BF65" i="8"/>
  <c r="BI65" i="8"/>
  <c r="BD66" i="8"/>
  <c r="BE66" i="8"/>
  <c r="BF66" i="8"/>
  <c r="BI66" i="8"/>
  <c r="BD67" i="8"/>
  <c r="BE67" i="8"/>
  <c r="BF67" i="8"/>
  <c r="BI67" i="8"/>
  <c r="BD68" i="8"/>
  <c r="BE68" i="8"/>
  <c r="BF68" i="8"/>
  <c r="BI68" i="8"/>
  <c r="BD69" i="8"/>
  <c r="BE69" i="8"/>
  <c r="BF69" i="8"/>
  <c r="BI69" i="8"/>
  <c r="BD70" i="8"/>
  <c r="BE70" i="8"/>
  <c r="BF70" i="8"/>
  <c r="BI70" i="8"/>
  <c r="BD71" i="8"/>
  <c r="BE71" i="8"/>
  <c r="BF71" i="8"/>
  <c r="BI71" i="8"/>
  <c r="BD72" i="8"/>
  <c r="BE72" i="8"/>
  <c r="BF72" i="8"/>
  <c r="BI72" i="8"/>
  <c r="BD73" i="8"/>
  <c r="BE73" i="8"/>
  <c r="BF73" i="8"/>
  <c r="BI73" i="8"/>
  <c r="BD74" i="8"/>
  <c r="BE74" i="8"/>
  <c r="BF74" i="8"/>
  <c r="BI74" i="8"/>
  <c r="BD75" i="8"/>
  <c r="BE75" i="8"/>
  <c r="BF75" i="8"/>
  <c r="BI75" i="8"/>
  <c r="BD76" i="8"/>
  <c r="BE76" i="8"/>
  <c r="BF76" i="8"/>
  <c r="BI76" i="8"/>
  <c r="BD77" i="8"/>
  <c r="BE77" i="8"/>
  <c r="BF77" i="8"/>
  <c r="BI77" i="8"/>
  <c r="BD78" i="8"/>
  <c r="BE78" i="8"/>
  <c r="BF78" i="8"/>
  <c r="BI78" i="8"/>
  <c r="BD79" i="8"/>
  <c r="BE79" i="8"/>
  <c r="BF79" i="8"/>
  <c r="BI79" i="8"/>
  <c r="BD80" i="8"/>
  <c r="BE80" i="8"/>
  <c r="BF80" i="8"/>
  <c r="BI80" i="8"/>
  <c r="BD81" i="8"/>
  <c r="BE81" i="8"/>
  <c r="BF81" i="8"/>
  <c r="BI81" i="8"/>
  <c r="BD82" i="8"/>
  <c r="BE82" i="8"/>
  <c r="BF82" i="8"/>
  <c r="BI82" i="8"/>
  <c r="BD83" i="8"/>
  <c r="BE83" i="8"/>
  <c r="BF83" i="8"/>
  <c r="BI83" i="8"/>
  <c r="BD84" i="8"/>
  <c r="BE84" i="8"/>
  <c r="BF84" i="8"/>
  <c r="BI84" i="8"/>
  <c r="BD85" i="8"/>
  <c r="BE85" i="8"/>
  <c r="BF85" i="8"/>
  <c r="BI85" i="8"/>
  <c r="BD86" i="8"/>
  <c r="BE86" i="8"/>
  <c r="BF86" i="8"/>
  <c r="BI86" i="8"/>
  <c r="BD87" i="8"/>
  <c r="BE87" i="8"/>
  <c r="BF87" i="8"/>
  <c r="BI87" i="8"/>
  <c r="BD88" i="8"/>
  <c r="BE88" i="8"/>
  <c r="BF88" i="8"/>
  <c r="BI88" i="8"/>
  <c r="BD89" i="8"/>
  <c r="BE89" i="8"/>
  <c r="BF89" i="8"/>
  <c r="BI89" i="8"/>
  <c r="BD90" i="8"/>
  <c r="BE90" i="8"/>
  <c r="BF90" i="8"/>
  <c r="BI90" i="8"/>
  <c r="BD91" i="8"/>
  <c r="BE91" i="8"/>
  <c r="BF91" i="8"/>
  <c r="BI91" i="8"/>
  <c r="BD92" i="8"/>
  <c r="BE92" i="8"/>
  <c r="BF92" i="8"/>
  <c r="BI92" i="8"/>
  <c r="BD93" i="8"/>
  <c r="BE93" i="8"/>
  <c r="BF93" i="8"/>
  <c r="BI93" i="8"/>
  <c r="BD94" i="8"/>
  <c r="BE94" i="8"/>
  <c r="BF94" i="8"/>
  <c r="BI94" i="8"/>
  <c r="BD95" i="8"/>
  <c r="BE95" i="8"/>
  <c r="BF95" i="8"/>
  <c r="BI95" i="8"/>
  <c r="BD96" i="8"/>
  <c r="BE96" i="8"/>
  <c r="BF96" i="8"/>
  <c r="BI96" i="8"/>
  <c r="BD97" i="8"/>
  <c r="BE97" i="8"/>
  <c r="BF97" i="8"/>
  <c r="BI97" i="8"/>
  <c r="BD98" i="8"/>
  <c r="BE98" i="8"/>
  <c r="BF98" i="8"/>
  <c r="BI98" i="8"/>
  <c r="BD99" i="8"/>
  <c r="BE99" i="8"/>
  <c r="BF99" i="8"/>
  <c r="BI99" i="8"/>
  <c r="BD100" i="8"/>
  <c r="BE100" i="8"/>
  <c r="BF100" i="8"/>
  <c r="BI100" i="8"/>
  <c r="BD101" i="8"/>
  <c r="BE101" i="8"/>
  <c r="BF101" i="8"/>
  <c r="BI101" i="8"/>
  <c r="BD102" i="8"/>
  <c r="BE102" i="8"/>
  <c r="BF102" i="8"/>
  <c r="BI102" i="8"/>
  <c r="BD103" i="8"/>
  <c r="BE103" i="8"/>
  <c r="BF103" i="8"/>
  <c r="BI103" i="8"/>
  <c r="BD104" i="8"/>
  <c r="BE104" i="8"/>
  <c r="BF104" i="8"/>
  <c r="BI104" i="8"/>
  <c r="BD105" i="8"/>
  <c r="BE105" i="8"/>
  <c r="BF105" i="8"/>
  <c r="BI105" i="8"/>
  <c r="BD106" i="8"/>
  <c r="BE106" i="8"/>
  <c r="BF106" i="8"/>
  <c r="BI106" i="8"/>
  <c r="BD107" i="8"/>
  <c r="BE107" i="8"/>
  <c r="BF107" i="8"/>
  <c r="BI107" i="8"/>
  <c r="BD108" i="8"/>
  <c r="BE108" i="8"/>
  <c r="BF108" i="8"/>
  <c r="BI108" i="8"/>
  <c r="BD109" i="8"/>
  <c r="BE109" i="8"/>
  <c r="BF109" i="8"/>
  <c r="BI109" i="8"/>
  <c r="BD110" i="8"/>
  <c r="BE110" i="8"/>
  <c r="BF110" i="8"/>
  <c r="BI110" i="8"/>
  <c r="BD111" i="8"/>
  <c r="BE111" i="8"/>
  <c r="BF111" i="8"/>
  <c r="BI111" i="8"/>
  <c r="BD112" i="8"/>
  <c r="BE112" i="8"/>
  <c r="BF112" i="8"/>
  <c r="BI112" i="8"/>
  <c r="BD113" i="8"/>
  <c r="BE113" i="8"/>
  <c r="BF113" i="8"/>
  <c r="BI113" i="8"/>
  <c r="BD114" i="8"/>
  <c r="BE114" i="8"/>
  <c r="BF114" i="8"/>
  <c r="BI114" i="8"/>
  <c r="BD115" i="8"/>
  <c r="BE115" i="8"/>
  <c r="BF115" i="8"/>
  <c r="BI115" i="8"/>
  <c r="BD116" i="8"/>
  <c r="BE116" i="8"/>
  <c r="BF116" i="8"/>
  <c r="BI116" i="8"/>
  <c r="BD117" i="8"/>
  <c r="BE117" i="8"/>
  <c r="BF117" i="8"/>
  <c r="BI117" i="8"/>
  <c r="BD118" i="8"/>
  <c r="BE118" i="8"/>
  <c r="BF118" i="8"/>
  <c r="BI118" i="8"/>
  <c r="BD119" i="8"/>
  <c r="BE119" i="8"/>
  <c r="BF119" i="8"/>
  <c r="BI119" i="8"/>
  <c r="BD120" i="8"/>
  <c r="BE120" i="8"/>
  <c r="BF120" i="8"/>
  <c r="BI120" i="8"/>
  <c r="BD121" i="8"/>
  <c r="BE121" i="8"/>
  <c r="BF121" i="8"/>
  <c r="BI121" i="8"/>
  <c r="BD122" i="8"/>
  <c r="BE122" i="8"/>
  <c r="BF122" i="8"/>
  <c r="BI122" i="8"/>
  <c r="BD123" i="8"/>
  <c r="BE123" i="8"/>
  <c r="BF123" i="8"/>
  <c r="BI123" i="8"/>
  <c r="BD124" i="8"/>
  <c r="BE124" i="8"/>
  <c r="BF124" i="8"/>
  <c r="BI124" i="8"/>
  <c r="BD125" i="8"/>
  <c r="BE125" i="8"/>
  <c r="BF125" i="8"/>
  <c r="BI125" i="8"/>
  <c r="BD126" i="8"/>
  <c r="BE126" i="8"/>
  <c r="BF126" i="8"/>
  <c r="BI126" i="8"/>
  <c r="BD127" i="8"/>
  <c r="BE127" i="8"/>
  <c r="BF127" i="8"/>
  <c r="BI127" i="8"/>
  <c r="BD128" i="8"/>
  <c r="BE128" i="8"/>
  <c r="BF128" i="8"/>
  <c r="BI128" i="8"/>
  <c r="BD129" i="8"/>
  <c r="BE129" i="8"/>
  <c r="BF129" i="8"/>
  <c r="BI129" i="8"/>
  <c r="BD130" i="8"/>
  <c r="BE130" i="8"/>
  <c r="BF130" i="8"/>
  <c r="BI130" i="8"/>
  <c r="BD131" i="8"/>
  <c r="BE131" i="8"/>
  <c r="BF131" i="8"/>
  <c r="BI131" i="8"/>
  <c r="BD132" i="8"/>
  <c r="BE132" i="8"/>
  <c r="BF132" i="8"/>
  <c r="BI132" i="8"/>
  <c r="BD133" i="8"/>
  <c r="BE133" i="8"/>
  <c r="BF133" i="8"/>
  <c r="BI133" i="8"/>
  <c r="BD134" i="8"/>
  <c r="BE134" i="8"/>
  <c r="BF134" i="8"/>
  <c r="BI134" i="8"/>
  <c r="BD135" i="8"/>
  <c r="BE135" i="8"/>
  <c r="BF135" i="8"/>
  <c r="BI135" i="8"/>
  <c r="BD136" i="8"/>
  <c r="BE136" i="8"/>
  <c r="BF136" i="8"/>
  <c r="BI136" i="8"/>
  <c r="BD137" i="8"/>
  <c r="BE137" i="8"/>
  <c r="BF137" i="8"/>
  <c r="BI137" i="8"/>
  <c r="BD138" i="8"/>
  <c r="BE138" i="8"/>
  <c r="BF138" i="8"/>
  <c r="BI138" i="8"/>
  <c r="BD139" i="8"/>
  <c r="BE139" i="8"/>
  <c r="BF139" i="8"/>
  <c r="BI139" i="8"/>
  <c r="BD140" i="8"/>
  <c r="BE140" i="8"/>
  <c r="BF140" i="8"/>
  <c r="BI140" i="8"/>
  <c r="BD141" i="8"/>
  <c r="BE141" i="8"/>
  <c r="BF141" i="8"/>
  <c r="BI141" i="8"/>
  <c r="BD142" i="8"/>
  <c r="BE142" i="8"/>
  <c r="BF142" i="8"/>
  <c r="BI142" i="8"/>
  <c r="BD143" i="8"/>
  <c r="BE143" i="8"/>
  <c r="BF143" i="8"/>
  <c r="BI143" i="8"/>
  <c r="BD144" i="8"/>
  <c r="BE144" i="8"/>
  <c r="BF144" i="8"/>
  <c r="BI144" i="8"/>
  <c r="BD145" i="8"/>
  <c r="BE145" i="8"/>
  <c r="BF145" i="8"/>
  <c r="BI145" i="8"/>
  <c r="BD146" i="8"/>
  <c r="BE146" i="8"/>
  <c r="BF146" i="8"/>
  <c r="BI146" i="8"/>
  <c r="BD147" i="8"/>
  <c r="BE147" i="8"/>
  <c r="BF147" i="8"/>
  <c r="BI147" i="8"/>
  <c r="BD148" i="8"/>
  <c r="BE148" i="8"/>
  <c r="BF148" i="8"/>
  <c r="BI148" i="8"/>
  <c r="BD149" i="8"/>
  <c r="BE149" i="8"/>
  <c r="BF149" i="8"/>
  <c r="BI149" i="8"/>
  <c r="BD150" i="8"/>
  <c r="BE150" i="8"/>
  <c r="BF150" i="8"/>
  <c r="BI150" i="8"/>
  <c r="BD151" i="8"/>
  <c r="BE151" i="8"/>
  <c r="BF151" i="8"/>
  <c r="BI151" i="8"/>
  <c r="BD152" i="8"/>
  <c r="BE152" i="8"/>
  <c r="BF152" i="8"/>
  <c r="BI152" i="8"/>
  <c r="BD153" i="8"/>
  <c r="BE153" i="8"/>
  <c r="BF153" i="8"/>
  <c r="BI153" i="8"/>
  <c r="BD154" i="8"/>
  <c r="BE154" i="8"/>
  <c r="BF154" i="8"/>
  <c r="BI154" i="8"/>
  <c r="BD155" i="8"/>
  <c r="BE155" i="8"/>
  <c r="BF155" i="8"/>
  <c r="BI155" i="8"/>
  <c r="BD156" i="8"/>
  <c r="BE156" i="8"/>
  <c r="BF156" i="8"/>
  <c r="BI156" i="8"/>
  <c r="BD157" i="8"/>
  <c r="BE157" i="8"/>
  <c r="BF157" i="8"/>
  <c r="BI157" i="8"/>
  <c r="BD158" i="8"/>
  <c r="BE158" i="8"/>
  <c r="BF158" i="8"/>
  <c r="BI158" i="8"/>
  <c r="BD159" i="8"/>
  <c r="BE159" i="8"/>
  <c r="BF159" i="8"/>
  <c r="BI159" i="8"/>
  <c r="BD160" i="8"/>
  <c r="BE160" i="8"/>
  <c r="BF160" i="8"/>
  <c r="BI160" i="8"/>
  <c r="BD161" i="8"/>
  <c r="BE161" i="8"/>
  <c r="BF161" i="8"/>
  <c r="BI161" i="8"/>
  <c r="BD162" i="8"/>
  <c r="BE162" i="8"/>
  <c r="BF162" i="8"/>
  <c r="BI162" i="8"/>
  <c r="BD163" i="8"/>
  <c r="BE163" i="8"/>
  <c r="BF163" i="8"/>
  <c r="BI163" i="8"/>
  <c r="BD164" i="8"/>
  <c r="BE164" i="8"/>
  <c r="BF164" i="8"/>
  <c r="BI164" i="8"/>
  <c r="BD165" i="8"/>
  <c r="BE165" i="8"/>
  <c r="BF165" i="8"/>
  <c r="BI165" i="8"/>
  <c r="BD166" i="8"/>
  <c r="BE166" i="8"/>
  <c r="BF166" i="8"/>
  <c r="BI166" i="8"/>
  <c r="BD167" i="8"/>
  <c r="BE167" i="8"/>
  <c r="BF167" i="8"/>
  <c r="BI167" i="8"/>
  <c r="BD168" i="8"/>
  <c r="BE168" i="8"/>
  <c r="BF168" i="8"/>
  <c r="BI168" i="8"/>
  <c r="BD169" i="8"/>
  <c r="BE169" i="8"/>
  <c r="BF169" i="8"/>
  <c r="BI169" i="8"/>
  <c r="BD170" i="8"/>
  <c r="BE170" i="8"/>
  <c r="BF170" i="8"/>
  <c r="BI170" i="8"/>
  <c r="BD171" i="8"/>
  <c r="BE171" i="8"/>
  <c r="BF171" i="8"/>
  <c r="BI171" i="8"/>
  <c r="BD172" i="8"/>
  <c r="BE172" i="8"/>
  <c r="BF172" i="8"/>
  <c r="BI172" i="8"/>
  <c r="BD173" i="8"/>
  <c r="BE173" i="8"/>
  <c r="BF173" i="8"/>
  <c r="BI173" i="8"/>
  <c r="BD174" i="8"/>
  <c r="BE174" i="8"/>
  <c r="BF174" i="8"/>
  <c r="BI174" i="8"/>
  <c r="BD175" i="8"/>
  <c r="BE175" i="8"/>
  <c r="BF175" i="8"/>
  <c r="BI175" i="8"/>
  <c r="BD176" i="8"/>
  <c r="BE176" i="8"/>
  <c r="BF176" i="8"/>
  <c r="BI176" i="8"/>
  <c r="BD177" i="8"/>
  <c r="BE177" i="8"/>
  <c r="BF177" i="8"/>
  <c r="BI177" i="8"/>
  <c r="BD178" i="8"/>
  <c r="BE178" i="8"/>
  <c r="BF178" i="8"/>
  <c r="BI178" i="8"/>
  <c r="BD179" i="8"/>
  <c r="BE179" i="8"/>
  <c r="BF179" i="8"/>
  <c r="BI179" i="8"/>
  <c r="BD180" i="8"/>
  <c r="BE180" i="8"/>
  <c r="BF180" i="8"/>
  <c r="BI180" i="8"/>
  <c r="BD181" i="8"/>
  <c r="BE181" i="8"/>
  <c r="BF181" i="8"/>
  <c r="BI181" i="8"/>
  <c r="BD182" i="8"/>
  <c r="BE182" i="8"/>
  <c r="BF182" i="8"/>
  <c r="BI182" i="8"/>
  <c r="BD183" i="8"/>
  <c r="BE183" i="8"/>
  <c r="BF183" i="8"/>
  <c r="BI183" i="8"/>
  <c r="BD184" i="8"/>
  <c r="BE184" i="8"/>
  <c r="BF184" i="8"/>
  <c r="BI184" i="8"/>
  <c r="BD185" i="8"/>
  <c r="BE185" i="8"/>
  <c r="BF185" i="8"/>
  <c r="BI185" i="8"/>
  <c r="BD186" i="8"/>
  <c r="BE186" i="8"/>
  <c r="BF186" i="8"/>
  <c r="BI186" i="8"/>
  <c r="BD187" i="8"/>
  <c r="BE187" i="8"/>
  <c r="BF187" i="8"/>
  <c r="BI187" i="8"/>
  <c r="BD188" i="8"/>
  <c r="BE188" i="8"/>
  <c r="BF188" i="8"/>
  <c r="BI188" i="8"/>
  <c r="BD189" i="8"/>
  <c r="BE189" i="8"/>
  <c r="BF189" i="8"/>
  <c r="BI189" i="8"/>
  <c r="BD190" i="8"/>
  <c r="BE190" i="8"/>
  <c r="BF190" i="8"/>
  <c r="BI190" i="8"/>
  <c r="BD191" i="8"/>
  <c r="BE191" i="8"/>
  <c r="BF191" i="8"/>
  <c r="BI191" i="8"/>
  <c r="BD192" i="8"/>
  <c r="BE192" i="8"/>
  <c r="BF192" i="8"/>
  <c r="BI192" i="8"/>
  <c r="BD193" i="8"/>
  <c r="BE193" i="8"/>
  <c r="BF193" i="8"/>
  <c r="BI193" i="8"/>
  <c r="BD194" i="8"/>
  <c r="BE194" i="8"/>
  <c r="BF194" i="8"/>
  <c r="BI194" i="8"/>
  <c r="BD195" i="8"/>
  <c r="BE195" i="8"/>
  <c r="BF195" i="8"/>
  <c r="BI195" i="8"/>
  <c r="BD196" i="8"/>
  <c r="BE196" i="8"/>
  <c r="BF196" i="8"/>
  <c r="BI196" i="8"/>
  <c r="BD197" i="8"/>
  <c r="BE197" i="8"/>
  <c r="BF197" i="8"/>
  <c r="BI197" i="8"/>
  <c r="BD198" i="8"/>
  <c r="BE198" i="8"/>
  <c r="BF198" i="8"/>
  <c r="BI198" i="8"/>
  <c r="BD199" i="8"/>
  <c r="BE199" i="8"/>
  <c r="BF199" i="8"/>
  <c r="BI199" i="8"/>
  <c r="BD200" i="8"/>
  <c r="BE200" i="8"/>
  <c r="BF200" i="8"/>
  <c r="BI200" i="8"/>
  <c r="BD201" i="8"/>
  <c r="BE201" i="8"/>
  <c r="BF201" i="8"/>
  <c r="BI201" i="8"/>
  <c r="BD202" i="8"/>
  <c r="BE202" i="8"/>
  <c r="BF202" i="8"/>
  <c r="BI202" i="8"/>
  <c r="BG203" i="8"/>
  <c r="BE203" i="8" s="1"/>
  <c r="BI203" i="8"/>
  <c r="BI204" i="8"/>
  <c r="BI205" i="8"/>
  <c r="BI206" i="8"/>
  <c r="BI207" i="8"/>
  <c r="BI208" i="8"/>
  <c r="BI209" i="8"/>
  <c r="BI210" i="8"/>
  <c r="BI211" i="8"/>
  <c r="BI212" i="8"/>
  <c r="BI213" i="8"/>
  <c r="BI214" i="8"/>
  <c r="BI215" i="8"/>
  <c r="BI216" i="8"/>
  <c r="BI217" i="8"/>
  <c r="BI218" i="8"/>
  <c r="BI219" i="8"/>
  <c r="BI220" i="8"/>
  <c r="BI221" i="8"/>
  <c r="BI222" i="8"/>
  <c r="BI223" i="8"/>
  <c r="BI224" i="8"/>
  <c r="BI225" i="8"/>
  <c r="BI226" i="8"/>
  <c r="BI227" i="8"/>
  <c r="BI228" i="8"/>
  <c r="BI229" i="8"/>
  <c r="BI230" i="8"/>
  <c r="BI231" i="8"/>
  <c r="BI232" i="8"/>
  <c r="BI233" i="8"/>
  <c r="BI234" i="8"/>
  <c r="BI235" i="8"/>
  <c r="BI236" i="8"/>
  <c r="BI237" i="8"/>
  <c r="BI238" i="8"/>
  <c r="BI239" i="8"/>
  <c r="BI240" i="8"/>
  <c r="BI241" i="8"/>
  <c r="BI242" i="8"/>
  <c r="BI243" i="8"/>
  <c r="BI244" i="8"/>
  <c r="BI245" i="8"/>
  <c r="BI246" i="8"/>
  <c r="BI247" i="8"/>
  <c r="BI248" i="8"/>
  <c r="BI249" i="8"/>
  <c r="BI250" i="8"/>
  <c r="BI251" i="8"/>
  <c r="BI252" i="8"/>
  <c r="BI253" i="8"/>
  <c r="BI254" i="8"/>
  <c r="BI255" i="8"/>
  <c r="BI256" i="8"/>
  <c r="BI257" i="8"/>
  <c r="BI258" i="8"/>
  <c r="BI259" i="8"/>
  <c r="BI260" i="8"/>
  <c r="BI261" i="8"/>
  <c r="BI262" i="8"/>
  <c r="BI263" i="8"/>
  <c r="BI264" i="8"/>
  <c r="BI265" i="8"/>
  <c r="BI266" i="8"/>
  <c r="BI267" i="8"/>
  <c r="BI268" i="8"/>
  <c r="BI269" i="8"/>
  <c r="BI270" i="8"/>
  <c r="BI271" i="8"/>
  <c r="BI272" i="8"/>
  <c r="BI273" i="8"/>
  <c r="BI274" i="8"/>
  <c r="BI275" i="8"/>
  <c r="BI276" i="8"/>
  <c r="BI277" i="8"/>
  <c r="BI278" i="8"/>
  <c r="BI279" i="8"/>
  <c r="BI280" i="8"/>
  <c r="BI281" i="8"/>
  <c r="BI282" i="8"/>
  <c r="BI283" i="8"/>
  <c r="BI284" i="8"/>
  <c r="BI285" i="8"/>
  <c r="BI286" i="8"/>
  <c r="BI287" i="8"/>
  <c r="BI288" i="8"/>
  <c r="BI289" i="8"/>
  <c r="BI290" i="8"/>
  <c r="BI291" i="8"/>
  <c r="BI292" i="8"/>
  <c r="BI293" i="8"/>
  <c r="BI294" i="8"/>
  <c r="BI295" i="8"/>
  <c r="BI296" i="8"/>
  <c r="BI297" i="8"/>
  <c r="BI298" i="8"/>
  <c r="BI299" i="8"/>
  <c r="BI300" i="8"/>
  <c r="BI301" i="8"/>
  <c r="BI302" i="8"/>
  <c r="BI303" i="8"/>
  <c r="BI304" i="8"/>
  <c r="BI305" i="8"/>
  <c r="BI306" i="8"/>
  <c r="BI307" i="8"/>
  <c r="BI308" i="8"/>
  <c r="BI309" i="8"/>
  <c r="BI310" i="8"/>
  <c r="BI311" i="8"/>
  <c r="BI312" i="8"/>
  <c r="BI313" i="8"/>
  <c r="BI314" i="8"/>
  <c r="BI315" i="8"/>
  <c r="BI316" i="8"/>
  <c r="BI317" i="8"/>
  <c r="BI318" i="8"/>
  <c r="BI319" i="8"/>
  <c r="BI320" i="8"/>
  <c r="BI321" i="8"/>
  <c r="BI322" i="8"/>
  <c r="BI323" i="8"/>
  <c r="BI324" i="8"/>
  <c r="BI325" i="8"/>
  <c r="BI326" i="8"/>
  <c r="BI327" i="8"/>
  <c r="BI328" i="8"/>
  <c r="BI329" i="8"/>
  <c r="BI330" i="8"/>
  <c r="BI331" i="8"/>
  <c r="BI332" i="8"/>
  <c r="BI333" i="8"/>
  <c r="BI334" i="8"/>
  <c r="BI335" i="8"/>
  <c r="BI336" i="8"/>
  <c r="BI337" i="8"/>
  <c r="BI338" i="8"/>
  <c r="BI339" i="8"/>
  <c r="BI340" i="8"/>
  <c r="BI341" i="8"/>
  <c r="BI342" i="8"/>
  <c r="BI343" i="8"/>
  <c r="BI344" i="8"/>
  <c r="BI345" i="8"/>
  <c r="BI346" i="8"/>
  <c r="BI347" i="8"/>
  <c r="BI348" i="8"/>
  <c r="BI349" i="8"/>
  <c r="BI350" i="8"/>
  <c r="BI351" i="8"/>
  <c r="BI352" i="8"/>
  <c r="BI353" i="8"/>
  <c r="BI354" i="8"/>
  <c r="BI355" i="8"/>
  <c r="BI356" i="8"/>
  <c r="BI357" i="8"/>
  <c r="BI358" i="8"/>
  <c r="BI359" i="8"/>
  <c r="BI360" i="8"/>
  <c r="BI361" i="8"/>
  <c r="BI362" i="8"/>
  <c r="BI363" i="8"/>
  <c r="BI364" i="8"/>
  <c r="BI365" i="8"/>
  <c r="BI366" i="8"/>
  <c r="BI367" i="8"/>
  <c r="BI368" i="8"/>
  <c r="BI369" i="8"/>
  <c r="BI370" i="8"/>
  <c r="BI371" i="8"/>
  <c r="BI372" i="8"/>
  <c r="BI373" i="8"/>
  <c r="BI374" i="8"/>
  <c r="BI375" i="8"/>
  <c r="BI376" i="8"/>
  <c r="BI377" i="8"/>
  <c r="BI378" i="8"/>
  <c r="BI379" i="8"/>
  <c r="BI380" i="8"/>
  <c r="BI381" i="8"/>
  <c r="BI382" i="8"/>
  <c r="BI383" i="8"/>
  <c r="BI384" i="8"/>
  <c r="BI385" i="8"/>
  <c r="BI386" i="8"/>
  <c r="BI387" i="8"/>
  <c r="BI388" i="8"/>
  <c r="BI389" i="8"/>
  <c r="BI390" i="8"/>
  <c r="BI391" i="8"/>
  <c r="BI392" i="8"/>
  <c r="BI393" i="8"/>
  <c r="BI394" i="8"/>
  <c r="BI395" i="8"/>
  <c r="BI396" i="8"/>
  <c r="BI397" i="8"/>
  <c r="BI398" i="8"/>
  <c r="BI399" i="8"/>
  <c r="BI400" i="8"/>
  <c r="BI401" i="8"/>
  <c r="BI402" i="8"/>
  <c r="BI403" i="8"/>
  <c r="BI404" i="8"/>
  <c r="BI405" i="8"/>
  <c r="BI406" i="8"/>
  <c r="BI407" i="8"/>
  <c r="BI408" i="8"/>
  <c r="BI409" i="8"/>
  <c r="BI410" i="8"/>
  <c r="BI411" i="8"/>
  <c r="BI412" i="8"/>
  <c r="BI413" i="8"/>
  <c r="BI414" i="8"/>
  <c r="BI415" i="8"/>
  <c r="BI416" i="8"/>
  <c r="BI417" i="8"/>
  <c r="BI418" i="8"/>
  <c r="BI419" i="8"/>
  <c r="BI420" i="8"/>
  <c r="BI421" i="8"/>
  <c r="BI422" i="8"/>
  <c r="BI423" i="8"/>
  <c r="BI424" i="8"/>
  <c r="BI425" i="8"/>
  <c r="BI426" i="8"/>
  <c r="BI427" i="8"/>
  <c r="BI428" i="8"/>
  <c r="BI429" i="8"/>
  <c r="BI430" i="8"/>
  <c r="BI431" i="8"/>
  <c r="BI432" i="8"/>
  <c r="BI433" i="8"/>
  <c r="BI434" i="8"/>
  <c r="BI435" i="8"/>
  <c r="BI436" i="8"/>
  <c r="BI437" i="8"/>
  <c r="BI438" i="8"/>
  <c r="BI439" i="8"/>
  <c r="BI440" i="8"/>
  <c r="BI441" i="8"/>
  <c r="BI442" i="8"/>
  <c r="BI443" i="8"/>
  <c r="BI444" i="8"/>
  <c r="BI445" i="8"/>
  <c r="BI446" i="8"/>
  <c r="BI447" i="8"/>
  <c r="BI448" i="8"/>
  <c r="BI449" i="8"/>
  <c r="BI450" i="8"/>
  <c r="BI451" i="8"/>
  <c r="BI452" i="8"/>
  <c r="BI453" i="8"/>
  <c r="BI454" i="8"/>
  <c r="BI455" i="8"/>
  <c r="BI456" i="8"/>
  <c r="BI457" i="8"/>
  <c r="BI458" i="8"/>
  <c r="BI459" i="8"/>
  <c r="BI460" i="8"/>
  <c r="BI461" i="8"/>
  <c r="BI462" i="8"/>
  <c r="BI463" i="8"/>
  <c r="BI464" i="8"/>
  <c r="BI465" i="8"/>
  <c r="BI466" i="8"/>
  <c r="BI467" i="8"/>
  <c r="BI468" i="8"/>
  <c r="BI469" i="8"/>
  <c r="BI470" i="8"/>
  <c r="BI471" i="8"/>
  <c r="BI472" i="8"/>
  <c r="BI473" i="8"/>
  <c r="BI474" i="8"/>
  <c r="BI475" i="8"/>
  <c r="BI476" i="8"/>
  <c r="BI477" i="8"/>
  <c r="BI478" i="8"/>
  <c r="BI479" i="8"/>
  <c r="BI480" i="8"/>
  <c r="BI481" i="8"/>
  <c r="BI482" i="8"/>
  <c r="BI483" i="8"/>
  <c r="BI484" i="8"/>
  <c r="BI485" i="8"/>
  <c r="BI486" i="8"/>
  <c r="BI487" i="8"/>
  <c r="BI488" i="8"/>
  <c r="BI489" i="8"/>
  <c r="BI490" i="8"/>
  <c r="BI491" i="8"/>
  <c r="BI492" i="8"/>
  <c r="BI493" i="8"/>
  <c r="BI494" i="8"/>
  <c r="BI495" i="8"/>
  <c r="BI496" i="8"/>
  <c r="BI497" i="8"/>
  <c r="BI498" i="8"/>
  <c r="BI499" i="8"/>
  <c r="BI500" i="8"/>
  <c r="BI501" i="8"/>
  <c r="BI502" i="8"/>
  <c r="BI503" i="8"/>
  <c r="BI504" i="8"/>
  <c r="BI505" i="8"/>
  <c r="BI506" i="8"/>
  <c r="BI507" i="8"/>
  <c r="BI508" i="8"/>
  <c r="BI509" i="8"/>
  <c r="BI510" i="8"/>
  <c r="BI511" i="8"/>
  <c r="BI512" i="8"/>
  <c r="BI513" i="8"/>
  <c r="BI514" i="8"/>
  <c r="BI515" i="8"/>
  <c r="BI516" i="8"/>
  <c r="BI517" i="8"/>
  <c r="BI518" i="8"/>
  <c r="BI519" i="8"/>
  <c r="BI520" i="8"/>
  <c r="BI521" i="8"/>
  <c r="BI522" i="8"/>
  <c r="BI523" i="8"/>
  <c r="BI524" i="8"/>
  <c r="L50" i="2"/>
  <c r="L47" i="2"/>
  <c r="L46" i="2"/>
  <c r="L52" i="2"/>
  <c r="L54" i="2"/>
  <c r="L55" i="2"/>
  <c r="L24" i="2"/>
  <c r="R66" i="27" l="1"/>
  <c r="R45" i="27" s="1"/>
  <c r="E45" i="27"/>
  <c r="V66" i="27"/>
  <c r="V45" i="27" s="1"/>
  <c r="I45" i="27"/>
  <c r="T66" i="27"/>
  <c r="T45" i="27" s="1"/>
  <c r="G45" i="27"/>
  <c r="X66" i="27"/>
  <c r="X45" i="27" s="1"/>
  <c r="K45" i="27"/>
  <c r="U66" i="27"/>
  <c r="U45" i="27" s="1"/>
  <c r="H45" i="27"/>
  <c r="Q66" i="27"/>
  <c r="Q45" i="27" s="1"/>
  <c r="D45" i="27"/>
  <c r="P66" i="27"/>
  <c r="P45" i="27" s="1"/>
  <c r="O66" i="27"/>
  <c r="C45" i="27"/>
  <c r="W66" i="27"/>
  <c r="W45" i="27" s="1"/>
  <c r="J45" i="27"/>
  <c r="Z66" i="27"/>
  <c r="Z45" i="27" s="1"/>
  <c r="M45" i="27"/>
  <c r="S66" i="27"/>
  <c r="S45" i="27" s="1"/>
  <c r="F45" i="27"/>
  <c r="AK33" i="12"/>
  <c r="AK37" i="12"/>
  <c r="AK14" i="12"/>
  <c r="AK38" i="12"/>
  <c r="AK10" i="12"/>
  <c r="AK15" i="12"/>
  <c r="AJ22" i="12"/>
  <c r="AJ9" i="12"/>
  <c r="AK16" i="12"/>
  <c r="AK11" i="12"/>
  <c r="AJ10" i="12"/>
  <c r="AJ55" i="12"/>
  <c r="AK5" i="12"/>
  <c r="AJ21" i="12"/>
  <c r="X8" i="11"/>
  <c r="Z8" i="11" s="1"/>
  <c r="Y58" i="2"/>
  <c r="AF58" i="2" s="1"/>
  <c r="Y53" i="2"/>
  <c r="Y59" i="2"/>
  <c r="AA59" i="2" s="1"/>
  <c r="Y56" i="2"/>
  <c r="Y51" i="2"/>
  <c r="AF51" i="2" s="1"/>
  <c r="Y29" i="2"/>
  <c r="Y37" i="2"/>
  <c r="AF37" i="2" s="1"/>
  <c r="X5" i="11"/>
  <c r="Z5" i="11" s="1"/>
  <c r="AP6" i="8"/>
  <c r="AP7" i="8"/>
  <c r="J3" i="6"/>
  <c r="AS3" i="6" s="1"/>
  <c r="L66" i="27" s="1"/>
  <c r="M36" i="29"/>
  <c r="AQ6" i="8"/>
  <c r="AQ7" i="8"/>
  <c r="V19" i="2"/>
  <c r="Q19" i="2"/>
  <c r="R22" i="8"/>
  <c r="V22" i="8"/>
  <c r="L19" i="2"/>
  <c r="AT6" i="8"/>
  <c r="AT7" i="8"/>
  <c r="AQ8" i="8"/>
  <c r="AP8" i="8"/>
  <c r="AO9" i="8"/>
  <c r="W22" i="8"/>
  <c r="S22" i="8"/>
  <c r="Q23" i="8"/>
  <c r="V23" i="8" s="1"/>
  <c r="AW6" i="8"/>
  <c r="BB4" i="8"/>
  <c r="AX5" i="8"/>
  <c r="K19" i="2"/>
  <c r="AE19" i="2" s="1"/>
  <c r="BF203" i="8"/>
  <c r="BD203" i="8"/>
  <c r="BG204" i="8"/>
  <c r="BG205" i="8" s="1"/>
  <c r="BE205" i="8" s="1"/>
  <c r="O45" i="27" l="1"/>
  <c r="M42" i="29"/>
  <c r="G39" i="29" s="1"/>
  <c r="I51" i="3"/>
  <c r="G29" i="29"/>
  <c r="T28" i="3" s="1"/>
  <c r="BE19" i="2"/>
  <c r="AY19" i="2"/>
  <c r="Y66" i="27"/>
  <c r="Y45" i="27" s="1"/>
  <c r="L45" i="27"/>
  <c r="AJ8" i="12"/>
  <c r="AJ7" i="12"/>
  <c r="AK35" i="12"/>
  <c r="AK34" i="12"/>
  <c r="AK36" i="12"/>
  <c r="L56" i="2"/>
  <c r="L58" i="2"/>
  <c r="L59" i="2"/>
  <c r="AA37" i="2"/>
  <c r="AC37" i="2" s="1"/>
  <c r="AA2" i="2"/>
  <c r="AC2" i="2" s="1"/>
  <c r="L37" i="2"/>
  <c r="Q8" i="11"/>
  <c r="L2" i="2"/>
  <c r="AA51" i="2"/>
  <c r="AC51" i="2" s="1"/>
  <c r="L51" i="2"/>
  <c r="Q5" i="11"/>
  <c r="AA45" i="2"/>
  <c r="AC45" i="2" s="1"/>
  <c r="L45" i="2"/>
  <c r="G26" i="3"/>
  <c r="I40" i="3"/>
  <c r="I44" i="3" s="1"/>
  <c r="C43" i="3" s="1"/>
  <c r="AA58" i="2"/>
  <c r="AC58" i="2" s="1"/>
  <c r="W23" i="8"/>
  <c r="G40" i="3"/>
  <c r="G44" i="3" s="1"/>
  <c r="AQ9" i="8"/>
  <c r="AP9" i="8"/>
  <c r="AO10" i="8"/>
  <c r="V24" i="8"/>
  <c r="R23" i="8"/>
  <c r="S23" i="8"/>
  <c r="BG206" i="8"/>
  <c r="BF206" i="8" s="1"/>
  <c r="AW7" i="8"/>
  <c r="AX6" i="8"/>
  <c r="BB5" i="8"/>
  <c r="AY6" i="8"/>
  <c r="AA29" i="2"/>
  <c r="L29" i="2"/>
  <c r="AA56" i="2"/>
  <c r="BD205" i="8"/>
  <c r="BE204" i="8"/>
  <c r="BF204" i="8"/>
  <c r="BD204" i="8"/>
  <c r="BF205" i="8"/>
  <c r="AE4" i="8"/>
  <c r="AB5" i="8" s="1"/>
  <c r="AM5" i="8"/>
  <c r="AM10" i="8"/>
  <c r="AM11" i="8"/>
  <c r="AM12" i="8"/>
  <c r="AM13" i="8"/>
  <c r="AM14" i="8"/>
  <c r="AM4" i="8"/>
  <c r="W5" i="8"/>
  <c r="W6" i="8"/>
  <c r="W7" i="8"/>
  <c r="W8" i="8"/>
  <c r="W9" i="8"/>
  <c r="W10" i="8"/>
  <c r="W11" i="8"/>
  <c r="W12" i="8"/>
  <c r="W13" i="8"/>
  <c r="W14" i="8"/>
  <c r="W15" i="8"/>
  <c r="W16" i="8"/>
  <c r="BU119" i="2" l="1"/>
  <c r="U14" i="35" s="1"/>
  <c r="BQ109" i="2"/>
  <c r="Q4" i="35" s="1"/>
  <c r="BQ128" i="2"/>
  <c r="Q23" i="35" s="1"/>
  <c r="BU129" i="2"/>
  <c r="U24" i="35" s="1"/>
  <c r="BQ112" i="2"/>
  <c r="Q7" i="35" s="1"/>
  <c r="AB66" i="27"/>
  <c r="AB45" i="27"/>
  <c r="G5" i="3"/>
  <c r="M39" i="29"/>
  <c r="G37" i="29" s="1"/>
  <c r="M28" i="29"/>
  <c r="V81" i="27"/>
  <c r="V79" i="27" s="1"/>
  <c r="I49" i="3"/>
  <c r="X81" i="27"/>
  <c r="X79" i="27" s="1"/>
  <c r="O81" i="27"/>
  <c r="O79" i="27" s="1"/>
  <c r="L8" i="11"/>
  <c r="Q79" i="27"/>
  <c r="R29" i="29"/>
  <c r="I29" i="29"/>
  <c r="V28" i="3" s="1"/>
  <c r="G16" i="3"/>
  <c r="AB19" i="2"/>
  <c r="AF19" i="2"/>
  <c r="AZ51" i="2"/>
  <c r="AT51" i="2"/>
  <c r="BC58" i="2"/>
  <c r="AW58" i="2"/>
  <c r="BA45" i="2"/>
  <c r="AU45" i="2"/>
  <c r="AV37" i="2"/>
  <c r="BB37" i="2"/>
  <c r="P2" i="2"/>
  <c r="AD2" i="2"/>
  <c r="V2" i="2"/>
  <c r="Q2" i="2"/>
  <c r="C40" i="3"/>
  <c r="Z30" i="12"/>
  <c r="S72" i="27"/>
  <c r="H88" i="26"/>
  <c r="H12" i="26" s="1"/>
  <c r="G72" i="27"/>
  <c r="G44" i="27" s="1"/>
  <c r="T88" i="26"/>
  <c r="T12" i="26" s="1"/>
  <c r="J88" i="26"/>
  <c r="J12" i="26" s="1"/>
  <c r="I72" i="27"/>
  <c r="U72" i="27"/>
  <c r="V88" i="26"/>
  <c r="V12" i="26" s="1"/>
  <c r="AE97" i="12"/>
  <c r="AE99" i="12"/>
  <c r="AE98" i="12"/>
  <c r="M27" i="8"/>
  <c r="M28" i="8" s="1"/>
  <c r="M29" i="8" s="1"/>
  <c r="AE91" i="12"/>
  <c r="AE94" i="12"/>
  <c r="AE93" i="12"/>
  <c r="AE95" i="12"/>
  <c r="AE92" i="12"/>
  <c r="AT8" i="8"/>
  <c r="AQ10" i="8"/>
  <c r="AP10" i="8"/>
  <c r="AO11" i="8"/>
  <c r="AO12" i="8" s="1"/>
  <c r="R24" i="8"/>
  <c r="S24" i="8"/>
  <c r="Q25" i="8"/>
  <c r="V25" i="8" s="1"/>
  <c r="W24" i="8"/>
  <c r="BD206" i="8"/>
  <c r="BE206" i="8"/>
  <c r="BG207" i="8"/>
  <c r="BF207" i="8" s="1"/>
  <c r="AW8" i="8"/>
  <c r="BB6" i="8"/>
  <c r="AY7" i="8"/>
  <c r="AX7" i="8"/>
  <c r="Y5" i="8"/>
  <c r="Y6" i="8" s="1"/>
  <c r="Y7" i="8" s="1"/>
  <c r="AI4" i="8"/>
  <c r="AH4" i="8"/>
  <c r="S16" i="8"/>
  <c r="R16" i="8"/>
  <c r="S15" i="8"/>
  <c r="R15" i="8"/>
  <c r="S14" i="8"/>
  <c r="R14" i="8"/>
  <c r="S13" i="8"/>
  <c r="R13" i="8"/>
  <c r="S12" i="8"/>
  <c r="R12" i="8"/>
  <c r="S11" i="8"/>
  <c r="R11" i="8"/>
  <c r="S10" i="8"/>
  <c r="R10" i="8"/>
  <c r="S9" i="8"/>
  <c r="R9" i="8"/>
  <c r="S8" i="8"/>
  <c r="R8" i="8"/>
  <c r="S7" i="8"/>
  <c r="R7" i="8"/>
  <c r="S6" i="8"/>
  <c r="R6" i="8"/>
  <c r="S5" i="8"/>
  <c r="R5" i="8"/>
  <c r="S4" i="8"/>
  <c r="R4" i="8"/>
  <c r="J6" i="8"/>
  <c r="K6" i="8"/>
  <c r="J7" i="8"/>
  <c r="K7" i="8"/>
  <c r="J8" i="8"/>
  <c r="K8" i="8"/>
  <c r="J9" i="8"/>
  <c r="K9" i="8"/>
  <c r="J10" i="8"/>
  <c r="K10" i="8"/>
  <c r="J11" i="8"/>
  <c r="K11" i="8"/>
  <c r="J12" i="8"/>
  <c r="K12" i="8"/>
  <c r="J13" i="8"/>
  <c r="K13" i="8"/>
  <c r="J14" i="8"/>
  <c r="K14" i="8"/>
  <c r="J15" i="8"/>
  <c r="K15" i="8"/>
  <c r="J16" i="8"/>
  <c r="K16" i="8"/>
  <c r="J17" i="8"/>
  <c r="K17" i="8"/>
  <c r="J18" i="8"/>
  <c r="K18" i="8"/>
  <c r="J19" i="8"/>
  <c r="K19" i="8"/>
  <c r="J20" i="8"/>
  <c r="K20" i="8"/>
  <c r="K5" i="8"/>
  <c r="J5" i="8"/>
  <c r="K4" i="8"/>
  <c r="J4" i="8"/>
  <c r="B15" i="8"/>
  <c r="B14" i="8"/>
  <c r="B13" i="8"/>
  <c r="B12" i="8"/>
  <c r="B11" i="8"/>
  <c r="B10" i="8"/>
  <c r="B9" i="8"/>
  <c r="B8" i="8"/>
  <c r="B7" i="8"/>
  <c r="B6" i="8"/>
  <c r="B5" i="8"/>
  <c r="B4" i="8"/>
  <c r="C5" i="8"/>
  <c r="C6" i="8"/>
  <c r="C7" i="8"/>
  <c r="C8" i="8"/>
  <c r="C9" i="8"/>
  <c r="C10" i="8"/>
  <c r="C11" i="8"/>
  <c r="C12" i="8"/>
  <c r="C13" i="8"/>
  <c r="C14" i="8"/>
  <c r="C15" i="8"/>
  <c r="C4" i="8"/>
  <c r="C16" i="8"/>
  <c r="O21" i="8"/>
  <c r="I21" i="8"/>
  <c r="N21" i="8" s="1"/>
  <c r="O20" i="8"/>
  <c r="O19" i="8"/>
  <c r="O18" i="8"/>
  <c r="O17" i="8"/>
  <c r="O7" i="8"/>
  <c r="O5" i="8"/>
  <c r="O8" i="8"/>
  <c r="O9" i="8"/>
  <c r="O10" i="8"/>
  <c r="O11" i="8"/>
  <c r="O12" i="8"/>
  <c r="O13" i="8"/>
  <c r="O4" i="8"/>
  <c r="G14" i="8"/>
  <c r="G13" i="8"/>
  <c r="G12" i="8"/>
  <c r="G10" i="8"/>
  <c r="G9" i="8"/>
  <c r="G8" i="8"/>
  <c r="G7" i="8"/>
  <c r="G6" i="8"/>
  <c r="G5" i="8"/>
  <c r="G4" i="8"/>
  <c r="S44" i="27" l="1"/>
  <c r="AB72" i="27"/>
  <c r="R39" i="29"/>
  <c r="Z81" i="27"/>
  <c r="Z79" i="27" s="1"/>
  <c r="AB79" i="27" s="1"/>
  <c r="I52" i="3"/>
  <c r="AC19" i="2"/>
  <c r="G28" i="29"/>
  <c r="R28" i="29"/>
  <c r="C41" i="3"/>
  <c r="C39" i="3"/>
  <c r="C42" i="3"/>
  <c r="AP12" i="8"/>
  <c r="AT12" i="8" s="1"/>
  <c r="AQ12" i="8"/>
  <c r="AO13" i="8"/>
  <c r="AT9" i="8"/>
  <c r="AQ11" i="8"/>
  <c r="AP11" i="8"/>
  <c r="BE207" i="8"/>
  <c r="S25" i="8"/>
  <c r="R25" i="8"/>
  <c r="Q26" i="8"/>
  <c r="V26" i="8" s="1"/>
  <c r="T25" i="8"/>
  <c r="M30" i="8"/>
  <c r="BD207" i="8"/>
  <c r="BG208" i="8"/>
  <c r="BD208" i="8" s="1"/>
  <c r="AW9" i="8"/>
  <c r="BB7" i="8"/>
  <c r="AY8" i="8"/>
  <c r="AX8" i="8"/>
  <c r="I22" i="8"/>
  <c r="N22" i="8" s="1"/>
  <c r="O22" i="8"/>
  <c r="Y8" i="8"/>
  <c r="Z8" i="8" s="1"/>
  <c r="J21" i="8"/>
  <c r="K21" i="8"/>
  <c r="B16" i="8"/>
  <c r="A17" i="8"/>
  <c r="G16" i="8"/>
  <c r="I37" i="29" l="1"/>
  <c r="V35" i="3" s="1"/>
  <c r="T35" i="3"/>
  <c r="I28" i="29"/>
  <c r="V27" i="3" s="1"/>
  <c r="T27" i="3"/>
  <c r="C49" i="3"/>
  <c r="C51" i="3"/>
  <c r="C50" i="3"/>
  <c r="E18" i="8"/>
  <c r="AO14" i="8"/>
  <c r="AQ13" i="8"/>
  <c r="AP13" i="8"/>
  <c r="AT13" i="8"/>
  <c r="B17" i="8"/>
  <c r="F16" i="8"/>
  <c r="AT10" i="8"/>
  <c r="Q27" i="8"/>
  <c r="V27" i="8" s="1"/>
  <c r="S26" i="8"/>
  <c r="R26" i="8"/>
  <c r="BF208" i="8"/>
  <c r="W25" i="8"/>
  <c r="BG209" i="8"/>
  <c r="BG210" i="8" s="1"/>
  <c r="BE208" i="8"/>
  <c r="I23" i="8"/>
  <c r="N23" i="8" s="1"/>
  <c r="M31" i="8"/>
  <c r="O23" i="8"/>
  <c r="AW10" i="8"/>
  <c r="BB8" i="8"/>
  <c r="AY9" i="8"/>
  <c r="AX9" i="8"/>
  <c r="J22" i="8"/>
  <c r="K22" i="8"/>
  <c r="G17" i="8"/>
  <c r="Y9" i="8"/>
  <c r="AA9" i="8" s="1"/>
  <c r="AA8" i="8"/>
  <c r="B18" i="8"/>
  <c r="C17" i="8"/>
  <c r="F17" i="8" l="1"/>
  <c r="AQ14" i="8"/>
  <c r="AP14" i="8"/>
  <c r="AO15" i="8"/>
  <c r="AT14" i="8"/>
  <c r="M32" i="8"/>
  <c r="AT11" i="8"/>
  <c r="J23" i="8"/>
  <c r="I24" i="8"/>
  <c r="N24" i="8" s="1"/>
  <c r="V28" i="8"/>
  <c r="R27" i="8"/>
  <c r="S27" i="8"/>
  <c r="BD209" i="8"/>
  <c r="BF209" i="8"/>
  <c r="BE209" i="8"/>
  <c r="K23" i="8"/>
  <c r="O24" i="8"/>
  <c r="AW11" i="8"/>
  <c r="BB9" i="8"/>
  <c r="AX10" i="8"/>
  <c r="AY10" i="8"/>
  <c r="BD210" i="8"/>
  <c r="BG211" i="8"/>
  <c r="BE210" i="8"/>
  <c r="BF210" i="8"/>
  <c r="Z9" i="8"/>
  <c r="Y10" i="8"/>
  <c r="Z10" i="8" s="1"/>
  <c r="A19" i="8"/>
  <c r="B19" i="8" s="1"/>
  <c r="C18" i="8"/>
  <c r="AQ15" i="8" l="1"/>
  <c r="AO16" i="8"/>
  <c r="AP15" i="8"/>
  <c r="AT15" i="8"/>
  <c r="F18" i="8"/>
  <c r="M33" i="8"/>
  <c r="I25" i="8"/>
  <c r="N25" i="8" s="1"/>
  <c r="J24" i="8"/>
  <c r="K24" i="8"/>
  <c r="Q29" i="8"/>
  <c r="V29" i="8" s="1"/>
  <c r="S28" i="8"/>
  <c r="R28" i="8"/>
  <c r="W26" i="8"/>
  <c r="O25" i="8"/>
  <c r="G18" i="8"/>
  <c r="AW12" i="8"/>
  <c r="AY11" i="8"/>
  <c r="AX11" i="8"/>
  <c r="BB10" i="8"/>
  <c r="Y11" i="8"/>
  <c r="Y12" i="8" s="1"/>
  <c r="Y13" i="8" s="1"/>
  <c r="Y14" i="8" s="1"/>
  <c r="Y15" i="8" s="1"/>
  <c r="Y16" i="8" s="1"/>
  <c r="Y17" i="8" s="1"/>
  <c r="Y18" i="8" s="1"/>
  <c r="Y19" i="8" s="1"/>
  <c r="Y20" i="8" s="1"/>
  <c r="Y21" i="8" s="1"/>
  <c r="Y22" i="8" s="1"/>
  <c r="Y23" i="8" s="1"/>
  <c r="Y24" i="8" s="1"/>
  <c r="Y25" i="8" s="1"/>
  <c r="Y26" i="8" s="1"/>
  <c r="Y27" i="8" s="1"/>
  <c r="Y28" i="8" s="1"/>
  <c r="BE211" i="8"/>
  <c r="BF211" i="8"/>
  <c r="BG212" i="8"/>
  <c r="BD211" i="8"/>
  <c r="AA10" i="8"/>
  <c r="A20" i="8"/>
  <c r="C19" i="8"/>
  <c r="E21" i="8"/>
  <c r="B20" i="8" l="1"/>
  <c r="F19" i="8"/>
  <c r="AP16" i="8"/>
  <c r="AO17" i="8"/>
  <c r="AQ16" i="8"/>
  <c r="AT16" i="8"/>
  <c r="M34" i="8"/>
  <c r="K25" i="8"/>
  <c r="I26" i="8"/>
  <c r="N26" i="8" s="1"/>
  <c r="J25" i="8"/>
  <c r="R29" i="8"/>
  <c r="Q30" i="8"/>
  <c r="V30" i="8" s="1"/>
  <c r="S29" i="8"/>
  <c r="O26" i="8"/>
  <c r="L27" i="8" s="1"/>
  <c r="G19" i="8"/>
  <c r="AW13" i="8"/>
  <c r="AY12" i="8"/>
  <c r="AX12" i="8"/>
  <c r="BB11" i="8"/>
  <c r="BD212" i="8"/>
  <c r="BE212" i="8"/>
  <c r="BF212" i="8"/>
  <c r="BG213" i="8"/>
  <c r="A21" i="8"/>
  <c r="C20" i="8"/>
  <c r="E22" i="8"/>
  <c r="I27" i="8" l="1"/>
  <c r="N27" i="8" s="1"/>
  <c r="K26" i="8"/>
  <c r="O27" i="8"/>
  <c r="B21" i="8"/>
  <c r="F20" i="8"/>
  <c r="AO18" i="8"/>
  <c r="AQ17" i="8"/>
  <c r="AP17" i="8"/>
  <c r="AT17" i="8"/>
  <c r="J26" i="8"/>
  <c r="Q31" i="8"/>
  <c r="V31" i="8" s="1"/>
  <c r="S30" i="8"/>
  <c r="R30" i="8"/>
  <c r="W27" i="8"/>
  <c r="G20" i="8"/>
  <c r="AW14" i="8"/>
  <c r="AY13" i="8"/>
  <c r="AX13" i="8"/>
  <c r="BB12" i="8"/>
  <c r="BD213" i="8"/>
  <c r="BG214" i="8"/>
  <c r="BE213" i="8"/>
  <c r="BF213" i="8"/>
  <c r="J27" i="8"/>
  <c r="K27" i="8"/>
  <c r="A22" i="8"/>
  <c r="C21" i="8"/>
  <c r="O14" i="8"/>
  <c r="O6" i="8"/>
  <c r="G15" i="8"/>
  <c r="G11" i="8"/>
  <c r="F5" i="8"/>
  <c r="F1" i="8" s="1"/>
  <c r="F4" i="8"/>
  <c r="I28" i="8" l="1"/>
  <c r="N28" i="8" s="1"/>
  <c r="B22" i="8"/>
  <c r="F21" i="8"/>
  <c r="AQ18" i="8"/>
  <c r="AP18" i="8"/>
  <c r="Q32" i="8"/>
  <c r="V32" i="8" s="1"/>
  <c r="S31" i="8"/>
  <c r="R31" i="8"/>
  <c r="O28" i="8"/>
  <c r="G21" i="8"/>
  <c r="AW15" i="8"/>
  <c r="AX14" i="8"/>
  <c r="BB13" i="8"/>
  <c r="AY14" i="8"/>
  <c r="I29" i="8"/>
  <c r="N29" i="8" s="1"/>
  <c r="J28" i="8"/>
  <c r="K28" i="8"/>
  <c r="BF214" i="8"/>
  <c r="BD214" i="8"/>
  <c r="BE214" i="8"/>
  <c r="BG215" i="8"/>
  <c r="AA7" i="8"/>
  <c r="Z7" i="8"/>
  <c r="AA11" i="8"/>
  <c r="Z11" i="8"/>
  <c r="A23" i="8"/>
  <c r="C22" i="8"/>
  <c r="E24" i="8"/>
  <c r="O15" i="8"/>
  <c r="AG10" i="8"/>
  <c r="AL9" i="8" s="1"/>
  <c r="D22" i="8" l="1"/>
  <c r="G22" i="8" s="1"/>
  <c r="L29" i="8"/>
  <c r="O29" i="8" s="1"/>
  <c r="L30" i="8" s="1"/>
  <c r="AT18" i="8"/>
  <c r="AV65" i="8"/>
  <c r="AV63" i="8"/>
  <c r="AV74" i="8"/>
  <c r="AV62" i="8"/>
  <c r="AV69" i="8"/>
  <c r="AV64" i="8"/>
  <c r="AV68" i="8"/>
  <c r="AV59" i="8"/>
  <c r="AU59" i="8"/>
  <c r="AV70" i="8"/>
  <c r="AU73" i="8"/>
  <c r="AV73" i="8"/>
  <c r="AV61" i="8"/>
  <c r="AV60" i="8"/>
  <c r="AV67" i="8"/>
  <c r="AV71" i="8"/>
  <c r="AV66" i="8"/>
  <c r="AV72" i="8"/>
  <c r="AU74" i="8"/>
  <c r="B23" i="8"/>
  <c r="F22" i="8"/>
  <c r="R32" i="8"/>
  <c r="Q33" i="8"/>
  <c r="V33" i="8" s="1"/>
  <c r="V2" i="8" s="1"/>
  <c r="S32" i="8"/>
  <c r="W28" i="8"/>
  <c r="D23" i="8"/>
  <c r="AW16" i="8"/>
  <c r="BB14" i="8"/>
  <c r="AY15" i="8"/>
  <c r="AX15" i="8"/>
  <c r="J29" i="8"/>
  <c r="K29" i="8"/>
  <c r="I30" i="8"/>
  <c r="N30" i="8" s="1"/>
  <c r="BG216" i="8"/>
  <c r="BF215" i="8"/>
  <c r="BD215" i="8"/>
  <c r="BE215" i="8"/>
  <c r="AG11" i="8"/>
  <c r="AL10" i="8" s="1"/>
  <c r="AH10" i="8"/>
  <c r="AI10" i="8"/>
  <c r="Z12" i="8"/>
  <c r="AA12" i="8"/>
  <c r="Z13" i="8"/>
  <c r="AA13" i="8"/>
  <c r="Z5" i="8"/>
  <c r="AA5" i="8"/>
  <c r="AA6" i="8"/>
  <c r="Z6" i="8"/>
  <c r="A24" i="8"/>
  <c r="C23" i="8"/>
  <c r="E26" i="8"/>
  <c r="E27" i="8" s="1"/>
  <c r="E28" i="8" s="1"/>
  <c r="E29" i="8" s="1"/>
  <c r="O16" i="8"/>
  <c r="B24" i="8" l="1"/>
  <c r="F23" i="8"/>
  <c r="S33" i="8"/>
  <c r="R33" i="8"/>
  <c r="Q34" i="8"/>
  <c r="T29" i="8"/>
  <c r="O30" i="8"/>
  <c r="G23" i="8"/>
  <c r="AW17" i="8"/>
  <c r="BB15" i="8"/>
  <c r="AY16" i="8"/>
  <c r="AX16" i="8"/>
  <c r="BD216" i="8"/>
  <c r="BG217" i="8"/>
  <c r="BE216" i="8"/>
  <c r="BF216" i="8"/>
  <c r="I31" i="8"/>
  <c r="N31" i="8" s="1"/>
  <c r="J30" i="8"/>
  <c r="K30" i="8"/>
  <c r="AG12" i="8"/>
  <c r="AL11" i="8" s="1"/>
  <c r="AI11" i="8"/>
  <c r="AH11" i="8"/>
  <c r="Z4" i="8"/>
  <c r="AA4" i="8"/>
  <c r="AA14" i="8"/>
  <c r="Z14" i="8"/>
  <c r="C24" i="8"/>
  <c r="D24" i="8" l="1"/>
  <c r="L31" i="8"/>
  <c r="O31" i="8" s="1"/>
  <c r="L32" i="8" s="1"/>
  <c r="B25" i="8"/>
  <c r="F24" i="8"/>
  <c r="S34" i="8"/>
  <c r="R34" i="8"/>
  <c r="W29" i="8"/>
  <c r="G24" i="8"/>
  <c r="AW18" i="8"/>
  <c r="BB16" i="8"/>
  <c r="AY17" i="8"/>
  <c r="AX17" i="8"/>
  <c r="BG218" i="8"/>
  <c r="BD217" i="8"/>
  <c r="BE217" i="8"/>
  <c r="BF217" i="8"/>
  <c r="I32" i="8"/>
  <c r="N32" i="8" s="1"/>
  <c r="J31" i="8"/>
  <c r="K31" i="8"/>
  <c r="AG13" i="8"/>
  <c r="AL12" i="8" s="1"/>
  <c r="AH12" i="8"/>
  <c r="AI12" i="8"/>
  <c r="AA15" i="8"/>
  <c r="Z15" i="8"/>
  <c r="A26" i="8"/>
  <c r="C25" i="8"/>
  <c r="W70" i="8" l="1"/>
  <c r="B26" i="8"/>
  <c r="F25" i="8"/>
  <c r="T30" i="8"/>
  <c r="O32" i="8"/>
  <c r="G25" i="8"/>
  <c r="AW19" i="8"/>
  <c r="BB17" i="8"/>
  <c r="AX18" i="8"/>
  <c r="AY18" i="8"/>
  <c r="BD218" i="8"/>
  <c r="BG219" i="8"/>
  <c r="BF218" i="8"/>
  <c r="BE218" i="8"/>
  <c r="J32" i="8"/>
  <c r="K32" i="8"/>
  <c r="I33" i="8"/>
  <c r="N33" i="8" s="1"/>
  <c r="AG14" i="8"/>
  <c r="AL13" i="8" s="1"/>
  <c r="AI13" i="8"/>
  <c r="AH13" i="8"/>
  <c r="Z16" i="8"/>
  <c r="AA16" i="8"/>
  <c r="A27" i="8"/>
  <c r="C26" i="8"/>
  <c r="D26" i="8" l="1"/>
  <c r="L33" i="8"/>
  <c r="O33" i="8" s="1"/>
  <c r="L34" i="8" s="1"/>
  <c r="O34" i="8" s="1"/>
  <c r="B27" i="8"/>
  <c r="F26" i="8"/>
  <c r="W30" i="8"/>
  <c r="G26" i="8"/>
  <c r="D27" i="8" s="1"/>
  <c r="AY19" i="8"/>
  <c r="AW20" i="8"/>
  <c r="AX19" i="8"/>
  <c r="BB18" i="8"/>
  <c r="K33" i="8"/>
  <c r="J33" i="8"/>
  <c r="I34" i="8"/>
  <c r="N34" i="8" s="1"/>
  <c r="N2" i="8" s="1"/>
  <c r="BE219" i="8"/>
  <c r="BF219" i="8"/>
  <c r="BG220" i="8"/>
  <c r="BD219" i="8"/>
  <c r="AG15" i="8"/>
  <c r="AL14" i="8" s="1"/>
  <c r="AH14" i="8"/>
  <c r="AI14" i="8"/>
  <c r="AA17" i="8"/>
  <c r="Z17" i="8"/>
  <c r="A28" i="8"/>
  <c r="C27" i="8"/>
  <c r="B28" i="8" l="1"/>
  <c r="F27" i="8"/>
  <c r="T31" i="8"/>
  <c r="G27" i="8"/>
  <c r="AY20" i="8"/>
  <c r="AX20" i="8"/>
  <c r="AW21" i="8"/>
  <c r="BB19" i="8"/>
  <c r="BG221" i="8"/>
  <c r="BE220" i="8"/>
  <c r="BD220" i="8"/>
  <c r="BF220" i="8"/>
  <c r="J34" i="8"/>
  <c r="I35" i="8"/>
  <c r="K34" i="8"/>
  <c r="AG16" i="8"/>
  <c r="AL15" i="8" s="1"/>
  <c r="AI15" i="8"/>
  <c r="AH15" i="8"/>
  <c r="AA18" i="8"/>
  <c r="Z18" i="8"/>
  <c r="A29" i="8"/>
  <c r="C28" i="8"/>
  <c r="D28" i="8" l="1"/>
  <c r="G28" i="8" s="1"/>
  <c r="B29" i="8"/>
  <c r="F28" i="8"/>
  <c r="W31" i="8"/>
  <c r="AY21" i="8"/>
  <c r="AX21" i="8"/>
  <c r="AW22" i="8"/>
  <c r="BB20" i="8"/>
  <c r="BD221" i="8"/>
  <c r="BG222" i="8"/>
  <c r="BE221" i="8"/>
  <c r="BF221" i="8"/>
  <c r="J35" i="8"/>
  <c r="K35" i="8"/>
  <c r="AG17" i="8"/>
  <c r="AL16" i="8" s="1"/>
  <c r="AH16" i="8"/>
  <c r="AI16" i="8"/>
  <c r="Z19" i="8"/>
  <c r="AA19" i="8"/>
  <c r="A30" i="8"/>
  <c r="C29" i="8"/>
  <c r="AH7" i="7"/>
  <c r="D29" i="8" l="1"/>
  <c r="G29" i="8" s="1"/>
  <c r="B30" i="8"/>
  <c r="F29" i="8"/>
  <c r="F2" i="8" s="1"/>
  <c r="T32" i="8"/>
  <c r="AX22" i="8"/>
  <c r="AW23" i="8"/>
  <c r="BB22" i="8" s="1"/>
  <c r="BB21" i="8"/>
  <c r="AY22" i="8"/>
  <c r="O82" i="8"/>
  <c r="P74" i="8"/>
  <c r="P72" i="8"/>
  <c r="P59" i="8"/>
  <c r="P77" i="8"/>
  <c r="P73" i="8"/>
  <c r="P82" i="8"/>
  <c r="P67" i="8"/>
  <c r="P71" i="8"/>
  <c r="P79" i="8"/>
  <c r="P78" i="8"/>
  <c r="P81" i="8"/>
  <c r="P61" i="8"/>
  <c r="P65" i="8"/>
  <c r="P70" i="8"/>
  <c r="P75" i="8"/>
  <c r="P62" i="8"/>
  <c r="P76" i="8"/>
  <c r="P64" i="8"/>
  <c r="P80" i="8"/>
  <c r="P63" i="8"/>
  <c r="P66" i="8"/>
  <c r="P68" i="8"/>
  <c r="P60" i="8"/>
  <c r="P69" i="8"/>
  <c r="O72" i="8"/>
  <c r="O70" i="8"/>
  <c r="O79" i="8"/>
  <c r="O62" i="8"/>
  <c r="O74" i="8"/>
  <c r="O71" i="8"/>
  <c r="O59" i="8"/>
  <c r="O67" i="8"/>
  <c r="O80" i="8"/>
  <c r="O69" i="8"/>
  <c r="O60" i="8"/>
  <c r="O65" i="8"/>
  <c r="O81" i="8"/>
  <c r="O78" i="8"/>
  <c r="O63" i="8"/>
  <c r="O64" i="8"/>
  <c r="O61" i="8"/>
  <c r="O77" i="8"/>
  <c r="O76" i="8"/>
  <c r="O68" i="8"/>
  <c r="O73" i="8"/>
  <c r="O75" i="8"/>
  <c r="O66" i="8"/>
  <c r="BF222" i="8"/>
  <c r="BG223" i="8"/>
  <c r="BE222" i="8"/>
  <c r="BD222" i="8"/>
  <c r="H64" i="8"/>
  <c r="H61" i="8"/>
  <c r="H70" i="8"/>
  <c r="H68" i="8"/>
  <c r="H69" i="8"/>
  <c r="H63" i="8"/>
  <c r="H66" i="8"/>
  <c r="H65" i="8"/>
  <c r="H60" i="8"/>
  <c r="H67" i="8"/>
  <c r="H59" i="8"/>
  <c r="H62" i="8"/>
  <c r="AG18" i="8"/>
  <c r="AL17" i="8" s="1"/>
  <c r="AI17" i="8"/>
  <c r="AH17" i="8"/>
  <c r="AA20" i="8"/>
  <c r="Z20" i="8"/>
  <c r="C30" i="8"/>
  <c r="W32" i="8" l="1"/>
  <c r="H81" i="8"/>
  <c r="H74" i="8"/>
  <c r="H79" i="8"/>
  <c r="H76" i="8"/>
  <c r="H77" i="8"/>
  <c r="H80" i="8"/>
  <c r="H71" i="8"/>
  <c r="H75" i="8"/>
  <c r="H73" i="8"/>
  <c r="H72" i="8"/>
  <c r="H82" i="8"/>
  <c r="H78" i="8"/>
  <c r="BD223" i="8"/>
  <c r="BE223" i="8"/>
  <c r="BF223" i="8"/>
  <c r="BG224" i="8"/>
  <c r="AG19" i="8"/>
  <c r="AL18" i="8" s="1"/>
  <c r="AH18" i="8"/>
  <c r="AI18" i="8"/>
  <c r="Z21" i="8"/>
  <c r="AA21" i="8"/>
  <c r="AC6" i="7"/>
  <c r="F26" i="3"/>
  <c r="X6" i="7"/>
  <c r="X5" i="7"/>
  <c r="N3" i="6" l="1"/>
  <c r="AF6" i="7"/>
  <c r="AH6" i="7" s="1"/>
  <c r="I26" i="3"/>
  <c r="T33" i="8"/>
  <c r="W33" i="8" s="1"/>
  <c r="W7" i="7"/>
  <c r="X7" i="7" s="1"/>
  <c r="BD224" i="8"/>
  <c r="BG225" i="8"/>
  <c r="BE224" i="8"/>
  <c r="BF224" i="8"/>
  <c r="AG20" i="8"/>
  <c r="AL19" i="8" s="1"/>
  <c r="AI19" i="8"/>
  <c r="AH19" i="8"/>
  <c r="AA22" i="8"/>
  <c r="Z22" i="8"/>
  <c r="AU60" i="8" l="1"/>
  <c r="BE225" i="8"/>
  <c r="BF225" i="8"/>
  <c r="BG226" i="8"/>
  <c r="BD225" i="8"/>
  <c r="AG21" i="8"/>
  <c r="AL20" i="8" s="1"/>
  <c r="AH20" i="8"/>
  <c r="AI20" i="8"/>
  <c r="AA23" i="8"/>
  <c r="Z23" i="8"/>
  <c r="R50" i="2"/>
  <c r="R47" i="2"/>
  <c r="R46" i="2"/>
  <c r="R29" i="2"/>
  <c r="J16" i="3" s="1"/>
  <c r="R52" i="2"/>
  <c r="R54" i="2"/>
  <c r="R55" i="2"/>
  <c r="R57" i="2"/>
  <c r="R24" i="2"/>
  <c r="AU61" i="8" l="1"/>
  <c r="AU6" i="8"/>
  <c r="BD226" i="8"/>
  <c r="BG227" i="8"/>
  <c r="BE226" i="8"/>
  <c r="BF226" i="8"/>
  <c r="AG22" i="8"/>
  <c r="AL21" i="8" s="1"/>
  <c r="AI21" i="8"/>
  <c r="AH21" i="8"/>
  <c r="Z24" i="8"/>
  <c r="AA24" i="8"/>
  <c r="AU7" i="8" l="1"/>
  <c r="BE227" i="8"/>
  <c r="BF227" i="8"/>
  <c r="BG228" i="8"/>
  <c r="BD227" i="8"/>
  <c r="AG23" i="8"/>
  <c r="AL22" i="8" s="1"/>
  <c r="AH22" i="8"/>
  <c r="AI22" i="8"/>
  <c r="AA25" i="8"/>
  <c r="Z25" i="8"/>
  <c r="V50" i="2"/>
  <c r="V47" i="2"/>
  <c r="V46" i="2"/>
  <c r="V29" i="2"/>
  <c r="V52" i="2"/>
  <c r="V54" i="2"/>
  <c r="V56" i="2"/>
  <c r="V55" i="2"/>
  <c r="V57" i="2"/>
  <c r="V24" i="2"/>
  <c r="K50" i="2"/>
  <c r="AE50" i="2" s="1"/>
  <c r="K47" i="2"/>
  <c r="AE47" i="2" s="1"/>
  <c r="K46" i="2"/>
  <c r="AE46" i="2" s="1"/>
  <c r="K29" i="2"/>
  <c r="K52" i="2"/>
  <c r="AE52" i="2" s="1"/>
  <c r="K54" i="2"/>
  <c r="AE54" i="2" s="1"/>
  <c r="K56" i="2"/>
  <c r="AE56" i="2" s="1"/>
  <c r="K55" i="2"/>
  <c r="AE55" i="2" s="1"/>
  <c r="K57" i="2"/>
  <c r="AE57" i="2" s="1"/>
  <c r="K24" i="2"/>
  <c r="AE24" i="2" s="1"/>
  <c r="E5" i="3" l="1"/>
  <c r="F5" i="3"/>
  <c r="D5" i="3"/>
  <c r="E16" i="3"/>
  <c r="D16" i="3"/>
  <c r="AE29" i="2"/>
  <c r="AF29" i="2" s="1"/>
  <c r="AC29" i="2" s="1"/>
  <c r="F16" i="3"/>
  <c r="AV29" i="2"/>
  <c r="AW52" i="2"/>
  <c r="BC52" i="2"/>
  <c r="AZ46" i="2"/>
  <c r="AT46" i="2"/>
  <c r="BA47" i="2"/>
  <c r="AU47" i="2"/>
  <c r="BA50" i="2"/>
  <c r="AU50" i="2"/>
  <c r="BD55" i="2"/>
  <c r="AX55" i="2"/>
  <c r="AY56" i="2"/>
  <c r="BB56" i="2"/>
  <c r="AV56" i="2"/>
  <c r="BE56" i="2"/>
  <c r="AZ24" i="2"/>
  <c r="AT24" i="2"/>
  <c r="BC57" i="2"/>
  <c r="AW57" i="2"/>
  <c r="AW54" i="2"/>
  <c r="BC54" i="2"/>
  <c r="J29" i="26"/>
  <c r="J10" i="26" s="1"/>
  <c r="I51" i="27"/>
  <c r="U51" i="27"/>
  <c r="AB51" i="27" s="1"/>
  <c r="V29" i="26"/>
  <c r="V10" i="26" s="1"/>
  <c r="AU62" i="8"/>
  <c r="AU63" i="8"/>
  <c r="BD228" i="8"/>
  <c r="BE228" i="8"/>
  <c r="BF228" i="8"/>
  <c r="BG229" i="8"/>
  <c r="AG24" i="8"/>
  <c r="AL23" i="8" s="1"/>
  <c r="AI23" i="8"/>
  <c r="AH23" i="8"/>
  <c r="Z26" i="8"/>
  <c r="AA26" i="8"/>
  <c r="I5" i="3" l="1"/>
  <c r="Y5" i="3"/>
  <c r="L6" i="29"/>
  <c r="I16" i="3"/>
  <c r="AB29" i="2"/>
  <c r="H5" i="3" s="1"/>
  <c r="AB56" i="2"/>
  <c r="AF56" i="2"/>
  <c r="AC56" i="2" s="1"/>
  <c r="AB47" i="2"/>
  <c r="AF47" i="2"/>
  <c r="AC47" i="2" s="1"/>
  <c r="AB46" i="2"/>
  <c r="AF46" i="2"/>
  <c r="AC46" i="2" s="1"/>
  <c r="AB57" i="2"/>
  <c r="AF57" i="2"/>
  <c r="AC57" i="2" s="1"/>
  <c r="AB55" i="2"/>
  <c r="AF55" i="2"/>
  <c r="AC55" i="2" s="1"/>
  <c r="AB50" i="2"/>
  <c r="AF50" i="2"/>
  <c r="AC50" i="2" s="1"/>
  <c r="AB24" i="2"/>
  <c r="AF24" i="2"/>
  <c r="AC24" i="2" s="1"/>
  <c r="AB54" i="2"/>
  <c r="AF54" i="2"/>
  <c r="AC54" i="2" s="1"/>
  <c r="AB52" i="2"/>
  <c r="AF52" i="2"/>
  <c r="AC52" i="2" s="1"/>
  <c r="R44" i="27"/>
  <c r="X44" i="27"/>
  <c r="L44" i="27"/>
  <c r="H44" i="27"/>
  <c r="T44" i="27"/>
  <c r="N44" i="27"/>
  <c r="Z44" i="27"/>
  <c r="X22" i="26"/>
  <c r="X3" i="26" s="1"/>
  <c r="L22" i="26"/>
  <c r="L3" i="26" s="1"/>
  <c r="F22" i="26"/>
  <c r="F3" i="26" s="1"/>
  <c r="R22" i="26"/>
  <c r="R3" i="26" s="1"/>
  <c r="AA23" i="26"/>
  <c r="AA4" i="26" s="1"/>
  <c r="O23" i="26"/>
  <c r="O4" i="26" s="1"/>
  <c r="S23" i="26"/>
  <c r="S4" i="26" s="1"/>
  <c r="G23" i="26"/>
  <c r="G4" i="26" s="1"/>
  <c r="I23" i="26"/>
  <c r="I4" i="26" s="1"/>
  <c r="U23" i="26"/>
  <c r="U4" i="26" s="1"/>
  <c r="M23" i="26"/>
  <c r="M4" i="26" s="1"/>
  <c r="Y23" i="26"/>
  <c r="Y4" i="26" s="1"/>
  <c r="AU8" i="8"/>
  <c r="X74" i="8"/>
  <c r="X81" i="8"/>
  <c r="X61" i="8"/>
  <c r="X80" i="8"/>
  <c r="X65" i="8"/>
  <c r="X66" i="8"/>
  <c r="X64" i="8"/>
  <c r="X78" i="8"/>
  <c r="X68" i="8"/>
  <c r="X69" i="8"/>
  <c r="X59" i="8"/>
  <c r="X62" i="8"/>
  <c r="X67" i="8"/>
  <c r="X71" i="8"/>
  <c r="W59" i="8"/>
  <c r="X75" i="8"/>
  <c r="X60" i="8"/>
  <c r="X72" i="8"/>
  <c r="X70" i="8"/>
  <c r="X79" i="8"/>
  <c r="X63" i="8"/>
  <c r="BD229" i="8"/>
  <c r="BG230" i="8"/>
  <c r="BE229" i="8"/>
  <c r="BF229" i="8"/>
  <c r="X73" i="8"/>
  <c r="X76" i="8"/>
  <c r="X82" i="8"/>
  <c r="X77" i="8"/>
  <c r="W61" i="8"/>
  <c r="W63" i="8"/>
  <c r="W66" i="8"/>
  <c r="W76" i="8"/>
  <c r="W69" i="8"/>
  <c r="W77" i="8"/>
  <c r="W75" i="8"/>
  <c r="W82" i="8"/>
  <c r="W79" i="8"/>
  <c r="W68" i="8"/>
  <c r="W81" i="8"/>
  <c r="W67" i="8"/>
  <c r="W71" i="8"/>
  <c r="W62" i="8"/>
  <c r="W72" i="8"/>
  <c r="W73" i="8"/>
  <c r="W60" i="8"/>
  <c r="W78" i="8"/>
  <c r="W74" i="8"/>
  <c r="W80" i="8"/>
  <c r="AH24" i="8"/>
  <c r="AI24" i="8"/>
  <c r="AA27" i="8"/>
  <c r="Z27" i="8"/>
  <c r="BQ125" i="2" l="1"/>
  <c r="Q20" i="35" s="1"/>
  <c r="BU131" i="2"/>
  <c r="U26" i="35" s="1"/>
  <c r="BQ129" i="2"/>
  <c r="Q24" i="35" s="1"/>
  <c r="BU116" i="2"/>
  <c r="BQ121" i="2"/>
  <c r="Q16" i="35" s="1"/>
  <c r="BU120" i="2"/>
  <c r="U15" i="35" s="1"/>
  <c r="BQ123" i="2"/>
  <c r="Q18" i="35" s="1"/>
  <c r="BU115" i="2"/>
  <c r="H16" i="3"/>
  <c r="AM61" i="8"/>
  <c r="AM59" i="8"/>
  <c r="AN59" i="8"/>
  <c r="AN66" i="8"/>
  <c r="AN71" i="8"/>
  <c r="AN63" i="8"/>
  <c r="AN68" i="8"/>
  <c r="AN64" i="8"/>
  <c r="AN69" i="8"/>
  <c r="AN60" i="8"/>
  <c r="AN67" i="8"/>
  <c r="AN61" i="8"/>
  <c r="AN72" i="8"/>
  <c r="AN65" i="8"/>
  <c r="AN74" i="8"/>
  <c r="AN62" i="8"/>
  <c r="AN70" i="8"/>
  <c r="AN73" i="8"/>
  <c r="BF230" i="8"/>
  <c r="BD230" i="8"/>
  <c r="BE230" i="8"/>
  <c r="BG231" i="8"/>
  <c r="AM60" i="8"/>
  <c r="AM62" i="8"/>
  <c r="AM65" i="8"/>
  <c r="AM63" i="8"/>
  <c r="AM64" i="8"/>
  <c r="Z28" i="8"/>
  <c r="AA28" i="8"/>
  <c r="BU153" i="2" l="1"/>
  <c r="U48" i="35" s="1"/>
  <c r="U10" i="35"/>
  <c r="BU154" i="2"/>
  <c r="U49" i="35" s="1"/>
  <c r="U11" i="35"/>
  <c r="AU64" i="8"/>
  <c r="AU9" i="8"/>
  <c r="BG232" i="8"/>
  <c r="BF231" i="8"/>
  <c r="BD231" i="8"/>
  <c r="BE231" i="8"/>
  <c r="BD232" i="8" l="1"/>
  <c r="BG233" i="8"/>
  <c r="BE232" i="8"/>
  <c r="BF232" i="8"/>
  <c r="N4" i="8"/>
  <c r="N1" i="8" s="1"/>
  <c r="AU65" i="8" l="1"/>
  <c r="AU10" i="8"/>
  <c r="AR11" i="8" s="1"/>
  <c r="BG234" i="8"/>
  <c r="BD233" i="8"/>
  <c r="BE233" i="8"/>
  <c r="BF233" i="8"/>
  <c r="AE59" i="8"/>
  <c r="AE67" i="8"/>
  <c r="AE62" i="8"/>
  <c r="AE61" i="8"/>
  <c r="AE64" i="8"/>
  <c r="AE68" i="8"/>
  <c r="AE63" i="8"/>
  <c r="BD234" i="8" l="1"/>
  <c r="BG235" i="8"/>
  <c r="BF234" i="8"/>
  <c r="BE234" i="8"/>
  <c r="AU66" i="8" l="1"/>
  <c r="AU11" i="8"/>
  <c r="BE235" i="8"/>
  <c r="BF235" i="8"/>
  <c r="BG236" i="8"/>
  <c r="BD235" i="8"/>
  <c r="AR12" i="8" l="1"/>
  <c r="BG237" i="8"/>
  <c r="BE236" i="8"/>
  <c r="BD236" i="8"/>
  <c r="BF236" i="8"/>
  <c r="AU12" i="8" l="1"/>
  <c r="AR13" i="8" s="1"/>
  <c r="AU67" i="8"/>
  <c r="BD237" i="8"/>
  <c r="BG238" i="8"/>
  <c r="BE237" i="8"/>
  <c r="BF237" i="8"/>
  <c r="AU13" i="8" l="1"/>
  <c r="AR14" i="8" s="1"/>
  <c r="AU68" i="8"/>
  <c r="BF238" i="8"/>
  <c r="BG239" i="8"/>
  <c r="BE238" i="8"/>
  <c r="BD238" i="8"/>
  <c r="AU14" i="8" l="1"/>
  <c r="AR15" i="8" s="1"/>
  <c r="AU69" i="8"/>
  <c r="BD239" i="8"/>
  <c r="BE239" i="8"/>
  <c r="BF239" i="8"/>
  <c r="BG240" i="8"/>
  <c r="AU70" i="8" l="1"/>
  <c r="AU15" i="8"/>
  <c r="AR16" i="8" s="1"/>
  <c r="BD240" i="8"/>
  <c r="BG241" i="8"/>
  <c r="BE240" i="8"/>
  <c r="BF240" i="8"/>
  <c r="AU71" i="8" l="1"/>
  <c r="AU16" i="8"/>
  <c r="BE241" i="8"/>
  <c r="BF241" i="8"/>
  <c r="BG242" i="8"/>
  <c r="BD241" i="8"/>
  <c r="AR17" i="8" l="1"/>
  <c r="BD242" i="8"/>
  <c r="BG243" i="8"/>
  <c r="BE242" i="8"/>
  <c r="BF242" i="8"/>
  <c r="G76" i="8"/>
  <c r="G72" i="8"/>
  <c r="G68" i="8"/>
  <c r="G61" i="8"/>
  <c r="G69" i="8"/>
  <c r="G77" i="8"/>
  <c r="G63" i="8"/>
  <c r="G65" i="8"/>
  <c r="G60" i="8"/>
  <c r="G62" i="8"/>
  <c r="G70" i="8"/>
  <c r="G78" i="8"/>
  <c r="G79" i="8"/>
  <c r="G80" i="8"/>
  <c r="G71" i="8"/>
  <c r="G73" i="8"/>
  <c r="G81" i="8"/>
  <c r="G74" i="8"/>
  <c r="G82" i="8"/>
  <c r="G64" i="8"/>
  <c r="G66" i="8"/>
  <c r="G59" i="8"/>
  <c r="G67" i="8"/>
  <c r="G75" i="8"/>
  <c r="AU72" i="8" l="1"/>
  <c r="AU17" i="8"/>
  <c r="AR18" i="8" s="1"/>
  <c r="AU18" i="8" s="1"/>
  <c r="BE243" i="8"/>
  <c r="BF243" i="8"/>
  <c r="BG244" i="8"/>
  <c r="BD243" i="8"/>
  <c r="BD244" i="8" l="1"/>
  <c r="BE244" i="8"/>
  <c r="BF244" i="8"/>
  <c r="BG245" i="8"/>
  <c r="BD245" i="8" l="1"/>
  <c r="BG246" i="8"/>
  <c r="BE245" i="8"/>
  <c r="BF245" i="8"/>
  <c r="BF246" i="8" l="1"/>
  <c r="BD246" i="8"/>
  <c r="BE246" i="8"/>
  <c r="BG247" i="8"/>
  <c r="BG248" i="8" l="1"/>
  <c r="BF247" i="8"/>
  <c r="BD247" i="8"/>
  <c r="BE247" i="8"/>
  <c r="BD248" i="8" l="1"/>
  <c r="BG249" i="8"/>
  <c r="BE248" i="8"/>
  <c r="BF248" i="8"/>
  <c r="BG250" i="8" l="1"/>
  <c r="BD249" i="8"/>
  <c r="BE249" i="8"/>
  <c r="BF249" i="8"/>
  <c r="BD250" i="8" l="1"/>
  <c r="BG251" i="8"/>
  <c r="BF250" i="8"/>
  <c r="BE250" i="8"/>
  <c r="BE251" i="8" l="1"/>
  <c r="BF251" i="8"/>
  <c r="BG252" i="8"/>
  <c r="BD251" i="8"/>
  <c r="BG253" i="8" l="1"/>
  <c r="BE252" i="8"/>
  <c r="BD252" i="8"/>
  <c r="BF252" i="8"/>
  <c r="BD253" i="8" l="1"/>
  <c r="BG254" i="8"/>
  <c r="BE253" i="8"/>
  <c r="BF253" i="8"/>
  <c r="BF254" i="8" l="1"/>
  <c r="BG255" i="8"/>
  <c r="BE254" i="8"/>
  <c r="BD254" i="8"/>
  <c r="BD255" i="8" l="1"/>
  <c r="BE255" i="8"/>
  <c r="BF255" i="8"/>
  <c r="BG256" i="8"/>
  <c r="BD256" i="8" l="1"/>
  <c r="BG257" i="8"/>
  <c r="BE256" i="8"/>
  <c r="BF256" i="8"/>
  <c r="BE257" i="8" l="1"/>
  <c r="BF257" i="8"/>
  <c r="BG258" i="8"/>
  <c r="BD257" i="8"/>
  <c r="BD258" i="8" l="1"/>
  <c r="BG259" i="8"/>
  <c r="BE258" i="8"/>
  <c r="BF258" i="8"/>
  <c r="BE259" i="8" l="1"/>
  <c r="BF259" i="8"/>
  <c r="BG260" i="8"/>
  <c r="BD259" i="8"/>
  <c r="BD260" i="8" l="1"/>
  <c r="BE260" i="8"/>
  <c r="BF260" i="8"/>
  <c r="BG261" i="8"/>
  <c r="BD261" i="8" l="1"/>
  <c r="BG262" i="8"/>
  <c r="BE261" i="8"/>
  <c r="BF261" i="8"/>
  <c r="BF262" i="8" l="1"/>
  <c r="BD262" i="8"/>
  <c r="BE262" i="8"/>
  <c r="BG263" i="8"/>
  <c r="BG264" i="8" l="1"/>
  <c r="BF263" i="8"/>
  <c r="BD263" i="8"/>
  <c r="BE263" i="8"/>
  <c r="BD264" i="8" l="1"/>
  <c r="BG265" i="8"/>
  <c r="BE264" i="8"/>
  <c r="BF264" i="8"/>
  <c r="BG266" i="8" l="1"/>
  <c r="BD265" i="8"/>
  <c r="BE265" i="8"/>
  <c r="BF265" i="8"/>
  <c r="BD266" i="8" l="1"/>
  <c r="BG267" i="8"/>
  <c r="BF266" i="8"/>
  <c r="BE266" i="8"/>
  <c r="BE267" i="8" l="1"/>
  <c r="BF267" i="8"/>
  <c r="BG268" i="8"/>
  <c r="BD267" i="8"/>
  <c r="BG269" i="8" l="1"/>
  <c r="BE268" i="8"/>
  <c r="BD268" i="8"/>
  <c r="BF268" i="8"/>
  <c r="BD269" i="8" l="1"/>
  <c r="BG270" i="8"/>
  <c r="BE269" i="8"/>
  <c r="BF269" i="8"/>
  <c r="BF270" i="8" l="1"/>
  <c r="BG271" i="8"/>
  <c r="BE270" i="8"/>
  <c r="BD270" i="8"/>
  <c r="BD271" i="8" l="1"/>
  <c r="BE271" i="8"/>
  <c r="BF271" i="8"/>
  <c r="BG272" i="8"/>
  <c r="BD272" i="8" l="1"/>
  <c r="BG273" i="8"/>
  <c r="BE272" i="8"/>
  <c r="BF272" i="8"/>
  <c r="BE273" i="8" l="1"/>
  <c r="BF273" i="8"/>
  <c r="BG274" i="8"/>
  <c r="BD273" i="8"/>
  <c r="BD274" i="8" l="1"/>
  <c r="BG275" i="8"/>
  <c r="BE274" i="8"/>
  <c r="BF274" i="8"/>
  <c r="BF275" i="8" l="1"/>
  <c r="BE275" i="8"/>
  <c r="BD275" i="8"/>
  <c r="BG276" i="8"/>
  <c r="BG277" i="8" l="1"/>
  <c r="BD276" i="8"/>
  <c r="BE276" i="8"/>
  <c r="BF276" i="8"/>
  <c r="BE277" i="8" l="1"/>
  <c r="BF277" i="8"/>
  <c r="BG278" i="8"/>
  <c r="BD277" i="8"/>
  <c r="BD278" i="8" l="1"/>
  <c r="BG279" i="8"/>
  <c r="BE278" i="8"/>
  <c r="BF278" i="8"/>
  <c r="BD279" i="8" l="1"/>
  <c r="BE279" i="8"/>
  <c r="BF279" i="8"/>
  <c r="BG280" i="8"/>
  <c r="BF280" i="8" l="1"/>
  <c r="BE280" i="8"/>
  <c r="BG281" i="8"/>
  <c r="BD280" i="8"/>
  <c r="BD281" i="8" l="1"/>
  <c r="BE281" i="8"/>
  <c r="BF281" i="8"/>
  <c r="BG282" i="8"/>
  <c r="BD282" i="8" l="1"/>
  <c r="BG283" i="8"/>
  <c r="BE282" i="8"/>
  <c r="BF282" i="8"/>
  <c r="BG284" i="8" l="1"/>
  <c r="BD283" i="8"/>
  <c r="BE283" i="8"/>
  <c r="BF283" i="8"/>
  <c r="BD284" i="8" l="1"/>
  <c r="BE284" i="8"/>
  <c r="BF284" i="8"/>
  <c r="BG285" i="8"/>
  <c r="BE285" i="8" l="1"/>
  <c r="BG286" i="8"/>
  <c r="BD285" i="8"/>
  <c r="BF285" i="8"/>
  <c r="BF286" i="8" l="1"/>
  <c r="BE286" i="8"/>
  <c r="BD286" i="8"/>
  <c r="BG287" i="8"/>
  <c r="BG288" i="8" l="1"/>
  <c r="BF287" i="8"/>
  <c r="BD287" i="8"/>
  <c r="BE287" i="8"/>
  <c r="BF288" i="8" l="1"/>
  <c r="BD288" i="8"/>
  <c r="BE288" i="8"/>
  <c r="BG289" i="8"/>
  <c r="BE289" i="8" l="1"/>
  <c r="BF289" i="8"/>
  <c r="BG290" i="8"/>
  <c r="BD289" i="8"/>
  <c r="BD290" i="8" l="1"/>
  <c r="BG291" i="8"/>
  <c r="BE290" i="8"/>
  <c r="BF290" i="8"/>
  <c r="BD291" i="8" l="1"/>
  <c r="BG292" i="8"/>
  <c r="BF291" i="8"/>
  <c r="BE291" i="8"/>
  <c r="BG293" i="8" l="1"/>
  <c r="BD292" i="8"/>
  <c r="BE292" i="8"/>
  <c r="BF292" i="8"/>
  <c r="BE293" i="8" l="1"/>
  <c r="BG294" i="8"/>
  <c r="BD293" i="8"/>
  <c r="BF293" i="8"/>
  <c r="BD294" i="8" l="1"/>
  <c r="BG295" i="8"/>
  <c r="BE294" i="8"/>
  <c r="BF294" i="8"/>
  <c r="BE295" i="8" l="1"/>
  <c r="BF295" i="8"/>
  <c r="BD295" i="8"/>
  <c r="BG296" i="8"/>
  <c r="BF296" i="8" l="1"/>
  <c r="BE296" i="8"/>
  <c r="BD296" i="8"/>
  <c r="BG297" i="8"/>
  <c r="BD297" i="8" l="1"/>
  <c r="BE297" i="8"/>
  <c r="BF297" i="8"/>
  <c r="BG298" i="8"/>
  <c r="BD298" i="8" l="1"/>
  <c r="BG299" i="8"/>
  <c r="BE298" i="8"/>
  <c r="BF298" i="8"/>
  <c r="BG300" i="8" l="1"/>
  <c r="BD299" i="8"/>
  <c r="BE299" i="8"/>
  <c r="BF299" i="8"/>
  <c r="BD300" i="8" l="1"/>
  <c r="BG301" i="8"/>
  <c r="BF300" i="8"/>
  <c r="BE300" i="8"/>
  <c r="BE301" i="8" l="1"/>
  <c r="BG302" i="8"/>
  <c r="BD301" i="8"/>
  <c r="BF301" i="8"/>
  <c r="BF302" i="8" l="1"/>
  <c r="BG303" i="8"/>
  <c r="BD302" i="8"/>
  <c r="BE302" i="8"/>
  <c r="BG304" i="8" l="1"/>
  <c r="BF303" i="8"/>
  <c r="BD303" i="8"/>
  <c r="BE303" i="8"/>
  <c r="BF304" i="8" l="1"/>
  <c r="BD304" i="8"/>
  <c r="BE304" i="8"/>
  <c r="BG305" i="8"/>
  <c r="BE305" i="8" l="1"/>
  <c r="BD305" i="8"/>
  <c r="BF305" i="8"/>
  <c r="BG306" i="8"/>
  <c r="BD306" i="8" l="1"/>
  <c r="BG307" i="8"/>
  <c r="BE306" i="8"/>
  <c r="BF306" i="8"/>
  <c r="BD307" i="8" l="1"/>
  <c r="BE307" i="8"/>
  <c r="BF307" i="8"/>
  <c r="BG308" i="8"/>
  <c r="BG309" i="8" l="1"/>
  <c r="BD308" i="8"/>
  <c r="BE308" i="8"/>
  <c r="BF308" i="8"/>
  <c r="BE309" i="8" l="1"/>
  <c r="BG310" i="8"/>
  <c r="BF309" i="8"/>
  <c r="BD309" i="8"/>
  <c r="BD310" i="8" l="1"/>
  <c r="BG311" i="8"/>
  <c r="BE310" i="8"/>
  <c r="BF310" i="8"/>
  <c r="BE311" i="8" l="1"/>
  <c r="BF311" i="8"/>
  <c r="BG312" i="8"/>
  <c r="BD311" i="8"/>
  <c r="BF312" i="8" l="1"/>
  <c r="BE312" i="8"/>
  <c r="BG313" i="8"/>
  <c r="BD312" i="8"/>
  <c r="BD313" i="8" l="1"/>
  <c r="BE313" i="8"/>
  <c r="BF313" i="8"/>
  <c r="BG314" i="8"/>
  <c r="BD314" i="8" l="1"/>
  <c r="BG315" i="8"/>
  <c r="BE314" i="8"/>
  <c r="BF314" i="8"/>
  <c r="BG316" i="8" l="1"/>
  <c r="BD315" i="8"/>
  <c r="BE315" i="8"/>
  <c r="BF315" i="8"/>
  <c r="BD316" i="8" l="1"/>
  <c r="BE316" i="8"/>
  <c r="BF316" i="8"/>
  <c r="BG317" i="8"/>
  <c r="BE317" i="8" l="1"/>
  <c r="BG318" i="8"/>
  <c r="BD317" i="8"/>
  <c r="BF317" i="8"/>
  <c r="BF318" i="8" l="1"/>
  <c r="BE318" i="8"/>
  <c r="BD318" i="8"/>
  <c r="BG319" i="8"/>
  <c r="BG320" i="8" l="1"/>
  <c r="BF319" i="8"/>
  <c r="BD319" i="8"/>
  <c r="BE319" i="8"/>
  <c r="BF320" i="8" l="1"/>
  <c r="BD320" i="8"/>
  <c r="BE320" i="8"/>
  <c r="BG321" i="8"/>
  <c r="BE321" i="8" l="1"/>
  <c r="BF321" i="8"/>
  <c r="BG322" i="8"/>
  <c r="BD321" i="8"/>
  <c r="BD322" i="8" l="1"/>
  <c r="BG323" i="8"/>
  <c r="BE322" i="8"/>
  <c r="BF322" i="8"/>
  <c r="BD323" i="8" l="1"/>
  <c r="BG324" i="8"/>
  <c r="BF323" i="8"/>
  <c r="BE323" i="8"/>
  <c r="BG325" i="8" l="1"/>
  <c r="BD324" i="8"/>
  <c r="BE324" i="8"/>
  <c r="BF324" i="8"/>
  <c r="BE325" i="8" l="1"/>
  <c r="BG326" i="8"/>
  <c r="BD325" i="8"/>
  <c r="BF325" i="8"/>
  <c r="BD326" i="8" l="1"/>
  <c r="BG327" i="8"/>
  <c r="BE326" i="8"/>
  <c r="BF326" i="8"/>
  <c r="BE327" i="8" l="1"/>
  <c r="BF327" i="8"/>
  <c r="BD327" i="8"/>
  <c r="BG328" i="8"/>
  <c r="BF328" i="8" l="1"/>
  <c r="BG329" i="8"/>
  <c r="BD328" i="8"/>
  <c r="BE328" i="8"/>
  <c r="BD329" i="8" l="1"/>
  <c r="BE329" i="8"/>
  <c r="BF329" i="8"/>
  <c r="BG330" i="8"/>
  <c r="BD330" i="8" l="1"/>
  <c r="BG331" i="8"/>
  <c r="BE330" i="8"/>
  <c r="BF330" i="8"/>
  <c r="BG332" i="8" l="1"/>
  <c r="BD331" i="8"/>
  <c r="BE331" i="8"/>
  <c r="BF331" i="8"/>
  <c r="BD332" i="8" l="1"/>
  <c r="BE332" i="8"/>
  <c r="BF332" i="8"/>
  <c r="BG333" i="8"/>
  <c r="BE333" i="8" l="1"/>
  <c r="BG334" i="8"/>
  <c r="BD333" i="8"/>
  <c r="BF333" i="8"/>
  <c r="BF334" i="8" l="1"/>
  <c r="BE334" i="8"/>
  <c r="BG335" i="8"/>
  <c r="BD334" i="8"/>
  <c r="BG336" i="8" l="1"/>
  <c r="BD335" i="8"/>
  <c r="BE335" i="8"/>
  <c r="BF335" i="8"/>
  <c r="BF336" i="8" l="1"/>
  <c r="BD336" i="8"/>
  <c r="BE336" i="8"/>
  <c r="BG337" i="8"/>
  <c r="BD337" i="8" l="1"/>
  <c r="BE337" i="8"/>
  <c r="BF337" i="8"/>
  <c r="BG338" i="8"/>
  <c r="BD338" i="8" l="1"/>
  <c r="BG339" i="8"/>
  <c r="BE338" i="8"/>
  <c r="BF338" i="8"/>
  <c r="BE339" i="8" l="1"/>
  <c r="BF339" i="8"/>
  <c r="BG340" i="8"/>
  <c r="BD339" i="8"/>
  <c r="BG341" i="8" l="1"/>
  <c r="BD340" i="8"/>
  <c r="BE340" i="8"/>
  <c r="BF340" i="8"/>
  <c r="BE341" i="8" l="1"/>
  <c r="BG342" i="8"/>
  <c r="BD341" i="8"/>
  <c r="BF341" i="8"/>
  <c r="BD342" i="8" l="1"/>
  <c r="BG343" i="8"/>
  <c r="BE342" i="8"/>
  <c r="BF342" i="8"/>
  <c r="BE343" i="8" l="1"/>
  <c r="BF343" i="8"/>
  <c r="BG344" i="8"/>
  <c r="BD343" i="8"/>
  <c r="BF344" i="8" l="1"/>
  <c r="BE344" i="8"/>
  <c r="BG345" i="8"/>
  <c r="BD344" i="8"/>
  <c r="BD345" i="8" l="1"/>
  <c r="BE345" i="8"/>
  <c r="BF345" i="8"/>
  <c r="BG346" i="8"/>
  <c r="BD346" i="8" l="1"/>
  <c r="BG347" i="8"/>
  <c r="BF346" i="8"/>
  <c r="BE346" i="8"/>
  <c r="BG348" i="8" l="1"/>
  <c r="BD347" i="8"/>
  <c r="BE347" i="8"/>
  <c r="BF347" i="8"/>
  <c r="BG349" i="8" l="1"/>
  <c r="BD348" i="8"/>
  <c r="BF348" i="8"/>
  <c r="BE348" i="8"/>
  <c r="BE349" i="8" l="1"/>
  <c r="BG350" i="8"/>
  <c r="BD349" i="8"/>
  <c r="BF349" i="8"/>
  <c r="BF350" i="8" l="1"/>
  <c r="BG351" i="8"/>
  <c r="BD350" i="8"/>
  <c r="BE350" i="8"/>
  <c r="BG352" i="8" l="1"/>
  <c r="BE351" i="8"/>
  <c r="BD351" i="8"/>
  <c r="BF351" i="8"/>
  <c r="BF352" i="8" l="1"/>
  <c r="BD352" i="8"/>
  <c r="BE352" i="8"/>
  <c r="BG353" i="8"/>
  <c r="BG354" i="8" l="1"/>
  <c r="BD353" i="8"/>
  <c r="BE353" i="8"/>
  <c r="BF353" i="8"/>
  <c r="BD354" i="8" l="1"/>
  <c r="BG355" i="8"/>
  <c r="BE354" i="8"/>
  <c r="BF354" i="8"/>
  <c r="BD355" i="8" l="1"/>
  <c r="BE355" i="8"/>
  <c r="BF355" i="8"/>
  <c r="BG356" i="8"/>
  <c r="BG357" i="8" l="1"/>
  <c r="BD356" i="8"/>
  <c r="BE356" i="8"/>
  <c r="BF356" i="8"/>
  <c r="BE357" i="8" l="1"/>
  <c r="BD357" i="8"/>
  <c r="BF357" i="8"/>
  <c r="BG358" i="8"/>
  <c r="BD358" i="8" l="1"/>
  <c r="BG359" i="8"/>
  <c r="BE358" i="8"/>
  <c r="BF358" i="8"/>
  <c r="BE359" i="8" l="1"/>
  <c r="BF359" i="8"/>
  <c r="BD359" i="8"/>
  <c r="BG360" i="8"/>
  <c r="BF360" i="8" l="1"/>
  <c r="BD360" i="8"/>
  <c r="BE360" i="8"/>
  <c r="BG361" i="8"/>
  <c r="BD361" i="8" l="1"/>
  <c r="BE361" i="8"/>
  <c r="BF361" i="8"/>
  <c r="BG362" i="8"/>
  <c r="BD362" i="8" l="1"/>
  <c r="BG363" i="8"/>
  <c r="BE362" i="8"/>
  <c r="BF362" i="8"/>
  <c r="BG364" i="8" l="1"/>
  <c r="BD363" i="8"/>
  <c r="BE363" i="8"/>
  <c r="BF363" i="8"/>
  <c r="BF364" i="8" l="1"/>
  <c r="BG365" i="8"/>
  <c r="BD364" i="8"/>
  <c r="BE364" i="8"/>
  <c r="BE365" i="8" l="1"/>
  <c r="BG366" i="8"/>
  <c r="BD365" i="8"/>
  <c r="BF365" i="8"/>
  <c r="BF366" i="8" l="1"/>
  <c r="BG367" i="8"/>
  <c r="BE366" i="8"/>
  <c r="BD366" i="8"/>
  <c r="BG368" i="8" l="1"/>
  <c r="BD367" i="8"/>
  <c r="BE367" i="8"/>
  <c r="BF367" i="8"/>
  <c r="BF368" i="8" l="1"/>
  <c r="BD368" i="8"/>
  <c r="BE368" i="8"/>
  <c r="BG369" i="8"/>
  <c r="BF369" i="8" l="1"/>
  <c r="BG370" i="8"/>
  <c r="BD369" i="8"/>
  <c r="BE369" i="8"/>
  <c r="BD370" i="8" l="1"/>
  <c r="BG371" i="8"/>
  <c r="BE370" i="8"/>
  <c r="BF370" i="8"/>
  <c r="BG372" i="8" l="1"/>
  <c r="BE371" i="8"/>
  <c r="BD371" i="8"/>
  <c r="BF371" i="8"/>
  <c r="BG373" i="8" l="1"/>
  <c r="BD372" i="8"/>
  <c r="BE372" i="8"/>
  <c r="BF372" i="8"/>
  <c r="BE373" i="8" l="1"/>
  <c r="BG374" i="8"/>
  <c r="BD373" i="8"/>
  <c r="BF373" i="8"/>
  <c r="BD374" i="8" l="1"/>
  <c r="BG375" i="8"/>
  <c r="BF374" i="8"/>
  <c r="BE374" i="8"/>
  <c r="BE375" i="8" l="1"/>
  <c r="BF375" i="8"/>
  <c r="BG376" i="8"/>
  <c r="BD375" i="8"/>
  <c r="BG377" i="8" l="1"/>
  <c r="BE376" i="8"/>
  <c r="BD376" i="8"/>
  <c r="BF376" i="8"/>
  <c r="BD377" i="8" l="1"/>
  <c r="BG378" i="8"/>
  <c r="BE377" i="8"/>
  <c r="BF377" i="8"/>
  <c r="BF378" i="8" l="1"/>
  <c r="BG379" i="8"/>
  <c r="BE378" i="8"/>
  <c r="BD378" i="8"/>
  <c r="BD379" i="8" l="1"/>
  <c r="BE379" i="8"/>
  <c r="BF379" i="8"/>
  <c r="BG380" i="8"/>
  <c r="BD380" i="8" l="1"/>
  <c r="BG381" i="8"/>
  <c r="BE380" i="8"/>
  <c r="BF380" i="8"/>
  <c r="BE381" i="8" l="1"/>
  <c r="BF381" i="8"/>
  <c r="BD381" i="8"/>
  <c r="BG382" i="8"/>
  <c r="BD382" i="8" l="1"/>
  <c r="BG383" i="8"/>
  <c r="BE382" i="8"/>
  <c r="BF382" i="8"/>
  <c r="BE383" i="8" l="1"/>
  <c r="BF383" i="8"/>
  <c r="BG384" i="8"/>
  <c r="BD383" i="8"/>
  <c r="BD384" i="8" l="1"/>
  <c r="BE384" i="8"/>
  <c r="BF384" i="8"/>
  <c r="BG385" i="8"/>
  <c r="BD385" i="8" l="1"/>
  <c r="BG386" i="8"/>
  <c r="BE385" i="8"/>
  <c r="BF385" i="8"/>
  <c r="BF386" i="8" l="1"/>
  <c r="BD386" i="8"/>
  <c r="BE386" i="8"/>
  <c r="BG387" i="8"/>
  <c r="BG388" i="8" l="1"/>
  <c r="BF387" i="8"/>
  <c r="BD387" i="8"/>
  <c r="BE387" i="8"/>
  <c r="BD388" i="8" l="1"/>
  <c r="BG389" i="8"/>
  <c r="BE388" i="8"/>
  <c r="BF388" i="8"/>
  <c r="BG390" i="8" l="1"/>
  <c r="BD389" i="8"/>
  <c r="BE389" i="8"/>
  <c r="BF389" i="8"/>
  <c r="BD390" i="8" l="1"/>
  <c r="BG391" i="8"/>
  <c r="BF390" i="8"/>
  <c r="BE390" i="8"/>
  <c r="BE391" i="8" l="1"/>
  <c r="BF391" i="8"/>
  <c r="BG392" i="8"/>
  <c r="BD391" i="8"/>
  <c r="BG393" i="8" l="1"/>
  <c r="BE392" i="8"/>
  <c r="BD392" i="8"/>
  <c r="BF392" i="8"/>
  <c r="BD393" i="8" l="1"/>
  <c r="BG394" i="8"/>
  <c r="BE393" i="8"/>
  <c r="BF393" i="8"/>
  <c r="BF394" i="8" l="1"/>
  <c r="BG395" i="8"/>
  <c r="BE394" i="8"/>
  <c r="BD394" i="8"/>
  <c r="BD395" i="8" l="1"/>
  <c r="BE395" i="8"/>
  <c r="BF395" i="8"/>
  <c r="BG396" i="8"/>
  <c r="BD396" i="8" l="1"/>
  <c r="BG397" i="8"/>
  <c r="BE396" i="8"/>
  <c r="BF396" i="8"/>
  <c r="BE397" i="8" l="1"/>
  <c r="BF397" i="8"/>
  <c r="BD397" i="8"/>
  <c r="BG398" i="8"/>
  <c r="BD398" i="8" l="1"/>
  <c r="BG399" i="8"/>
  <c r="BE398" i="8"/>
  <c r="BF398" i="8"/>
  <c r="BE399" i="8" l="1"/>
  <c r="BF399" i="8"/>
  <c r="BG400" i="8"/>
  <c r="BD399" i="8"/>
  <c r="BD400" i="8" l="1"/>
  <c r="BE400" i="8"/>
  <c r="BF400" i="8"/>
  <c r="BG401" i="8"/>
  <c r="BD401" i="8" l="1"/>
  <c r="BG402" i="8"/>
  <c r="BE401" i="8"/>
  <c r="BF401" i="8"/>
  <c r="BF402" i="8" l="1"/>
  <c r="BD402" i="8"/>
  <c r="BE402" i="8"/>
  <c r="BG403" i="8"/>
  <c r="BG404" i="8" l="1"/>
  <c r="BF403" i="8"/>
  <c r="BD403" i="8"/>
  <c r="BE403" i="8"/>
  <c r="BD404" i="8" l="1"/>
  <c r="BG405" i="8"/>
  <c r="BE404" i="8"/>
  <c r="BF404" i="8"/>
  <c r="BG406" i="8" l="1"/>
  <c r="BD405" i="8"/>
  <c r="BE405" i="8"/>
  <c r="BF405" i="8"/>
  <c r="BD406" i="8" l="1"/>
  <c r="BG407" i="8"/>
  <c r="BF406" i="8"/>
  <c r="BE406" i="8"/>
  <c r="BE407" i="8" l="1"/>
  <c r="BF407" i="8"/>
  <c r="BG408" i="8"/>
  <c r="BD407" i="8"/>
  <c r="BG409" i="8" l="1"/>
  <c r="BE408" i="8"/>
  <c r="BD408" i="8"/>
  <c r="BF408" i="8"/>
  <c r="BD409" i="8" l="1"/>
  <c r="BG410" i="8"/>
  <c r="BE409" i="8"/>
  <c r="BF409" i="8"/>
  <c r="BF410" i="8" l="1"/>
  <c r="BG411" i="8"/>
  <c r="BE410" i="8"/>
  <c r="BD410" i="8"/>
  <c r="BD411" i="8" l="1"/>
  <c r="BE411" i="8"/>
  <c r="BF411" i="8"/>
  <c r="BG412" i="8"/>
  <c r="BD412" i="8" l="1"/>
  <c r="BG413" i="8"/>
  <c r="BE412" i="8"/>
  <c r="BF412" i="8"/>
  <c r="BE413" i="8" l="1"/>
  <c r="BF413" i="8"/>
  <c r="BD413" i="8"/>
  <c r="BG414" i="8"/>
  <c r="BD414" i="8" l="1"/>
  <c r="BG415" i="8"/>
  <c r="BE414" i="8"/>
  <c r="BF414" i="8"/>
  <c r="BE415" i="8" l="1"/>
  <c r="BF415" i="8"/>
  <c r="BG416" i="8"/>
  <c r="BD415" i="8"/>
  <c r="BG417" i="8" l="1"/>
  <c r="BD416" i="8"/>
  <c r="BE416" i="8"/>
  <c r="BF416" i="8"/>
  <c r="BD417" i="8" l="1"/>
  <c r="BG418" i="8"/>
  <c r="BF417" i="8"/>
  <c r="BE417" i="8"/>
  <c r="BG419" i="8" l="1"/>
  <c r="BD418" i="8"/>
  <c r="BE418" i="8"/>
  <c r="BF418" i="8"/>
  <c r="BE419" i="8" l="1"/>
  <c r="BF419" i="8"/>
  <c r="BG420" i="8"/>
  <c r="BD419" i="8"/>
  <c r="BE420" i="8" l="1"/>
  <c r="BG421" i="8"/>
  <c r="BD420" i="8"/>
  <c r="BF420" i="8"/>
  <c r="BD421" i="8" l="1"/>
  <c r="BG422" i="8"/>
  <c r="BE421" i="8"/>
  <c r="BF421" i="8"/>
  <c r="BE422" i="8" l="1"/>
  <c r="BG423" i="8"/>
  <c r="BD422" i="8"/>
  <c r="BF422" i="8"/>
  <c r="BD423" i="8" l="1"/>
  <c r="BG424" i="8"/>
  <c r="BE423" i="8"/>
  <c r="BF423" i="8"/>
  <c r="BE424" i="8" l="1"/>
  <c r="BF424" i="8"/>
  <c r="BG425" i="8"/>
  <c r="BD424" i="8"/>
  <c r="BF425" i="8" l="1"/>
  <c r="BG426" i="8"/>
  <c r="BD425" i="8"/>
  <c r="BE425" i="8"/>
  <c r="BD426" i="8" l="1"/>
  <c r="BG427" i="8"/>
  <c r="BE426" i="8"/>
  <c r="BF426" i="8"/>
  <c r="BF427" i="8" l="1"/>
  <c r="BG428" i="8"/>
  <c r="BD427" i="8"/>
  <c r="BE427" i="8"/>
  <c r="BD428" i="8" l="1"/>
  <c r="BG429" i="8"/>
  <c r="BE428" i="8"/>
  <c r="BF428" i="8"/>
  <c r="BD429" i="8" l="1"/>
  <c r="BG430" i="8"/>
  <c r="BE429" i="8"/>
  <c r="BF429" i="8"/>
  <c r="BG431" i="8" l="1"/>
  <c r="BD430" i="8"/>
  <c r="BE430" i="8"/>
  <c r="BF430" i="8"/>
  <c r="BD431" i="8" l="1"/>
  <c r="BG432" i="8"/>
  <c r="BE431" i="8"/>
  <c r="BF431" i="8"/>
  <c r="BE432" i="8" l="1"/>
  <c r="BF432" i="8"/>
  <c r="BG433" i="8"/>
  <c r="BD432" i="8"/>
  <c r="BF433" i="8" l="1"/>
  <c r="BG434" i="8"/>
  <c r="BD433" i="8"/>
  <c r="BE433" i="8"/>
  <c r="BD434" i="8" l="1"/>
  <c r="BG435" i="8"/>
  <c r="BE434" i="8"/>
  <c r="BF434" i="8"/>
  <c r="BF435" i="8" l="1"/>
  <c r="BG436" i="8"/>
  <c r="BD435" i="8"/>
  <c r="BE435" i="8"/>
  <c r="BD436" i="8" l="1"/>
  <c r="BG437" i="8"/>
  <c r="BE436" i="8"/>
  <c r="BF436" i="8"/>
  <c r="BD437" i="8" l="1"/>
  <c r="BG438" i="8"/>
  <c r="BE437" i="8"/>
  <c r="BF437" i="8"/>
  <c r="BG439" i="8" l="1"/>
  <c r="BD438" i="8"/>
  <c r="BE438" i="8"/>
  <c r="BF438" i="8"/>
  <c r="BD439" i="8" l="1"/>
  <c r="BG440" i="8"/>
  <c r="BE439" i="8"/>
  <c r="BF439" i="8"/>
  <c r="BE440" i="8" l="1"/>
  <c r="BF440" i="8"/>
  <c r="BG441" i="8"/>
  <c r="BD440" i="8"/>
  <c r="BF441" i="8" l="1"/>
  <c r="BG442" i="8"/>
  <c r="BD441" i="8"/>
  <c r="BE441" i="8"/>
  <c r="BD442" i="8" l="1"/>
  <c r="BG443" i="8"/>
  <c r="BE442" i="8"/>
  <c r="BF442" i="8"/>
  <c r="BF443" i="8" l="1"/>
  <c r="BG444" i="8"/>
  <c r="BD443" i="8"/>
  <c r="BE443" i="8"/>
  <c r="BD444" i="8" l="1"/>
  <c r="BG445" i="8"/>
  <c r="BE444" i="8"/>
  <c r="BF444" i="8"/>
  <c r="BD445" i="8" l="1"/>
  <c r="BG446" i="8"/>
  <c r="BE445" i="8"/>
  <c r="BF445" i="8"/>
  <c r="BG447" i="8" l="1"/>
  <c r="BD446" i="8"/>
  <c r="BE446" i="8"/>
  <c r="BF446" i="8"/>
  <c r="BD447" i="8" l="1"/>
  <c r="BG448" i="8"/>
  <c r="BE447" i="8"/>
  <c r="BF447" i="8"/>
  <c r="BE448" i="8" l="1"/>
  <c r="BF448" i="8"/>
  <c r="BG449" i="8"/>
  <c r="BD448" i="8"/>
  <c r="BF449" i="8" l="1"/>
  <c r="BG450" i="8"/>
  <c r="BD449" i="8"/>
  <c r="BE449" i="8"/>
  <c r="BD450" i="8" l="1"/>
  <c r="BG451" i="8"/>
  <c r="BE450" i="8"/>
  <c r="BF450" i="8"/>
  <c r="BF451" i="8" l="1"/>
  <c r="BG452" i="8"/>
  <c r="BD451" i="8"/>
  <c r="BE451" i="8"/>
  <c r="BD452" i="8" l="1"/>
  <c r="BG453" i="8"/>
  <c r="BE452" i="8"/>
  <c r="BF452" i="8"/>
  <c r="BD453" i="8" l="1"/>
  <c r="BG454" i="8"/>
  <c r="BE453" i="8"/>
  <c r="BF453" i="8"/>
  <c r="BG455" i="8" l="1"/>
  <c r="BD454" i="8"/>
  <c r="BE454" i="8"/>
  <c r="BF454" i="8"/>
  <c r="BD455" i="8" l="1"/>
  <c r="BG456" i="8"/>
  <c r="BE455" i="8"/>
  <c r="BF455" i="8"/>
  <c r="BE456" i="8" l="1"/>
  <c r="BF456" i="8"/>
  <c r="BG457" i="8"/>
  <c r="BD456" i="8"/>
  <c r="BF457" i="8" l="1"/>
  <c r="BG458" i="8"/>
  <c r="BD457" i="8"/>
  <c r="BE457" i="8"/>
  <c r="BD458" i="8" l="1"/>
  <c r="BG459" i="8"/>
  <c r="BE458" i="8"/>
  <c r="BF458" i="8"/>
  <c r="BF459" i="8" l="1"/>
  <c r="BG460" i="8"/>
  <c r="BD459" i="8"/>
  <c r="BE459" i="8"/>
  <c r="BD460" i="8" l="1"/>
  <c r="BG461" i="8"/>
  <c r="BE460" i="8"/>
  <c r="BF460" i="8"/>
  <c r="BD461" i="8" l="1"/>
  <c r="BG462" i="8"/>
  <c r="BE461" i="8"/>
  <c r="BF461" i="8"/>
  <c r="BG463" i="8" l="1"/>
  <c r="BD462" i="8"/>
  <c r="BE462" i="8"/>
  <c r="BF462" i="8"/>
  <c r="BD463" i="8" l="1"/>
  <c r="BG464" i="8"/>
  <c r="BE463" i="8"/>
  <c r="BF463" i="8"/>
  <c r="BE464" i="8" l="1"/>
  <c r="BF464" i="8"/>
  <c r="BG465" i="8"/>
  <c r="BD464" i="8"/>
  <c r="BF465" i="8" l="1"/>
  <c r="BG466" i="8"/>
  <c r="BD465" i="8"/>
  <c r="BE465" i="8"/>
  <c r="BD466" i="8" l="1"/>
  <c r="BG467" i="8"/>
  <c r="BE466" i="8"/>
  <c r="BF466" i="8"/>
  <c r="BF467" i="8" l="1"/>
  <c r="BG468" i="8"/>
  <c r="BD467" i="8"/>
  <c r="BE467" i="8"/>
  <c r="BD468" i="8" l="1"/>
  <c r="BG469" i="8"/>
  <c r="BE468" i="8"/>
  <c r="BF468" i="8"/>
  <c r="BD469" i="8" l="1"/>
  <c r="BG470" i="8"/>
  <c r="BE469" i="8"/>
  <c r="BF469" i="8"/>
  <c r="BG471" i="8" l="1"/>
  <c r="BD470" i="8"/>
  <c r="BE470" i="8"/>
  <c r="BF470" i="8"/>
  <c r="BD471" i="8" l="1"/>
  <c r="BG472" i="8"/>
  <c r="BE471" i="8"/>
  <c r="BF471" i="8"/>
  <c r="BE472" i="8" l="1"/>
  <c r="BF472" i="8"/>
  <c r="BG473" i="8"/>
  <c r="BD472" i="8"/>
  <c r="BF473" i="8" l="1"/>
  <c r="BG474" i="8"/>
  <c r="BD473" i="8"/>
  <c r="BE473" i="8"/>
  <c r="BD474" i="8" l="1"/>
  <c r="BG475" i="8"/>
  <c r="BE474" i="8"/>
  <c r="BF474" i="8"/>
  <c r="BF475" i="8" l="1"/>
  <c r="BG476" i="8"/>
  <c r="BD475" i="8"/>
  <c r="BE475" i="8"/>
  <c r="BD476" i="8" l="1"/>
  <c r="BE476" i="8"/>
  <c r="BF476" i="8"/>
  <c r="BG477" i="8"/>
  <c r="BD477" i="8" l="1"/>
  <c r="BG478" i="8"/>
  <c r="BE477" i="8"/>
  <c r="BF477" i="8"/>
  <c r="BE478" i="8" l="1"/>
  <c r="BF478" i="8"/>
  <c r="BG479" i="8"/>
  <c r="BD478" i="8"/>
  <c r="BD479" i="8" l="1"/>
  <c r="BG480" i="8"/>
  <c r="BE479" i="8"/>
  <c r="BF479" i="8"/>
  <c r="BE480" i="8" l="1"/>
  <c r="BF480" i="8"/>
  <c r="BG481" i="8"/>
  <c r="BD480" i="8"/>
  <c r="BG482" i="8" l="1"/>
  <c r="BD481" i="8"/>
  <c r="BE481" i="8"/>
  <c r="BF481" i="8"/>
  <c r="BD482" i="8" l="1"/>
  <c r="BG483" i="8"/>
  <c r="BE482" i="8"/>
  <c r="BF482" i="8"/>
  <c r="BF483" i="8" l="1"/>
  <c r="BG484" i="8"/>
  <c r="BD483" i="8"/>
  <c r="BE483" i="8"/>
  <c r="BG485" i="8" l="1"/>
  <c r="BD484" i="8"/>
  <c r="BE484" i="8"/>
  <c r="BF484" i="8"/>
  <c r="BD485" i="8" l="1"/>
  <c r="BG486" i="8"/>
  <c r="BE485" i="8"/>
  <c r="BF485" i="8"/>
  <c r="BG487" i="8" l="1"/>
  <c r="BD486" i="8"/>
  <c r="BE486" i="8"/>
  <c r="BF486" i="8"/>
  <c r="BD487" i="8" l="1"/>
  <c r="BE487" i="8"/>
  <c r="BF487" i="8"/>
  <c r="BG488" i="8"/>
  <c r="BE488" i="8" l="1"/>
  <c r="BF488" i="8"/>
  <c r="BG489" i="8"/>
  <c r="BD488" i="8"/>
  <c r="BG490" i="8" l="1"/>
  <c r="BD489" i="8"/>
  <c r="BE489" i="8"/>
  <c r="BF489" i="8"/>
  <c r="BD490" i="8" l="1"/>
  <c r="BG491" i="8"/>
  <c r="BE490" i="8"/>
  <c r="BF490" i="8"/>
  <c r="BG492" i="8" l="1"/>
  <c r="BD491" i="8"/>
  <c r="BE491" i="8"/>
  <c r="BF491" i="8"/>
  <c r="BF492" i="8" l="1"/>
  <c r="BD492" i="8"/>
  <c r="BG493" i="8"/>
  <c r="BE492" i="8"/>
  <c r="BD493" i="8" l="1"/>
  <c r="BG494" i="8"/>
  <c r="BE493" i="8"/>
  <c r="BF493" i="8"/>
  <c r="BD494" i="8" l="1"/>
  <c r="BG495" i="8"/>
  <c r="BE494" i="8"/>
  <c r="BF494" i="8"/>
  <c r="BD495" i="8" l="1"/>
  <c r="BG496" i="8"/>
  <c r="BE495" i="8"/>
  <c r="BF495" i="8"/>
  <c r="BD496" i="8" l="1"/>
  <c r="BG497" i="8"/>
  <c r="BE496" i="8"/>
  <c r="BF496" i="8"/>
  <c r="BE497" i="8" l="1"/>
  <c r="BF497" i="8"/>
  <c r="BD497" i="8"/>
  <c r="BG498" i="8"/>
  <c r="BD498" i="8" l="1"/>
  <c r="BG499" i="8"/>
  <c r="BE498" i="8"/>
  <c r="BF498" i="8"/>
  <c r="BD499" i="8" l="1"/>
  <c r="BG500" i="8"/>
  <c r="BE499" i="8"/>
  <c r="BF499" i="8"/>
  <c r="BF500" i="8" l="1"/>
  <c r="BD500" i="8"/>
  <c r="BG501" i="8"/>
  <c r="BE500" i="8"/>
  <c r="BD501" i="8" l="1"/>
  <c r="BG502" i="8"/>
  <c r="BE501" i="8"/>
  <c r="BF501" i="8"/>
  <c r="BD502" i="8" l="1"/>
  <c r="BG503" i="8"/>
  <c r="BE502" i="8"/>
  <c r="BF502" i="8"/>
  <c r="BD503" i="8" l="1"/>
  <c r="BG504" i="8"/>
  <c r="BE503" i="8"/>
  <c r="BF503" i="8"/>
  <c r="BD504" i="8" l="1"/>
  <c r="BG505" i="8"/>
  <c r="BE504" i="8"/>
  <c r="BF504" i="8"/>
  <c r="BE505" i="8" l="1"/>
  <c r="BF505" i="8"/>
  <c r="BD505" i="8"/>
  <c r="BG506" i="8"/>
  <c r="BD506" i="8" l="1"/>
  <c r="BG507" i="8"/>
  <c r="BE506" i="8"/>
  <c r="BF506" i="8"/>
  <c r="BD507" i="8" l="1"/>
  <c r="BG508" i="8"/>
  <c r="BE507" i="8"/>
  <c r="BF507" i="8"/>
  <c r="BF508" i="8" l="1"/>
  <c r="BD508" i="8"/>
  <c r="BG509" i="8"/>
  <c r="BE508" i="8"/>
  <c r="BD509" i="8" l="1"/>
  <c r="BG510" i="8"/>
  <c r="BE509" i="8"/>
  <c r="BF509" i="8"/>
  <c r="BD510" i="8" l="1"/>
  <c r="BG511" i="8"/>
  <c r="BE510" i="8"/>
  <c r="BF510" i="8"/>
  <c r="BD511" i="8" l="1"/>
  <c r="BG512" i="8"/>
  <c r="BE511" i="8"/>
  <c r="BF511" i="8"/>
  <c r="BD512" i="8" l="1"/>
  <c r="BG513" i="8"/>
  <c r="BE512" i="8"/>
  <c r="BF512" i="8"/>
  <c r="BE513" i="8" l="1"/>
  <c r="BF513" i="8"/>
  <c r="BD513" i="8"/>
  <c r="BG514" i="8"/>
  <c r="BD514" i="8" l="1"/>
  <c r="BG515" i="8"/>
  <c r="BE514" i="8"/>
  <c r="BF514" i="8"/>
  <c r="BD515" i="8" l="1"/>
  <c r="BG516" i="8"/>
  <c r="BE515" i="8"/>
  <c r="BF515" i="8"/>
  <c r="BF516" i="8" l="1"/>
  <c r="BD516" i="8"/>
  <c r="BG517" i="8"/>
  <c r="BE516" i="8"/>
  <c r="BD517" i="8" l="1"/>
  <c r="BG518" i="8"/>
  <c r="BE517" i="8"/>
  <c r="BF517" i="8"/>
  <c r="BD518" i="8" l="1"/>
  <c r="BG519" i="8"/>
  <c r="BE518" i="8"/>
  <c r="BF518" i="8"/>
  <c r="BD519" i="8" l="1"/>
  <c r="BG520" i="8"/>
  <c r="BE519" i="8"/>
  <c r="BF519" i="8"/>
  <c r="BD520" i="8" l="1"/>
  <c r="BG521" i="8"/>
  <c r="BE520" i="8"/>
  <c r="BF520" i="8"/>
  <c r="BE521" i="8" l="1"/>
  <c r="BF521" i="8"/>
  <c r="BD521" i="8"/>
  <c r="BG522" i="8"/>
  <c r="BD522" i="8" l="1"/>
  <c r="BG523" i="8"/>
  <c r="BE522" i="8"/>
  <c r="BF522" i="8"/>
  <c r="BD523" i="8" l="1"/>
  <c r="BG524" i="8"/>
  <c r="BE523" i="8"/>
  <c r="BF523" i="8"/>
  <c r="BF524" i="8" l="1"/>
  <c r="BD524" i="8"/>
  <c r="BE524" i="8"/>
  <c r="AC14" i="8" l="1"/>
  <c r="AD14" i="8" s="1"/>
  <c r="AC15" i="8"/>
  <c r="AD15" i="8" s="1"/>
  <c r="AC16" i="8"/>
  <c r="AD16" i="8" s="1"/>
  <c r="AC12" i="8"/>
  <c r="AD12" i="8" s="1"/>
  <c r="AC7" i="8"/>
  <c r="AD7" i="8" s="1"/>
  <c r="AC26" i="8"/>
  <c r="AD26" i="8" s="1"/>
  <c r="AC28" i="8"/>
  <c r="AD28" i="8" s="1"/>
  <c r="AC19" i="8"/>
  <c r="AD19" i="8" s="1"/>
  <c r="AC17" i="8"/>
  <c r="AD17" i="8" s="1"/>
  <c r="AC23" i="8"/>
  <c r="AD23" i="8" s="1"/>
  <c r="AC10" i="8"/>
  <c r="AD10" i="8" s="1"/>
  <c r="AC8" i="8"/>
  <c r="AD8" i="8" s="1"/>
  <c r="AC13" i="8"/>
  <c r="AD13" i="8" s="1"/>
  <c r="AC18" i="8"/>
  <c r="AD18" i="8" s="1"/>
  <c r="AC27" i="8"/>
  <c r="AD27" i="8" s="1"/>
  <c r="AC11" i="8"/>
  <c r="AD11" i="8" s="1"/>
  <c r="AC6" i="8"/>
  <c r="AD6" i="8" s="1"/>
  <c r="AC5" i="8"/>
  <c r="AD5" i="8" s="1"/>
  <c r="AC21" i="8"/>
  <c r="AD21" i="8" s="1"/>
  <c r="AC20" i="8"/>
  <c r="AD20" i="8" s="1"/>
  <c r="AC9" i="8"/>
  <c r="AD9" i="8" s="1"/>
  <c r="AC25" i="8"/>
  <c r="AD25" i="8" s="1"/>
  <c r="AC22" i="8"/>
  <c r="AD22" i="8" s="1"/>
  <c r="AC24" i="8"/>
  <c r="AD24" i="8" s="1"/>
  <c r="AD2" i="8" l="1"/>
  <c r="AD1" i="8"/>
  <c r="AF82" i="8"/>
  <c r="AF65" i="8"/>
  <c r="AF81" i="8"/>
  <c r="AF79" i="8"/>
  <c r="AF72" i="8"/>
  <c r="AF80" i="8"/>
  <c r="AF63" i="8"/>
  <c r="AE9" i="8"/>
  <c r="AF61" i="8"/>
  <c r="AE7" i="8"/>
  <c r="AF78" i="8"/>
  <c r="AF67" i="8"/>
  <c r="AE13" i="8"/>
  <c r="AF62" i="8"/>
  <c r="AE8" i="8"/>
  <c r="AF66" i="8"/>
  <c r="AF71" i="8"/>
  <c r="AF76" i="8"/>
  <c r="AF75" i="8"/>
  <c r="AF64" i="8"/>
  <c r="AE10" i="8"/>
  <c r="AB11" i="8" s="1"/>
  <c r="AF70" i="8"/>
  <c r="AF60" i="8"/>
  <c r="AF73" i="8"/>
  <c r="AF74" i="8"/>
  <c r="AF59" i="8"/>
  <c r="AE5" i="8"/>
  <c r="AF77" i="8"/>
  <c r="AF69" i="8"/>
  <c r="AF68" i="8"/>
  <c r="AE14" i="8"/>
  <c r="AB6" i="8" l="1"/>
  <c r="AE11" i="8"/>
  <c r="AB12" i="8" s="1"/>
  <c r="AE65" i="8"/>
  <c r="AE15" i="8"/>
  <c r="AE69" i="8"/>
  <c r="AE70" i="8" l="1"/>
  <c r="AE16" i="8"/>
  <c r="AE66" i="8"/>
  <c r="AE12" i="8"/>
  <c r="AE6" i="8"/>
  <c r="AE60" i="8"/>
  <c r="AE17" i="8" l="1"/>
  <c r="AE71" i="8"/>
  <c r="AB18" i="8" l="1"/>
  <c r="AE18" i="8" l="1"/>
  <c r="AE72" i="8"/>
  <c r="AE73" i="8" l="1"/>
  <c r="AE19" i="8"/>
  <c r="AB20" i="8" s="1"/>
  <c r="AE20" i="8" l="1"/>
  <c r="AE74" i="8"/>
  <c r="AE75" i="8" l="1"/>
  <c r="AE21" i="8"/>
  <c r="AB22" i="8" l="1"/>
  <c r="AE22" i="8" s="1"/>
  <c r="AE76" i="8"/>
  <c r="AB23" i="8" l="1"/>
  <c r="AE23" i="8" s="1"/>
  <c r="AB24" i="8" s="1"/>
  <c r="AE77" i="8"/>
  <c r="AE24" i="8" l="1"/>
  <c r="AE78" i="8"/>
  <c r="AB25" i="8" l="1"/>
  <c r="AE25" i="8" s="1"/>
  <c r="AB26" i="8" s="1"/>
  <c r="AE79" i="8"/>
  <c r="AE26" i="8" l="1"/>
  <c r="AE80" i="8"/>
  <c r="AB27" i="8" l="1"/>
  <c r="AE27" i="8" s="1"/>
  <c r="AB28" i="8" s="1"/>
  <c r="AE81" i="8"/>
  <c r="AE28" i="8" l="1"/>
  <c r="AE82" i="8"/>
  <c r="AE90" i="12" l="1"/>
  <c r="AE89" i="12" s="1"/>
  <c r="AE88" i="12" s="1"/>
  <c r="AE87" i="12" s="1"/>
  <c r="AE86" i="12" s="1"/>
  <c r="AE85" i="12" s="1"/>
  <c r="AE84" i="12" s="1"/>
  <c r="AE83" i="12" s="1"/>
  <c r="AE82" i="12" s="1"/>
  <c r="Z28" i="12" l="1"/>
  <c r="Z27" i="12" s="1"/>
  <c r="Z26" i="12" s="1"/>
  <c r="AE80" i="12"/>
  <c r="AE79" i="12" s="1"/>
  <c r="AE78" i="12" s="1"/>
  <c r="AE77" i="12" s="1"/>
  <c r="AE76" i="12" s="1"/>
  <c r="AE75" i="12" s="1"/>
  <c r="AE74" i="12" s="1"/>
  <c r="AE73" i="12" s="1"/>
  <c r="AE72" i="12" s="1"/>
  <c r="AE71" i="12" s="1"/>
  <c r="AE70" i="12" s="1"/>
  <c r="AE69" i="12" s="1"/>
  <c r="AE68" i="12" s="1"/>
  <c r="AE67" i="12" s="1"/>
  <c r="T41" i="12" l="1"/>
  <c r="T27" i="12"/>
  <c r="T28" i="12"/>
  <c r="T29" i="12"/>
  <c r="T30" i="12"/>
  <c r="T31" i="12"/>
  <c r="T32" i="12"/>
  <c r="T33" i="12"/>
  <c r="T34" i="12"/>
  <c r="T35" i="12"/>
  <c r="T36" i="12"/>
  <c r="T37" i="12"/>
  <c r="T38" i="12"/>
  <c r="T39" i="12"/>
  <c r="T40" i="12"/>
  <c r="AE5" i="12"/>
  <c r="AE6" i="12"/>
  <c r="R49" i="2"/>
  <c r="Z49" i="2"/>
  <c r="V49" i="2"/>
  <c r="AD49" i="2"/>
  <c r="AA49" i="2"/>
  <c r="K49" i="2"/>
  <c r="AE49" i="2" s="1"/>
  <c r="L49" i="2"/>
  <c r="R22" i="2"/>
  <c r="L22" i="2"/>
  <c r="Z22" i="2"/>
  <c r="AA22" i="2"/>
  <c r="AE15" i="12" s="1"/>
  <c r="V22" i="2"/>
  <c r="AD22" i="2"/>
  <c r="K22" i="2"/>
  <c r="AE22" i="2" s="1"/>
  <c r="AF22" i="2" l="1"/>
  <c r="AC22" i="2" s="1"/>
  <c r="AF49" i="2"/>
  <c r="AC49" i="2" s="1"/>
  <c r="AB22" i="2"/>
  <c r="BE22" i="2"/>
  <c r="AY22" i="2"/>
  <c r="AX49" i="2"/>
  <c r="S49" i="27" s="1"/>
  <c r="S42" i="27" s="1"/>
  <c r="BD49" i="2"/>
  <c r="N21" i="26" s="1"/>
  <c r="T24" i="12"/>
  <c r="T25" i="12"/>
  <c r="T23" i="12"/>
  <c r="T22" i="12"/>
  <c r="R25" i="2"/>
  <c r="Z25" i="2"/>
  <c r="K25" i="2"/>
  <c r="AE25" i="2" s="1"/>
  <c r="V25" i="2"/>
  <c r="AD25" i="2"/>
  <c r="L25" i="2"/>
  <c r="AA25" i="2"/>
  <c r="AE22" i="12" s="1"/>
  <c r="BQ118" i="2" l="1"/>
  <c r="Q13" i="35" s="1"/>
  <c r="AB49" i="2"/>
  <c r="AF25" i="2"/>
  <c r="AC25" i="2" s="1"/>
  <c r="H21" i="26"/>
  <c r="H2" i="26" s="1"/>
  <c r="T21" i="26"/>
  <c r="T2" i="26" s="1"/>
  <c r="G49" i="27"/>
  <c r="BA25" i="2"/>
  <c r="AU25" i="2"/>
  <c r="M49" i="27"/>
  <c r="Y49" i="27"/>
  <c r="Y42" i="27" s="1"/>
  <c r="N2" i="26"/>
  <c r="Z21" i="26"/>
  <c r="Z2" i="26" s="1"/>
  <c r="K59" i="2"/>
  <c r="AE59" i="2" s="1"/>
  <c r="Z59" i="2"/>
  <c r="V59" i="2"/>
  <c r="R59" i="2"/>
  <c r="BU113" i="2" l="1"/>
  <c r="AB25" i="2"/>
  <c r="AF59" i="2"/>
  <c r="AC59" i="2" s="1"/>
  <c r="AT59" i="2"/>
  <c r="AZ59" i="2"/>
  <c r="P49" i="27"/>
  <c r="P42" i="27" s="1"/>
  <c r="D49" i="27"/>
  <c r="J49" i="27"/>
  <c r="J42" i="27" s="1"/>
  <c r="V49" i="27"/>
  <c r="V42" i="27" s="1"/>
  <c r="Q21" i="26"/>
  <c r="Q2" i="26" s="1"/>
  <c r="E21" i="26"/>
  <c r="E2" i="26" s="1"/>
  <c r="K21" i="26"/>
  <c r="K2" i="26" s="1"/>
  <c r="W21" i="26"/>
  <c r="W2" i="26" s="1"/>
  <c r="AE66" i="12"/>
  <c r="AE65" i="12" s="1"/>
  <c r="AE64" i="12" s="1"/>
  <c r="AE63" i="12" s="1"/>
  <c r="BQ115" i="2" l="1"/>
  <c r="Q10" i="35" s="1"/>
  <c r="BU109" i="2"/>
  <c r="U4" i="35" s="1"/>
  <c r="BU152" i="2"/>
  <c r="U47" i="35" s="1"/>
  <c r="U8" i="35"/>
  <c r="AB59" i="2"/>
  <c r="I44" i="27"/>
  <c r="U44" i="27"/>
  <c r="O44" i="27"/>
  <c r="D23" i="26"/>
  <c r="D4" i="26" s="1"/>
  <c r="P23" i="26"/>
  <c r="P4" i="26" s="1"/>
  <c r="V23" i="26"/>
  <c r="V4" i="26" s="1"/>
  <c r="J23" i="26"/>
  <c r="J4" i="26" s="1"/>
  <c r="AE16" i="12"/>
  <c r="AE31" i="12"/>
  <c r="T26" i="12"/>
  <c r="T11" i="12"/>
  <c r="Z14" i="12" l="1"/>
  <c r="AE17" i="12"/>
  <c r="AE57" i="12" l="1"/>
  <c r="AE55" i="12"/>
  <c r="AD53" i="2" l="1"/>
  <c r="AD14" i="2"/>
  <c r="L9" i="2"/>
  <c r="R10" i="2"/>
  <c r="R32" i="2"/>
  <c r="Z14" i="2"/>
  <c r="AA53" i="2"/>
  <c r="Z25" i="12" s="1"/>
  <c r="AA10" i="2"/>
  <c r="T12" i="12" s="1"/>
  <c r="AD10" i="2"/>
  <c r="K9" i="2"/>
  <c r="Z53" i="2"/>
  <c r="R9" i="2"/>
  <c r="Z10" i="2"/>
  <c r="AA14" i="2"/>
  <c r="R53" i="2"/>
  <c r="J17" i="3" s="1"/>
  <c r="AD9" i="2"/>
  <c r="Z32" i="2"/>
  <c r="R14" i="2"/>
  <c r="Z9" i="2"/>
  <c r="AD32" i="2"/>
  <c r="L14" i="2"/>
  <c r="L53" i="2"/>
  <c r="K53" i="2"/>
  <c r="F6" i="3" s="1"/>
  <c r="AA32" i="2"/>
  <c r="V53" i="2"/>
  <c r="V14" i="2"/>
  <c r="K10" i="2"/>
  <c r="AE10" i="2" s="1"/>
  <c r="L32" i="2"/>
  <c r="K14" i="2"/>
  <c r="L10" i="2"/>
  <c r="V32" i="2"/>
  <c r="V9" i="2"/>
  <c r="V10" i="2"/>
  <c r="K32" i="2"/>
  <c r="AE32" i="2" s="1"/>
  <c r="AA9" i="2"/>
  <c r="AE7" i="12" s="1"/>
  <c r="AE13" i="12" l="1"/>
  <c r="AE14" i="12"/>
  <c r="G17" i="3"/>
  <c r="G6" i="3"/>
  <c r="E6" i="3"/>
  <c r="J15" i="3"/>
  <c r="AE9" i="2"/>
  <c r="AF9" i="2" s="1"/>
  <c r="AC9" i="2" s="1"/>
  <c r="AE10" i="12"/>
  <c r="AE11" i="12"/>
  <c r="Z23" i="12"/>
  <c r="Z24" i="12"/>
  <c r="AE8" i="12"/>
  <c r="AE9" i="12"/>
  <c r="Z6" i="12"/>
  <c r="AE34" i="12"/>
  <c r="G15" i="3"/>
  <c r="D6" i="3"/>
  <c r="E17" i="3"/>
  <c r="D17" i="3"/>
  <c r="D15" i="3"/>
  <c r="E15" i="3"/>
  <c r="AE53" i="2"/>
  <c r="AB53" i="2" s="1"/>
  <c r="F17" i="3"/>
  <c r="AE14" i="2"/>
  <c r="AF14" i="2" s="1"/>
  <c r="AC14" i="2" s="1"/>
  <c r="F15" i="3"/>
  <c r="AF32" i="2"/>
  <c r="AC32" i="2" s="1"/>
  <c r="AB10" i="2"/>
  <c r="AB32" i="2"/>
  <c r="T8" i="12"/>
  <c r="T19" i="12"/>
  <c r="BC10" i="2"/>
  <c r="AW10" i="2"/>
  <c r="BE32" i="2"/>
  <c r="AY32" i="2"/>
  <c r="BB9" i="2"/>
  <c r="AV9" i="2"/>
  <c r="AV53" i="2"/>
  <c r="BB53" i="2"/>
  <c r="AZ14" i="2"/>
  <c r="I49" i="27" s="1"/>
  <c r="AT14" i="2"/>
  <c r="C19" i="3"/>
  <c r="C18" i="3"/>
  <c r="AE24" i="12"/>
  <c r="AE23" i="12"/>
  <c r="AE37" i="12"/>
  <c r="AE25" i="12"/>
  <c r="AE26" i="12"/>
  <c r="T18" i="12"/>
  <c r="AE48" i="12"/>
  <c r="AE20" i="12"/>
  <c r="Z8" i="12"/>
  <c r="Z7" i="12" s="1"/>
  <c r="AE18" i="12"/>
  <c r="AE2" i="12"/>
  <c r="Z2" i="12"/>
  <c r="T2" i="12"/>
  <c r="AE43" i="12"/>
  <c r="AE42" i="12"/>
  <c r="AE29" i="12"/>
  <c r="T16" i="12"/>
  <c r="T20" i="12"/>
  <c r="AE39" i="12"/>
  <c r="AE38" i="12"/>
  <c r="AE52" i="12"/>
  <c r="AE12" i="12"/>
  <c r="AE53" i="12"/>
  <c r="T15" i="12"/>
  <c r="T9" i="12"/>
  <c r="AE3" i="12"/>
  <c r="Z3" i="12"/>
  <c r="AE44" i="12"/>
  <c r="AE56" i="12"/>
  <c r="AE41" i="12"/>
  <c r="AE49" i="12"/>
  <c r="Z12" i="12"/>
  <c r="AE19" i="12"/>
  <c r="T3" i="12"/>
  <c r="AE40" i="12"/>
  <c r="T7" i="12"/>
  <c r="Z10" i="12"/>
  <c r="AE62" i="12"/>
  <c r="AE61" i="12" s="1"/>
  <c r="AE60" i="12" s="1"/>
  <c r="Z22" i="12"/>
  <c r="AE36" i="12"/>
  <c r="T21" i="12"/>
  <c r="Z21" i="12"/>
  <c r="Z20" i="12" s="1"/>
  <c r="Z19" i="12" s="1"/>
  <c r="AE54" i="12"/>
  <c r="Z16" i="12"/>
  <c r="AE47" i="12"/>
  <c r="T10" i="12"/>
  <c r="Z5" i="12"/>
  <c r="AE33" i="12"/>
  <c r="AE21" i="12"/>
  <c r="Z9" i="12"/>
  <c r="AE30" i="12"/>
  <c r="Z13" i="12"/>
  <c r="AE28" i="12"/>
  <c r="AE4" i="12"/>
  <c r="Z4" i="12"/>
  <c r="T4" i="12"/>
  <c r="AE58" i="12"/>
  <c r="T5" i="12"/>
  <c r="AE35" i="12"/>
  <c r="AE45" i="12"/>
  <c r="AE46" i="12"/>
  <c r="AE50" i="12"/>
  <c r="AE51" i="12"/>
  <c r="T17" i="12"/>
  <c r="AE59" i="12"/>
  <c r="Z15" i="12"/>
  <c r="T6" i="12"/>
  <c r="K4" i="12"/>
  <c r="K14" i="12"/>
  <c r="AE27" i="12"/>
  <c r="Z18" i="12"/>
  <c r="T13" i="12"/>
  <c r="C15" i="3"/>
  <c r="K13" i="12"/>
  <c r="H17" i="12"/>
  <c r="K6" i="12"/>
  <c r="K16" i="12"/>
  <c r="H7" i="12"/>
  <c r="H12" i="12"/>
  <c r="C17" i="3"/>
  <c r="K7" i="12"/>
  <c r="H5" i="12"/>
  <c r="K9" i="12"/>
  <c r="H10" i="12"/>
  <c r="H9" i="12"/>
  <c r="H15" i="12"/>
  <c r="Z11" i="12"/>
  <c r="C16" i="3"/>
  <c r="K11" i="12"/>
  <c r="H16" i="12"/>
  <c r="K12" i="12"/>
  <c r="H4" i="12"/>
  <c r="K15" i="12"/>
  <c r="AE32" i="12"/>
  <c r="Z17" i="12"/>
  <c r="K18" i="12"/>
  <c r="H11" i="12"/>
  <c r="K17" i="12"/>
  <c r="K5" i="12"/>
  <c r="H8" i="12"/>
  <c r="H13" i="12"/>
  <c r="H6" i="12"/>
  <c r="H14" i="12"/>
  <c r="K8" i="12"/>
  <c r="H18" i="12"/>
  <c r="T14" i="12"/>
  <c r="K10" i="12"/>
  <c r="BQ122" i="2" l="1"/>
  <c r="Q17" i="35" s="1"/>
  <c r="BU111" i="2"/>
  <c r="BU108" i="2"/>
  <c r="BU110" i="2"/>
  <c r="BQ110" i="2"/>
  <c r="Q5" i="35" s="1"/>
  <c r="BU140" i="2"/>
  <c r="U35" i="35" s="1"/>
  <c r="J20" i="3"/>
  <c r="Y6" i="3"/>
  <c r="L7" i="29"/>
  <c r="H17" i="3"/>
  <c r="AF53" i="2"/>
  <c r="AC53" i="2" s="1"/>
  <c r="AB14" i="2"/>
  <c r="G20" i="3"/>
  <c r="AB9" i="2"/>
  <c r="AF10" i="2"/>
  <c r="AC10" i="2" s="1"/>
  <c r="E20" i="3"/>
  <c r="D20" i="3"/>
  <c r="V21" i="26"/>
  <c r="J21" i="26"/>
  <c r="U49" i="27"/>
  <c r="P21" i="26"/>
  <c r="D21" i="26"/>
  <c r="D2" i="26" s="1"/>
  <c r="O49" i="27"/>
  <c r="C49" i="27"/>
  <c r="E49" i="27"/>
  <c r="Q49" i="27"/>
  <c r="W49" i="27"/>
  <c r="W42" i="27" s="1"/>
  <c r="H49" i="27"/>
  <c r="H42" i="27" s="1"/>
  <c r="T49" i="27"/>
  <c r="N49" i="27"/>
  <c r="N42" i="27" s="1"/>
  <c r="Z49" i="27"/>
  <c r="L49" i="27"/>
  <c r="X49" i="27"/>
  <c r="F49" i="27"/>
  <c r="R49" i="27"/>
  <c r="K49" i="27"/>
  <c r="K42" i="27" s="1"/>
  <c r="K44" i="27"/>
  <c r="W44" i="27"/>
  <c r="Q44" i="27"/>
  <c r="L21" i="26"/>
  <c r="L2" i="26" s="1"/>
  <c r="X21" i="26"/>
  <c r="X2" i="26" s="1"/>
  <c r="R21" i="26"/>
  <c r="R2" i="26" s="1"/>
  <c r="F21" i="26"/>
  <c r="F2" i="26" s="1"/>
  <c r="I21" i="26"/>
  <c r="I2" i="26" s="1"/>
  <c r="U21" i="26"/>
  <c r="U2" i="26" s="1"/>
  <c r="AA21" i="26"/>
  <c r="AA2" i="26" s="1"/>
  <c r="O21" i="26"/>
  <c r="O2" i="26" s="1"/>
  <c r="Y21" i="26"/>
  <c r="M21" i="26"/>
  <c r="S21" i="26"/>
  <c r="G21" i="26"/>
  <c r="L23" i="26"/>
  <c r="L4" i="26" s="1"/>
  <c r="X23" i="26"/>
  <c r="X4" i="26" s="1"/>
  <c r="F23" i="26"/>
  <c r="F4" i="26" s="1"/>
  <c r="R23" i="26"/>
  <c r="R4" i="26" s="1"/>
  <c r="F13" i="12"/>
  <c r="F18" i="12"/>
  <c r="F5" i="12"/>
  <c r="F15" i="12"/>
  <c r="F7" i="12"/>
  <c r="F12" i="12"/>
  <c r="F10" i="12"/>
  <c r="F6" i="12"/>
  <c r="F4" i="12"/>
  <c r="F11" i="12"/>
  <c r="F17" i="12"/>
  <c r="F8" i="12"/>
  <c r="F9" i="12"/>
  <c r="F14" i="12"/>
  <c r="F16" i="12"/>
  <c r="BQ108" i="2" l="1"/>
  <c r="Q3" i="35" s="1"/>
  <c r="BU117" i="2"/>
  <c r="U12" i="35" s="1"/>
  <c r="BU114" i="2"/>
  <c r="BQ111" i="2"/>
  <c r="Q6" i="35" s="1"/>
  <c r="BU139" i="2"/>
  <c r="CB140" i="2" s="1"/>
  <c r="BU151" i="2"/>
  <c r="U46" i="35" s="1"/>
  <c r="U5" i="35"/>
  <c r="BU144" i="2"/>
  <c r="U39" i="35" s="1"/>
  <c r="U6" i="35"/>
  <c r="BU150" i="2"/>
  <c r="U45" i="35" s="1"/>
  <c r="U3" i="35"/>
  <c r="I15" i="3"/>
  <c r="AB44" i="27"/>
  <c r="AB49" i="27"/>
  <c r="H15" i="3"/>
  <c r="I17" i="3"/>
  <c r="CA110" i="2" l="1"/>
  <c r="BY113" i="2"/>
  <c r="CE128" i="2"/>
  <c r="AE23" i="35" s="1"/>
  <c r="CD114" i="2"/>
  <c r="CC129" i="2"/>
  <c r="AC24" i="35" s="1"/>
  <c r="BZ118" i="2"/>
  <c r="Z13" i="35" s="1"/>
  <c r="CE113" i="2"/>
  <c r="AE8" i="35" s="1"/>
  <c r="BZ124" i="2"/>
  <c r="Z19" i="35" s="1"/>
  <c r="CD121" i="2"/>
  <c r="AD16" i="35" s="1"/>
  <c r="BY125" i="2"/>
  <c r="CC124" i="2"/>
  <c r="CC108" i="2"/>
  <c r="CB121" i="2"/>
  <c r="BZ123" i="2"/>
  <c r="Z18" i="35" s="1"/>
  <c r="U9" i="35"/>
  <c r="CC127" i="2"/>
  <c r="AC22" i="35" s="1"/>
  <c r="BY119" i="2"/>
  <c r="Y14" i="35" s="1"/>
  <c r="CB132" i="2"/>
  <c r="BY120" i="2"/>
  <c r="CB124" i="2"/>
  <c r="CC115" i="2"/>
  <c r="AC10" i="35" s="1"/>
  <c r="CA120" i="2"/>
  <c r="AA15" i="35" s="1"/>
  <c r="CB126" i="2"/>
  <c r="AB21" i="35" s="1"/>
  <c r="CD112" i="2"/>
  <c r="AD7" i="35" s="1"/>
  <c r="CA116" i="2"/>
  <c r="AA11" i="35" s="1"/>
  <c r="CE122" i="2"/>
  <c r="CD120" i="2"/>
  <c r="AD15" i="35" s="1"/>
  <c r="CC128" i="2"/>
  <c r="CA128" i="2"/>
  <c r="AA23" i="35" s="1"/>
  <c r="CE124" i="2"/>
  <c r="AE19" i="35" s="1"/>
  <c r="CA109" i="2"/>
  <c r="AA4" i="35" s="1"/>
  <c r="BY127" i="2"/>
  <c r="Y22" i="35" s="1"/>
  <c r="CA115" i="2"/>
  <c r="AA10" i="35" s="1"/>
  <c r="CB127" i="2"/>
  <c r="CB108" i="2"/>
  <c r="AB3" i="35" s="1"/>
  <c r="CB116" i="2"/>
  <c r="BZ121" i="2"/>
  <c r="Z16" i="35" s="1"/>
  <c r="CD124" i="2"/>
  <c r="AD19" i="35" s="1"/>
  <c r="CC116" i="2"/>
  <c r="AC11" i="35" s="1"/>
  <c r="CA121" i="2"/>
  <c r="AA16" i="35" s="1"/>
  <c r="CB115" i="2"/>
  <c r="AB10" i="35" s="1"/>
  <c r="BZ110" i="2"/>
  <c r="BY132" i="2"/>
  <c r="Y27" i="35" s="1"/>
  <c r="CA113" i="2"/>
  <c r="CE108" i="2"/>
  <c r="AE3" i="35" s="1"/>
  <c r="CB123" i="2"/>
  <c r="AB18" i="35" s="1"/>
  <c r="CB109" i="2"/>
  <c r="AB4" i="35" s="1"/>
  <c r="CB139" i="2"/>
  <c r="AB34" i="35" s="1"/>
  <c r="CC141" i="2"/>
  <c r="AC36" i="35" s="1"/>
  <c r="CB141" i="2"/>
  <c r="CE141" i="2"/>
  <c r="AE36" i="35" s="1"/>
  <c r="CE140" i="2"/>
  <c r="BZ141" i="2"/>
  <c r="Z36" i="35" s="1"/>
  <c r="BZ139" i="2"/>
  <c r="Z34" i="35" s="1"/>
  <c r="CD139" i="2"/>
  <c r="AD34" i="35" s="1"/>
  <c r="BY141" i="2"/>
  <c r="Y36" i="35" s="1"/>
  <c r="CD140" i="2"/>
  <c r="AD35" i="35" s="1"/>
  <c r="CE139" i="2"/>
  <c r="AE34" i="35" s="1"/>
  <c r="CC139" i="2"/>
  <c r="AC34" i="35" s="1"/>
  <c r="CD141" i="2"/>
  <c r="CA141" i="2"/>
  <c r="AA36" i="35" s="1"/>
  <c r="BZ140" i="2"/>
  <c r="Z35" i="35" s="1"/>
  <c r="CC140" i="2"/>
  <c r="AC35" i="35" s="1"/>
  <c r="CA140" i="2"/>
  <c r="AA35" i="35" s="1"/>
  <c r="BY139" i="2"/>
  <c r="Y34" i="35" s="1"/>
  <c r="CA139" i="2"/>
  <c r="AA34" i="35" s="1"/>
  <c r="BY110" i="2"/>
  <c r="Y5" i="35" s="1"/>
  <c r="CD117" i="2"/>
  <c r="CE115" i="2"/>
  <c r="AE10" i="35" s="1"/>
  <c r="BZ112" i="2"/>
  <c r="Z7" i="35" s="1"/>
  <c r="CC122" i="2"/>
  <c r="AC17" i="35" s="1"/>
  <c r="CA126" i="2"/>
  <c r="AA21" i="35" s="1"/>
  <c r="BZ129" i="2"/>
  <c r="Z24" i="35" s="1"/>
  <c r="CE120" i="2"/>
  <c r="BZ126" i="2"/>
  <c r="Z21" i="35" s="1"/>
  <c r="CE121" i="2"/>
  <c r="AE16" i="35" s="1"/>
  <c r="BZ122" i="2"/>
  <c r="Z17" i="35" s="1"/>
  <c r="CE114" i="2"/>
  <c r="AE9" i="35" s="1"/>
  <c r="CC111" i="2"/>
  <c r="AC6" i="35" s="1"/>
  <c r="CB120" i="2"/>
  <c r="AB15" i="35" s="1"/>
  <c r="CA119" i="2"/>
  <c r="AA14" i="35" s="1"/>
  <c r="CE132" i="2"/>
  <c r="CA127" i="2"/>
  <c r="AA22" i="35" s="1"/>
  <c r="CD122" i="2"/>
  <c r="AD17" i="35" s="1"/>
  <c r="CE125" i="2"/>
  <c r="AE20" i="35" s="1"/>
  <c r="CB131" i="2"/>
  <c r="AB26" i="35" s="1"/>
  <c r="CE110" i="2"/>
  <c r="AE5" i="35" s="1"/>
  <c r="CD132" i="2"/>
  <c r="AD27" i="35" s="1"/>
  <c r="CA117" i="2"/>
  <c r="AA12" i="35" s="1"/>
  <c r="CB118" i="2"/>
  <c r="CA132" i="2"/>
  <c r="AA27" i="35" s="1"/>
  <c r="BZ125" i="2"/>
  <c r="Z20" i="35" s="1"/>
  <c r="CC118" i="2"/>
  <c r="AC13" i="35" s="1"/>
  <c r="BZ117" i="2"/>
  <c r="Z12" i="35" s="1"/>
  <c r="CD108" i="2"/>
  <c r="AD3" i="35" s="1"/>
  <c r="CE119" i="2"/>
  <c r="AE14" i="35" s="1"/>
  <c r="CD119" i="2"/>
  <c r="AD14" i="35" s="1"/>
  <c r="BZ128" i="2"/>
  <c r="Z23" i="35" s="1"/>
  <c r="CD128" i="2"/>
  <c r="AD23" i="35" s="1"/>
  <c r="CA118" i="2"/>
  <c r="AA13" i="35" s="1"/>
  <c r="CE109" i="2"/>
  <c r="AE4" i="35" s="1"/>
  <c r="CD131" i="2"/>
  <c r="AD26" i="35" s="1"/>
  <c r="BZ108" i="2"/>
  <c r="Z3" i="35" s="1"/>
  <c r="BY115" i="2"/>
  <c r="Y10" i="35" s="1"/>
  <c r="BZ116" i="2"/>
  <c r="Z11" i="35" s="1"/>
  <c r="BZ115" i="2"/>
  <c r="Z10" i="35" s="1"/>
  <c r="CD109" i="2"/>
  <c r="AD4" i="35" s="1"/>
  <c r="CD125" i="2"/>
  <c r="AD20" i="35" s="1"/>
  <c r="CD110" i="2"/>
  <c r="AD5" i="35" s="1"/>
  <c r="BY117" i="2"/>
  <c r="Y12" i="35" s="1"/>
  <c r="CC109" i="2"/>
  <c r="AC4" i="35" s="1"/>
  <c r="CA130" i="2"/>
  <c r="AA25" i="35" s="1"/>
  <c r="CD111" i="2"/>
  <c r="AD6" i="35" s="1"/>
  <c r="CB111" i="2"/>
  <c r="CD118" i="2"/>
  <c r="AD13" i="35" s="1"/>
  <c r="BZ130" i="2"/>
  <c r="Z25" i="35" s="1"/>
  <c r="CA122" i="2"/>
  <c r="AA17" i="35" s="1"/>
  <c r="BY129" i="2"/>
  <c r="Y24" i="35" s="1"/>
  <c r="CD115" i="2"/>
  <c r="AD10" i="35" s="1"/>
  <c r="CC130" i="2"/>
  <c r="AC25" i="35" s="1"/>
  <c r="CE111" i="2"/>
  <c r="AE6" i="35" s="1"/>
  <c r="CD129" i="2"/>
  <c r="AD24" i="35" s="1"/>
  <c r="BZ113" i="2"/>
  <c r="Z8" i="35" s="1"/>
  <c r="BY124" i="2"/>
  <c r="Y19" i="35" s="1"/>
  <c r="CC120" i="2"/>
  <c r="AC15" i="35" s="1"/>
  <c r="CD116" i="2"/>
  <c r="AD11" i="35" s="1"/>
  <c r="CE126" i="2"/>
  <c r="AE21" i="35" s="1"/>
  <c r="CC131" i="2"/>
  <c r="AC26" i="35" s="1"/>
  <c r="CD123" i="2"/>
  <c r="AD18" i="35" s="1"/>
  <c r="CC112" i="2"/>
  <c r="AC7" i="35" s="1"/>
  <c r="CC121" i="2"/>
  <c r="AC16" i="35" s="1"/>
  <c r="BY140" i="2"/>
  <c r="Y35" i="35" s="1"/>
  <c r="CA131" i="2"/>
  <c r="AA26" i="35" s="1"/>
  <c r="CC117" i="2"/>
  <c r="AC12" i="35" s="1"/>
  <c r="CC113" i="2"/>
  <c r="AC8" i="35" s="1"/>
  <c r="BZ131" i="2"/>
  <c r="Z26" i="35" s="1"/>
  <c r="BZ111" i="2"/>
  <c r="Z6" i="35" s="1"/>
  <c r="CC132" i="2"/>
  <c r="AC27" i="35" s="1"/>
  <c r="BY118" i="2"/>
  <c r="Y13" i="35" s="1"/>
  <c r="CA111" i="2"/>
  <c r="AA6" i="35" s="1"/>
  <c r="CB122" i="2"/>
  <c r="AB17" i="35" s="1"/>
  <c r="BY122" i="2"/>
  <c r="Y17" i="35" s="1"/>
  <c r="CE112" i="2"/>
  <c r="AE7" i="35" s="1"/>
  <c r="CB125" i="2"/>
  <c r="AB20" i="35" s="1"/>
  <c r="CB128" i="2"/>
  <c r="AB23" i="35" s="1"/>
  <c r="BZ114" i="2"/>
  <c r="Z9" i="35" s="1"/>
  <c r="BY109" i="2"/>
  <c r="Y4" i="35" s="1"/>
  <c r="CE129" i="2"/>
  <c r="AE24" i="35" s="1"/>
  <c r="CB110" i="2"/>
  <c r="AB5" i="35" s="1"/>
  <c r="BZ119" i="2"/>
  <c r="Z14" i="35" s="1"/>
  <c r="CB130" i="2"/>
  <c r="AB25" i="35" s="1"/>
  <c r="BY123" i="2"/>
  <c r="Y18" i="35" s="1"/>
  <c r="CB114" i="2"/>
  <c r="AB9" i="35" s="1"/>
  <c r="CA124" i="2"/>
  <c r="AA19" i="35" s="1"/>
  <c r="BY116" i="2"/>
  <c r="Y11" i="35" s="1"/>
  <c r="BZ109" i="2"/>
  <c r="Z4" i="35" s="1"/>
  <c r="CB112" i="2"/>
  <c r="AB7" i="35" s="1"/>
  <c r="BY112" i="2"/>
  <c r="Y7" i="35" s="1"/>
  <c r="CE116" i="2"/>
  <c r="AE11" i="35" s="1"/>
  <c r="CD127" i="2"/>
  <c r="AD22" i="35" s="1"/>
  <c r="CE131" i="2"/>
  <c r="AE26" i="35" s="1"/>
  <c r="CD126" i="2"/>
  <c r="AD21" i="35" s="1"/>
  <c r="CE123" i="2"/>
  <c r="AE18" i="35" s="1"/>
  <c r="BY114" i="2"/>
  <c r="Y9" i="35" s="1"/>
  <c r="CE118" i="2"/>
  <c r="AE13" i="35" s="1"/>
  <c r="CC123" i="2"/>
  <c r="AC18" i="35" s="1"/>
  <c r="CA114" i="2"/>
  <c r="AA9" i="35" s="1"/>
  <c r="CB129" i="2"/>
  <c r="AB24" i="35" s="1"/>
  <c r="CC114" i="2"/>
  <c r="AC9" i="35" s="1"/>
  <c r="CC119" i="2"/>
  <c r="AC14" i="35" s="1"/>
  <c r="CB119" i="2"/>
  <c r="AB14" i="35" s="1"/>
  <c r="BY131" i="2"/>
  <c r="Y26" i="35" s="1"/>
  <c r="CD113" i="2"/>
  <c r="AD8" i="35" s="1"/>
  <c r="CC126" i="2"/>
  <c r="AC21" i="35" s="1"/>
  <c r="CA108" i="2"/>
  <c r="AA3" i="35" s="1"/>
  <c r="CC110" i="2"/>
  <c r="AC5" i="35" s="1"/>
  <c r="BY126" i="2"/>
  <c r="Y21" i="35" s="1"/>
  <c r="BY108" i="2"/>
  <c r="Y3" i="35" s="1"/>
  <c r="BY111" i="2"/>
  <c r="Y6" i="35" s="1"/>
  <c r="BY130" i="2"/>
  <c r="Y25" i="35" s="1"/>
  <c r="CE127" i="2"/>
  <c r="AE22" i="35" s="1"/>
  <c r="CB113" i="2"/>
  <c r="AB8" i="35" s="1"/>
  <c r="CB117" i="2"/>
  <c r="AB12" i="35" s="1"/>
  <c r="BZ127" i="2"/>
  <c r="Z22" i="35" s="1"/>
  <c r="CA125" i="2"/>
  <c r="AA20" i="35" s="1"/>
  <c r="BY121" i="2"/>
  <c r="Y16" i="35" s="1"/>
  <c r="BZ132" i="2"/>
  <c r="Z27" i="35" s="1"/>
  <c r="CD130" i="2"/>
  <c r="AD25" i="35" s="1"/>
  <c r="CC125" i="2"/>
  <c r="AC20" i="35" s="1"/>
  <c r="CA129" i="2"/>
  <c r="AA24" i="35" s="1"/>
  <c r="CA123" i="2"/>
  <c r="AA18" i="35" s="1"/>
  <c r="CE117" i="2"/>
  <c r="AE12" i="35" s="1"/>
  <c r="BZ120" i="2"/>
  <c r="Z15" i="35" s="1"/>
  <c r="BY128" i="2"/>
  <c r="Y23" i="35" s="1"/>
  <c r="CE130" i="2"/>
  <c r="AE25" i="35" s="1"/>
  <c r="CA112" i="2"/>
  <c r="AA7" i="35" s="1"/>
  <c r="BU155" i="2"/>
  <c r="U50" i="35" s="1"/>
  <c r="U34" i="35"/>
  <c r="BU148" i="2"/>
  <c r="BV140" i="2"/>
  <c r="V35" i="35" s="1"/>
  <c r="AB36" i="35"/>
  <c r="AE35" i="35"/>
  <c r="AD36" i="35"/>
  <c r="AB35" i="35"/>
  <c r="AD9" i="35"/>
  <c r="AE27" i="35"/>
  <c r="AB27" i="35"/>
  <c r="AE17" i="35"/>
  <c r="AC3" i="35"/>
  <c r="AB6" i="35"/>
  <c r="Z5" i="35"/>
  <c r="AD12" i="35"/>
  <c r="AB22" i="35"/>
  <c r="AB16" i="35"/>
  <c r="AE15" i="35"/>
  <c r="AA5" i="35"/>
  <c r="AB13" i="35"/>
  <c r="AB11" i="35"/>
  <c r="BV141" i="2"/>
  <c r="V36" i="35" s="1"/>
  <c r="BV139" i="2"/>
  <c r="V34" i="35" s="1"/>
  <c r="AC23" i="35"/>
  <c r="AA8" i="35"/>
  <c r="AC19" i="35"/>
  <c r="AB19" i="35"/>
  <c r="Y20" i="35"/>
  <c r="Y8" i="35"/>
  <c r="Y15" i="35"/>
  <c r="BV123" i="2"/>
  <c r="V18" i="35" s="1"/>
  <c r="BV113" i="2"/>
  <c r="V8" i="35" s="1"/>
  <c r="BV108" i="2"/>
  <c r="V3" i="35" s="1"/>
  <c r="BV120" i="2"/>
  <c r="V15" i="35" s="1"/>
  <c r="BV128" i="2"/>
  <c r="V23" i="35" s="1"/>
  <c r="BV112" i="2"/>
  <c r="V7" i="35" s="1"/>
  <c r="BV125" i="2"/>
  <c r="V20" i="35" s="1"/>
  <c r="BV110" i="2"/>
  <c r="V5" i="35" s="1"/>
  <c r="BV122" i="2"/>
  <c r="V17" i="35" s="1"/>
  <c r="BV130" i="2"/>
  <c r="V25" i="35" s="1"/>
  <c r="BV118" i="2"/>
  <c r="V13" i="35" s="1"/>
  <c r="BV111" i="2"/>
  <c r="V6" i="35" s="1"/>
  <c r="BV129" i="2"/>
  <c r="V24" i="35" s="1"/>
  <c r="BV114" i="2"/>
  <c r="V9" i="35" s="1"/>
  <c r="BV127" i="2"/>
  <c r="V22" i="35" s="1"/>
  <c r="BV115" i="2"/>
  <c r="V10" i="35" s="1"/>
  <c r="BV119" i="2"/>
  <c r="V14" i="35" s="1"/>
  <c r="BV116" i="2"/>
  <c r="V11" i="35" s="1"/>
  <c r="BV109" i="2"/>
  <c r="V4" i="35" s="1"/>
  <c r="BV117" i="2"/>
  <c r="V12" i="35" s="1"/>
  <c r="BV126" i="2"/>
  <c r="V21" i="35" s="1"/>
  <c r="BV131" i="2"/>
  <c r="V26" i="35" s="1"/>
  <c r="BV124" i="2"/>
  <c r="V19" i="35" s="1"/>
  <c r="BV121" i="2"/>
  <c r="V16" i="35" s="1"/>
  <c r="BV132" i="2"/>
  <c r="V27" i="35" s="1"/>
  <c r="BR108" i="2"/>
  <c r="R3" i="35" s="1"/>
  <c r="BR124" i="2"/>
  <c r="R19" i="35" s="1"/>
  <c r="BR127" i="2"/>
  <c r="R22" i="35" s="1"/>
  <c r="BR128" i="2"/>
  <c r="R23" i="35" s="1"/>
  <c r="BR129" i="2"/>
  <c r="R24" i="35" s="1"/>
  <c r="BR131" i="2"/>
  <c r="R26" i="35" s="1"/>
  <c r="BR118" i="2"/>
  <c r="R13" i="35" s="1"/>
  <c r="BR121" i="2"/>
  <c r="R16" i="35" s="1"/>
  <c r="BR114" i="2"/>
  <c r="R9" i="35" s="1"/>
  <c r="BR116" i="2"/>
  <c r="R11" i="35" s="1"/>
  <c r="BR119" i="2"/>
  <c r="R14" i="35" s="1"/>
  <c r="BR126" i="2"/>
  <c r="R21" i="35" s="1"/>
  <c r="BR122" i="2"/>
  <c r="R17" i="35" s="1"/>
  <c r="BR109" i="2"/>
  <c r="R4" i="35" s="1"/>
  <c r="BR115" i="2"/>
  <c r="R10" i="35" s="1"/>
  <c r="BR132" i="2"/>
  <c r="R27" i="35" s="1"/>
  <c r="BR117" i="2"/>
  <c r="R12" i="35" s="1"/>
  <c r="BR120" i="2"/>
  <c r="R15" i="35" s="1"/>
  <c r="BR123" i="2"/>
  <c r="R18" i="35" s="1"/>
  <c r="BR125" i="2"/>
  <c r="R20" i="35" s="1"/>
  <c r="BR130" i="2"/>
  <c r="R25" i="35" s="1"/>
  <c r="BR112" i="2"/>
  <c r="R7" i="35" s="1"/>
  <c r="BR113" i="2"/>
  <c r="R8" i="35" s="1"/>
  <c r="BR111" i="2"/>
  <c r="R6" i="35" s="1"/>
  <c r="BR110" i="2"/>
  <c r="R5" i="35" s="1"/>
  <c r="I20" i="3"/>
  <c r="U24" i="12" s="1"/>
  <c r="AE81" i="12"/>
  <c r="Z29" i="12"/>
  <c r="AA12" i="7"/>
  <c r="BU146" i="2" l="1"/>
  <c r="U41" i="35" s="1"/>
  <c r="U43" i="35"/>
  <c r="CF140" i="2"/>
  <c r="AF35" i="35" s="1"/>
  <c r="CF141" i="2"/>
  <c r="AF36" i="35" s="1"/>
  <c r="CF139" i="2"/>
  <c r="AF34" i="35" s="1"/>
  <c r="C25" i="12"/>
  <c r="C23" i="12"/>
  <c r="C22" i="12"/>
  <c r="CF120" i="2"/>
  <c r="AF15" i="35" s="1"/>
  <c r="CF132" i="2"/>
  <c r="AF27" i="35" s="1"/>
  <c r="CF127" i="2"/>
  <c r="AF22" i="35" s="1"/>
  <c r="CF126" i="2"/>
  <c r="AF21" i="35" s="1"/>
  <c r="CF118" i="2"/>
  <c r="AF13" i="35" s="1"/>
  <c r="CF121" i="2"/>
  <c r="AF16" i="35" s="1"/>
  <c r="CF108" i="2"/>
  <c r="AF3" i="35" s="1"/>
  <c r="CF124" i="2"/>
  <c r="AF19" i="35" s="1"/>
  <c r="CF110" i="2"/>
  <c r="AF5" i="35" s="1"/>
  <c r="CF114" i="2"/>
  <c r="AF9" i="35" s="1"/>
  <c r="CF119" i="2"/>
  <c r="AF14" i="35" s="1"/>
  <c r="CF113" i="2"/>
  <c r="AF8" i="35" s="1"/>
  <c r="CF115" i="2"/>
  <c r="AF10" i="35" s="1"/>
  <c r="CF122" i="2"/>
  <c r="AF17" i="35" s="1"/>
  <c r="CF123" i="2"/>
  <c r="AF18" i="35" s="1"/>
  <c r="CF116" i="2"/>
  <c r="AF11" i="35" s="1"/>
  <c r="CF130" i="2"/>
  <c r="AF25" i="35" s="1"/>
  <c r="CF131" i="2"/>
  <c r="AF26" i="35" s="1"/>
  <c r="CF125" i="2"/>
  <c r="AF20" i="35" s="1"/>
  <c r="CF117" i="2"/>
  <c r="AF12" i="35" s="1"/>
  <c r="CF129" i="2"/>
  <c r="AF24" i="35" s="1"/>
  <c r="CF112" i="2"/>
  <c r="AF7" i="35" s="1"/>
  <c r="CF109" i="2"/>
  <c r="AF4" i="35" s="1"/>
  <c r="CF111" i="2"/>
  <c r="AF6" i="35" s="1"/>
  <c r="CF128" i="2"/>
  <c r="AF23" i="35" s="1"/>
  <c r="AB8" i="12"/>
  <c r="I12" i="12"/>
  <c r="I17" i="12"/>
  <c r="I5" i="12"/>
  <c r="U7" i="12"/>
  <c r="U39" i="12"/>
  <c r="U9" i="12"/>
  <c r="U29" i="12"/>
  <c r="U22" i="12"/>
  <c r="U43" i="12"/>
  <c r="U72" i="12"/>
  <c r="I11" i="12"/>
  <c r="U38" i="12"/>
  <c r="U35" i="12"/>
  <c r="C21" i="12"/>
  <c r="U41" i="12"/>
  <c r="U61" i="12"/>
  <c r="C24" i="12"/>
  <c r="U19" i="12"/>
  <c r="U8" i="12"/>
  <c r="U18" i="12"/>
  <c r="I14" i="12"/>
  <c r="I16" i="12"/>
  <c r="C26" i="12"/>
  <c r="U48" i="12"/>
  <c r="U54" i="12"/>
  <c r="U16" i="12"/>
  <c r="U53" i="12"/>
  <c r="U13" i="12"/>
  <c r="U71" i="12"/>
  <c r="U65" i="12"/>
  <c r="I9" i="12"/>
  <c r="U12" i="12"/>
  <c r="AB6" i="12"/>
  <c r="U4" i="12"/>
  <c r="U37" i="12"/>
  <c r="U10" i="12"/>
  <c r="U26" i="12"/>
  <c r="U52" i="12"/>
  <c r="U66" i="12"/>
  <c r="U67" i="12"/>
  <c r="U30" i="12"/>
  <c r="I6" i="12"/>
  <c r="U68" i="12"/>
  <c r="I15" i="12"/>
  <c r="U28" i="12"/>
  <c r="I18" i="12"/>
  <c r="U50" i="12"/>
  <c r="U51" i="12"/>
  <c r="U2" i="12"/>
  <c r="I4" i="12"/>
  <c r="I10" i="12"/>
  <c r="I13" i="12"/>
  <c r="U25" i="12"/>
  <c r="U14" i="12"/>
  <c r="U44" i="12"/>
  <c r="U63" i="12"/>
  <c r="U6" i="12"/>
  <c r="U20" i="12"/>
  <c r="I8" i="12"/>
  <c r="U46" i="12"/>
  <c r="U56" i="12"/>
  <c r="AB3" i="12"/>
  <c r="AB7" i="12"/>
  <c r="I7" i="12"/>
  <c r="AB5" i="12"/>
  <c r="U55" i="12"/>
  <c r="U27" i="12"/>
  <c r="U11" i="12"/>
  <c r="U21" i="12"/>
  <c r="U40" i="12"/>
  <c r="AB2" i="12"/>
  <c r="U70" i="12"/>
  <c r="AB4" i="12"/>
  <c r="U42" i="12"/>
  <c r="U59" i="12"/>
  <c r="U69" i="12"/>
  <c r="U5" i="12"/>
  <c r="U58" i="12"/>
  <c r="U62" i="12"/>
  <c r="U3" i="12"/>
  <c r="U60" i="12"/>
  <c r="U57" i="12"/>
  <c r="U23" i="12"/>
  <c r="U34" i="12"/>
  <c r="U36" i="12"/>
  <c r="U47" i="12"/>
  <c r="U15" i="12"/>
  <c r="U32" i="12"/>
  <c r="U64" i="12"/>
  <c r="U49" i="12"/>
  <c r="U45" i="12"/>
  <c r="U33" i="12"/>
  <c r="U31" i="12"/>
  <c r="U17" i="12"/>
  <c r="P11" i="12"/>
  <c r="M11" i="12" s="1"/>
  <c r="N7" i="12"/>
  <c r="P8" i="12"/>
  <c r="M8" i="12" s="1"/>
  <c r="P9" i="12"/>
  <c r="M9" i="12" s="1"/>
  <c r="P10" i="12"/>
  <c r="M10" i="12" s="1"/>
  <c r="N16" i="12"/>
  <c r="P5" i="12"/>
  <c r="M5" i="12" s="1"/>
  <c r="P14" i="12"/>
  <c r="M14" i="12" s="1"/>
  <c r="P7" i="12"/>
  <c r="M7" i="12" s="1"/>
  <c r="P15" i="12"/>
  <c r="M15" i="12" s="1"/>
  <c r="P12" i="12"/>
  <c r="M12" i="12" s="1"/>
  <c r="P18" i="12"/>
  <c r="M18" i="12" s="1"/>
  <c r="P13" i="12"/>
  <c r="M13" i="12" s="1"/>
  <c r="P6" i="12"/>
  <c r="M6" i="12" s="1"/>
  <c r="P16" i="12"/>
  <c r="M16" i="12" s="1"/>
  <c r="P17" i="12"/>
  <c r="M17" i="12" s="1"/>
  <c r="P4" i="12"/>
  <c r="M4" i="12" s="1"/>
  <c r="N15" i="12"/>
  <c r="N6" i="12"/>
  <c r="N14" i="12"/>
  <c r="N17" i="12"/>
  <c r="N4" i="12"/>
  <c r="N12" i="12"/>
  <c r="N5" i="12"/>
  <c r="N11" i="12"/>
  <c r="N18" i="12"/>
  <c r="N8" i="12"/>
  <c r="N13" i="12"/>
  <c r="N10" i="12"/>
  <c r="N9" i="12"/>
  <c r="D4" i="12" l="1"/>
  <c r="C4" i="12" s="1"/>
  <c r="BV155" i="2"/>
  <c r="V50" i="35" s="1"/>
  <c r="BV147" i="2"/>
  <c r="V42" i="35" s="1"/>
  <c r="BV145" i="2"/>
  <c r="V40" i="35" s="1"/>
  <c r="BV151" i="2"/>
  <c r="V46" i="35" s="1"/>
  <c r="BV148" i="2"/>
  <c r="V43" i="35" s="1"/>
  <c r="BV150" i="2"/>
  <c r="V45" i="35" s="1"/>
  <c r="BV152" i="2"/>
  <c r="V47" i="35" s="1"/>
  <c r="BV146" i="2"/>
  <c r="V41" i="35" s="1"/>
  <c r="BV154" i="2"/>
  <c r="V49" i="35" s="1"/>
  <c r="BV144" i="2"/>
  <c r="V39" i="35" s="1"/>
  <c r="BV153" i="2"/>
  <c r="V48" i="35" s="1"/>
  <c r="BV149" i="2"/>
  <c r="V44" i="35" s="1"/>
  <c r="BV156" i="2"/>
  <c r="V51" i="35" s="1"/>
  <c r="M22" i="12"/>
  <c r="L22" i="12" s="1"/>
  <c r="M29" i="12"/>
  <c r="L29" i="12" s="1"/>
  <c r="M23" i="12"/>
  <c r="L23" i="12" s="1"/>
  <c r="M21" i="12"/>
  <c r="L21" i="12" s="1"/>
  <c r="M26" i="12"/>
  <c r="L26" i="12" s="1"/>
  <c r="M28" i="12"/>
  <c r="L28" i="12" s="1"/>
  <c r="M24" i="12"/>
  <c r="L24" i="12" s="1"/>
  <c r="M30" i="12"/>
  <c r="L30" i="12" s="1"/>
  <c r="M27" i="12"/>
  <c r="L27" i="12" s="1"/>
  <c r="M25" i="12"/>
  <c r="L25" i="12" s="1"/>
  <c r="D11" i="12"/>
  <c r="C11" i="12" s="1"/>
  <c r="D18" i="12"/>
  <c r="C18" i="12" s="1"/>
  <c r="D9" i="12"/>
  <c r="C9" i="12" s="1"/>
  <c r="D16" i="12"/>
  <c r="C16" i="12" s="1"/>
  <c r="D13" i="12"/>
  <c r="C13" i="12" s="1"/>
  <c r="D17" i="12"/>
  <c r="C17" i="12" s="1"/>
  <c r="D7" i="12"/>
  <c r="C7" i="12" s="1"/>
  <c r="D10" i="12"/>
  <c r="C10" i="12" s="1"/>
  <c r="D6" i="12"/>
  <c r="C6" i="12" s="1"/>
  <c r="D14" i="12"/>
  <c r="C14" i="12" s="1"/>
  <c r="D15" i="12"/>
  <c r="C15" i="12" s="1"/>
  <c r="D5" i="12"/>
  <c r="C5" i="12" s="1"/>
  <c r="D8" i="12"/>
  <c r="C8" i="12" s="1"/>
  <c r="D12" i="12"/>
  <c r="C12" i="12" s="1"/>
  <c r="AR2" i="2"/>
  <c r="AS2" i="2" l="1"/>
  <c r="BB2" i="2" s="1"/>
  <c r="AY2" i="2" l="1"/>
  <c r="AU2" i="2"/>
  <c r="AW2" i="2"/>
  <c r="G27" i="26" s="1"/>
  <c r="G8" i="26" s="1"/>
  <c r="BD2" i="2"/>
  <c r="N27" i="26" s="1"/>
  <c r="N8" i="26" s="1"/>
  <c r="AZ2" i="2"/>
  <c r="AV2" i="2"/>
  <c r="BE2" i="2"/>
  <c r="BC2" i="2"/>
  <c r="AX2" i="2"/>
  <c r="G50" i="27" s="1"/>
  <c r="G43" i="27" s="1"/>
  <c r="BA2" i="2"/>
  <c r="AT2" i="2"/>
  <c r="S27" i="26" l="1"/>
  <c r="S8" i="26" s="1"/>
  <c r="F50" i="27"/>
  <c r="F43" i="27" s="1"/>
  <c r="R50" i="27"/>
  <c r="R43" i="27" s="1"/>
  <c r="S50" i="27"/>
  <c r="S43" i="27" s="1"/>
  <c r="U50" i="27"/>
  <c r="U43" i="27" s="1"/>
  <c r="I50" i="27"/>
  <c r="I43" i="27" s="1"/>
  <c r="X50" i="27"/>
  <c r="X43" i="27" s="1"/>
  <c r="L50" i="27"/>
  <c r="L43" i="27" s="1"/>
  <c r="J50" i="27"/>
  <c r="J43" i="27" s="1"/>
  <c r="V50" i="27"/>
  <c r="V43" i="27" s="1"/>
  <c r="D50" i="27"/>
  <c r="D43" i="27" s="1"/>
  <c r="P50" i="27"/>
  <c r="P43" i="27" s="1"/>
  <c r="T50" i="27"/>
  <c r="T43" i="27" s="1"/>
  <c r="H50" i="27"/>
  <c r="H43" i="27" s="1"/>
  <c r="K50" i="27"/>
  <c r="K43" i="27" s="1"/>
  <c r="W50" i="27"/>
  <c r="W43" i="27" s="1"/>
  <c r="P27" i="26"/>
  <c r="P8" i="26" s="1"/>
  <c r="O50" i="27"/>
  <c r="D27" i="26"/>
  <c r="D8" i="26" s="1"/>
  <c r="C50" i="27"/>
  <c r="C43" i="27" s="1"/>
  <c r="Z50" i="27"/>
  <c r="Z43" i="27" s="1"/>
  <c r="N50" i="27"/>
  <c r="N43" i="27" s="1"/>
  <c r="Y50" i="27"/>
  <c r="Y43" i="27" s="1"/>
  <c r="M50" i="27"/>
  <c r="M43" i="27" s="1"/>
  <c r="Z27" i="26"/>
  <c r="Z8" i="26" s="1"/>
  <c r="E50" i="27"/>
  <c r="E43" i="27" s="1"/>
  <c r="Q50" i="27"/>
  <c r="Q43" i="27" s="1"/>
  <c r="J27" i="26"/>
  <c r="J8" i="26" s="1"/>
  <c r="V27" i="26"/>
  <c r="V8" i="26" s="1"/>
  <c r="H27" i="26"/>
  <c r="H8" i="26" s="1"/>
  <c r="T27" i="26"/>
  <c r="T8" i="26" s="1"/>
  <c r="AA27" i="26"/>
  <c r="AA8" i="26" s="1"/>
  <c r="O27" i="26"/>
  <c r="O8" i="26" s="1"/>
  <c r="Q27" i="26"/>
  <c r="Q8" i="26" s="1"/>
  <c r="E27" i="26"/>
  <c r="E8" i="26" s="1"/>
  <c r="M27" i="26"/>
  <c r="M8" i="26" s="1"/>
  <c r="Y27" i="26"/>
  <c r="Y8" i="26" s="1"/>
  <c r="W27" i="26"/>
  <c r="W8" i="26" s="1"/>
  <c r="K27" i="26"/>
  <c r="K8" i="26" s="1"/>
  <c r="I27" i="26"/>
  <c r="I8" i="26" s="1"/>
  <c r="U27" i="26"/>
  <c r="U8" i="26" s="1"/>
  <c r="R27" i="26"/>
  <c r="R8" i="26" s="1"/>
  <c r="F27" i="26"/>
  <c r="F8" i="26" s="1"/>
  <c r="L27" i="26"/>
  <c r="L8" i="26" s="1"/>
  <c r="X27" i="26"/>
  <c r="X8" i="26" s="1"/>
  <c r="O43" i="27" l="1"/>
  <c r="AB43" i="27" s="1"/>
  <c r="AB50" i="27"/>
  <c r="F32" i="3"/>
  <c r="T13" i="7"/>
  <c r="AA13" i="7" s="1"/>
  <c r="V13" i="7"/>
  <c r="AV13" i="7" l="1"/>
  <c r="O56" i="27" s="1"/>
  <c r="BE13" i="7"/>
  <c r="G32" i="3"/>
  <c r="G34" i="3" s="1"/>
  <c r="BB13" i="7"/>
  <c r="AY13" i="7"/>
  <c r="O42" i="27" l="1"/>
  <c r="P40" i="26"/>
  <c r="P2" i="26" s="1"/>
  <c r="C56" i="27"/>
  <c r="C42" i="27" s="1"/>
  <c r="I56" i="27"/>
  <c r="I42" i="27" s="1"/>
  <c r="V40" i="26"/>
  <c r="V2" i="26" s="1"/>
  <c r="J40" i="26"/>
  <c r="J2" i="26" s="1"/>
  <c r="U56" i="27"/>
  <c r="U42" i="27" s="1"/>
  <c r="S40" i="26"/>
  <c r="S2" i="26" s="1"/>
  <c r="G40" i="26"/>
  <c r="G2" i="26" s="1"/>
  <c r="F56" i="27"/>
  <c r="F42" i="27" s="1"/>
  <c r="R56" i="27"/>
  <c r="X56" i="27"/>
  <c r="X42" i="27" s="1"/>
  <c r="M40" i="26"/>
  <c r="M2" i="26" s="1"/>
  <c r="Y40" i="26"/>
  <c r="Y2" i="26" s="1"/>
  <c r="L56" i="27"/>
  <c r="L42" i="27" s="1"/>
  <c r="AB56" i="27" l="1"/>
  <c r="I5" i="29"/>
  <c r="H5" i="29"/>
  <c r="AJ16" i="8"/>
  <c r="AM16" i="8" s="1"/>
  <c r="H9" i="29"/>
  <c r="AJ20" i="8"/>
  <c r="AM20" i="8" s="1"/>
  <c r="AJ23" i="8"/>
  <c r="AM74" i="8" s="1"/>
  <c r="AJ18" i="8"/>
  <c r="AM18" i="8" s="1"/>
  <c r="AJ22" i="8"/>
  <c r="AM22" i="8" s="1"/>
  <c r="AJ19" i="8"/>
  <c r="AM70" i="8" s="1"/>
  <c r="H8" i="29"/>
  <c r="AJ15" i="8"/>
  <c r="AM66" i="8" s="1"/>
  <c r="AJ21" i="8"/>
  <c r="AM21" i="8" s="1"/>
  <c r="AJ17" i="8"/>
  <c r="AM17" i="8" s="1"/>
  <c r="H18" i="29"/>
  <c r="I17" i="29"/>
  <c r="I14" i="29"/>
  <c r="I8" i="29"/>
  <c r="I18" i="29"/>
  <c r="H16" i="29"/>
  <c r="I9" i="29"/>
  <c r="H15" i="29"/>
  <c r="H17" i="29"/>
  <c r="H14" i="29"/>
  <c r="AM67" i="8" l="1"/>
  <c r="AM71" i="8"/>
  <c r="AM72" i="8"/>
  <c r="AM68" i="8"/>
  <c r="AM23" i="8"/>
  <c r="AM69" i="8"/>
  <c r="AM19" i="8"/>
  <c r="AM73" i="8"/>
  <c r="AM15" i="8"/>
  <c r="H7" i="29" l="1"/>
  <c r="W7" i="3"/>
  <c r="X7" i="3" s="1"/>
  <c r="G5" i="29" a="1"/>
  <c r="G5" i="29" s="1"/>
  <c r="J5" i="29" s="1"/>
  <c r="K5" i="29" s="1"/>
  <c r="J8" i="29"/>
  <c r="K8" i="29" s="1"/>
  <c r="W8" i="3"/>
  <c r="X8" i="3" s="1"/>
  <c r="W4" i="3"/>
  <c r="X4" i="3" s="1"/>
  <c r="W6" i="3"/>
  <c r="X6" i="3" s="1"/>
  <c r="H6" i="29"/>
  <c r="J9" i="29"/>
  <c r="K9" i="29" s="1"/>
  <c r="I15" i="29"/>
  <c r="V21" i="3" l="1"/>
  <c r="J7" i="29"/>
  <c r="K7" i="29" s="1"/>
  <c r="J6" i="29"/>
  <c r="K6" i="29" s="1"/>
  <c r="P38" i="29"/>
  <c r="I6" i="29"/>
  <c r="I7" i="29"/>
  <c r="W5" i="3"/>
  <c r="X5" i="3" s="1"/>
  <c r="X9" i="3" s="1"/>
  <c r="I19" i="29"/>
  <c r="P27" i="29"/>
  <c r="H27" i="29" s="1"/>
  <c r="Q43" i="29" l="1"/>
  <c r="P43" i="29" s="1"/>
  <c r="H36" i="29" s="1"/>
  <c r="H6" i="6"/>
  <c r="AL6" i="6" s="1"/>
  <c r="E63" i="27" s="1"/>
  <c r="E25" i="3"/>
  <c r="K10" i="29"/>
  <c r="V9" i="3"/>
  <c r="I10" i="29"/>
  <c r="P31" i="29"/>
  <c r="U26" i="3"/>
  <c r="R63" i="27" l="1"/>
  <c r="R42" i="27" s="1"/>
  <c r="E42" i="27"/>
  <c r="AN6" i="6"/>
  <c r="G63" i="27" s="1"/>
  <c r="T63" i="27" s="1"/>
  <c r="T42" i="27" s="1"/>
  <c r="I6" i="6"/>
  <c r="F4" i="3" s="1"/>
  <c r="H4" i="3"/>
  <c r="I4" i="3"/>
  <c r="M38" i="29"/>
  <c r="P48" i="29"/>
  <c r="M27" i="29"/>
  <c r="H40" i="29"/>
  <c r="U38" i="3" s="1"/>
  <c r="U34" i="3"/>
  <c r="AK6" i="6"/>
  <c r="D63" i="27" s="1"/>
  <c r="Q63" i="27" s="1"/>
  <c r="AT6" i="6"/>
  <c r="M63" i="27" s="1"/>
  <c r="G25" i="3"/>
  <c r="G27" i="3" s="1"/>
  <c r="C25" i="3"/>
  <c r="C26" i="3"/>
  <c r="H25" i="3"/>
  <c r="I25" i="3"/>
  <c r="I27" i="3" s="1"/>
  <c r="H30" i="29"/>
  <c r="U29" i="3" s="1"/>
  <c r="Q42" i="27" l="1"/>
  <c r="G42" i="27"/>
  <c r="P6" i="6"/>
  <c r="E4" i="3"/>
  <c r="D4" i="3"/>
  <c r="D42" i="27"/>
  <c r="E27" i="3"/>
  <c r="Z63" i="27"/>
  <c r="Z42" i="27" s="1"/>
  <c r="M42" i="27"/>
  <c r="I73" i="3"/>
  <c r="C71" i="3" s="1"/>
  <c r="R38" i="29"/>
  <c r="G27" i="29"/>
  <c r="T26" i="3" s="1"/>
  <c r="M31" i="29"/>
  <c r="R31" i="29" s="1"/>
  <c r="R27" i="29"/>
  <c r="AB63" i="27" l="1"/>
  <c r="AB42" i="27"/>
  <c r="C69" i="3"/>
  <c r="C66" i="3"/>
  <c r="C70" i="3"/>
  <c r="C68" i="3"/>
  <c r="C67" i="3"/>
  <c r="C72" i="3"/>
  <c r="G30" i="29"/>
  <c r="I27" i="29"/>
  <c r="V26" i="3" s="1"/>
  <c r="C65" i="3"/>
  <c r="I30" i="29" l="1"/>
  <c r="V29" i="3" s="1"/>
  <c r="T29" i="3"/>
  <c r="F25" i="3" l="1"/>
  <c r="J6" i="6"/>
  <c r="D25" i="3"/>
  <c r="D27" i="3" s="1"/>
  <c r="G6" i="6"/>
  <c r="L6" i="6" s="1"/>
  <c r="N6" i="6" s="1"/>
  <c r="G4" i="3" l="1"/>
  <c r="G11" i="3" s="1"/>
  <c r="L5" i="29"/>
  <c r="Y4" i="3"/>
  <c r="T37" i="3" l="1"/>
  <c r="I39" i="29" l="1"/>
  <c r="V37" i="3" s="1"/>
  <c r="I6" i="3" l="1"/>
  <c r="H58" i="3" l="1"/>
  <c r="H6" i="3"/>
  <c r="M48" i="29"/>
  <c r="O43" i="29"/>
  <c r="I11" i="3"/>
  <c r="I58" i="3"/>
  <c r="G36" i="29" l="1"/>
  <c r="C10" i="3"/>
  <c r="I60" i="3"/>
  <c r="R48" i="29" l="1"/>
  <c r="N21" i="3"/>
  <c r="V60" i="12"/>
  <c r="V7" i="12"/>
  <c r="V25" i="12"/>
  <c r="V14" i="12"/>
  <c r="V21" i="12"/>
  <c r="V36" i="12"/>
  <c r="V54" i="12"/>
  <c r="V50" i="12"/>
  <c r="V10" i="12"/>
  <c r="O17" i="12"/>
  <c r="V5" i="12"/>
  <c r="V2" i="12"/>
  <c r="V53" i="12"/>
  <c r="J7" i="12"/>
  <c r="V70" i="12"/>
  <c r="V64" i="12"/>
  <c r="V35" i="12"/>
  <c r="V9" i="12"/>
  <c r="J6" i="12"/>
  <c r="O16" i="12"/>
  <c r="N20" i="3"/>
  <c r="V23" i="12"/>
  <c r="J10" i="12"/>
  <c r="V24" i="12"/>
  <c r="O15" i="12"/>
  <c r="J18" i="12"/>
  <c r="V48" i="12"/>
  <c r="V41" i="12"/>
  <c r="V13" i="12"/>
  <c r="V69" i="12"/>
  <c r="V67" i="12"/>
  <c r="V63" i="12"/>
  <c r="C8" i="3"/>
  <c r="N22" i="3"/>
  <c r="C9" i="3"/>
  <c r="J9" i="12"/>
  <c r="V56" i="12"/>
  <c r="O5" i="12"/>
  <c r="C5" i="3"/>
  <c r="V61" i="12"/>
  <c r="V15" i="12"/>
  <c r="O4" i="12"/>
  <c r="J15" i="12"/>
  <c r="N24" i="3"/>
  <c r="J5" i="12"/>
  <c r="V16" i="12"/>
  <c r="V6" i="12"/>
  <c r="O11" i="12"/>
  <c r="N26" i="3"/>
  <c r="J11" i="12"/>
  <c r="J17" i="12"/>
  <c r="O10" i="12"/>
  <c r="V68" i="12"/>
  <c r="V44" i="12"/>
  <c r="V20" i="12"/>
  <c r="O13" i="12"/>
  <c r="J14" i="12"/>
  <c r="N23" i="3"/>
  <c r="J16" i="12"/>
  <c r="O6" i="12"/>
  <c r="V34" i="12"/>
  <c r="O12" i="12"/>
  <c r="V46" i="12"/>
  <c r="V17" i="12"/>
  <c r="V66" i="12"/>
  <c r="V62" i="12"/>
  <c r="V72" i="12"/>
  <c r="V51" i="12"/>
  <c r="V37" i="12"/>
  <c r="J8" i="12"/>
  <c r="V40" i="12"/>
  <c r="V57" i="12"/>
  <c r="V32" i="12"/>
  <c r="V52" i="12"/>
  <c r="V19" i="12"/>
  <c r="V18" i="12"/>
  <c r="V39" i="12"/>
  <c r="V4" i="12"/>
  <c r="V27" i="12"/>
  <c r="V55" i="12"/>
  <c r="C4" i="3"/>
  <c r="J12" i="12"/>
  <c r="O9" i="12"/>
  <c r="V12" i="12"/>
  <c r="V42" i="12"/>
  <c r="V11" i="12"/>
  <c r="V33" i="12"/>
  <c r="V58" i="12"/>
  <c r="V28" i="12"/>
  <c r="V8" i="12"/>
  <c r="V26" i="12"/>
  <c r="O18" i="12"/>
  <c r="O7" i="12"/>
  <c r="V43" i="12"/>
  <c r="V31" i="12"/>
  <c r="V38" i="12"/>
  <c r="V71" i="12"/>
  <c r="V3" i="12"/>
  <c r="O8" i="12"/>
  <c r="C7" i="3"/>
  <c r="V59" i="12"/>
  <c r="V49" i="12"/>
  <c r="O14" i="12"/>
  <c r="V45" i="12"/>
  <c r="V29" i="12"/>
  <c r="V30" i="12"/>
  <c r="J4" i="12"/>
  <c r="V65" i="12"/>
  <c r="V47" i="12"/>
  <c r="V22" i="12"/>
  <c r="J13" i="12"/>
  <c r="C6" i="3"/>
  <c r="C58" i="3"/>
  <c r="C59" i="3"/>
  <c r="G40" i="29"/>
  <c r="I40" i="29" s="1"/>
  <c r="T34" i="3"/>
  <c r="I36" i="29"/>
  <c r="V34" i="3" s="1"/>
  <c r="C57" i="3"/>
  <c r="N25" i="3"/>
  <c r="E11" i="3" l="1"/>
  <c r="E13" i="12"/>
  <c r="E9" i="12"/>
  <c r="E5" i="12"/>
  <c r="E18" i="12"/>
  <c r="E7" i="12"/>
  <c r="E10" i="12"/>
  <c r="E16" i="12"/>
  <c r="E8" i="12"/>
  <c r="E17" i="12"/>
  <c r="E4" i="12"/>
  <c r="E14" i="12"/>
  <c r="E6" i="12"/>
  <c r="E12" i="12"/>
  <c r="E11" i="12"/>
  <c r="E15" i="12"/>
  <c r="D11" i="3"/>
  <c r="T38" i="3"/>
  <c r="V38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Роман</author>
  </authors>
  <commentList>
    <comment ref="A37" authorId="0" shapeId="0" xr:uid="{9DACAA81-C853-47F5-91B1-370A99F8D7F3}">
      <text>
        <r>
          <rPr>
            <b/>
            <sz val="9"/>
            <color indexed="81"/>
            <rFont val="Tahoma"/>
            <family val="2"/>
            <charset val="204"/>
          </rPr>
          <t>200k on personal acc, bought 11/03/2025, 102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7">
    <bk>
      <extLst>
        <ext uri="{3e2802c4-a4d2-4d8b-9148-e3be6c30e623}">
          <xlrd:rvb i="1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3"/>
        </ext>
      </extLst>
    </bk>
  </futureMetadata>
  <cellMetadata count="1">
    <bk>
      <rc t="1" v="0"/>
    </bk>
  </cellMetadata>
  <valueMetadata count="7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</valueMetadata>
</metadata>
</file>

<file path=xl/sharedStrings.xml><?xml version="1.0" encoding="utf-8"?>
<sst xmlns="http://schemas.openxmlformats.org/spreadsheetml/2006/main" count="14372" uniqueCount="2683">
  <si>
    <t>All-portfolio</t>
  </si>
  <si>
    <t>Bonds</t>
  </si>
  <si>
    <t>Currency</t>
  </si>
  <si>
    <t>Weights</t>
  </si>
  <si>
    <t>AW coupon (CCY)</t>
  </si>
  <si>
    <t>AW Current yield (CCY)</t>
  </si>
  <si>
    <t>Total inflows (CCY)</t>
  </si>
  <si>
    <t>Total inflows (USD)</t>
  </si>
  <si>
    <t>Total MV of positions, CCY</t>
  </si>
  <si>
    <t>Total MV of positions (USD)</t>
  </si>
  <si>
    <t>Deposits</t>
  </si>
  <si>
    <t>CCY</t>
  </si>
  <si>
    <t>Cost of debt, 2025</t>
  </si>
  <si>
    <t>Curent debt CCY</t>
  </si>
  <si>
    <t>Current Debt USD</t>
  </si>
  <si>
    <t>Annual interest, CCY</t>
  </si>
  <si>
    <t>Annual interest, USD</t>
  </si>
  <si>
    <t>Total coupon, CCY</t>
  </si>
  <si>
    <t>USD</t>
  </si>
  <si>
    <t>GBP</t>
  </si>
  <si>
    <t>Equities</t>
  </si>
  <si>
    <t>EUR</t>
  </si>
  <si>
    <t>AI</t>
  </si>
  <si>
    <t>CAD</t>
  </si>
  <si>
    <t>CHF</t>
  </si>
  <si>
    <t>JPY</t>
  </si>
  <si>
    <t>Total coupon (CCY)</t>
  </si>
  <si>
    <t>Total coupon (USD)</t>
  </si>
  <si>
    <t>Total MV of positions (CCY)</t>
  </si>
  <si>
    <t>YTM/YTC</t>
  </si>
  <si>
    <t>AW % (no reinvest)</t>
  </si>
  <si>
    <t>AW % (with reinvest)</t>
  </si>
  <si>
    <t>Interest, CCY 2024</t>
  </si>
  <si>
    <t>Interest, USD 2024</t>
  </si>
  <si>
    <t xml:space="preserve">AW % </t>
  </si>
  <si>
    <t>Gross P&amp;L</t>
  </si>
  <si>
    <t>Distributions, CCY 2024</t>
  </si>
  <si>
    <t>Distributions, USD 2024</t>
  </si>
  <si>
    <t>Total MV of funds (CCY)</t>
  </si>
  <si>
    <t>Total MV of funds (USD)</t>
  </si>
  <si>
    <t>AW yield, CCY</t>
  </si>
  <si>
    <t>P&amp;L, total</t>
  </si>
  <si>
    <t>Total annual DIV, CCY</t>
  </si>
  <si>
    <t>Total annual DIV, USD</t>
  </si>
  <si>
    <t>Alternative assets</t>
  </si>
  <si>
    <t>AW yield, USD</t>
  </si>
  <si>
    <t>Cash</t>
  </si>
  <si>
    <t>Name</t>
  </si>
  <si>
    <t>ISIN</t>
  </si>
  <si>
    <t>UBS</t>
  </si>
  <si>
    <t>XS1811852521</t>
  </si>
  <si>
    <t>Vontobel</t>
  </si>
  <si>
    <t>7.69% PEMEX 23.01.2050 Senior</t>
  </si>
  <si>
    <t>US71654QDD16</t>
  </si>
  <si>
    <t>10.875% Vedanta Res Fin 17.09.2029 Reg-S Senior</t>
  </si>
  <si>
    <t>USG9T27HAG93</t>
  </si>
  <si>
    <t>8.5% Energean 30.09.2033 Senior</t>
  </si>
  <si>
    <t>IL0011971442</t>
  </si>
  <si>
    <t>6.375% KazMunayGaz 24.10.2048 Reg-S Senior</t>
  </si>
  <si>
    <t>XS1807299331</t>
  </si>
  <si>
    <t>10% PEMEX 07.02.2033 Senior</t>
  </si>
  <si>
    <t>US71654QDP46</t>
  </si>
  <si>
    <t>6.75% LEVIATHAN BOND 30.06.2030 Senior</t>
  </si>
  <si>
    <t>IL0011677908</t>
  </si>
  <si>
    <t>8.375% Ecopetrol 19.01.2036 Senior</t>
  </si>
  <si>
    <t>US279158AV11</t>
  </si>
  <si>
    <t>4.5% Stillwater Mining 16.11.2029 Reg-S Senior</t>
  </si>
  <si>
    <t>USU85969AF71</t>
  </si>
  <si>
    <t>8.875% CSN Resources 05.12.2030 Senior</t>
  </si>
  <si>
    <t>USL21779AL44</t>
  </si>
  <si>
    <t>5.5% Sasol Financing 18.03.2031 Senior</t>
  </si>
  <si>
    <t>US80386WAD74</t>
  </si>
  <si>
    <t>8.875% Ecopetrol 13.01.2033 Senior</t>
  </si>
  <si>
    <t>US279158AS81</t>
  </si>
  <si>
    <t>6.625% Turkey 17.02.2045 Senior</t>
  </si>
  <si>
    <t>US900123CG37</t>
  </si>
  <si>
    <t>7.375% Colombia 18.09.2037 Senior</t>
  </si>
  <si>
    <t>US195325BK01</t>
  </si>
  <si>
    <t>3.875% Colombia 15.02.2061 Senior</t>
  </si>
  <si>
    <t>US195325DX04</t>
  </si>
  <si>
    <t>6.853% Panama 28.03.2054 Senior</t>
  </si>
  <si>
    <t>US698299BV52</t>
  </si>
  <si>
    <t>5.625% United Mex States 19.03.2114 Reg-S Senior</t>
  </si>
  <si>
    <t>XS1046593908</t>
  </si>
  <si>
    <t>7.875% Ulker Biskuvi 08.07.2031 Reg-S Senior</t>
  </si>
  <si>
    <t>XS2855391533</t>
  </si>
  <si>
    <t>9.75% Rakuten Grp 15.04.2029 Senior</t>
  </si>
  <si>
    <t>USJ64264AK09</t>
  </si>
  <si>
    <t>6.85% Petrobras Glob 05.06.2115 Senior</t>
  </si>
  <si>
    <t>US71647NAN93</t>
  </si>
  <si>
    <t>JPM</t>
  </si>
  <si>
    <t>6.264% CFE 15.02.2052 Reg-S Senior</t>
  </si>
  <si>
    <t>USP30179BR86</t>
  </si>
  <si>
    <t>7.5% OCP 02.05.2054 Reg-S Senior</t>
  </si>
  <si>
    <t>XS2810168810</t>
  </si>
  <si>
    <t>5.75% BRF 21.09.2050 Reg-S Senior</t>
  </si>
  <si>
    <t>USP1905CAJ91</t>
  </si>
  <si>
    <t>6.875% OCP 25.04.2044 Reg-S Senior</t>
  </si>
  <si>
    <t>XS1061043367</t>
  </si>
  <si>
    <t>7.375% EDF Open End FRN Reg-S Subordinated</t>
  </si>
  <si>
    <t>FR001400SMR0</t>
  </si>
  <si>
    <t>5.391% WarnerMedia 15.03.2062 Senior</t>
  </si>
  <si>
    <t>US55903VBF94</t>
  </si>
  <si>
    <t>US900123DL13</t>
  </si>
  <si>
    <t>7.25% Petrobras Glob 17.03.2044 Senior</t>
  </si>
  <si>
    <t>US71647NAK54</t>
  </si>
  <si>
    <t>7.375% Enbridge 15.03.2055 Subordinated</t>
  </si>
  <si>
    <t>US29250NCG88</t>
  </si>
  <si>
    <t>XS2820499619</t>
  </si>
  <si>
    <t>6.5% Eletrobras 11.01.2035 Reg-S Senior</t>
  </si>
  <si>
    <t>USP2281VAA81</t>
  </si>
  <si>
    <t>6.375% ICL Group 31.05.2038 Senior</t>
  </si>
  <si>
    <t>IL0028103310</t>
  </si>
  <si>
    <t>7.25% Toronto Dominion Bk 31.07.2084 FRN Senior</t>
  </si>
  <si>
    <t>US89116CKP13</t>
  </si>
  <si>
    <t>DE000A383JS3</t>
  </si>
  <si>
    <t>US29250NBP96</t>
  </si>
  <si>
    <t>6.95% NAVOI 17.10.2031 Reg-S Senior</t>
  </si>
  <si>
    <t>XS2911115645</t>
  </si>
  <si>
    <t>7% SoftBank Group 08.07.2031 Senior</t>
  </si>
  <si>
    <t>XS2854422818</t>
  </si>
  <si>
    <t>US912909AU28</t>
  </si>
  <si>
    <t>5% Adani Ports 02.08.2041 Reg-S Senior</t>
  </si>
  <si>
    <t>USY00130YU53</t>
  </si>
  <si>
    <t>4.987% Prosus 19.01.2052 Reg-S Senior</t>
  </si>
  <si>
    <t>USN7163RAY91</t>
  </si>
  <si>
    <t>US29250NBN49</t>
  </si>
  <si>
    <t>4.027% Prosus 03.08.2050 Reg-S Senior</t>
  </si>
  <si>
    <t>USN7163RAD54</t>
  </si>
  <si>
    <t>4.5% Israel 03.04.2120 Senior</t>
  </si>
  <si>
    <t>US46513JB593</t>
  </si>
  <si>
    <t>6.3% Corp Nac De Cbr Chl 08.09.2053 Senior</t>
  </si>
  <si>
    <t>USP3143NBR46</t>
  </si>
  <si>
    <t>5.805% Boeing 01.05.2050 Senior</t>
  </si>
  <si>
    <t>US097023CW33</t>
  </si>
  <si>
    <t>3.828% Adani Ports 02.02.2032 Reg-S Senior</t>
  </si>
  <si>
    <t>USY00130YV37</t>
  </si>
  <si>
    <t>6.5% Groupama As Mut Open End FRN Reg-S Junior Subordinated</t>
  </si>
  <si>
    <t>FR001400QR21</t>
  </si>
  <si>
    <t>5.95% General Motors 01.04.2049 Senior</t>
  </si>
  <si>
    <t>US37045VAT70</t>
  </si>
  <si>
    <t>Albemarle  5.65   2052</t>
  </si>
  <si>
    <t>US012653AF81</t>
  </si>
  <si>
    <t>US89117F8Z56</t>
  </si>
  <si>
    <t>6.375% ABN AMRO Open End FRN Subordinated</t>
  </si>
  <si>
    <t>XS2893176862</t>
  </si>
  <si>
    <t>6.2% Freeport ID 14.04.2052 Reg-S Senior</t>
  </si>
  <si>
    <t>USY7141BAC73</t>
  </si>
  <si>
    <t xml:space="preserve">intel 3.2   2061  </t>
  </si>
  <si>
    <t>US458140bX76</t>
  </si>
  <si>
    <t>WOODSIDE 5.7%  2054</t>
  </si>
  <si>
    <t>US980236AS23</t>
  </si>
  <si>
    <t>6.875% Vale Overseas 10.11.2039 Senior</t>
  </si>
  <si>
    <t>US91911TAK97</t>
  </si>
  <si>
    <t>6.5% Cooperatieve Rabobank Open End FRN Reg-S Junior Subordinated</t>
  </si>
  <si>
    <t>XS1002121454</t>
  </si>
  <si>
    <t>7% ArcelorMittal 15.10.2039 Senior</t>
  </si>
  <si>
    <t>US03938LAP94</t>
  </si>
  <si>
    <t>7% Erste Group Bk Open End FRN Subordinated</t>
  </si>
  <si>
    <t>AT0000A3CTX2</t>
  </si>
  <si>
    <t>6.75% La Mondiale Open End FRN Junior Subordinated</t>
  </si>
  <si>
    <t>FR001400RI88</t>
  </si>
  <si>
    <t>11.25% Vedanta Res Fin 03.12.2031 Senior</t>
  </si>
  <si>
    <t>USG9T27HAJ33</t>
  </si>
  <si>
    <t>XS2785548053</t>
  </si>
  <si>
    <t>US040114HT09</t>
  </si>
  <si>
    <t>5.75% Romania 24.03.2035 Reg-S Senior</t>
  </si>
  <si>
    <t>XS2908633683</t>
  </si>
  <si>
    <t>6.3% Nordea Bk Open End FRN Conv Senior</t>
  </si>
  <si>
    <t>USX60003AC87</t>
  </si>
  <si>
    <t>US04686JAJ07</t>
  </si>
  <si>
    <t>6.7% Credit Agricole Open End FRN Subordinated</t>
  </si>
  <si>
    <t>USF2280BAA47</t>
  </si>
  <si>
    <t>USH42097EZ68</t>
  </si>
  <si>
    <t>7.125% Brazil 20.01.2037 Senior</t>
  </si>
  <si>
    <t>US105756BK57</t>
  </si>
  <si>
    <t>7.2% SBL Holdings 30.10.2034 Reg-S Senior</t>
  </si>
  <si>
    <t>USU75065AD10</t>
  </si>
  <si>
    <t>7.875% LATAM Air Grp 15.04.2030 Reg-S Senior</t>
  </si>
  <si>
    <t>USP62138AB13</t>
  </si>
  <si>
    <t>6% Petrobras Glob 13.01.2035 Senior</t>
  </si>
  <si>
    <t>US71647NBL29</t>
  </si>
  <si>
    <t>DE000A383S52</t>
  </si>
  <si>
    <t>7.65% Turkcell Iletisim 24.01.2032 Reg-S Senior</t>
  </si>
  <si>
    <t>XS2981975613</t>
  </si>
  <si>
    <t>9.85% Vedanta Res Fin 24.04.2033 Reg-S Senior</t>
  </si>
  <si>
    <t>USG9T27HAK06</t>
  </si>
  <si>
    <t>Bonds ETF</t>
  </si>
  <si>
    <t>PIMCO FUNDS: GLOBAL INVESTORS SERIES PLC - INCOME FUND INSTITUTIONAL CLASS USD</t>
  </si>
  <si>
    <t>IE00B8JDQ960</t>
  </si>
  <si>
    <t>PIMCO FUNDS: GLOBAL INVESTORS PLC PIMCO ASIA HIGH YIELD BOND FUND -I- DISTRIBUTION USD</t>
  </si>
  <si>
    <t>IE00BJK9HS65</t>
  </si>
  <si>
    <t>Vontobel Fund - Emerging Markets Debt AI, USD</t>
  </si>
  <si>
    <t>LU1572142179</t>
  </si>
  <si>
    <t>LU1914926925</t>
  </si>
  <si>
    <t>Equity</t>
  </si>
  <si>
    <t>PUTCAP</t>
  </si>
  <si>
    <t>sectors</t>
  </si>
  <si>
    <t>All in USD</t>
  </si>
  <si>
    <t>Country</t>
  </si>
  <si>
    <t>Region</t>
  </si>
  <si>
    <t>Issuer</t>
  </si>
  <si>
    <t>Coupon dates</t>
  </si>
  <si>
    <t>week</t>
  </si>
  <si>
    <t>year</t>
  </si>
  <si>
    <t>Total in USD</t>
  </si>
  <si>
    <t>Top 15 sectors, double cross - quartile</t>
  </si>
  <si>
    <t>Top 15 bonds, double cross - quartile</t>
  </si>
  <si>
    <t>Top 15 issuers, double cross - quartile</t>
  </si>
  <si>
    <t>Europe</t>
  </si>
  <si>
    <t>Share in bonds</t>
  </si>
  <si>
    <t>Share in total</t>
  </si>
  <si>
    <t>USD total</t>
  </si>
  <si>
    <t>US+Canada</t>
  </si>
  <si>
    <t>Latin America</t>
  </si>
  <si>
    <t>Australia &amp; Pacific</t>
  </si>
  <si>
    <t>Asia</t>
  </si>
  <si>
    <t>Mid.East &amp; Africa</t>
  </si>
  <si>
    <t>Duration ranges</t>
  </si>
  <si>
    <t>Top geography</t>
  </si>
  <si>
    <t>&lt;1 year</t>
  </si>
  <si>
    <t>1-3 years</t>
  </si>
  <si>
    <t>3-5 years</t>
  </si>
  <si>
    <t>5-7 years</t>
  </si>
  <si>
    <t>7-10 years</t>
  </si>
  <si>
    <t>10+ years</t>
  </si>
  <si>
    <t>Africa</t>
  </si>
  <si>
    <t>Source</t>
  </si>
  <si>
    <t>Description</t>
  </si>
  <si>
    <t>Maturity type</t>
  </si>
  <si>
    <t>ISIN / IBAN</t>
  </si>
  <si>
    <t>Risk CCY</t>
  </si>
  <si>
    <t>Quantity</t>
  </si>
  <si>
    <t>Coupon</t>
  </si>
  <si>
    <t>Coupon in Loc.Curr</t>
  </si>
  <si>
    <t>Coupon in USD</t>
  </si>
  <si>
    <t>Maturity</t>
  </si>
  <si>
    <t>Duration</t>
  </si>
  <si>
    <t>Current Yield, %</t>
  </si>
  <si>
    <t>for WYTC</t>
  </si>
  <si>
    <t>Cost price</t>
  </si>
  <si>
    <t>Current Yield</t>
  </si>
  <si>
    <t>Exchange rate, C</t>
  </si>
  <si>
    <t>Market price</t>
  </si>
  <si>
    <t>Exchange rate, N</t>
  </si>
  <si>
    <t>Market value in CCY</t>
  </si>
  <si>
    <t>Market value in USD</t>
  </si>
  <si>
    <t>Cost value</t>
  </si>
  <si>
    <t>Call date</t>
  </si>
  <si>
    <t>Call margin</t>
  </si>
  <si>
    <t>Sector marker</t>
  </si>
  <si>
    <t>Next coupon date</t>
  </si>
  <si>
    <t>Second next coupon date</t>
  </si>
  <si>
    <t>Coupons per annum</t>
  </si>
  <si>
    <t>Fertilizers</t>
  </si>
  <si>
    <t>Hungary</t>
  </si>
  <si>
    <t>Nitrogenmuvek</t>
  </si>
  <si>
    <t/>
  </si>
  <si>
    <t>Oil and Gas Extraction and Refining</t>
  </si>
  <si>
    <t>Mexico</t>
  </si>
  <si>
    <t>Pemex</t>
  </si>
  <si>
    <t>Non-ferrous metals</t>
  </si>
  <si>
    <t>India</t>
  </si>
  <si>
    <t>Vedanta Resources</t>
  </si>
  <si>
    <t>Other Financial Institutions</t>
  </si>
  <si>
    <t>Israel</t>
  </si>
  <si>
    <t>Energean Israel Finance</t>
  </si>
  <si>
    <t>Kazakhstan</t>
  </si>
  <si>
    <t>KazMunayGas</t>
  </si>
  <si>
    <t>Leviathan Bond</t>
  </si>
  <si>
    <t>Colombia</t>
  </si>
  <si>
    <t>Ecopetrol</t>
  </si>
  <si>
    <t>Precious Metal Mining</t>
  </si>
  <si>
    <t>South Africa</t>
  </si>
  <si>
    <t>Sibanye Gold</t>
  </si>
  <si>
    <t>Ferrous metals</t>
  </si>
  <si>
    <t>Brazil</t>
  </si>
  <si>
    <t>Cia Siderurgica Nacional (CSN)</t>
  </si>
  <si>
    <t>Chemical and petrochemical industry</t>
  </si>
  <si>
    <t>Sasol</t>
  </si>
  <si>
    <t>Government</t>
  </si>
  <si>
    <t>Turkey</t>
  </si>
  <si>
    <t>Panama</t>
  </si>
  <si>
    <t>USA</t>
  </si>
  <si>
    <t>Food and Beverage Production</t>
  </si>
  <si>
    <t>Ulker Biskuvi Sanayi</t>
  </si>
  <si>
    <t>Online Retail</t>
  </si>
  <si>
    <t>Japan</t>
  </si>
  <si>
    <t>Rakuten Group</t>
  </si>
  <si>
    <t>AT1</t>
  </si>
  <si>
    <t>Spain</t>
  </si>
  <si>
    <t>Banco Santander</t>
  </si>
  <si>
    <t>Petrobras</t>
  </si>
  <si>
    <t>Motor Vehicle Production</t>
  </si>
  <si>
    <t>United Kingdom</t>
  </si>
  <si>
    <t>Power</t>
  </si>
  <si>
    <t>Comision Federal de Electricidad</t>
  </si>
  <si>
    <t>Germany</t>
  </si>
  <si>
    <t>Commerzbank</t>
  </si>
  <si>
    <t>Morocco</t>
  </si>
  <si>
    <t>OCP SA</t>
  </si>
  <si>
    <t>BRF</t>
  </si>
  <si>
    <t>France</t>
  </si>
  <si>
    <t>Electricite de France (EDF)</t>
  </si>
  <si>
    <t>Media</t>
  </si>
  <si>
    <t>Warnermedia Holdings</t>
  </si>
  <si>
    <t>Canada</t>
  </si>
  <si>
    <t>Enbridge</t>
  </si>
  <si>
    <t>Communication Services</t>
  </si>
  <si>
    <t>Netherlands</t>
  </si>
  <si>
    <t>Eletrobras</t>
  </si>
  <si>
    <t>Israel Chemicals</t>
  </si>
  <si>
    <t>Banks</t>
  </si>
  <si>
    <t>Toronto-Dominion Bank</t>
  </si>
  <si>
    <t>Deutsche Bank</t>
  </si>
  <si>
    <t>Pipelines</t>
  </si>
  <si>
    <t>Uzbekistan</t>
  </si>
  <si>
    <t>Navoi Mining</t>
  </si>
  <si>
    <t>Softbank</t>
  </si>
  <si>
    <t>Transportation Support Activities</t>
  </si>
  <si>
    <t>Adani Ports and Special Economic Zone</t>
  </si>
  <si>
    <t>Holding Companies</t>
  </si>
  <si>
    <t>Naspers</t>
  </si>
  <si>
    <t>Chile</t>
  </si>
  <si>
    <t>Codelco</t>
  </si>
  <si>
    <t>Aircraft Production and Defense</t>
  </si>
  <si>
    <t>Boeing</t>
  </si>
  <si>
    <t>Insurance and Reinsurance</t>
  </si>
  <si>
    <t>Groupama Assurances Mutuelles</t>
  </si>
  <si>
    <t>General Motors</t>
  </si>
  <si>
    <t>Albemarle</t>
  </si>
  <si>
    <t>ABN AMRO</t>
  </si>
  <si>
    <t>Mining: Other</t>
  </si>
  <si>
    <t>Indonesia</t>
  </si>
  <si>
    <t>PT Freeport Indonesia</t>
  </si>
  <si>
    <t>Semiconductors</t>
  </si>
  <si>
    <t>Intel</t>
  </si>
  <si>
    <t>Australia</t>
  </si>
  <si>
    <t>Woodside Energy</t>
  </si>
  <si>
    <t>Vale</t>
  </si>
  <si>
    <t>Austria</t>
  </si>
  <si>
    <t>Erste Group</t>
  </si>
  <si>
    <t>-</t>
  </si>
  <si>
    <t>Rabobank</t>
  </si>
  <si>
    <t>Luxembourg</t>
  </si>
  <si>
    <t>ArcelorMittal</t>
  </si>
  <si>
    <t>La Mondiale</t>
  </si>
  <si>
    <t>Raiffeisen Bank International AG</t>
  </si>
  <si>
    <t>Argentina</t>
  </si>
  <si>
    <t>Romania</t>
  </si>
  <si>
    <t>Finland</t>
  </si>
  <si>
    <t>Nordea Bank Abp</t>
  </si>
  <si>
    <t>Athene Holding</t>
  </si>
  <si>
    <t>Credit Agricole SA</t>
  </si>
  <si>
    <t>Switzerland</t>
  </si>
  <si>
    <t>UBS Group</t>
  </si>
  <si>
    <t>SBL Holdings</t>
  </si>
  <si>
    <t>Air Transportation</t>
  </si>
  <si>
    <t>Latam Airlines</t>
  </si>
  <si>
    <t>Turkcell Iletisim</t>
  </si>
  <si>
    <t>7.125% UBS Group Open End FRN Senior</t>
  </si>
  <si>
    <t>USH42097FB81</t>
  </si>
  <si>
    <t>7.625% Barclays Open End FRN Junior Subordinated</t>
  </si>
  <si>
    <t>US06738EDC66</t>
  </si>
  <si>
    <t>Barclays</t>
  </si>
  <si>
    <t>Enel, 2040, 5.75%</t>
  </si>
  <si>
    <t>Personal</t>
  </si>
  <si>
    <t>XS0452187320</t>
  </si>
  <si>
    <t>Petrobras, 2034, 6.63%</t>
  </si>
  <si>
    <t>XS0982711474</t>
  </si>
  <si>
    <t>Ford, 2030, 5.78%</t>
  </si>
  <si>
    <t>XS2892967782</t>
  </si>
  <si>
    <t>Ørsted, 2042, 5.38%</t>
  </si>
  <si>
    <t>XS2531570112</t>
  </si>
  <si>
    <t>XS3013997666</t>
  </si>
  <si>
    <t>Asset class</t>
  </si>
  <si>
    <t>Exchange rate</t>
  </si>
  <si>
    <t>Exchange rate2</t>
  </si>
  <si>
    <t>5.11% 35D notice deposit</t>
  </si>
  <si>
    <t>Market Price</t>
  </si>
  <si>
    <t>Market price2</t>
  </si>
  <si>
    <t>P&amp;L</t>
  </si>
  <si>
    <t>BLACKSTONE PRIVATE CREDIT FUND ICAPITAL OFFSHORE ACCESS FUND SPC -I-B- SERIES C USD</t>
  </si>
  <si>
    <t>XD1250666579</t>
  </si>
  <si>
    <t>Market value, CCY</t>
  </si>
  <si>
    <t>Market value, USD</t>
  </si>
  <si>
    <t>Unrealized p/l - reference</t>
  </si>
  <si>
    <t>Dividend</t>
  </si>
  <si>
    <t>Dividend in Loc.Curr</t>
  </si>
  <si>
    <t>Dividend in USD</t>
  </si>
  <si>
    <t>GLOBAL X CYBERSECURITY ETF</t>
  </si>
  <si>
    <t>ROBO GLOBAL ROBOTICS &amp; AUTOMATION INDEX ETF</t>
  </si>
  <si>
    <t>Cash distribtuion, CCY</t>
  </si>
  <si>
    <t>Unfunded commitment</t>
  </si>
  <si>
    <t>Non-bank</t>
  </si>
  <si>
    <t>Private Equity</t>
  </si>
  <si>
    <t>Elbrus Capital III Fund</t>
  </si>
  <si>
    <t>Shiller's fund</t>
  </si>
  <si>
    <t>Rate</t>
  </si>
  <si>
    <t>in USD</t>
  </si>
  <si>
    <t>Overdraft</t>
  </si>
  <si>
    <t>CHF loan</t>
  </si>
  <si>
    <t>ESTR rate</t>
  </si>
  <si>
    <t>Refinance date</t>
  </si>
  <si>
    <t>Year</t>
  </si>
  <si>
    <t>month</t>
  </si>
  <si>
    <t>Amount</t>
  </si>
  <si>
    <t>EUR debt</t>
  </si>
  <si>
    <t>GBP debt</t>
  </si>
  <si>
    <t>USD debt</t>
  </si>
  <si>
    <t>Vontobel Fund</t>
  </si>
  <si>
    <t xml:space="preserve">PIMCO income </t>
  </si>
  <si>
    <t xml:space="preserve">PIMCO </t>
  </si>
  <si>
    <t>BСRED CF:</t>
  </si>
  <si>
    <t>EM Debt AI</t>
  </si>
  <si>
    <t>EM Corporate AQN</t>
  </si>
  <si>
    <t>NAV</t>
  </si>
  <si>
    <t xml:space="preserve">ASIA HY </t>
  </si>
  <si>
    <t>Dec</t>
  </si>
  <si>
    <t>date</t>
  </si>
  <si>
    <t>amount</t>
  </si>
  <si>
    <t>number of shares</t>
  </si>
  <si>
    <t>Nov</t>
  </si>
  <si>
    <t>Oct</t>
  </si>
  <si>
    <t>Sep</t>
  </si>
  <si>
    <t>Aug</t>
  </si>
  <si>
    <t>july</t>
  </si>
  <si>
    <t>june</t>
  </si>
  <si>
    <t>may</t>
  </si>
  <si>
    <t>apr</t>
  </si>
  <si>
    <t>mar</t>
  </si>
  <si>
    <t>feb</t>
  </si>
  <si>
    <t>jan</t>
  </si>
  <si>
    <t>dec</t>
  </si>
  <si>
    <t>nov</t>
  </si>
  <si>
    <t>oct</t>
  </si>
  <si>
    <t>sep</t>
  </si>
  <si>
    <t>aug</t>
  </si>
  <si>
    <t>jul</t>
  </si>
  <si>
    <t>jun</t>
  </si>
  <si>
    <t>4BIO inflows</t>
  </si>
  <si>
    <t>april 2025</t>
  </si>
  <si>
    <t>Total already</t>
  </si>
  <si>
    <t>Total exp</t>
  </si>
  <si>
    <t>4BIO II</t>
  </si>
  <si>
    <t>4BIO III</t>
  </si>
  <si>
    <t>expected fund II</t>
  </si>
  <si>
    <t>10.75% Intl Fin 15.02.2028 Senior</t>
  </si>
  <si>
    <t>XS2586778115</t>
  </si>
  <si>
    <t>7.1% South Africa 19.11.2036 Reg-S Senior</t>
  </si>
  <si>
    <t>XS2908172260</t>
  </si>
  <si>
    <t>DE000A4DE982</t>
  </si>
  <si>
    <t>9.5% IBRD 09.02.2029 Senior</t>
  </si>
  <si>
    <t>XS2439224705</t>
  </si>
  <si>
    <t>7.75% Aviva Open End FRN Conv Subordinated</t>
  </si>
  <si>
    <t>XS3025344386</t>
  </si>
  <si>
    <t>8.5% SocieteGenerale Open End FRN Subordinated</t>
  </si>
  <si>
    <t>USF8500RAD47</t>
  </si>
  <si>
    <t>BRL</t>
  </si>
  <si>
    <t>—</t>
  </si>
  <si>
    <t>Italy</t>
  </si>
  <si>
    <t>Enel</t>
  </si>
  <si>
    <t>Leasing and Rental</t>
  </si>
  <si>
    <t>Ford Motor Credit Company</t>
  </si>
  <si>
    <t>Denmark</t>
  </si>
  <si>
    <t>Orsted</t>
  </si>
  <si>
    <t>Lloyds Banking Group</t>
  </si>
  <si>
    <t>IFC</t>
  </si>
  <si>
    <t>IBRD</t>
  </si>
  <si>
    <t>Aviva</t>
  </si>
  <si>
    <t>Societe Generale</t>
  </si>
  <si>
    <t xml:space="preserve">Together with the contingent consideration, this deal alone represents 2.38x TVPI (total value to called capital). </t>
  </si>
  <si>
    <t>Our Fund TVPI will be almost 4x by the end of this quarter.</t>
  </si>
  <si>
    <t>Lending Value, %</t>
  </si>
  <si>
    <t>5.875% Credit Agricole Open End FRN Reg-S Junior Subordinated</t>
  </si>
  <si>
    <t>6.95% HSBC Hldgs Open End FRN Conv Subordinated</t>
  </si>
  <si>
    <t>FR001400XJP0</t>
  </si>
  <si>
    <t>US404280EV79</t>
  </si>
  <si>
    <t>HSBC Holdings plc</t>
  </si>
  <si>
    <t>T-bills</t>
  </si>
  <si>
    <t>Purchase date</t>
  </si>
  <si>
    <t>Coupon in USD, real</t>
  </si>
  <si>
    <t>Position currency</t>
  </si>
  <si>
    <t>YTM</t>
  </si>
  <si>
    <t>Market value</t>
  </si>
  <si>
    <t>Accrued interest</t>
  </si>
  <si>
    <t>Total change %</t>
  </si>
  <si>
    <t>Total change</t>
  </si>
  <si>
    <t>% of net assets</t>
  </si>
  <si>
    <t>1659657.004001/CHF/ORD</t>
  </si>
  <si>
    <t>CH27 0875 7000 0129 7595 7</t>
  </si>
  <si>
    <t>1659657.004002/EUR/ORD</t>
  </si>
  <si>
    <t>CH97 0875 7000 0129 7595 8</t>
  </si>
  <si>
    <t>1659657.004003/GBP/ORD</t>
  </si>
  <si>
    <t>CH70 0875 7000 0129 7595 9</t>
  </si>
  <si>
    <t>1659657.004004/RUB/ORD</t>
  </si>
  <si>
    <t>CH43 0875 7000 0129 7596 0</t>
  </si>
  <si>
    <t>RUB</t>
  </si>
  <si>
    <t>1659657.004005/USD/ORD</t>
  </si>
  <si>
    <t>CH16 0875 7000 0129 7596 1</t>
  </si>
  <si>
    <t>1659657.004006/JPY/ORD</t>
  </si>
  <si>
    <t>CH92 0875 7000 0129 9729 1</t>
  </si>
  <si>
    <t>1659657.004007/BRL/ORD</t>
  </si>
  <si>
    <t>CH79 0875 7000 0130 6047 8</t>
  </si>
  <si>
    <t>Fixed Advance CHF, 0.77%, 04.04.2025-08.04.2026 (3258785)</t>
  </si>
  <si>
    <t>08/04/2026</t>
  </si>
  <si>
    <t>Fixed Advance CHF, 0.88%, 21.03.2025-24.03.2026 (3201807)</t>
  </si>
  <si>
    <t>24/03/2026</t>
  </si>
  <si>
    <t>10.75% IBRD 09.10.2031 Reg-S Senior</t>
  </si>
  <si>
    <t>XS2913418377</t>
  </si>
  <si>
    <t>09/10/2031</t>
  </si>
  <si>
    <t>15/02/2028</t>
  </si>
  <si>
    <t>17/09/2029</t>
  </si>
  <si>
    <t>03/12/2031</t>
  </si>
  <si>
    <t>15/02/2061</t>
  </si>
  <si>
    <t>03/08/2050</t>
  </si>
  <si>
    <t>03/04/2120</t>
  </si>
  <si>
    <t>19/01/2052</t>
  </si>
  <si>
    <t>02/08/2041</t>
  </si>
  <si>
    <t>15/03/2062</t>
  </si>
  <si>
    <t>18/03/2031</t>
  </si>
  <si>
    <t>19/03/2114</t>
  </si>
  <si>
    <t>21/09/2050</t>
  </si>
  <si>
    <t>01/04/2049</t>
  </si>
  <si>
    <t>13/01/2035</t>
  </si>
  <si>
    <t>14/04/2052</t>
  </si>
  <si>
    <t>15/02/2052</t>
  </si>
  <si>
    <t>08/09/2053</t>
  </si>
  <si>
    <t>31/05/2038</t>
  </si>
  <si>
    <t>24/10/2048</t>
  </si>
  <si>
    <t>11/01/2035</t>
  </si>
  <si>
    <t>17/02/2045</t>
  </si>
  <si>
    <t>30/06/2030</t>
  </si>
  <si>
    <t>05/06/2115</t>
  </si>
  <si>
    <t>28/03/2054</t>
  </si>
  <si>
    <t>25/04/2044</t>
  </si>
  <si>
    <t>10/11/2039</t>
  </si>
  <si>
    <t>08/07/2031</t>
  </si>
  <si>
    <t>19/11/2036</t>
  </si>
  <si>
    <t>7.125% UBS Group Open End FRN Junior Subordinated</t>
  </si>
  <si>
    <t>17/03/2044</t>
  </si>
  <si>
    <t>18/09/2037</t>
  </si>
  <si>
    <t>7.375% Enbridge 15.03.2055 FRN Subordinated</t>
  </si>
  <si>
    <t>15/03/2055</t>
  </si>
  <si>
    <t>02/05/2054</t>
  </si>
  <si>
    <t>24/01/2032</t>
  </si>
  <si>
    <t>23/01/2050</t>
  </si>
  <si>
    <t>8.375% Barclays Open End FRN Senior</t>
  </si>
  <si>
    <t>XS3069217621</t>
  </si>
  <si>
    <t>19/01/2036</t>
  </si>
  <si>
    <t>30/09/2033</t>
  </si>
  <si>
    <t>05/12/2030</t>
  </si>
  <si>
    <t>13/01/2033</t>
  </si>
  <si>
    <t>09/02/2029</t>
  </si>
  <si>
    <t>15/04/2029</t>
  </si>
  <si>
    <t>24/04/2033</t>
  </si>
  <si>
    <t>Cameco Corp Registered</t>
  </si>
  <si>
    <t>CA13321L1085</t>
  </si>
  <si>
    <t>US912797PL50</t>
  </si>
  <si>
    <t>US912797PE18</t>
  </si>
  <si>
    <t>1659657.001001/USD/ORD</t>
  </si>
  <si>
    <t>CH24 0875 7000 0129 7591 4</t>
  </si>
  <si>
    <t>1659657.001002/EUR/ORD</t>
  </si>
  <si>
    <t>CH94 0875 7000 0129 7591 5</t>
  </si>
  <si>
    <t>1659657.001003/GBP/ORD</t>
  </si>
  <si>
    <t>CH29 0875 7000 0129 7592 1</t>
  </si>
  <si>
    <t>1659657.001004/CHF/ORD</t>
  </si>
  <si>
    <t>CH02 0875 7000 0129 7592 2</t>
  </si>
  <si>
    <t>1659657.001005/BRL/ORD</t>
  </si>
  <si>
    <t>CH52 0875 7000 0130 6047 9</t>
  </si>
  <si>
    <t>24/03/2035</t>
  </si>
  <si>
    <t>15/04/2030</t>
  </si>
  <si>
    <t>V1412</t>
  </si>
  <si>
    <t>V1430</t>
  </si>
  <si>
    <t>Security ID</t>
  </si>
  <si>
    <t>Currency - reference</t>
  </si>
  <si>
    <t>Cost value - reference</t>
  </si>
  <si>
    <t>Market value - reference</t>
  </si>
  <si>
    <t>Accrued interest - reference</t>
  </si>
  <si>
    <t>Asset class: Fixed income</t>
  </si>
  <si>
    <t>Sub asset class: Straight bonds</t>
  </si>
  <si>
    <t>Sub asset class: Contingent Convertible Bond</t>
  </si>
  <si>
    <t>5.95% ALFA BOND ISSUANCE PLC 2019-15.04.30 LOAN PARTICIPATION SERIES 10 NOTES REG S FIXED/VARIABLE RATE</t>
  </si>
  <si>
    <t>XS2063279959</t>
  </si>
  <si>
    <t>Sub asset class: Others</t>
  </si>
  <si>
    <t>PIMCO FUNDS: GLOBAL INVESTORS SERIES PLC - INCOME FUND INSTITUTIONAL CLASS</t>
  </si>
  <si>
    <t>Asset class: Equities</t>
  </si>
  <si>
    <t>US37954Y3844</t>
  </si>
  <si>
    <t>US3015057074</t>
  </si>
  <si>
    <t>Asset class: Hedge funds &amp; private markets</t>
  </si>
  <si>
    <t>Sub asset class: Private markets</t>
  </si>
  <si>
    <t>XD1250370834</t>
  </si>
  <si>
    <t>Issue</t>
  </si>
  <si>
    <t>Group</t>
  </si>
  <si>
    <t>Indicative price</t>
  </si>
  <si>
    <t>Nearest coupon date</t>
  </si>
  <si>
    <t>Indicative yield</t>
  </si>
  <si>
    <t>Duration, years</t>
  </si>
  <si>
    <t>Modified duration</t>
  </si>
  <si>
    <t>Issuer rating M/S&amp;P/F foreign currency</t>
  </si>
  <si>
    <t>Indicative price type</t>
  </si>
  <si>
    <t>Issuer industry</t>
  </si>
  <si>
    <t>Type of debt instrument</t>
  </si>
  <si>
    <t>Minimum Settlement Amount / Face value</t>
  </si>
  <si>
    <t>Outstanding face value</t>
  </si>
  <si>
    <t>Maturity date</t>
  </si>
  <si>
    <t>Put/call date</t>
  </si>
  <si>
    <t>Coupon, % p.a.</t>
  </si>
  <si>
    <t>Coupon payment amount</t>
  </si>
  <si>
    <t>Stock exchange</t>
  </si>
  <si>
    <t>Bid</t>
  </si>
  <si>
    <t>Ask</t>
  </si>
  <si>
    <t>Indicative yield type</t>
  </si>
  <si>
    <t>Position amount in face value</t>
  </si>
  <si>
    <t>Purchase price per unit, %</t>
  </si>
  <si>
    <t>Δ(Indicative - purchase price)</t>
  </si>
  <si>
    <t>ABN AMRO, 6.375% perp., EUR</t>
  </si>
  <si>
    <t>not available in Excel</t>
  </si>
  <si>
    <t>Close</t>
  </si>
  <si>
    <t>International bonds</t>
  </si>
  <si>
    <t>Frankfurt S.E.</t>
  </si>
  <si>
    <t>Put/Call</t>
  </si>
  <si>
    <t>Adani Ports and Special Economic Zone, 3.828% 2feb2032, USD</t>
  </si>
  <si>
    <t>Avg</t>
  </si>
  <si>
    <t>Cbonds Estimation</t>
  </si>
  <si>
    <t>Adani Ports and Special Economic Zone, 5% 2aug2041, USD</t>
  </si>
  <si>
    <t>Albemarle, 5.65% 1jun2052, USD</t>
  </si>
  <si>
    <t>FINRA TRACE</t>
  </si>
  <si>
    <t>ArcelorMittal, 7% 15oct2039, USD</t>
  </si>
  <si>
    <t>Argentina, 4.125% 9jul2035, USD</t>
  </si>
  <si>
    <t>Athene Holding, 6.625% 15oct2054, USD</t>
  </si>
  <si>
    <t>Stuttgart Exchange</t>
  </si>
  <si>
    <t>Aviva, 7.75% perp., GBP</t>
  </si>
  <si>
    <t>Last</t>
  </si>
  <si>
    <t>MiFID II Source 1 (APA, Post-trade reporting)</t>
  </si>
  <si>
    <t>Domestic bonds</t>
  </si>
  <si>
    <t>BRF, 5.75% 21sep2050, USD</t>
  </si>
  <si>
    <t>Banco Santander, 4.75% perp., EUR</t>
  </si>
  <si>
    <t>XS1793250041</t>
  </si>
  <si>
    <t>Banco Santander, 5.25% perp., EUR</t>
  </si>
  <si>
    <t>XS1692931121</t>
  </si>
  <si>
    <t>Barclays, 7.625% perp., USD</t>
  </si>
  <si>
    <t>Barclays, 8.375% perp., GBP</t>
  </si>
  <si>
    <t>Pharmaceutical Preparation and Biotechnology</t>
  </si>
  <si>
    <t>Boeing, 5.805% 1may2050, USD</t>
  </si>
  <si>
    <t>Brazil, 7.125% 20jan2037, USD</t>
  </si>
  <si>
    <t>Cia Siderurgica Nacional (CSN), 8.875% 5dec2030, USD</t>
  </si>
  <si>
    <t>Codelco, 6.3% 8sep2053, USD</t>
  </si>
  <si>
    <t>Berlin Exchange</t>
  </si>
  <si>
    <t>Colombia, 3.875% 15feb2061, USD</t>
  </si>
  <si>
    <t>Colombia, 7.375% 18sep2037, USD</t>
  </si>
  <si>
    <t>Comision Federal de Electricidad, 6.264% 15feb2052, USD</t>
  </si>
  <si>
    <t>Commerzbank, 6.125% perp., EUR (1)</t>
  </si>
  <si>
    <t>XS2189784288</t>
  </si>
  <si>
    <t>Credit Agricole SA, 5.875% perp., EUR</t>
  </si>
  <si>
    <t>Credit Agricole SA, 6.7% perp., USD (44)</t>
  </si>
  <si>
    <t>MiFID II Source 2 (APA, Post-trade reporting)</t>
  </si>
  <si>
    <t>Deutsche Bank, 7.125% perp., EUR</t>
  </si>
  <si>
    <t>Deutsche Bank, 7.375% perp., EUR</t>
  </si>
  <si>
    <t>Deutsche Bank, 7.5% perp., USD</t>
  </si>
  <si>
    <t>US251525AN16</t>
  </si>
  <si>
    <t>Deutsche Bank, 8.125% perp., EUR</t>
  </si>
  <si>
    <t>Ecopetrol, 8.375% 19jan2036, USD</t>
  </si>
  <si>
    <t>Ecopetrol, 8.875% 13jan2033, USD</t>
  </si>
  <si>
    <t>Electricite de France (EDF), 7.375% perp., GBP</t>
  </si>
  <si>
    <t>Eletrobras, 6.5% 11jan2035, USD</t>
  </si>
  <si>
    <t>Enbridge, 7.375% 15jan2083, USD (2022-B)</t>
  </si>
  <si>
    <t>Enbridge, 7.375% 15mar2055, USD (2055)</t>
  </si>
  <si>
    <t>Current</t>
  </si>
  <si>
    <t>Enbridge, 7.625% 15jan2083, USD (2022-C)</t>
  </si>
  <si>
    <t>Enel Chile, 4.875% 12jun2028, USD</t>
  </si>
  <si>
    <t>US29278DAA37</t>
  </si>
  <si>
    <t>Enel Chile</t>
  </si>
  <si>
    <t>Enel, 5.75% 14sep2040, GBP (43)</t>
  </si>
  <si>
    <t>Energean Israel Finance, 8.5% 30sep2033, USD</t>
  </si>
  <si>
    <t>Erste Group, 7% perp., EUR (7)</t>
  </si>
  <si>
    <t>General Motors, 5.95% 1apr2049, USD</t>
  </si>
  <si>
    <t>Groupama Assurances Mutuelles, 6.5% perp., EUR</t>
  </si>
  <si>
    <t>HSBC Holdings plc, 6.95% perp., USD</t>
  </si>
  <si>
    <t>IBRD, 10.75% 9oct2031, BRL (102132)</t>
  </si>
  <si>
    <t>IBRD, 9.5% 9feb2029, BRL (101505)</t>
  </si>
  <si>
    <t>IFC, 10.75% 15feb2028, BRL (2561)</t>
  </si>
  <si>
    <t>Intel, 3.2% 12aug2061, USD</t>
  </si>
  <si>
    <t>US458140BX76</t>
  </si>
  <si>
    <t>Israel Chemicals, 6.375% 31may2038, USD</t>
  </si>
  <si>
    <t>Israel, 4.5% 3apr2120, USD</t>
  </si>
  <si>
    <t>KazMunayGas, 6.375% 24oct2048, USD</t>
  </si>
  <si>
    <t>Latam Airlines, 7.875% 15apr2030, USD</t>
  </si>
  <si>
    <t>Leviathan Bond, 6.75% 30jun2030, USD (D)</t>
  </si>
  <si>
    <t>Lloyds Banking Group, 7.5% perp., GBP</t>
  </si>
  <si>
    <t>Macy's Retail Holdings, 5.875% 1apr2029, USD</t>
  </si>
  <si>
    <t>USU5562LAG42</t>
  </si>
  <si>
    <t>Macy's Retail Holdings</t>
  </si>
  <si>
    <t>Specialty Retailers</t>
  </si>
  <si>
    <t>Mexico, 5.625% 19mar2114, GBP</t>
  </si>
  <si>
    <t>Micron Technology, 4.185% 15feb2027, USD</t>
  </si>
  <si>
    <t>US595112BP79</t>
  </si>
  <si>
    <t>Micron Technology</t>
  </si>
  <si>
    <t>NMMC, 6.95% 17oct2031, USD</t>
  </si>
  <si>
    <t>NMMC</t>
  </si>
  <si>
    <t>Naspers, 4.027% 3aug2050, USD</t>
  </si>
  <si>
    <t>Naspers, 4.987% 19jan2052, USD</t>
  </si>
  <si>
    <t>Nordea Bank Abp, 6.3% perp., USD (9617)</t>
  </si>
  <si>
    <t>OCP SA, 6.875% 25apr2044, USD</t>
  </si>
  <si>
    <t>OCP SA, 7.5% 2may2054, USD</t>
  </si>
  <si>
    <t>Orsted, 5.375% 13sep2042, GBP</t>
  </si>
  <si>
    <t>PT Freeport Indonesia, 6.2% 14apr2052, USD</t>
  </si>
  <si>
    <t>Panama, 6.853% 28mar2054, USD</t>
  </si>
  <si>
    <t>Pemex, 10% 7feb2033, USD (3)</t>
  </si>
  <si>
    <t>Pemex, 7.69% 23jan2050, USD</t>
  </si>
  <si>
    <t>Petrobras, 6% 13jan2035, USD</t>
  </si>
  <si>
    <t>Petrobras, 6.625% 16jan2034, GBP</t>
  </si>
  <si>
    <t>Petrobras, 6.85% 5jun2115, USD</t>
  </si>
  <si>
    <t>Petrobras, 7.25% 17mar2044, USD</t>
  </si>
  <si>
    <t>Rabobank, FRN perp., EUR</t>
  </si>
  <si>
    <t>Raiffeisen Bank International AG, 6% perp., EUR</t>
  </si>
  <si>
    <t>XS2207857421</t>
  </si>
  <si>
    <t>Raiffeisen Bank International AG, 6.125% perp., EUR</t>
  </si>
  <si>
    <t>XS1640667116</t>
  </si>
  <si>
    <t>Raiffeisen Bank International AG, 7.375% perp., EUR</t>
  </si>
  <si>
    <t>Rakuten Group, 9.75% 15apr2029, USD</t>
  </si>
  <si>
    <t>Romania, 5.75% 24mar2035, USD</t>
  </si>
  <si>
    <t>SBL Holdings, 7.2% 30oct2034, USD</t>
  </si>
  <si>
    <t>Sasol, 5.5% 18mar2031, USD</t>
  </si>
  <si>
    <t>Sibanye Gold, 4.5% 16nov2029, USD</t>
  </si>
  <si>
    <t>Sitios Latinoamerica, 5.375% 4apr2032, USD</t>
  </si>
  <si>
    <t>USP0R80BAG79</t>
  </si>
  <si>
    <t>Sitios Latinoamerica</t>
  </si>
  <si>
    <t>Societe Generale, 8.5% perp., USD</t>
  </si>
  <si>
    <t>Softbank Group</t>
  </si>
  <si>
    <t>Softbank Group, 7% 8jul2031, USD</t>
  </si>
  <si>
    <t>South Africa, 7.1% 19nov2036, USD</t>
  </si>
  <si>
    <t>Suzano, 5.5% 17jan2027, USD</t>
  </si>
  <si>
    <t>USN8438JAB46</t>
  </si>
  <si>
    <t>Suzano</t>
  </si>
  <si>
    <t>Pulp, Paper and Wood</t>
  </si>
  <si>
    <t>Svenska Handelsbanken AB (London Branch), 4.625% 23aug2032, GBP (357)</t>
  </si>
  <si>
    <t>XS2523511165</t>
  </si>
  <si>
    <t>Sweden</t>
  </si>
  <si>
    <t>Svenska Handelsbanken AB (London Branch)</t>
  </si>
  <si>
    <t>Swedbank, 7.272% 15nov2032, GBP</t>
  </si>
  <si>
    <t>XS2555706337</t>
  </si>
  <si>
    <t>Swedbank</t>
  </si>
  <si>
    <t>Swiss Re, 4.625% perp., USD (2017-4)</t>
  </si>
  <si>
    <t>XS1640851983</t>
  </si>
  <si>
    <t>Swiss Re</t>
  </si>
  <si>
    <t>T-Mobile USA, 5.375% 15apr2027, USD</t>
  </si>
  <si>
    <t>US87264AAT25</t>
  </si>
  <si>
    <t>T-Mobile USA</t>
  </si>
  <si>
    <t>Telefonica SA, 4.103% 8mar2027, USD</t>
  </si>
  <si>
    <t>US87938WAT09</t>
  </si>
  <si>
    <t>Telefonica SA</t>
  </si>
  <si>
    <t>Teva Pharmaceutical Industries, 4.75% 9may2027, USD</t>
  </si>
  <si>
    <t>US88167AAP66</t>
  </si>
  <si>
    <t>Teva Pharmaceutical Industries</t>
  </si>
  <si>
    <t>Teva Pharmaceutical Industries, 6.15% 1feb2036, USD</t>
  </si>
  <si>
    <t>US88163VAD10</t>
  </si>
  <si>
    <t>Thai Oil, 5.375% 20nov2048, USD (4)</t>
  </si>
  <si>
    <t>US88323AAD46</t>
  </si>
  <si>
    <t>Thailand</t>
  </si>
  <si>
    <t>Thai Oil</t>
  </si>
  <si>
    <t>Toronto-Dominion Bank, 7.25% 31jul2084, USD</t>
  </si>
  <si>
    <t>Toronto-Dominion Bank, 8.125% 31oct2082, USD (3)</t>
  </si>
  <si>
    <t>TransCanada PipeLines, 5.875% 15aug2076, USD (2016-A)</t>
  </si>
  <si>
    <t>US89356BAB45</t>
  </si>
  <si>
    <t>TransCanada PipeLines</t>
  </si>
  <si>
    <t>Turk Telekom, 7.375% 20may2029, USD</t>
  </si>
  <si>
    <t>Turk Telekom</t>
  </si>
  <si>
    <t>Turkcell Iletisim, 7.65% 24jan2032, USD</t>
  </si>
  <si>
    <t>Turkey, 6.625% 17feb2045, USD</t>
  </si>
  <si>
    <t>Turkey, 7.125% 17jul2032, USD</t>
  </si>
  <si>
    <t>UBS Group, 4.125% 24sep2025, USD</t>
  </si>
  <si>
    <t>USG91703AB73</t>
  </si>
  <si>
    <t>UBS Group, 6.85% perp., USD</t>
  </si>
  <si>
    <t>UBS Group, 6.875% perp., USD</t>
  </si>
  <si>
    <t>CH0286864027</t>
  </si>
  <si>
    <t>UBS Group, 7% perp., USD</t>
  </si>
  <si>
    <t>USH4209UAT37</t>
  </si>
  <si>
    <t>UBS Group, 7.125% perp., USD</t>
  </si>
  <si>
    <t>USA, Bonds 3.375% 15nov2048, USD</t>
  </si>
  <si>
    <t>US912810SE91</t>
  </si>
  <si>
    <t>USA, Bonds 4.25% 15may2039, USD</t>
  </si>
  <si>
    <t>US912810QB70</t>
  </si>
  <si>
    <t>USA, Notes 4.375% 15aug2026, USD (AR-2026)</t>
  </si>
  <si>
    <t>US91282CHU80</t>
  </si>
  <si>
    <t>Ulker Biskuvi Sanayi, 7.875% 8jul2031, USD</t>
  </si>
  <si>
    <t>UniCredit, 4.625% 12apr2027, USD</t>
  </si>
  <si>
    <t>XS1596778008</t>
  </si>
  <si>
    <t>UniCredit</t>
  </si>
  <si>
    <t>Unibail-Rodamco-Westfield N.V., 7.25% perp., EUR</t>
  </si>
  <si>
    <t>FR001400IU83</t>
  </si>
  <si>
    <t>Unibail-Rodamco-Westfield N.V.</t>
  </si>
  <si>
    <t>Real Estate Investment and Services</t>
  </si>
  <si>
    <t>United Airlines 2020-1, 5.875% 15apr2029, USD (ABS, A)</t>
  </si>
  <si>
    <t>US90931GAA76</t>
  </si>
  <si>
    <t>United Airlines 2020-1</t>
  </si>
  <si>
    <t>Other sectors</t>
  </si>
  <si>
    <t>United States Steel, 6.875% 1mar2029, USD</t>
  </si>
  <si>
    <t>United States Steel</t>
  </si>
  <si>
    <t>Vale, 6.875% 10nov2039, USD</t>
  </si>
  <si>
    <t>Var Energi, 7.5% 15jan2028, USD</t>
  </si>
  <si>
    <t>USR9576ZAD08</t>
  </si>
  <si>
    <t>Admitted</t>
  </si>
  <si>
    <t>Norway</t>
  </si>
  <si>
    <t>Var Energi</t>
  </si>
  <si>
    <t>Luxembourg S.E.</t>
  </si>
  <si>
    <t>Vedanta Resources, 10.875% 17sep2029, USD</t>
  </si>
  <si>
    <t>Vedanta Resources, 11.25% 3dec2031, USD</t>
  </si>
  <si>
    <t>Vedanta Resources, 13.875% 21jan2027, USD</t>
  </si>
  <si>
    <t>USV9667MAA00</t>
  </si>
  <si>
    <t>Vedanta Resources, 13.875% 9dec2028, USD</t>
  </si>
  <si>
    <t>USG9328DAP53</t>
  </si>
  <si>
    <t>Vedanta Resources, 9.25% 23apr2026, USD</t>
  </si>
  <si>
    <t>USG9T27HAA24</t>
  </si>
  <si>
    <t>Vedanta Resources, 9.85% 24apr2033, USD</t>
  </si>
  <si>
    <t>Volkswagen Group of America Finance, 4.6% 8jun2029, USD</t>
  </si>
  <si>
    <t>USU9273ADM46</t>
  </si>
  <si>
    <t>Volkswagen Group of America Finance</t>
  </si>
  <si>
    <t>Volkswagen, 4.75% 13nov2028, USD</t>
  </si>
  <si>
    <t>USU9273ACK98</t>
  </si>
  <si>
    <t>Volkswagen</t>
  </si>
  <si>
    <t>Walgreens Boots Alliance, 3.2% 15apr2030, USD</t>
  </si>
  <si>
    <t>US931427AS74</t>
  </si>
  <si>
    <t>Walgreens Boots Alliance</t>
  </si>
  <si>
    <t>FMCG-Retail</t>
  </si>
  <si>
    <t>Warnermedia Holdings, 5.391% 15mar2062, USD</t>
  </si>
  <si>
    <t>Welltower, 4.5% 1dec2034, GBP</t>
  </si>
  <si>
    <t>XS1139918012</t>
  </si>
  <si>
    <t>Welltower</t>
  </si>
  <si>
    <t>Welltower, 4.8% 20nov2028, GBP</t>
  </si>
  <si>
    <t>XS0994433836</t>
  </si>
  <si>
    <t>Woodside Energy, 5.7% 12sep2054, USD</t>
  </si>
  <si>
    <t>Yamana Gold, 2.63% 15aug2031, USD</t>
  </si>
  <si>
    <t>US98462YAF79</t>
  </si>
  <si>
    <t>Yamana Gold</t>
  </si>
  <si>
    <t>Yara International ASA, 4.75% 1jun2028, USD</t>
  </si>
  <si>
    <t>USR9900CAR71</t>
  </si>
  <si>
    <t>Yara International ASA</t>
  </si>
  <si>
    <t>Zurich Insurance Company, 5.125% 23nov2052, GBP (63)</t>
  </si>
  <si>
    <t>XS2523960719</t>
  </si>
  <si>
    <t>Zurich Insurance Company</t>
  </si>
  <si>
    <t>XS2272365078</t>
  </si>
  <si>
    <t>USA, Notes 2.125% 31mar2024, USD (J-2024)</t>
  </si>
  <si>
    <t>US912828W713</t>
  </si>
  <si>
    <t>USA, Notes 3.25% 31aug2024, USD (BG-2024)</t>
  </si>
  <si>
    <t>US91282CFG15</t>
  </si>
  <si>
    <t>V1412 CP</t>
  </si>
  <si>
    <t>V1430 CP</t>
  </si>
  <si>
    <t>Fixed Advance CHF, 0.5%, 23.05.2025-22.05.2026 (3432785)</t>
  </si>
  <si>
    <t>22/05/2026</t>
  </si>
  <si>
    <t>7.05% HSBC Hldgs Open End FRN Senior</t>
  </si>
  <si>
    <t>US404280FA24</t>
  </si>
  <si>
    <t>IE00B7SR3R97</t>
  </si>
  <si>
    <t>Algebris Financial Credit Id USD</t>
  </si>
  <si>
    <t>IE00BK017C39</t>
  </si>
  <si>
    <t>LU0635706566</t>
  </si>
  <si>
    <t>Vontobel Fd TwentyFour Strat Inc Fd AQHNG hgd USD</t>
  </si>
  <si>
    <t>LU1451580523</t>
  </si>
  <si>
    <t>7.625% Barclays Open End FRN Conv Junior Subordinated</t>
  </si>
  <si>
    <t>Vontobel Fund Credit Opportunities E USD Acc</t>
  </si>
  <si>
    <t>LU1242417589</t>
  </si>
  <si>
    <t>BHP Group Ltd Registered</t>
  </si>
  <si>
    <t>AU000000BHP4</t>
  </si>
  <si>
    <t>Glencore PLC Registered</t>
  </si>
  <si>
    <t>JE00B4T3BW64</t>
  </si>
  <si>
    <t>Rio Tinto PLC Registered</t>
  </si>
  <si>
    <t>GB0007188757</t>
  </si>
  <si>
    <t>HSBC Holdings plc, 7.05% perp., USD</t>
  </si>
  <si>
    <t>USA, Bills 0% 17jul2025, USD (182D)</t>
  </si>
  <si>
    <t>Dusseldorf SE</t>
  </si>
  <si>
    <t>USA, Bills 0% 3jun2025, USD (119D)</t>
  </si>
  <si>
    <t>FedInvest</t>
  </si>
  <si>
    <t>Fixed Advance CHF, 0.48%, 12.06.2025-16.06.2026 (3503926)</t>
  </si>
  <si>
    <t>Fixed Advance CHF, 0.48%, 12.06.2025-12.06.2026 (3505845)</t>
  </si>
  <si>
    <t>End of Period</t>
  </si>
  <si>
    <t>Coupon date 3</t>
  </si>
  <si>
    <t>Coupon date 4</t>
  </si>
  <si>
    <t>Coupon date 5</t>
  </si>
  <si>
    <t>Coupon date 6</t>
  </si>
  <si>
    <t>Coupon date 7</t>
  </si>
  <si>
    <t>Coupon date 8</t>
  </si>
  <si>
    <t>Coupon date 9</t>
  </si>
  <si>
    <t>Coupon date 10</t>
  </si>
  <si>
    <t>Coupon date 11</t>
  </si>
  <si>
    <t>Coupon date 12</t>
  </si>
  <si>
    <t>Start of Period</t>
  </si>
  <si>
    <t>Total Income, USD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</si>
  <si>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</si>
  <si>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</si>
  <si>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</si>
  <si>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</si>
  <si>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</si>
  <si>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</si>
  <si>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</si>
  <si>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</si>
  <si>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</si>
  <si>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</si>
  <si>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</si>
  <si>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</si>
  <si>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Ex-dividend Date</t>
  </si>
  <si>
    <t>Dividend Per Share (USD)</t>
  </si>
  <si>
    <t>29/05/2025</t>
  </si>
  <si>
    <t>29/04/2025</t>
  </si>
  <si>
    <t>28/03/2025</t>
  </si>
  <si>
    <t>27/02/2025</t>
  </si>
  <si>
    <t>27/01/2025</t>
  </si>
  <si>
    <t>30/12/2024</t>
  </si>
  <si>
    <t>27/11/2024</t>
  </si>
  <si>
    <t>30/10/2024</t>
  </si>
  <si>
    <t>27/09/2024</t>
  </si>
  <si>
    <t>29/08/2024</t>
  </si>
  <si>
    <t>30/07/2024</t>
  </si>
  <si>
    <t>27/06/2024</t>
  </si>
  <si>
    <t>Total</t>
  </si>
  <si>
    <t>Coupon date 2</t>
  </si>
  <si>
    <t>coupon date 1</t>
  </si>
  <si>
    <t>coupon date 2</t>
  </si>
  <si>
    <t>coupon date 3</t>
  </si>
  <si>
    <t>Coupon date 1</t>
  </si>
  <si>
    <t>Dividend per share</t>
  </si>
  <si>
    <t>Dividends per annum</t>
  </si>
  <si>
    <t>Div. yield</t>
  </si>
  <si>
    <t>Total Income, ССY</t>
  </si>
  <si>
    <t>Bonds coupons</t>
  </si>
  <si>
    <t>Bonds ETF distributions</t>
  </si>
  <si>
    <t>Deposits inflows</t>
  </si>
  <si>
    <t>On</t>
  </si>
  <si>
    <t>Off</t>
  </si>
  <si>
    <t>Equity dividends</t>
  </si>
  <si>
    <t>JPMorgan Liquidity Funds - USD Liquidity LVNAV Fund</t>
  </si>
  <si>
    <t>Liquidity Fund</t>
  </si>
  <si>
    <t>Calculation in USD</t>
  </si>
  <si>
    <t>16/06/2026</t>
  </si>
  <si>
    <t>12/06/2026</t>
  </si>
  <si>
    <t>Ford Motor Credit Co, 5.78% 30apr2030, GBP</t>
  </si>
  <si>
    <t>Ford Motor Credit Co</t>
  </si>
  <si>
    <t>Ford Motor Credit Co, 2.748% 14jun2024, GBP</t>
  </si>
  <si>
    <t>Fixed Advance EUR, 2.6%, 18.07.2025-17.07.2026 (3642940)</t>
  </si>
  <si>
    <t>17/07/2026</t>
  </si>
  <si>
    <t>7.625% LATAM Air Grp 07.01.2031 Senior</t>
  </si>
  <si>
    <t>USP62138AC95</t>
  </si>
  <si>
    <t>07/01/2031</t>
  </si>
  <si>
    <t>Latam Airlines, 7.625% 7jan2031, USD</t>
  </si>
  <si>
    <t>Diff Bid/Ask</t>
  </si>
  <si>
    <t>Average</t>
  </si>
  <si>
    <t>Market PRICE</t>
  </si>
  <si>
    <t>Market Value, CCY</t>
  </si>
  <si>
    <t>Market Value, USD</t>
  </si>
  <si>
    <t>Cost price, CCY</t>
  </si>
  <si>
    <t>P&amp;L, %</t>
  </si>
  <si>
    <t>Coupon in CCY</t>
  </si>
  <si>
    <t>La Mondiale, 6.75% perp., EUR</t>
  </si>
  <si>
    <t>3.2% Intel 12.08.2061 Senior</t>
  </si>
  <si>
    <t>12/08/2061</t>
  </si>
  <si>
    <t>5.65% Albemarle 01.06.2052 Senior</t>
  </si>
  <si>
    <t>01/06/2052</t>
  </si>
  <si>
    <t>5.7% Woodside Fin 12.09.2054 Senior</t>
  </si>
  <si>
    <t>12/09/2054</t>
  </si>
  <si>
    <t>6.375% ABN AMRO Open End FRN Junior Subordinated</t>
  </si>
  <si>
    <t>G-spread, b.p.</t>
  </si>
  <si>
    <t>G-spread, p.a.</t>
  </si>
  <si>
    <t>Fixed Advance CHF, 0.58%, 05.08.2025-05.08.2026 (3688985)</t>
  </si>
  <si>
    <t>05/08/2026</t>
  </si>
  <si>
    <t>Put Coinbase Glb Rg-A 20.March 2026 USD 260</t>
  </si>
  <si>
    <t>20/03/2026</t>
  </si>
  <si>
    <t>6.625% Romania 16.05.2036 Senior</t>
  </si>
  <si>
    <t>XS3114897633</t>
  </si>
  <si>
    <t>16/05/2036</t>
  </si>
  <si>
    <t>6.95% HSBC Hldgs Open End FRN Conv Junior Subordinated</t>
  </si>
  <si>
    <t>US404280EJ42</t>
  </si>
  <si>
    <t>7.5% SoftBank Group 10.07.2035 Senior</t>
  </si>
  <si>
    <t>XS3112542355</t>
  </si>
  <si>
    <t>Romania, 6.625% 16may2036, USD</t>
  </si>
  <si>
    <t>Softbank Group, 7.5% 10jul2035, USD</t>
  </si>
  <si>
    <t>1659657.004008/TRY/ORD</t>
  </si>
  <si>
    <t>CH53 0875 7000 0130 6928 8</t>
  </si>
  <si>
    <t>TRY</t>
  </si>
  <si>
    <t>Fixed Advance JPY, 1.5%, 26.08.2025-26.08.2026 (3789830)</t>
  </si>
  <si>
    <t>26/08/2026</t>
  </si>
  <si>
    <t>27.5% European Bank EBRD 13.02.2029 Senior</t>
  </si>
  <si>
    <t>XS2765026468</t>
  </si>
  <si>
    <t>13/02/2029</t>
  </si>
  <si>
    <t>EBRD, 27.5% 13feb2029, TRY</t>
  </si>
  <si>
    <t>EBRD</t>
  </si>
  <si>
    <t>Nitrogenmuvek, 7% 4aug2025, EUR</t>
  </si>
  <si>
    <t>8.8% NITRUM FINANCE DAC 2025-30.06.2028 BONDS</t>
  </si>
  <si>
    <t>XS3135134248</t>
  </si>
  <si>
    <t>Fixed Advance EUR, 2.74%, 12.09.2025-12.03.2026 (3911802)</t>
  </si>
  <si>
    <t>12/03/2026</t>
  </si>
  <si>
    <t>Put Oklo Rg-A 20.March 2026 USD 60</t>
  </si>
  <si>
    <t>FX Swap Far Leg - GBP/USD, 16.09.2026 (3920864)</t>
  </si>
  <si>
    <t>16/09/2026</t>
  </si>
  <si>
    <t>Trogenix (4 BIO SPV)</t>
  </si>
  <si>
    <t>Flashpoint Venture Growth Fund IV</t>
  </si>
  <si>
    <t>Remaining commitment,CCY</t>
  </si>
  <si>
    <t>Distribution Date</t>
  </si>
  <si>
    <t>Distribution NAV</t>
  </si>
  <si>
    <t>Income</t>
  </si>
  <si>
    <t>Sep 22, 2025</t>
  </si>
  <si>
    <t>Jun 24, 2025</t>
  </si>
  <si>
    <t>Mar 21, 2025</t>
  </si>
  <si>
    <t>Dec 20, 2024</t>
  </si>
  <si>
    <t>Sep 23, 2024</t>
  </si>
  <si>
    <t>Jun 21, 2024</t>
  </si>
  <si>
    <t>Mar 21, 2024</t>
  </si>
  <si>
    <t>Dec 21, 2023</t>
  </si>
  <si>
    <t>Sep 21, 2023</t>
  </si>
  <si>
    <t>Jun 21, 2023</t>
  </si>
  <si>
    <t xml:space="preserve">Vontobel Emerging Markets Corp Bd AQNUSD </t>
  </si>
  <si>
    <t>Vontobel TwentyFour StratInc AQHNG H USD</t>
  </si>
  <si>
    <t>Jul 08, 2025</t>
  </si>
  <si>
    <t>Apr 08, 2025</t>
  </si>
  <si>
    <t>Jan 09, 2025</t>
  </si>
  <si>
    <t>Oct 08, 2024</t>
  </si>
  <si>
    <t>Jul 08, 2024</t>
  </si>
  <si>
    <t>Apr 09, 2024</t>
  </si>
  <si>
    <t>Jan 09, 2024</t>
  </si>
  <si>
    <t>Oct 09, 2023</t>
  </si>
  <si>
    <t>Jul 10, 2023</t>
  </si>
  <si>
    <t>Apr 12, 2023</t>
  </si>
  <si>
    <t>Algebris Financial Credit Id EUR Inc</t>
  </si>
  <si>
    <t>Algebris Financial Credit ID USD Inc</t>
  </si>
  <si>
    <t>Morningstar DATA</t>
  </si>
  <si>
    <t>Sep 02, 2025</t>
  </si>
  <si>
    <t>Jun 03, 2025</t>
  </si>
  <si>
    <t>Mar 04, 2025</t>
  </si>
  <si>
    <t>Dec 03, 2024</t>
  </si>
  <si>
    <t>Sep 03, 2024</t>
  </si>
  <si>
    <t>Jun 04, 2024</t>
  </si>
  <si>
    <t>Mar 05, 2024</t>
  </si>
  <si>
    <t>Dec 05, 2023</t>
  </si>
  <si>
    <t>Sep 05, 2023</t>
  </si>
  <si>
    <t>Jun 06, 2023</t>
  </si>
  <si>
    <t>UBS Nova (Lux) Glbl Senior Loan IA USD</t>
  </si>
  <si>
    <t>Sep 29, 2025</t>
  </si>
  <si>
    <t>Aug 28, 2025</t>
  </si>
  <si>
    <t>Jul 30, 2025</t>
  </si>
  <si>
    <t>Jun 27, 2025</t>
  </si>
  <si>
    <t>May 29, 2025</t>
  </si>
  <si>
    <t>Apr 29, 2025</t>
  </si>
  <si>
    <t>Mar 28, 2025</t>
  </si>
  <si>
    <t>Feb 27, 2025</t>
  </si>
  <si>
    <t>Jan 27, 2025</t>
  </si>
  <si>
    <t>Dec 30, 2024</t>
  </si>
  <si>
    <t>PIMCO GIS Asia HY Bd Instl USD Inc</t>
  </si>
  <si>
    <t>Average coupon</t>
  </si>
  <si>
    <t>Total (net) drawdown, CCY</t>
  </si>
  <si>
    <t>FX Forward - GBP/USD, 16.09.2026 (4013793)</t>
  </si>
  <si>
    <t>7.05% HSBC Hldgs Open End FRN Junior Subordinated</t>
  </si>
  <si>
    <t>FX Swap Far Leg - GBP/USD, 16.09.2026 (4000818)</t>
  </si>
  <si>
    <t>7.125% Brazil 13.05.2054 Senior</t>
  </si>
  <si>
    <t>US105756CJ75</t>
  </si>
  <si>
    <t>13/05/2054</t>
  </si>
  <si>
    <t>Cost, CCY</t>
  </si>
  <si>
    <t>9.125% Vedanta Resourc 15.10.2032 Senior</t>
  </si>
  <si>
    <t>USG9T27HAN45</t>
  </si>
  <si>
    <t>15/10/2032</t>
  </si>
  <si>
    <t>Freeport-McMoRan Inc Registered</t>
  </si>
  <si>
    <t>US35671D8570</t>
  </si>
  <si>
    <t>8.375% Colombia 07.11.2054 Senior</t>
  </si>
  <si>
    <t>US195325EQ44</t>
  </si>
  <si>
    <t>07/11/2054</t>
  </si>
  <si>
    <t>Vedanta Resources Finance II Plc</t>
  </si>
  <si>
    <t>FX Swap Far Leg - EUR/USD, 09.10.2026 (4097807)</t>
  </si>
  <si>
    <t>09/10/2026</t>
  </si>
  <si>
    <t>FX Swap Far Leg - EUR/USD, 09.10.2026 (4098886)</t>
  </si>
  <si>
    <t>FX Swap Far Leg - GBP/USD, 16.09.2026 (4096793)</t>
  </si>
  <si>
    <t>10% IBRD 17.10.2029 Senior</t>
  </si>
  <si>
    <t>XS2920414112</t>
  </si>
  <si>
    <t>17/10/2029</t>
  </si>
  <si>
    <t>FR0014012P25</t>
  </si>
  <si>
    <t>Put BitMine Im Tech Rg 17.April 2026 USD 50</t>
  </si>
  <si>
    <t>17/04/2026</t>
  </si>
  <si>
    <t>Brazil, 7.125% 13may2054, USD</t>
  </si>
  <si>
    <t>Colombia, 8.375% 7nov2054, USD</t>
  </si>
  <si>
    <t>Societe Generale, 6.125% perp., EUR (PA 210 / 25-09)</t>
  </si>
  <si>
    <t>Vedanta Resources, 9.125% 15oct2032, USD</t>
  </si>
  <si>
    <t>Full MV in CCY</t>
  </si>
  <si>
    <t>Full MV in USD</t>
  </si>
  <si>
    <t>AI, CCY</t>
  </si>
  <si>
    <t>AI, USD</t>
  </si>
  <si>
    <t>Neuberger Berman EM Debt LC USD I (M) Dist</t>
  </si>
  <si>
    <t>IE00080NF9F1</t>
  </si>
  <si>
    <t>Bristol-Myers Squibb Co Registered</t>
  </si>
  <si>
    <t>US1101221083</t>
  </si>
  <si>
    <t>Merck &amp; Co Inc Registered</t>
  </si>
  <si>
    <t>US58933Y1055</t>
  </si>
  <si>
    <t>Pfizer Inc Registered</t>
  </si>
  <si>
    <t>US7170811035</t>
  </si>
  <si>
    <t>5.391% Discovery Glbl 15.03.2062 Senior</t>
  </si>
  <si>
    <t>6.5% AXIA Energia 11.01.2035 Reg-S Senior</t>
  </si>
  <si>
    <t>Ex Date</t>
  </si>
  <si>
    <t>Record Date</t>
  </si>
  <si>
    <t>Payable Date</t>
  </si>
  <si>
    <t>Distribution Type</t>
  </si>
  <si>
    <t>($/Share)</t>
  </si>
  <si>
    <t>IBRD, 10% 17oct2029, BRL (102147)</t>
  </si>
  <si>
    <t>LTV</t>
  </si>
  <si>
    <t>Entity</t>
  </si>
  <si>
    <t>140 West</t>
  </si>
  <si>
    <t>515 West 29</t>
  </si>
  <si>
    <t>Post Collection (MREI II)</t>
  </si>
  <si>
    <t>West Broadway (MREI III)</t>
  </si>
  <si>
    <t>149 Church</t>
  </si>
  <si>
    <t>Bank</t>
  </si>
  <si>
    <t>Total loans</t>
  </si>
  <si>
    <t>NAV reported, CCY</t>
  </si>
  <si>
    <t>Report</t>
  </si>
  <si>
    <t>Account</t>
  </si>
  <si>
    <t>Trade Date</t>
  </si>
  <si>
    <t>Mercury</t>
  </si>
  <si>
    <t>Last Capital Calls &amp; Distrubutions (after reporting)</t>
  </si>
  <si>
    <t>Antarras</t>
  </si>
  <si>
    <t>Dividends</t>
  </si>
  <si>
    <t>Comments</t>
  </si>
  <si>
    <t>Cash distribtuion, CCY2</t>
  </si>
  <si>
    <t>Total Commitment, CCY</t>
  </si>
  <si>
    <t>Account Number</t>
  </si>
  <si>
    <t>Maturity Date</t>
  </si>
  <si>
    <t>Amount in Borrowing Currency</t>
  </si>
  <si>
    <t>Interest Rate</t>
  </si>
  <si>
    <t>9867455</t>
  </si>
  <si>
    <t>2026-01-30</t>
  </si>
  <si>
    <t>9867456</t>
  </si>
  <si>
    <t>MV in USD</t>
  </si>
  <si>
    <t>JPM Personal</t>
  </si>
  <si>
    <t>3R portfolio in JPM</t>
  </si>
  <si>
    <t>Collateral</t>
  </si>
  <si>
    <t>New credit line in Vontobel</t>
  </si>
  <si>
    <t>LHC bonds</t>
  </si>
  <si>
    <t>Including</t>
  </si>
  <si>
    <t>Not including</t>
  </si>
  <si>
    <t>Currency of New credit line in Vontobel</t>
  </si>
  <si>
    <t>Transfer from Vontobel to JPM</t>
  </si>
  <si>
    <t>Pay off JPM Personal loans</t>
  </si>
  <si>
    <t>Pay off JPM 3R loans</t>
  </si>
  <si>
    <r>
      <t>INPUTs for LTV Calculation (</t>
    </r>
    <r>
      <rPr>
        <b/>
        <i/>
        <sz val="12"/>
        <color rgb="FF000000"/>
        <rFont val="Calibri"/>
        <family val="2"/>
        <charset val="204"/>
        <scheme val="minor"/>
      </rPr>
      <t>in thouthands of USD</t>
    </r>
    <r>
      <rPr>
        <i/>
        <sz val="12"/>
        <color indexed="8"/>
        <rFont val="Calibri"/>
        <family val="2"/>
        <charset val="204"/>
        <scheme val="minor"/>
      </rPr>
      <t>)</t>
    </r>
  </si>
  <si>
    <t>Assets Adj. 1</t>
  </si>
  <si>
    <t>Assets Adj. 2</t>
  </si>
  <si>
    <t>Loans Adj.</t>
  </si>
  <si>
    <t>Loans</t>
  </si>
  <si>
    <t>US Real Estate</t>
  </si>
  <si>
    <t>In tousands of USD</t>
  </si>
  <si>
    <t xml:space="preserve">LTV Calculation (All assets) </t>
  </si>
  <si>
    <t>LHC Bonds</t>
  </si>
  <si>
    <t>Antarras Portfolio</t>
  </si>
  <si>
    <t xml:space="preserve">Vontobel </t>
  </si>
  <si>
    <t>LTV Calculation (By facility)</t>
  </si>
  <si>
    <t>Market Value</t>
  </si>
  <si>
    <t>Collateral Market Value</t>
  </si>
  <si>
    <t>LTV by banks (Collateral assets)</t>
  </si>
  <si>
    <t>LTV by banks (All assets)</t>
  </si>
  <si>
    <t>Bedford</t>
  </si>
  <si>
    <t>Luton</t>
  </si>
  <si>
    <t>Ware</t>
  </si>
  <si>
    <t>Doncaster</t>
  </si>
  <si>
    <t>South Godstone</t>
  </si>
  <si>
    <t>Modular</t>
  </si>
  <si>
    <t>Menlove Loan</t>
  </si>
  <si>
    <t>Aberdeen</t>
  </si>
  <si>
    <t>Valorem</t>
  </si>
  <si>
    <t>UK PRS</t>
  </si>
  <si>
    <t>Real Estate</t>
  </si>
  <si>
    <t>Funded to date, CCY</t>
  </si>
  <si>
    <t>Distribuitions, CCY</t>
  </si>
  <si>
    <t>Date of first payment</t>
  </si>
  <si>
    <t>2026 Distribution, CCY</t>
  </si>
  <si>
    <t>2026 Capital calls, CCY</t>
  </si>
  <si>
    <t>2027 Capital calls, CCY</t>
  </si>
  <si>
    <t>US RE</t>
  </si>
  <si>
    <t>2027+ Distribution, CCY</t>
  </si>
  <si>
    <t>CFP</t>
  </si>
  <si>
    <t>CFP II - Commitment</t>
  </si>
  <si>
    <t>CFP III - Commitment</t>
  </si>
  <si>
    <t>CFP IV - Commitment</t>
  </si>
  <si>
    <t xml:space="preserve">Mercury portfolio </t>
  </si>
  <si>
    <t>Vontobel Fund Credit Opportunities E USD</t>
  </si>
  <si>
    <t>Fixed Advance EUR, 2.76%, 12.11.2025-12.05.2026 (4399785)</t>
  </si>
  <si>
    <t>12/05/2026</t>
  </si>
  <si>
    <t>8.25% SoftBank Group 29.10.2065 FRN Senior</t>
  </si>
  <si>
    <t>XS3203997427</t>
  </si>
  <si>
    <t>29/10/2065</t>
  </si>
  <si>
    <t>Pictet-Emerging Local Currency Debt-I dy USD</t>
  </si>
  <si>
    <t>LU0760712090</t>
  </si>
  <si>
    <t>Vontobel Fund Emerging Mkts Debt AI USD</t>
  </si>
  <si>
    <t>State Street SPDR S&amp;P Biotech ETF</t>
  </si>
  <si>
    <t>US78464A8707</t>
  </si>
  <si>
    <t>WisdomTree Europe Defence UCITS ETF EUR Acc</t>
  </si>
  <si>
    <t>IE0002Y8CX98</t>
  </si>
  <si>
    <t>Bond Funds</t>
  </si>
  <si>
    <t>Equities (incl. ETF)</t>
  </si>
  <si>
    <t>Equity ETF</t>
  </si>
  <si>
    <t>Capital call</t>
  </si>
  <si>
    <t>Fund</t>
  </si>
  <si>
    <t>9904854</t>
  </si>
  <si>
    <t>Joynery Company (Green Oak)</t>
  </si>
  <si>
    <t>CFP III/IV - Fundraising (loan)</t>
  </si>
  <si>
    <t>Distributions</t>
  </si>
  <si>
    <t>Capital Calls</t>
  </si>
  <si>
    <t>Q4 2025 Capital Calls,CCY</t>
  </si>
  <si>
    <t>Private Equity Cash Flow</t>
  </si>
  <si>
    <t>Real Estate Cash Flow</t>
  </si>
  <si>
    <t>US projects income</t>
  </si>
  <si>
    <t>PE &amp; RE Cash Flow (without US)</t>
  </si>
  <si>
    <t>Vontobel income</t>
  </si>
  <si>
    <t>UBS income</t>
  </si>
  <si>
    <t>Fixed Advance CHF, 0.64%, 18.11.2025-18.11.2026 (4433800)</t>
  </si>
  <si>
    <t>18/11/2026</t>
  </si>
  <si>
    <t>Fixed Advance EUR, 2.76%, 18.11.2025-18.05.2026 (4432858)</t>
  </si>
  <si>
    <t>18/05/2026</t>
  </si>
  <si>
    <t>Put Strategy Rg-A 20.March 2026 USD 170</t>
  </si>
  <si>
    <t>Q3</t>
  </si>
  <si>
    <t>Total current Loans by bank '000</t>
  </si>
  <si>
    <t>Transfer from 3R to Antarras (V)</t>
  </si>
  <si>
    <t>Total Loans, by CCY</t>
  </si>
  <si>
    <t>2026 CF, USD</t>
  </si>
  <si>
    <t>2027+ CF, USD</t>
  </si>
  <si>
    <t xml:space="preserve"> 1 </t>
  </si>
  <si>
    <t xml:space="preserve"> 2 </t>
  </si>
  <si>
    <t xml:space="preserve"> 3 </t>
  </si>
  <si>
    <t xml:space="preserve"> 4 </t>
  </si>
  <si>
    <t xml:space="preserve"> 5 </t>
  </si>
  <si>
    <t xml:space="preserve"> 6 </t>
  </si>
  <si>
    <t xml:space="preserve"> 7 </t>
  </si>
  <si>
    <t xml:space="preserve"> 8 </t>
  </si>
  <si>
    <t xml:space="preserve"> 9 </t>
  </si>
  <si>
    <t xml:space="preserve"> 10 </t>
  </si>
  <si>
    <t xml:space="preserve"> 11 </t>
  </si>
  <si>
    <t xml:space="preserve"> 12 </t>
  </si>
  <si>
    <t>004</t>
  </si>
  <si>
    <t>Cost</t>
  </si>
  <si>
    <t>Adam take Multiplier</t>
  </si>
  <si>
    <t>exit 3-4 mln</t>
  </si>
  <si>
    <t>5x-7x ebitda see CF</t>
  </si>
  <si>
    <t>2026 CF in USD &gt;&gt;</t>
  </si>
  <si>
    <t>PE &amp; RE cash flows, thousands USD</t>
  </si>
  <si>
    <t>Diff</t>
  </si>
  <si>
    <t xml:space="preserve"> P&amp;L % (USD)</t>
  </si>
  <si>
    <t>Unrealized P&amp;L</t>
  </si>
  <si>
    <t>Annualized P&amp;L</t>
  </si>
  <si>
    <t>Inception date</t>
  </si>
  <si>
    <t>YTD P&amp;L</t>
  </si>
  <si>
    <t>Withdrawals</t>
  </si>
  <si>
    <t>contributions</t>
  </si>
  <si>
    <t>Net contr.</t>
  </si>
  <si>
    <t>Digital EVO</t>
  </si>
  <si>
    <t>Class</t>
  </si>
  <si>
    <t>Market Value (Position Currency)</t>
  </si>
  <si>
    <t>Position Currency</t>
  </si>
  <si>
    <t>Market Value (Preferred Currency)</t>
  </si>
  <si>
    <t>Preferred Currency</t>
  </si>
  <si>
    <t>GEM</t>
  </si>
  <si>
    <t>Bond</t>
  </si>
  <si>
    <t>US Equity income</t>
  </si>
  <si>
    <t>Stock</t>
  </si>
  <si>
    <t>ETF</t>
  </si>
  <si>
    <t>Date</t>
  </si>
  <si>
    <t>Total Market Value, USD</t>
  </si>
  <si>
    <t>Balanced portfolio</t>
  </si>
  <si>
    <t>Total, change</t>
  </si>
  <si>
    <t>Security Number</t>
  </si>
  <si>
    <t>Asset Class</t>
  </si>
  <si>
    <t>Product</t>
  </si>
  <si>
    <t>Sub Product Type</t>
  </si>
  <si>
    <t>Sub Account</t>
  </si>
  <si>
    <t>Market Value (Base Currency)</t>
  </si>
  <si>
    <t>Base Currency</t>
  </si>
  <si>
    <t>Unrealised P&amp;L (Base Currency)</t>
  </si>
  <si>
    <t>Unrealised P&amp;L (Position Currency)</t>
  </si>
  <si>
    <t xml:space="preserve"> Unrealised P&amp;L% (Base Currency)</t>
  </si>
  <si>
    <t xml:space="preserve"> Unrealised P&amp;L% (Position Currency)</t>
  </si>
  <si>
    <t>Fixing Date</t>
  </si>
  <si>
    <t>Ticker</t>
  </si>
  <si>
    <t>Price Date</t>
  </si>
  <si>
    <t>Cost  Price</t>
  </si>
  <si>
    <t>Allocation %</t>
  </si>
  <si>
    <t>Spot Date</t>
  </si>
  <si>
    <t>Bought Currency</t>
  </si>
  <si>
    <t>Sold Currency</t>
  </si>
  <si>
    <t>Amount Bought</t>
  </si>
  <si>
    <t>Amount Sold</t>
  </si>
  <si>
    <t>Contract ID</t>
  </si>
  <si>
    <t>Coupon %</t>
  </si>
  <si>
    <t>Yield to Maturity%</t>
  </si>
  <si>
    <t>Yield to Worst%</t>
  </si>
  <si>
    <t>Coupon Frequency</t>
  </si>
  <si>
    <t>Next Coupon Date</t>
  </si>
  <si>
    <t>Commitment</t>
  </si>
  <si>
    <t>Capital Called</t>
  </si>
  <si>
    <t>Total Distributions</t>
  </si>
  <si>
    <t>Estimated Value</t>
  </si>
  <si>
    <t>Contract Type</t>
  </si>
  <si>
    <t>Principal</t>
  </si>
  <si>
    <t>CUSIP</t>
  </si>
  <si>
    <t>SEDOL</t>
  </si>
  <si>
    <t>IBAN</t>
  </si>
  <si>
    <t>Overdraft (Preferred Currency)</t>
  </si>
  <si>
    <t>Overdraft (Position Currency)</t>
  </si>
  <si>
    <t>Cash Balance (Preferred Currency)</t>
  </si>
  <si>
    <t>Cash Balance (Position Currency)</t>
  </si>
  <si>
    <t>Purchase Date</t>
  </si>
  <si>
    <t>Lending Value</t>
  </si>
  <si>
    <t>Next Call Date</t>
  </si>
  <si>
    <t>Modified Duration</t>
  </si>
  <si>
    <t>Accrued Interest (Base Currency)</t>
  </si>
  <si>
    <t>Accrued Interest (Position Currency)</t>
  </si>
  <si>
    <t>Accrued Interest (Preferred Currency)</t>
  </si>
  <si>
    <t>Estimated P&amp;L (Position Currency)</t>
  </si>
  <si>
    <t>Estimated P&amp;L % (Position Currency)</t>
  </si>
  <si>
    <t>Estimated P&amp;L (Base Currency)</t>
  </si>
  <si>
    <t>Estimated P&amp;L % (Base Currency)</t>
  </si>
  <si>
    <t>Estimated Value (Base Currency)</t>
  </si>
  <si>
    <t>Estimated Value (Preferred Currency)</t>
  </si>
  <si>
    <t>Estimated Value (Position Currency)</t>
  </si>
  <si>
    <t>Distributed</t>
  </si>
  <si>
    <t>Industry sector</t>
  </si>
  <si>
    <t>Industry group</t>
  </si>
  <si>
    <t>Geographical focus</t>
  </si>
  <si>
    <t>Sub region</t>
  </si>
  <si>
    <t>Credit Interest Rate</t>
  </si>
  <si>
    <t>Credit Interest Rate As Of</t>
  </si>
  <si>
    <t>Unrealised P&amp;L (Base Currency) Capital</t>
  </si>
  <si>
    <t>Unrealised P&amp;L (Base Currency) 
Foreign Exchange</t>
  </si>
  <si>
    <t>Fixed Income &amp; Cash</t>
  </si>
  <si>
    <t>Current account</t>
  </si>
  <si>
    <t>Cash Account - CHF</t>
  </si>
  <si>
    <t>208</t>
  </si>
  <si>
    <t>Cash Account - DKK</t>
  </si>
  <si>
    <t>DKK</t>
  </si>
  <si>
    <t>978</t>
  </si>
  <si>
    <t>Cash Account - EUR</t>
  </si>
  <si>
    <t>826</t>
  </si>
  <si>
    <t>Cash Account - GBP</t>
  </si>
  <si>
    <t>392</t>
  </si>
  <si>
    <t>Cash Account - JPY</t>
  </si>
  <si>
    <t>NOK</t>
  </si>
  <si>
    <t>752</t>
  </si>
  <si>
    <t>Cash Account - SEK</t>
  </si>
  <si>
    <t>SEK</t>
  </si>
  <si>
    <t>840</t>
  </si>
  <si>
    <t>Cash Account - USD</t>
  </si>
  <si>
    <t>0</t>
  </si>
  <si>
    <t>NEUBERGER EMER MK DB HD C FD USD DI</t>
  </si>
  <si>
    <t>IE00B99K4670</t>
  </si>
  <si>
    <t>T.BDS  3 3/8% 15 Nov 2048</t>
  </si>
  <si>
    <t>US T.BDS  4 1/4% 15 May 2039</t>
  </si>
  <si>
    <t>1405105</t>
  </si>
  <si>
    <t>3M</t>
  </si>
  <si>
    <t>US88579Y1010</t>
  </si>
  <si>
    <t>MMM.N</t>
  </si>
  <si>
    <t>Benchmark Aware</t>
  </si>
  <si>
    <t>88579Y101</t>
  </si>
  <si>
    <t>2595708</t>
  </si>
  <si>
    <t>Industrials</t>
  </si>
  <si>
    <t>Capital Goods</t>
  </si>
  <si>
    <t>US</t>
  </si>
  <si>
    <t>903037</t>
  </si>
  <si>
    <t>ABBOTT LABORATORIES</t>
  </si>
  <si>
    <t>US0028241000</t>
  </si>
  <si>
    <t>ABT.N</t>
  </si>
  <si>
    <t>002824100</t>
  </si>
  <si>
    <t>2002305</t>
  </si>
  <si>
    <t>Health Care</t>
  </si>
  <si>
    <t>Health Care Equipment And Services</t>
  </si>
  <si>
    <t>4020887</t>
  </si>
  <si>
    <t>ABBVIE</t>
  </si>
  <si>
    <t>US00287Y1091</t>
  </si>
  <si>
    <t>ABBV.N</t>
  </si>
  <si>
    <t>00287Y109</t>
  </si>
  <si>
    <t>B92SR70</t>
  </si>
  <si>
    <t>Pharmaceuticals Biotech &amp; Life Sciences</t>
  </si>
  <si>
    <t>993999</t>
  </si>
  <si>
    <t>ACCENTURE -A-</t>
  </si>
  <si>
    <t>IE00B4BNMY34</t>
  </si>
  <si>
    <t>ACN.N</t>
  </si>
  <si>
    <t>G1151C101</t>
  </si>
  <si>
    <t>B4BNMY3</t>
  </si>
  <si>
    <t>Information Technology</t>
  </si>
  <si>
    <t>Software And Services</t>
  </si>
  <si>
    <t>4006598</t>
  </si>
  <si>
    <t>ADIDAS</t>
  </si>
  <si>
    <t>DE000A1EWWW0</t>
  </si>
  <si>
    <t>ADSGn.DE</t>
  </si>
  <si>
    <t>4031976</t>
  </si>
  <si>
    <t>Consumer Discretionary</t>
  </si>
  <si>
    <t>Consumer Durables And Apparel</t>
  </si>
  <si>
    <t>International Developed</t>
  </si>
  <si>
    <t>903491</t>
  </si>
  <si>
    <t>ADVANCED MICRO DEVICES</t>
  </si>
  <si>
    <t>US0079031078</t>
  </si>
  <si>
    <t>AMD.OQ</t>
  </si>
  <si>
    <t>007903107</t>
  </si>
  <si>
    <t>2007849</t>
  </si>
  <si>
    <t>Semiconductors And Semiconductor Equip</t>
  </si>
  <si>
    <t>903838</t>
  </si>
  <si>
    <t>AIR PRODUCTS &amp; CHEMICALS</t>
  </si>
  <si>
    <t>US0091581068</t>
  </si>
  <si>
    <t>APD.N</t>
  </si>
  <si>
    <t>009158106</t>
  </si>
  <si>
    <t>2011602</t>
  </si>
  <si>
    <t>Materials</t>
  </si>
  <si>
    <t>4042908</t>
  </si>
  <si>
    <t>ALPHABET -A-</t>
  </si>
  <si>
    <t>US02079K3059</t>
  </si>
  <si>
    <t>GOOGL.OQ</t>
  </si>
  <si>
    <t>02079K305</t>
  </si>
  <si>
    <t>BYVY8G0</t>
  </si>
  <si>
    <t>Media &amp; Entertainment</t>
  </si>
  <si>
    <t>4036967</t>
  </si>
  <si>
    <t>ALPHABET -C-</t>
  </si>
  <si>
    <t>US02079K1079</t>
  </si>
  <si>
    <t>GOOG.OQ</t>
  </si>
  <si>
    <t>02079K107</t>
  </si>
  <si>
    <t>BYY88Y7</t>
  </si>
  <si>
    <t>645156</t>
  </si>
  <si>
    <t>AMAZON.COM</t>
  </si>
  <si>
    <t>US0231351067</t>
  </si>
  <si>
    <t>AMZN.OQ</t>
  </si>
  <si>
    <t>023135106</t>
  </si>
  <si>
    <t>2000019</t>
  </si>
  <si>
    <t>Consumer Discretionary Dist &amp; Retail</t>
  </si>
  <si>
    <t>906153</t>
  </si>
  <si>
    <t>AMERICAN EXPRESS</t>
  </si>
  <si>
    <t>US0258161092</t>
  </si>
  <si>
    <t>AXP.N</t>
  </si>
  <si>
    <t>025816109</t>
  </si>
  <si>
    <t>2026082</t>
  </si>
  <si>
    <t>Financials</t>
  </si>
  <si>
    <t>Financial Services</t>
  </si>
  <si>
    <t>4013988</t>
  </si>
  <si>
    <t>AMERICAN TOWER</t>
  </si>
  <si>
    <t>US03027X1000</t>
  </si>
  <si>
    <t>AMT.N</t>
  </si>
  <si>
    <t>03027X100</t>
  </si>
  <si>
    <t>B7FBFL2</t>
  </si>
  <si>
    <t>Equity Real Estate Invest Trusts (REITS)</t>
  </si>
  <si>
    <t>907697</t>
  </si>
  <si>
    <t>ANALOG DEVICES</t>
  </si>
  <si>
    <t>US0326541051</t>
  </si>
  <si>
    <t>ADI.OQ</t>
  </si>
  <si>
    <t>032654105</t>
  </si>
  <si>
    <t>2032067</t>
  </si>
  <si>
    <t>908440</t>
  </si>
  <si>
    <t>APPLE</t>
  </si>
  <si>
    <t>US0378331005</t>
  </si>
  <si>
    <t>AAPL.OQ</t>
  </si>
  <si>
    <t>037833100</t>
  </si>
  <si>
    <t>2046251</t>
  </si>
  <si>
    <t>Technology Hardware And Equipment</t>
  </si>
  <si>
    <t>908542</t>
  </si>
  <si>
    <t>APPLIED MATERIALS</t>
  </si>
  <si>
    <t>US0382221051</t>
  </si>
  <si>
    <t>AMAT.OQ</t>
  </si>
  <si>
    <t>038222105</t>
  </si>
  <si>
    <t>2046552</t>
  </si>
  <si>
    <t>8022591</t>
  </si>
  <si>
    <t>APPLOVIN CORP-CLASS A</t>
  </si>
  <si>
    <t>US03831W1080</t>
  </si>
  <si>
    <t>APP.OQ</t>
  </si>
  <si>
    <t>03831W108</t>
  </si>
  <si>
    <t>BMV3LG4</t>
  </si>
  <si>
    <t>8009387</t>
  </si>
  <si>
    <t>ARES MANAGEMENT CORP</t>
  </si>
  <si>
    <t>US03990B1017</t>
  </si>
  <si>
    <t>ARES.N</t>
  </si>
  <si>
    <t>03990B101</t>
  </si>
  <si>
    <t>BF14BT1</t>
  </si>
  <si>
    <t>8087527</t>
  </si>
  <si>
    <t>ARISTA NETWORKS INC</t>
  </si>
  <si>
    <t>US0404132054</t>
  </si>
  <si>
    <t>ANET.N</t>
  </si>
  <si>
    <t>040413205</t>
  </si>
  <si>
    <t>BL9XPM3</t>
  </si>
  <si>
    <t>932379</t>
  </si>
  <si>
    <t>ARTHUR J.GALLAGHER &amp; CO</t>
  </si>
  <si>
    <t>US3635761097</t>
  </si>
  <si>
    <t>AJG.N</t>
  </si>
  <si>
    <t>363576109</t>
  </si>
  <si>
    <t>2359506</t>
  </si>
  <si>
    <t>Insurance</t>
  </si>
  <si>
    <t>4020106</t>
  </si>
  <si>
    <t>ASML HOLDING</t>
  </si>
  <si>
    <t>NL0010273215</t>
  </si>
  <si>
    <t>ASML.AS</t>
  </si>
  <si>
    <t>B929F46</t>
  </si>
  <si>
    <t>European Union</t>
  </si>
  <si>
    <t>8071476</t>
  </si>
  <si>
    <t>ASTERA LABS INC</t>
  </si>
  <si>
    <t>US04626A1034</t>
  </si>
  <si>
    <t>ALAB.OQ</t>
  </si>
  <si>
    <t>04626A103</t>
  </si>
  <si>
    <t>BMTQ7V2</t>
  </si>
  <si>
    <t>959790</t>
  </si>
  <si>
    <t>AVALONBAY COMMUNITIES</t>
  </si>
  <si>
    <t>US0534841012</t>
  </si>
  <si>
    <t>AVB.N</t>
  </si>
  <si>
    <t>053484101</t>
  </si>
  <si>
    <t>2131179</t>
  </si>
  <si>
    <t>8000094</t>
  </si>
  <si>
    <t>BAKER HUGHES CO</t>
  </si>
  <si>
    <t>US05722G1004</t>
  </si>
  <si>
    <t>BKR.OQ</t>
  </si>
  <si>
    <t>05722G100</t>
  </si>
  <si>
    <t>BDHLTQ5</t>
  </si>
  <si>
    <t>Energy</t>
  </si>
  <si>
    <t>748628</t>
  </si>
  <si>
    <t>BANK OF AMERICA</t>
  </si>
  <si>
    <t>US0605051046</t>
  </si>
  <si>
    <t>BAC.N</t>
  </si>
  <si>
    <t>060505104</t>
  </si>
  <si>
    <t>2295677</t>
  </si>
  <si>
    <t>2824731</t>
  </si>
  <si>
    <t>BANK OF NEW YORK MELLON</t>
  </si>
  <si>
    <t>US0640581007</t>
  </si>
  <si>
    <t>BK.N</t>
  </si>
  <si>
    <t>064058100</t>
  </si>
  <si>
    <t>B1Z77F6</t>
  </si>
  <si>
    <t>912061</t>
  </si>
  <si>
    <t>BECTON DICKINSON</t>
  </si>
  <si>
    <t>US0758871091</t>
  </si>
  <si>
    <t>BDX.N</t>
  </si>
  <si>
    <t>075887109</t>
  </si>
  <si>
    <t>2087807</t>
  </si>
  <si>
    <t>1720684</t>
  </si>
  <si>
    <t>BIOGEN</t>
  </si>
  <si>
    <t>US09062X1037</t>
  </si>
  <si>
    <t>BIIB.OQ</t>
  </si>
  <si>
    <t>09062X103</t>
  </si>
  <si>
    <t>2455965</t>
  </si>
  <si>
    <t>8079364</t>
  </si>
  <si>
    <t>BLACKROCK INC</t>
  </si>
  <si>
    <t>US09290D1019</t>
  </si>
  <si>
    <t>BLK.N</t>
  </si>
  <si>
    <t>09290D101</t>
  </si>
  <si>
    <t>BMZBBT7</t>
  </si>
  <si>
    <t>8007762</t>
  </si>
  <si>
    <t>BLACKSTONE INC</t>
  </si>
  <si>
    <t>US09260D1072</t>
  </si>
  <si>
    <t>BX.N</t>
  </si>
  <si>
    <t>09260D107</t>
  </si>
  <si>
    <t>BKF2SL7</t>
  </si>
  <si>
    <t>8053354</t>
  </si>
  <si>
    <t>BOLIDEN AB</t>
  </si>
  <si>
    <t>SE0020050417</t>
  </si>
  <si>
    <t>BOL.ST</t>
  </si>
  <si>
    <t>W17218210</t>
  </si>
  <si>
    <t>BPYTZ57</t>
  </si>
  <si>
    <t>914188</t>
  </si>
  <si>
    <t>BRISTOL MYERS SQUIBB</t>
  </si>
  <si>
    <t>BMY.N</t>
  </si>
  <si>
    <t>110122108</t>
  </si>
  <si>
    <t>2126335</t>
  </si>
  <si>
    <t>8000793</t>
  </si>
  <si>
    <t>BROADCOM INC</t>
  </si>
  <si>
    <t>US11135F1012</t>
  </si>
  <si>
    <t>AVGO.OQ</t>
  </si>
  <si>
    <t>11135F101</t>
  </si>
  <si>
    <t>BDZ78H9</t>
  </si>
  <si>
    <t>4026402</t>
  </si>
  <si>
    <t>BURLINGTON STORES</t>
  </si>
  <si>
    <t>US1220171060</t>
  </si>
  <si>
    <t>BURL.N</t>
  </si>
  <si>
    <t>122017106</t>
  </si>
  <si>
    <t>BF311Y5</t>
  </si>
  <si>
    <t>322351</t>
  </si>
  <si>
    <t>CAPITAL ONE FINANCIAL</t>
  </si>
  <si>
    <t>US14040H1059</t>
  </si>
  <si>
    <t>COF.N</t>
  </si>
  <si>
    <t>14040H105</t>
  </si>
  <si>
    <t>2654461</t>
  </si>
  <si>
    <t>461893</t>
  </si>
  <si>
    <t>CARLSBERG -B-</t>
  </si>
  <si>
    <t>DK0010181759</t>
  </si>
  <si>
    <t>CARLb.CO</t>
  </si>
  <si>
    <t>4169219</t>
  </si>
  <si>
    <t>Consumer Staples</t>
  </si>
  <si>
    <t>Food Beverage And Tobacco</t>
  </si>
  <si>
    <t>8013157</t>
  </si>
  <si>
    <t>CARRIER GLOBAL CORP</t>
  </si>
  <si>
    <t>US14448C1045</t>
  </si>
  <si>
    <t>CARR.N</t>
  </si>
  <si>
    <t>14448C104</t>
  </si>
  <si>
    <t>BK4N0D7</t>
  </si>
  <si>
    <t>8072637</t>
  </si>
  <si>
    <t>CELESTICA INC</t>
  </si>
  <si>
    <t>CA15101Q2071</t>
  </si>
  <si>
    <t>CLS.N</t>
  </si>
  <si>
    <t>15101Q207</t>
  </si>
  <si>
    <t>BMDLRD5</t>
  </si>
  <si>
    <t>1212868</t>
  </si>
  <si>
    <t>CENCORA INC</t>
  </si>
  <si>
    <t>US03073E1055</t>
  </si>
  <si>
    <t>COR.N</t>
  </si>
  <si>
    <t>03073E105</t>
  </si>
  <si>
    <t>2795393</t>
  </si>
  <si>
    <t>968789</t>
  </si>
  <si>
    <t>CHARLES SCHWAB</t>
  </si>
  <si>
    <t>US8085131055</t>
  </si>
  <si>
    <t>SCHW.N</t>
  </si>
  <si>
    <t>808513105</t>
  </si>
  <si>
    <t>2779397</t>
  </si>
  <si>
    <t>1281709</t>
  </si>
  <si>
    <t>CHEVRON</t>
  </si>
  <si>
    <t>US1667641005</t>
  </si>
  <si>
    <t>CVX.N</t>
  </si>
  <si>
    <t>166764100</t>
  </si>
  <si>
    <t>2838555</t>
  </si>
  <si>
    <t>2319653</t>
  </si>
  <si>
    <t>CHIPOTLE MEXICAN GRILL -A-</t>
  </si>
  <si>
    <t>US1696561059</t>
  </si>
  <si>
    <t>CMG.N</t>
  </si>
  <si>
    <t>169656105</t>
  </si>
  <si>
    <t>B0X7DZ3</t>
  </si>
  <si>
    <t>Consumer Services</t>
  </si>
  <si>
    <t>4432874</t>
  </si>
  <si>
    <t>CHUBB</t>
  </si>
  <si>
    <t>CH0044328745</t>
  </si>
  <si>
    <t>CB.N</t>
  </si>
  <si>
    <t>H1467J104</t>
  </si>
  <si>
    <t>B3BQMF6</t>
  </si>
  <si>
    <t>8095519</t>
  </si>
  <si>
    <t>CIRCLE INTERNET GROUP INC</t>
  </si>
  <si>
    <t>US1725731079</t>
  </si>
  <si>
    <t>CRCL.N</t>
  </si>
  <si>
    <t>172573107</t>
  </si>
  <si>
    <t>BL6K237</t>
  </si>
  <si>
    <t>4011169</t>
  </si>
  <si>
    <t>CITIGROUP</t>
  </si>
  <si>
    <t>US1729674242</t>
  </si>
  <si>
    <t>C.N</t>
  </si>
  <si>
    <t>172967424</t>
  </si>
  <si>
    <t>2297907</t>
  </si>
  <si>
    <t>3262089</t>
  </si>
  <si>
    <t>CME GROUP INC -A-</t>
  </si>
  <si>
    <t>US12572Q1058</t>
  </si>
  <si>
    <t>CME.OQ</t>
  </si>
  <si>
    <t>12572Q105</t>
  </si>
  <si>
    <t>2965839</t>
  </si>
  <si>
    <t>919297</t>
  </si>
  <si>
    <t>CMS ENERGY</t>
  </si>
  <si>
    <t>US1258961002</t>
  </si>
  <si>
    <t>CMS.N</t>
  </si>
  <si>
    <t>125896100</t>
  </si>
  <si>
    <t>2219224</t>
  </si>
  <si>
    <t>Utilities</t>
  </si>
  <si>
    <t>8041015</t>
  </si>
  <si>
    <t>COHERENT CORP</t>
  </si>
  <si>
    <t>US19247G1076</t>
  </si>
  <si>
    <t>COHR.N</t>
  </si>
  <si>
    <t>19247G107</t>
  </si>
  <si>
    <t>BNG8Z81</t>
  </si>
  <si>
    <t>1508590</t>
  </si>
  <si>
    <t>COMCAST -A-</t>
  </si>
  <si>
    <t>US20030N1019</t>
  </si>
  <si>
    <t>CMCSA.OQ</t>
  </si>
  <si>
    <t>20030N101</t>
  </si>
  <si>
    <t>2044545</t>
  </si>
  <si>
    <t>1330331</t>
  </si>
  <si>
    <t>CONOCOPHILLIPS</t>
  </si>
  <si>
    <t>US20825C1045</t>
  </si>
  <si>
    <t>COP.N</t>
  </si>
  <si>
    <t>20825C104</t>
  </si>
  <si>
    <t>2685717</t>
  </si>
  <si>
    <t>921667</t>
  </si>
  <si>
    <t>CORNING</t>
  </si>
  <si>
    <t>US2193501051</t>
  </si>
  <si>
    <t>GLW.N</t>
  </si>
  <si>
    <t>219350105</t>
  </si>
  <si>
    <t>2224701</t>
  </si>
  <si>
    <t>8007109</t>
  </si>
  <si>
    <t>CROWDSTRIKE HOLDINGS INC - A</t>
  </si>
  <si>
    <t>US22788C1053</t>
  </si>
  <si>
    <t>CRWD.OQ</t>
  </si>
  <si>
    <t>22788C105</t>
  </si>
  <si>
    <t>BJJP138</t>
  </si>
  <si>
    <t>548525</t>
  </si>
  <si>
    <t>CVS HEALTH</t>
  </si>
  <si>
    <t>US1266501006</t>
  </si>
  <si>
    <t>CVS.N</t>
  </si>
  <si>
    <t>126650100</t>
  </si>
  <si>
    <t>2577609</t>
  </si>
  <si>
    <t>923916</t>
  </si>
  <si>
    <t>DANAHER</t>
  </si>
  <si>
    <t>US2358511028</t>
  </si>
  <si>
    <t>DHR.N</t>
  </si>
  <si>
    <t>235851102</t>
  </si>
  <si>
    <t>2250870</t>
  </si>
  <si>
    <t>DB X MSCI US HEALTH CARE USD DIST</t>
  </si>
  <si>
    <t>IE00BCHWNW54</t>
  </si>
  <si>
    <t>924235</t>
  </si>
  <si>
    <t>DEERE</t>
  </si>
  <si>
    <t>US2441991054</t>
  </si>
  <si>
    <t>DE.N</t>
  </si>
  <si>
    <t>244199105</t>
  </si>
  <si>
    <t>2261203</t>
  </si>
  <si>
    <t>1034750</t>
  </si>
  <si>
    <t>DOMINION ENERGY INC</t>
  </si>
  <si>
    <t>US25746U1097</t>
  </si>
  <si>
    <t>D.N</t>
  </si>
  <si>
    <t>25746U109</t>
  </si>
  <si>
    <t>2542049</t>
  </si>
  <si>
    <t>925669</t>
  </si>
  <si>
    <t>DOVER</t>
  </si>
  <si>
    <t>US2600031080</t>
  </si>
  <si>
    <t>DOV.N</t>
  </si>
  <si>
    <t>260003108</t>
  </si>
  <si>
    <t>2278407</t>
  </si>
  <si>
    <t>8008300</t>
  </si>
  <si>
    <t>DYNATRACE INC</t>
  </si>
  <si>
    <t>US2681501092</t>
  </si>
  <si>
    <t>DT.N</t>
  </si>
  <si>
    <t>268150109</t>
  </si>
  <si>
    <t>BJV2RD9</t>
  </si>
  <si>
    <t>4020133</t>
  </si>
  <si>
    <t>EATON CORPORATION</t>
  </si>
  <si>
    <t>IE00B8KQN827</t>
  </si>
  <si>
    <t>ETN.N</t>
  </si>
  <si>
    <t>G29183103</t>
  </si>
  <si>
    <t>B8KQN82</t>
  </si>
  <si>
    <t>927314</t>
  </si>
  <si>
    <t>ECOLAB INC</t>
  </si>
  <si>
    <t>US2788651006</t>
  </si>
  <si>
    <t>ECL.N</t>
  </si>
  <si>
    <t>278865100</t>
  </si>
  <si>
    <t>2304227</t>
  </si>
  <si>
    <t>947556</t>
  </si>
  <si>
    <t>ELI LILLY AND COMPANY</t>
  </si>
  <si>
    <t>US5324571083</t>
  </si>
  <si>
    <t>LLY.N</t>
  </si>
  <si>
    <t>532457108</t>
  </si>
  <si>
    <t>2516152</t>
  </si>
  <si>
    <t>1000194</t>
  </si>
  <si>
    <t>EOG RESOURCES</t>
  </si>
  <si>
    <t>US26875P1012</t>
  </si>
  <si>
    <t>EOG.N</t>
  </si>
  <si>
    <t>26875P101</t>
  </si>
  <si>
    <t>2318024</t>
  </si>
  <si>
    <t>1873824</t>
  </si>
  <si>
    <t>FIDELITY NATIONAL INFORMATION SVCS</t>
  </si>
  <si>
    <t>US31620M1062</t>
  </si>
  <si>
    <t>FIS.N</t>
  </si>
  <si>
    <t>31620M106</t>
  </si>
  <si>
    <t>2769796</t>
  </si>
  <si>
    <t>930217</t>
  </si>
  <si>
    <t>FIFTH THIRD BANCORP</t>
  </si>
  <si>
    <t>US3167731005</t>
  </si>
  <si>
    <t>FITB.OQ</t>
  </si>
  <si>
    <t>316773100</t>
  </si>
  <si>
    <t>2336747</t>
  </si>
  <si>
    <t>714968</t>
  </si>
  <si>
    <t>GOLDMAN SACHS GRP</t>
  </si>
  <si>
    <t>US38141G1040</t>
  </si>
  <si>
    <t>GS.N</t>
  </si>
  <si>
    <t>38141G104</t>
  </si>
  <si>
    <t>2407966</t>
  </si>
  <si>
    <t>4014633</t>
  </si>
  <si>
    <t>GUIDEWIRE SOFTWARE</t>
  </si>
  <si>
    <t>US40171V1008</t>
  </si>
  <si>
    <t>GWRE.N</t>
  </si>
  <si>
    <t>40171V100</t>
  </si>
  <si>
    <t>B7JYSG3</t>
  </si>
  <si>
    <t>4036991</t>
  </si>
  <si>
    <t>HEWLETT PACKARD ENTERPRISE</t>
  </si>
  <si>
    <t>US42824C1099</t>
  </si>
  <si>
    <t>HPE.N</t>
  </si>
  <si>
    <t>42824C109</t>
  </si>
  <si>
    <t>BYVYWS0</t>
  </si>
  <si>
    <t>939360</t>
  </si>
  <si>
    <t>HOME DEPOT</t>
  </si>
  <si>
    <t>US4370761029</t>
  </si>
  <si>
    <t>HD.N</t>
  </si>
  <si>
    <t>437076102</t>
  </si>
  <si>
    <t>2434209</t>
  </si>
  <si>
    <t>8013368</t>
  </si>
  <si>
    <t>HOWMET AEROSPACE INC</t>
  </si>
  <si>
    <t>US4432011082</t>
  </si>
  <si>
    <t>HWM.N</t>
  </si>
  <si>
    <t>443201108</t>
  </si>
  <si>
    <t>BKLJ8V2</t>
  </si>
  <si>
    <t>1038049</t>
  </si>
  <si>
    <t>INFINEON TECHNOLOGIES REG</t>
  </si>
  <si>
    <t>DE0006231004</t>
  </si>
  <si>
    <t>IFXGn.DE</t>
  </si>
  <si>
    <t>5889505</t>
  </si>
  <si>
    <t>941800</t>
  </si>
  <si>
    <t>INTERNATIONAL BUSINESS MACHINES COR</t>
  </si>
  <si>
    <t>US4592001014</t>
  </si>
  <si>
    <t>IBM.N</t>
  </si>
  <si>
    <t>459200101</t>
  </si>
  <si>
    <t>2005973</t>
  </si>
  <si>
    <t>ISHARES CORE S&amp;P 500 USD ACC</t>
  </si>
  <si>
    <t>IE00B5BMR087</t>
  </si>
  <si>
    <t>1804015</t>
  </si>
  <si>
    <t>JAPAN EXCHANGE GROUP</t>
  </si>
  <si>
    <t>JP3183200009</t>
  </si>
  <si>
    <t>8697.T</t>
  </si>
  <si>
    <t>318320000</t>
  </si>
  <si>
    <t>6743882</t>
  </si>
  <si>
    <t>943981</t>
  </si>
  <si>
    <t>JOHNSON &amp; JOHNSON</t>
  </si>
  <si>
    <t>US4781601046</t>
  </si>
  <si>
    <t>JNJ.N</t>
  </si>
  <si>
    <t>478160104</t>
  </si>
  <si>
    <t>2475833</t>
  </si>
  <si>
    <t>762568</t>
  </si>
  <si>
    <t>KEYENCE</t>
  </si>
  <si>
    <t>JP3236200006</t>
  </si>
  <si>
    <t>6861.T</t>
  </si>
  <si>
    <t>6490995</t>
  </si>
  <si>
    <t>8010308</t>
  </si>
  <si>
    <t>KINGSPAN GROUP PLC</t>
  </si>
  <si>
    <t>IE0004927939</t>
  </si>
  <si>
    <t>KSP.I</t>
  </si>
  <si>
    <t>G52654103</t>
  </si>
  <si>
    <t>4491235</t>
  </si>
  <si>
    <t>8059333</t>
  </si>
  <si>
    <t>KLAVIYO INC-A</t>
  </si>
  <si>
    <t>US49845K1016</t>
  </si>
  <si>
    <t>KVYO.N</t>
  </si>
  <si>
    <t>49845K101</t>
  </si>
  <si>
    <t>BN4JNC6</t>
  </si>
  <si>
    <t>8079577</t>
  </si>
  <si>
    <t>LAM RESEARCH CORP</t>
  </si>
  <si>
    <t>US5128073062</t>
  </si>
  <si>
    <t>LRCX.OQ</t>
  </si>
  <si>
    <t>512807306</t>
  </si>
  <si>
    <t>BSML4N7</t>
  </si>
  <si>
    <t>2501522</t>
  </si>
  <si>
    <t>LEGRAND</t>
  </si>
  <si>
    <t>FR0010307819</t>
  </si>
  <si>
    <t>LEGD.PA</t>
  </si>
  <si>
    <t>B11ZRK9</t>
  </si>
  <si>
    <t>8048144</t>
  </si>
  <si>
    <t>LINDE PLC</t>
  </si>
  <si>
    <t>IE000S9YS762</t>
  </si>
  <si>
    <t>LIN.OQ</t>
  </si>
  <si>
    <t>G54950103</t>
  </si>
  <si>
    <t>BNZHB81</t>
  </si>
  <si>
    <t>948564</t>
  </si>
  <si>
    <t>LOWE S COMPANIES</t>
  </si>
  <si>
    <t>US5486611073</t>
  </si>
  <si>
    <t>LOW.N</t>
  </si>
  <si>
    <t>548661107</t>
  </si>
  <si>
    <t>2536763</t>
  </si>
  <si>
    <t>2282206</t>
  </si>
  <si>
    <t>MASTERCARD INC - A</t>
  </si>
  <si>
    <t>US57636Q1040</t>
  </si>
  <si>
    <t>MA.N</t>
  </si>
  <si>
    <t>57636Q104</t>
  </si>
  <si>
    <t>B121557</t>
  </si>
  <si>
    <t>950605</t>
  </si>
  <si>
    <t>MC DONALD S</t>
  </si>
  <si>
    <t>US5801351017</t>
  </si>
  <si>
    <t>MCD.N</t>
  </si>
  <si>
    <t>580135101</t>
  </si>
  <si>
    <t>2550707</t>
  </si>
  <si>
    <t>4042157</t>
  </si>
  <si>
    <t>MEDTRONIC</t>
  </si>
  <si>
    <t>IE00BTN1Y115</t>
  </si>
  <si>
    <t>MDT.N</t>
  </si>
  <si>
    <t>G5960L103</t>
  </si>
  <si>
    <t>BTN1Y11</t>
  </si>
  <si>
    <t>4001617</t>
  </si>
  <si>
    <t>MERCK &amp; CO</t>
  </si>
  <si>
    <t>MRK.N</t>
  </si>
  <si>
    <t>58933Y105</t>
  </si>
  <si>
    <t>2778844</t>
  </si>
  <si>
    <t>4016719</t>
  </si>
  <si>
    <t>META PLATFORMS INC-CLASS A</t>
  </si>
  <si>
    <t>US30303M1027</t>
  </si>
  <si>
    <t>META.OQ</t>
  </si>
  <si>
    <t>30303M102</t>
  </si>
  <si>
    <t>B7TL820</t>
  </si>
  <si>
    <t>62436</t>
  </si>
  <si>
    <t>MICROCHIP TECH</t>
  </si>
  <si>
    <t>US5950171042</t>
  </si>
  <si>
    <t>MCHP.OQ</t>
  </si>
  <si>
    <t>595017104</t>
  </si>
  <si>
    <t>2592174</t>
  </si>
  <si>
    <t>951691</t>
  </si>
  <si>
    <t>MICRON TECHNOLOGY</t>
  </si>
  <si>
    <t>US5951121038</t>
  </si>
  <si>
    <t>MU.OQ</t>
  </si>
  <si>
    <t>595112103</t>
  </si>
  <si>
    <t>2588184</t>
  </si>
  <si>
    <t>951692</t>
  </si>
  <si>
    <t>MICROSOFT</t>
  </si>
  <si>
    <t>US5949181045</t>
  </si>
  <si>
    <t>MSFT.OQ</t>
  </si>
  <si>
    <t>594918104</t>
  </si>
  <si>
    <t>2588173</t>
  </si>
  <si>
    <t>4019075</t>
  </si>
  <si>
    <t>MONDELEZ INTERNATIONAL</t>
  </si>
  <si>
    <t>US6092071058</t>
  </si>
  <si>
    <t>MDLZ.OQ</t>
  </si>
  <si>
    <t>609207105</t>
  </si>
  <si>
    <t>B8CKK03</t>
  </si>
  <si>
    <t>8000356</t>
  </si>
  <si>
    <t>MONGODB INC</t>
  </si>
  <si>
    <t>US60937P1066</t>
  </si>
  <si>
    <t>MDB.OQ</t>
  </si>
  <si>
    <t>60937P106</t>
  </si>
  <si>
    <t>BF2FJ99</t>
  </si>
  <si>
    <t>653571</t>
  </si>
  <si>
    <t>MORGAN STANLEY</t>
  </si>
  <si>
    <t>US6174464486</t>
  </si>
  <si>
    <t>MS.N</t>
  </si>
  <si>
    <t>617446448</t>
  </si>
  <si>
    <t>2262314</t>
  </si>
  <si>
    <t>9341960</t>
  </si>
  <si>
    <t>MUENCHENER RUECKVER. REG</t>
  </si>
  <si>
    <t>DE0008430026</t>
  </si>
  <si>
    <t>MUVGn.DE</t>
  </si>
  <si>
    <t>5294121</t>
  </si>
  <si>
    <t>4004267</t>
  </si>
  <si>
    <t>NEXTERA ENERGY</t>
  </si>
  <si>
    <t>US65339F1012</t>
  </si>
  <si>
    <t>NEE.N</t>
  </si>
  <si>
    <t>65339F101</t>
  </si>
  <si>
    <t>2328915</t>
  </si>
  <si>
    <t>957150</t>
  </si>
  <si>
    <t>NIKE -B-</t>
  </si>
  <si>
    <t>US6541061031</t>
  </si>
  <si>
    <t>NKE.N</t>
  </si>
  <si>
    <t>654106103</t>
  </si>
  <si>
    <t>2640147</t>
  </si>
  <si>
    <t>957370</t>
  </si>
  <si>
    <t>NORFOLK SOUTHERN</t>
  </si>
  <si>
    <t>US6558441084</t>
  </si>
  <si>
    <t>NSC.N</t>
  </si>
  <si>
    <t>655844108</t>
  </si>
  <si>
    <t>2641894</t>
  </si>
  <si>
    <t>Transportation</t>
  </si>
  <si>
    <t>994529</t>
  </si>
  <si>
    <t>NVIDIA</t>
  </si>
  <si>
    <t>US67066G1040</t>
  </si>
  <si>
    <t>NVDA.OQ</t>
  </si>
  <si>
    <t>67066G104</t>
  </si>
  <si>
    <t>2379504</t>
  </si>
  <si>
    <t>4017029</t>
  </si>
  <si>
    <t>NXP SEMICONDUCTORS</t>
  </si>
  <si>
    <t>NL0009538784</t>
  </si>
  <si>
    <t>NXPI.OQ</t>
  </si>
  <si>
    <t>N6596X109</t>
  </si>
  <si>
    <t>B505PN7</t>
  </si>
  <si>
    <t>US6821891057</t>
  </si>
  <si>
    <t>959184</t>
  </si>
  <si>
    <t>ORACLE</t>
  </si>
  <si>
    <t>US68389X1054</t>
  </si>
  <si>
    <t>ORCL.N</t>
  </si>
  <si>
    <t>68389X105</t>
  </si>
  <si>
    <t>2661568</t>
  </si>
  <si>
    <t>1011163</t>
  </si>
  <si>
    <t>PACKAGING CORP OF AMERICA</t>
  </si>
  <si>
    <t>US6951561090</t>
  </si>
  <si>
    <t>PKG.N</t>
  </si>
  <si>
    <t>695156109</t>
  </si>
  <si>
    <t>2504566</t>
  </si>
  <si>
    <t>8017449</t>
  </si>
  <si>
    <t>PALANTIR TECHNOLOGIES INC-A</t>
  </si>
  <si>
    <t>US69608A1088</t>
  </si>
  <si>
    <t>PLTR.OQ</t>
  </si>
  <si>
    <t>69608A108</t>
  </si>
  <si>
    <t>BN78DQ4</t>
  </si>
  <si>
    <t>961618</t>
  </si>
  <si>
    <t>PEPSICO INC</t>
  </si>
  <si>
    <t>US7134481081</t>
  </si>
  <si>
    <t>PEP.OQ</t>
  </si>
  <si>
    <t>713448108</t>
  </si>
  <si>
    <t>2681511</t>
  </si>
  <si>
    <t>3754629</t>
  </si>
  <si>
    <t>PHILIP MORRIS INTERNATIONAL</t>
  </si>
  <si>
    <t>US7181721090</t>
  </si>
  <si>
    <t>PM.N</t>
  </si>
  <si>
    <t>718172109</t>
  </si>
  <si>
    <t>B2PKRQ3</t>
  </si>
  <si>
    <t>963896</t>
  </si>
  <si>
    <t>PROCTER &amp; GAMBLE</t>
  </si>
  <si>
    <t>US7427181091</t>
  </si>
  <si>
    <t>PG.N</t>
  </si>
  <si>
    <t>742718109</t>
  </si>
  <si>
    <t>2704407</t>
  </si>
  <si>
    <t>Household And Personal Products</t>
  </si>
  <si>
    <t>963989</t>
  </si>
  <si>
    <t>PROGRESSIVE</t>
  </si>
  <si>
    <t>US7433151039</t>
  </si>
  <si>
    <t>PGR.N</t>
  </si>
  <si>
    <t>743315103</t>
  </si>
  <si>
    <t>2705024</t>
  </si>
  <si>
    <t>4010852</t>
  </si>
  <si>
    <t>PROLOGIS</t>
  </si>
  <si>
    <t>US74340W1036</t>
  </si>
  <si>
    <t>PLD.N</t>
  </si>
  <si>
    <t>74340W103</t>
  </si>
  <si>
    <t>B44WZD7</t>
  </si>
  <si>
    <t>566162</t>
  </si>
  <si>
    <t>QUEST DIAGNOSTICS</t>
  </si>
  <si>
    <t>US74834L1008</t>
  </si>
  <si>
    <t>DGX.N</t>
  </si>
  <si>
    <t>74834L100</t>
  </si>
  <si>
    <t>2702791</t>
  </si>
  <si>
    <t>965755</t>
  </si>
  <si>
    <t>REGENERON PHARMACEUTICALS</t>
  </si>
  <si>
    <t>US75886F1075</t>
  </si>
  <si>
    <t>REGN.OQ</t>
  </si>
  <si>
    <t>75886F107</t>
  </si>
  <si>
    <t>2730190</t>
  </si>
  <si>
    <t>926678</t>
  </si>
  <si>
    <t>REPUBLIC SERVICES</t>
  </si>
  <si>
    <t>US7607591002</t>
  </si>
  <si>
    <t>RSG.N</t>
  </si>
  <si>
    <t>760759100</t>
  </si>
  <si>
    <t>2262530</t>
  </si>
  <si>
    <t>Commercial &amp; Professional Services</t>
  </si>
  <si>
    <t>8021858</t>
  </si>
  <si>
    <t>ROBLOX CORP -CLASS A</t>
  </si>
  <si>
    <t>US7710491033</t>
  </si>
  <si>
    <t>RBLX.N</t>
  </si>
  <si>
    <t>771049103</t>
  </si>
  <si>
    <t>BMWBC20</t>
  </si>
  <si>
    <t>8013460</t>
  </si>
  <si>
    <t>RTX CORP</t>
  </si>
  <si>
    <t>US75513E1010</t>
  </si>
  <si>
    <t>RTX.N</t>
  </si>
  <si>
    <t>75513E101</t>
  </si>
  <si>
    <t>BM5M5Y3</t>
  </si>
  <si>
    <t>829036</t>
  </si>
  <si>
    <t>SAFRAN</t>
  </si>
  <si>
    <t>FR0000073272</t>
  </si>
  <si>
    <t>SAF.PA</t>
  </si>
  <si>
    <t>F4035A557</t>
  </si>
  <si>
    <t>B058TZ6</t>
  </si>
  <si>
    <t>1755645</t>
  </si>
  <si>
    <t>SALESFORCE INC</t>
  </si>
  <si>
    <t>US79466L3024</t>
  </si>
  <si>
    <t>CRM.N</t>
  </si>
  <si>
    <t>79466L302</t>
  </si>
  <si>
    <t>2310525</t>
  </si>
  <si>
    <t>8023421</t>
  </si>
  <si>
    <t>SEAGATE TECHNOLOGY HOLDINGS</t>
  </si>
  <si>
    <t>IE00BKVD2N49</t>
  </si>
  <si>
    <t>STX.OQ</t>
  </si>
  <si>
    <t>G7997R103</t>
  </si>
  <si>
    <t>BKVD2N4</t>
  </si>
  <si>
    <t>4030250</t>
  </si>
  <si>
    <t>SERVICENOW</t>
  </si>
  <si>
    <t>US81762P1021</t>
  </si>
  <si>
    <t>NOW.N</t>
  </si>
  <si>
    <t>81762P102</t>
  </si>
  <si>
    <t>B80NXX8</t>
  </si>
  <si>
    <t>763276</t>
  </si>
  <si>
    <t>SHIN-ETSU CHEMICAL</t>
  </si>
  <si>
    <t>JP3371200001</t>
  </si>
  <si>
    <t>4063.T</t>
  </si>
  <si>
    <t>6804585</t>
  </si>
  <si>
    <t>4045542</t>
  </si>
  <si>
    <t>SHOPIFY INC - CLASS A</t>
  </si>
  <si>
    <t>CA82509L1076</t>
  </si>
  <si>
    <t>SHOP.OQ</t>
  </si>
  <si>
    <t>82509L107</t>
  </si>
  <si>
    <t>BXDZ9Z0</t>
  </si>
  <si>
    <t>8017263</t>
  </si>
  <si>
    <t>SNOWFLAKE INC</t>
  </si>
  <si>
    <t>US8334451098</t>
  </si>
  <si>
    <t>SNOW.N</t>
  </si>
  <si>
    <t>833445109</t>
  </si>
  <si>
    <t>BN134B7</t>
  </si>
  <si>
    <t>SPDR S&amp;P BIOTECH ETF</t>
  </si>
  <si>
    <t>622906</t>
  </si>
  <si>
    <t>TAKE-TWO INTERACTIVE SOFTWARE</t>
  </si>
  <si>
    <t>US8740541094</t>
  </si>
  <si>
    <t>TTWO.OQ</t>
  </si>
  <si>
    <t>874054109</t>
  </si>
  <si>
    <t>2122117</t>
  </si>
  <si>
    <t>976910</t>
  </si>
  <si>
    <t>TEXAS INSTRUMENTS</t>
  </si>
  <si>
    <t>US8825081040</t>
  </si>
  <si>
    <t>TXN.OQ</t>
  </si>
  <si>
    <t>882508104</t>
  </si>
  <si>
    <t>2885409</t>
  </si>
  <si>
    <t>8004076</t>
  </si>
  <si>
    <t>THE CIGNA GROUP</t>
  </si>
  <si>
    <t>US1255231003</t>
  </si>
  <si>
    <t>CI.N</t>
  </si>
  <si>
    <t>125523100</t>
  </si>
  <si>
    <t>BHJ0775</t>
  </si>
  <si>
    <t>919390</t>
  </si>
  <si>
    <t>THE COCA-COLA COMPANY</t>
  </si>
  <si>
    <t>US1912161007</t>
  </si>
  <si>
    <t>KO.N</t>
  </si>
  <si>
    <t>191216100</t>
  </si>
  <si>
    <t>2206657</t>
  </si>
  <si>
    <t>971500</t>
  </si>
  <si>
    <t>THE SOUTHERN COMPANY</t>
  </si>
  <si>
    <t>US8425871071</t>
  </si>
  <si>
    <t>SO.N</t>
  </si>
  <si>
    <t>842587107</t>
  </si>
  <si>
    <t>2829601</t>
  </si>
  <si>
    <t>977576</t>
  </si>
  <si>
    <t>THERMO FISHER SCIENTIFIC</t>
  </si>
  <si>
    <t>US8835561023</t>
  </si>
  <si>
    <t>TMO.N</t>
  </si>
  <si>
    <t>883556102</t>
  </si>
  <si>
    <t>2886907</t>
  </si>
  <si>
    <t>978121</t>
  </si>
  <si>
    <t>TJX COS</t>
  </si>
  <si>
    <t>US8725401090</t>
  </si>
  <si>
    <t>TJX.N</t>
  </si>
  <si>
    <t>872540109</t>
  </si>
  <si>
    <t>2989301</t>
  </si>
  <si>
    <t>8026832</t>
  </si>
  <si>
    <t>TOAST INC-CLASS A</t>
  </si>
  <si>
    <t>US8887871080</t>
  </si>
  <si>
    <t>TOST.N</t>
  </si>
  <si>
    <t>888787108</t>
  </si>
  <si>
    <t>BP6D7B7</t>
  </si>
  <si>
    <t>8012628</t>
  </si>
  <si>
    <t>TRANE TECHNOLOGIES PLC</t>
  </si>
  <si>
    <t>IE00BK9ZQ967</t>
  </si>
  <si>
    <t>TT.N</t>
  </si>
  <si>
    <t>G8994E103</t>
  </si>
  <si>
    <t>BK9ZQ96</t>
  </si>
  <si>
    <t>2959439</t>
  </si>
  <si>
    <t>TRAVELERS COMPANIES</t>
  </si>
  <si>
    <t>US89417E1091</t>
  </si>
  <si>
    <t>TRV.N</t>
  </si>
  <si>
    <t>89417E109</t>
  </si>
  <si>
    <t>2769503</t>
  </si>
  <si>
    <t>4048754</t>
  </si>
  <si>
    <t>UNICREDIT SPA</t>
  </si>
  <si>
    <t>IT0005239360</t>
  </si>
  <si>
    <t>CRDI.MI</t>
  </si>
  <si>
    <t>BYMXPS7</t>
  </si>
  <si>
    <t>979840</t>
  </si>
  <si>
    <t>UNION PACIFIC</t>
  </si>
  <si>
    <t>US9078181081</t>
  </si>
  <si>
    <t>UNP.N</t>
  </si>
  <si>
    <t>907818108</t>
  </si>
  <si>
    <t>2914734</t>
  </si>
  <si>
    <t>1078451</t>
  </si>
  <si>
    <t>UNITEDHEALTH GROUP</t>
  </si>
  <si>
    <t>US91324P1021</t>
  </si>
  <si>
    <t>UNH.N</t>
  </si>
  <si>
    <t>91324P102</t>
  </si>
  <si>
    <t>2917766</t>
  </si>
  <si>
    <t>881328</t>
  </si>
  <si>
    <t>VENTAS</t>
  </si>
  <si>
    <t>US92276F1003</t>
  </si>
  <si>
    <t>VTR.N</t>
  </si>
  <si>
    <t>92276F100</t>
  </si>
  <si>
    <t>2927925</t>
  </si>
  <si>
    <t>1095642</t>
  </si>
  <si>
    <t>VERIZON COMMUNICATIONS</t>
  </si>
  <si>
    <t>US92343V1044</t>
  </si>
  <si>
    <t>VZ.N</t>
  </si>
  <si>
    <t>92343V104</t>
  </si>
  <si>
    <t>2090571</t>
  </si>
  <si>
    <t>Telecommunication Services</t>
  </si>
  <si>
    <t>983327</t>
  </si>
  <si>
    <t>VERTEX PHARMA</t>
  </si>
  <si>
    <t>US92532F1003</t>
  </si>
  <si>
    <t>VRTX.OQ</t>
  </si>
  <si>
    <t>92532F100</t>
  </si>
  <si>
    <t>2931034</t>
  </si>
  <si>
    <t>613304</t>
  </si>
  <si>
    <t>VOLVO -B- FRIA</t>
  </si>
  <si>
    <t>SE0000115446</t>
  </si>
  <si>
    <t>VOLVb.ST</t>
  </si>
  <si>
    <t>928856301</t>
  </si>
  <si>
    <t>B1QH830</t>
  </si>
  <si>
    <t>984101</t>
  </si>
  <si>
    <t>WALMART INC</t>
  </si>
  <si>
    <t>US9311421039</t>
  </si>
  <si>
    <t>931142103</t>
  </si>
  <si>
    <t>2936921</t>
  </si>
  <si>
    <t>Consumer Staples Distribution &amp; Retail</t>
  </si>
  <si>
    <t>984192</t>
  </si>
  <si>
    <t>WALT DISNEY CO/THE</t>
  </si>
  <si>
    <t>US2546871060</t>
  </si>
  <si>
    <t>DIS.N</t>
  </si>
  <si>
    <t>254687106</t>
  </si>
  <si>
    <t>2270726</t>
  </si>
  <si>
    <t>966021</t>
  </si>
  <si>
    <t>WELLS FARGO</t>
  </si>
  <si>
    <t>US9497461015</t>
  </si>
  <si>
    <t>WFC.N</t>
  </si>
  <si>
    <t>949746101</t>
  </si>
  <si>
    <t>2649100</t>
  </si>
  <si>
    <t>1106890</t>
  </si>
  <si>
    <t>XCEL ENERGY INC</t>
  </si>
  <si>
    <t>US98389B1008</t>
  </si>
  <si>
    <t>XEL.OQ</t>
  </si>
  <si>
    <t>98389B100</t>
  </si>
  <si>
    <t>2614807</t>
  </si>
  <si>
    <t>1413362</t>
  </si>
  <si>
    <t>YUM! BRANDS INC</t>
  </si>
  <si>
    <t>US9884981013</t>
  </si>
  <si>
    <t>YUM.N</t>
  </si>
  <si>
    <t>988498101</t>
  </si>
  <si>
    <t>2098876</t>
  </si>
  <si>
    <t>8014864</t>
  </si>
  <si>
    <t>ZOOMINFO TECHNOLOGIES INC</t>
  </si>
  <si>
    <t>US98980F1049</t>
  </si>
  <si>
    <t>GTM.OQ</t>
  </si>
  <si>
    <t>98980F104</t>
  </si>
  <si>
    <t>BMWF095</t>
  </si>
  <si>
    <t>COATUE GROWTH V PI OFF LP CL A RS</t>
  </si>
  <si>
    <t>HPS CLF(HLEND)C I DIST (EMEA)</t>
  </si>
  <si>
    <t>US40440V3033</t>
  </si>
  <si>
    <t>HPS MEZZANINE PI OF 2019 II, L.P.</t>
  </si>
  <si>
    <t>L CAPITAL ASIA 2 LP CLASS A $500000</t>
  </si>
  <si>
    <t>SUMMARY</t>
  </si>
  <si>
    <t>4048632</t>
  </si>
  <si>
    <t>HILTON WORLDWIDE HLDGS</t>
  </si>
  <si>
    <t>US43300A2033</t>
  </si>
  <si>
    <t>HLT.N</t>
  </si>
  <si>
    <t>43300A203</t>
  </si>
  <si>
    <t>BYVMW06</t>
  </si>
  <si>
    <t>8071516</t>
  </si>
  <si>
    <t>REDDIT INC-CL A</t>
  </si>
  <si>
    <t>US75734B1008</t>
  </si>
  <si>
    <t>RDDT.N</t>
  </si>
  <si>
    <t>75734B100</t>
  </si>
  <si>
    <t>BMVNLY2</t>
  </si>
  <si>
    <t>Digital EVO
Market Value, USD</t>
  </si>
  <si>
    <t>GEM
Market Value, USD</t>
  </si>
  <si>
    <t>Digital EVO
Market Value, CCY</t>
  </si>
  <si>
    <t>GEM
Market Value, CCY</t>
  </si>
  <si>
    <t>US Equity income
Market Value, CCY</t>
  </si>
  <si>
    <t>US Equity income
Market Value, USD</t>
  </si>
  <si>
    <t>JPM Discretionary  part Results</t>
  </si>
  <si>
    <t>2025 disinvest</t>
  </si>
  <si>
    <t>P&amp;L,%</t>
  </si>
  <si>
    <t>JPM DP</t>
  </si>
  <si>
    <t>US Equity Income</t>
  </si>
  <si>
    <t>Source / Group</t>
  </si>
  <si>
    <t>Proceeds</t>
  </si>
  <si>
    <t>ROI</t>
  </si>
  <si>
    <t>Val. Mult</t>
  </si>
  <si>
    <t>+Valuation</t>
  </si>
  <si>
    <t>Distributions, CCY 2025</t>
  </si>
  <si>
    <t>Distributions, USD 2025</t>
  </si>
  <si>
    <t>Total MV, CCY</t>
  </si>
  <si>
    <t>Total MV, USD</t>
  </si>
  <si>
    <t>Portfolio Loans, 2025</t>
  </si>
  <si>
    <t>Portfolio Loans, Current by bank '000</t>
  </si>
  <si>
    <t>Personal Portfolio</t>
  </si>
  <si>
    <t>Other</t>
  </si>
  <si>
    <t>Other (JPM DP)</t>
  </si>
  <si>
    <t>MV, USD</t>
  </si>
  <si>
    <t>Liquidity</t>
  </si>
  <si>
    <t>0% United States Treasury Bills 05.03.2026 Senior</t>
  </si>
  <si>
    <t>US912797RV15</t>
  </si>
  <si>
    <t>05/03/2026</t>
  </si>
  <si>
    <t>6.375% ICL Group 31.05.2038 -144A- Senior</t>
  </si>
  <si>
    <t>6.75% LEVIATHAN BOND 30.06.2030 Reg-S Senior</t>
  </si>
  <si>
    <t>Defiance AI &amp; Power Infrastructure ETF</t>
  </si>
  <si>
    <t>US88636R4790</t>
  </si>
  <si>
    <t>iShares EM Dividend UCITS ETF USD (Dist)</t>
  </si>
  <si>
    <t>IE00B652H904</t>
  </si>
  <si>
    <t>Novo Nordisk A/S Bearer</t>
  </si>
  <si>
    <t>DK0062498333</t>
  </si>
  <si>
    <t>Petroleo Brasileiro SA - Petrobras ADR</t>
  </si>
  <si>
    <t>US71654V4086</t>
  </si>
  <si>
    <t>Sanofi SA Bearer</t>
  </si>
  <si>
    <t>FR0000120578</t>
  </si>
  <si>
    <t>AUD</t>
  </si>
  <si>
    <t>Vale SA ADR</t>
  </si>
  <si>
    <t>US91912E1055</t>
  </si>
  <si>
    <t>9488070</t>
  </si>
  <si>
    <t>CAPGEMINI SE</t>
  </si>
  <si>
    <t>FR0000125338</t>
  </si>
  <si>
    <t>CAPP.PA</t>
  </si>
  <si>
    <t>F4973Q101</t>
  </si>
  <si>
    <t>4163437</t>
  </si>
  <si>
    <t>762066</t>
  </si>
  <si>
    <t>HOYA HD</t>
  </si>
  <si>
    <t>JP3837800006</t>
  </si>
  <si>
    <t>7741.T</t>
  </si>
  <si>
    <t>6441506</t>
  </si>
  <si>
    <t>974330</t>
  </si>
  <si>
    <t>STRYKER</t>
  </si>
  <si>
    <t>US8636671013</t>
  </si>
  <si>
    <t>SYK.N</t>
  </si>
  <si>
    <t>863667101</t>
  </si>
  <si>
    <t>2853688</t>
  </si>
  <si>
    <t>DEFIANCE QUANTUM ETF</t>
  </si>
  <si>
    <t>US26922A4206</t>
  </si>
  <si>
    <t>ARK GENOMIC REVOLUTION ETF</t>
  </si>
  <si>
    <t>US00214Q3020</t>
  </si>
  <si>
    <t>Softbank Group, 8.25% 29oct2065, USD</t>
  </si>
  <si>
    <t>MV, CCY</t>
  </si>
  <si>
    <t>Antrarras portfolio in Vontobel</t>
  </si>
  <si>
    <t>Antrarras portfolio in UBS</t>
  </si>
  <si>
    <t>USD Liquidity LVNAV Fund in JPM</t>
  </si>
  <si>
    <t>Deposit / Cash</t>
  </si>
  <si>
    <t>GB0008782301</t>
  </si>
  <si>
    <t>Loft-it</t>
  </si>
  <si>
    <t xml:space="preserve"> </t>
  </si>
  <si>
    <t>647943</t>
  </si>
  <si>
    <t>AMPHENOL -A-</t>
  </si>
  <si>
    <t>US0320951017</t>
  </si>
  <si>
    <t>APH.N</t>
  </si>
  <si>
    <t>032095101</t>
  </si>
  <si>
    <t>2145084</t>
  </si>
  <si>
    <t>8090292</t>
  </si>
  <si>
    <t>CORE SCIENTIFIC INC</t>
  </si>
  <si>
    <t>US21874A1060</t>
  </si>
  <si>
    <t>CORZ.OQ</t>
  </si>
  <si>
    <t>21874A106</t>
  </si>
  <si>
    <t>BN70TG2</t>
  </si>
  <si>
    <t>8062606</t>
  </si>
  <si>
    <t>HUT 8 CORP</t>
  </si>
  <si>
    <t>US44812J1043</t>
  </si>
  <si>
    <t>HUT.OQ</t>
  </si>
  <si>
    <t>44812J104</t>
  </si>
  <si>
    <t>BQQ8816</t>
  </si>
  <si>
    <t>1136946</t>
  </si>
  <si>
    <t>INDRA SISTEMAS</t>
  </si>
  <si>
    <t>ES0118594417</t>
  </si>
  <si>
    <t>IDR.MC</t>
  </si>
  <si>
    <t>4476210</t>
  </si>
  <si>
    <t>8092142</t>
  </si>
  <si>
    <t>SANDISK CORP</t>
  </si>
  <si>
    <t>US80004C2008</t>
  </si>
  <si>
    <t>SNDK.OQ</t>
  </si>
  <si>
    <t>80004C200</t>
  </si>
  <si>
    <t>BSNPZV3</t>
  </si>
  <si>
    <t>WMT.OQ</t>
  </si>
  <si>
    <t>2026 disinvest</t>
  </si>
  <si>
    <t>Fixed Advance CHF, 0.73%, 30.12.2025-30.12.2026 (4794800)</t>
  </si>
  <si>
    <t>30/12/2026</t>
  </si>
  <si>
    <t>Fixed Advance EUR, 2.77%, 05.01.2026-03.07.2026 (4815793)</t>
  </si>
  <si>
    <t>03/07/2026</t>
  </si>
  <si>
    <t>6.5% CNR MA Groupama Open End FRN Reg-S Junior Subordinated</t>
  </si>
  <si>
    <t>7% Erste Group Bk Open End FRN Junior Subordinated</t>
  </si>
  <si>
    <t>7% UBS Group Open End FRN Reg-S Junior Subordinated</t>
  </si>
  <si>
    <t>USH42097FQ50</t>
  </si>
  <si>
    <t>Vontobel Fd TF Strategic Inc Fd AQHNG hgd USD</t>
  </si>
  <si>
    <t>Amundi Core MSCI EMU UCITS ETF Dist</t>
  </si>
  <si>
    <t>LU1646360971</t>
  </si>
  <si>
    <t>Circle Internet Group, Incorporation. Registered</t>
  </si>
  <si>
    <t>Defiance Quantum ETF</t>
  </si>
  <si>
    <t>KraneShares CSI China Internet ETF</t>
  </si>
  <si>
    <t>US5007673065</t>
  </si>
  <si>
    <t>Strategy Incorporation Registered</t>
  </si>
  <si>
    <t>US5949724083</t>
  </si>
  <si>
    <t>THEAM QUANT Nuclear Opportunities I Cap</t>
  </si>
  <si>
    <t>LU2967931242</t>
  </si>
  <si>
    <t>WisdomTree Em Mkts Equity Income UCITS ETF</t>
  </si>
  <si>
    <t>IE00BQQ3Q067</t>
  </si>
  <si>
    <t>8.5% SocieteGenerale Open End FRN Junior Subordinated</t>
  </si>
  <si>
    <t>PIMCO Advantage EM Local Bond UCITS ETF USD Inc</t>
  </si>
  <si>
    <t>9904154</t>
  </si>
  <si>
    <t>Fixed Advance CHF, 0.73%, 30.12.2025-30.12.2026</t>
  </si>
  <si>
    <t>Fixed Advance CHF, 0.48%, 12.06.2025-16.06.2026</t>
  </si>
  <si>
    <t>Fixed Advance CHF, 0.48%, 12.06.2025-12.06.2026</t>
  </si>
  <si>
    <t>IE00BH3X8336</t>
  </si>
  <si>
    <t>PIMCO FUNDS: GLOBAL INVESTORS PLC PIMCO ASIA HIGH YIELD BOND FUND PIMCO FUNDS: GLOBAL INVESTORS PLC</t>
  </si>
  <si>
    <t>BLACKSTONE PRIVATE CREDIT FUND ICAPITAL OFFSHORE ACCESS FUND SPC BLACKSTONE PRIVATE CREDIT FUND DISTRIBUTION</t>
  </si>
  <si>
    <t>BLACKSTONE PRIVATE CREDIT FUND ICAPITAL OFFSHORE ACCESS FUND SPC BLACKSTONE PRIVATE CREDIT FUND</t>
  </si>
  <si>
    <t>1000000</t>
  </si>
  <si>
    <t>Diageo PLC Registered</t>
  </si>
  <si>
    <t>GB0002374006</t>
  </si>
  <si>
    <t>LondonMetric Property PLC Registered</t>
  </si>
  <si>
    <t>GB00B4WFW713</t>
  </si>
  <si>
    <t>Taylor Wimpey PLC Registered</t>
  </si>
  <si>
    <t>WPP PLC Registered</t>
  </si>
  <si>
    <t>JE00B8KF9B49</t>
  </si>
  <si>
    <t>Option</t>
  </si>
  <si>
    <t>Remaining commitment, CCY</t>
  </si>
  <si>
    <t>Total coupon 2026, CCY</t>
  </si>
  <si>
    <t>Total coupon 2026, USD</t>
  </si>
  <si>
    <t>P&amp;L, USD</t>
  </si>
  <si>
    <t>Cost USD</t>
  </si>
  <si>
    <t>Cost price USD</t>
  </si>
  <si>
    <t>Cost price CCY</t>
  </si>
  <si>
    <t>DGE</t>
  </si>
  <si>
    <t>LMP</t>
  </si>
  <si>
    <t>TW.</t>
  </si>
  <si>
    <t>WPP</t>
  </si>
  <si>
    <t>Neuberger Berman EM Dbt Hard Curr USD I Dis</t>
  </si>
  <si>
    <t>Lloyds 7.50%</t>
  </si>
  <si>
    <t>Callable</t>
  </si>
  <si>
    <t>Electricité de France</t>
  </si>
  <si>
    <t>GB00056003997</t>
  </si>
  <si>
    <t>Legal &amp; General Group PLC Registered</t>
  </si>
  <si>
    <t>Derwetn London PLC REIT Registered</t>
  </si>
  <si>
    <t>GB0002652740</t>
  </si>
  <si>
    <t>Land Securities Group PLC REIT Registered</t>
  </si>
  <si>
    <t>GB00BYW0PQ60</t>
  </si>
  <si>
    <t>GB0005603997</t>
  </si>
  <si>
    <t>Derwent London PLC REIT Registered</t>
  </si>
  <si>
    <t>(Check with Results)</t>
  </si>
  <si>
    <t>MV Valuation</t>
  </si>
  <si>
    <t>Column1</t>
  </si>
  <si>
    <t>Discretionary part JPM</t>
  </si>
  <si>
    <t>CFP GP</t>
  </si>
  <si>
    <t>Q1 2026</t>
  </si>
  <si>
    <t>FX Forward - EUR/USD, 09.10.2026 (5126918)</t>
  </si>
  <si>
    <t>FX Forward - GBP/USD, 16.09.2026 (5126920)</t>
  </si>
  <si>
    <t>Barings Emerging Markets Local Debt A USD Acc</t>
  </si>
  <si>
    <t>IE00BKZGK917</t>
  </si>
  <si>
    <t>ENI S.p.A. Registered</t>
  </si>
  <si>
    <t>IT0003132476</t>
  </si>
  <si>
    <t>OMV AG Bearer</t>
  </si>
  <si>
    <t>AT0000743059</t>
  </si>
  <si>
    <t>Repsol S.A. Bearer</t>
  </si>
  <si>
    <t>ES0173516115</t>
  </si>
  <si>
    <t>Shell PLC Registered</t>
  </si>
  <si>
    <t>GB00BP6MXD84</t>
  </si>
  <si>
    <t>TotalEnergies SE Bearer</t>
  </si>
  <si>
    <t>FR0000120271</t>
  </si>
  <si>
    <t>Fixed Advance EUR, 2.77%, 30.01.2026-29.01.2027 (5138852)</t>
  </si>
  <si>
    <t>29/01/2027</t>
  </si>
  <si>
    <t>FX Forward - GBP/USD, 16.09.2026 (5126922)</t>
  </si>
  <si>
    <t>5.875% Ecopetrol 28.05.2045 Senior</t>
  </si>
  <si>
    <t>US279158AJ82</t>
  </si>
  <si>
    <t>28/05/2045</t>
  </si>
  <si>
    <t>8.375% Barclays Open End FRN Subordinated</t>
  </si>
  <si>
    <t>Baker Hughes Company Registered</t>
  </si>
  <si>
    <t>BitMine Immersion Technologies Inc Registered</t>
  </si>
  <si>
    <t>US09175A2069</t>
  </si>
  <si>
    <t>Equinor ASA ADR</t>
  </si>
  <si>
    <t>US29446M1027</t>
  </si>
  <si>
    <t>Halliburton Co Registered</t>
  </si>
  <si>
    <t>US4062161017</t>
  </si>
  <si>
    <t>Microchip Technology Inc Registered</t>
  </si>
  <si>
    <t>ON Semiconductor Corp Registered</t>
  </si>
  <si>
    <t>Pacific NoS Global EM Equity Active ETF</t>
  </si>
  <si>
    <t>US9009345060</t>
  </si>
  <si>
    <t>Put MP Materials Rg-A 18.June 2026 USD 55</t>
  </si>
  <si>
    <t>18/06/2026</t>
  </si>
  <si>
    <t>SLB Limited Registered</t>
  </si>
  <si>
    <t>AN8068571086</t>
  </si>
  <si>
    <t>THEAM QUANT Equity Europe Guru I Cap</t>
  </si>
  <si>
    <t>LU1235105779</t>
  </si>
  <si>
    <t>Vistra Corp Registered</t>
  </si>
  <si>
    <t>US92840M1027</t>
  </si>
  <si>
    <t xml:space="preserve">Iberia bonds (Structured Note Lighthouse 31.12.27 on Basket) - CH1337624188 </t>
  </si>
  <si>
    <t xml:space="preserve">Douro bonds (0% Lighthouse 31.12.2035 FRN Senior) - CH1418474933 </t>
  </si>
  <si>
    <t>Fixed Advance EUR, 2.77%, 30.01.2026-29.01.2027</t>
  </si>
  <si>
    <t>UI Aktia EM Frontier Bond+ I-USD</t>
  </si>
  <si>
    <t>LU1950511193</t>
  </si>
  <si>
    <t>Ecopetrol, 5.875% 28may2045, USD</t>
  </si>
  <si>
    <t>199805</t>
  </si>
  <si>
    <t>ALBEMARLE</t>
  </si>
  <si>
    <t>US0126531013</t>
  </si>
  <si>
    <t>ALB.N</t>
  </si>
  <si>
    <t>012653101</t>
  </si>
  <si>
    <t>2046853</t>
  </si>
  <si>
    <t>8012629</t>
  </si>
  <si>
    <t>INGERSOLL RAND INC</t>
  </si>
  <si>
    <t>US45687V1061</t>
  </si>
  <si>
    <t>IR.N</t>
  </si>
  <si>
    <t>45687V106</t>
  </si>
  <si>
    <t>BL5GZ82</t>
  </si>
  <si>
    <t>941595</t>
  </si>
  <si>
    <t>INTEL</t>
  </si>
  <si>
    <t>US4581401001</t>
  </si>
  <si>
    <t>INTC.OQ</t>
  </si>
  <si>
    <t>458140100</t>
  </si>
  <si>
    <t>2463247</t>
  </si>
  <si>
    <t>959048</t>
  </si>
  <si>
    <t>OMMNICOM GRP</t>
  </si>
  <si>
    <t>US6819191064</t>
  </si>
  <si>
    <t>OMC.N</t>
  </si>
  <si>
    <t>681919106</t>
  </si>
  <si>
    <t>2279303</t>
  </si>
  <si>
    <t>1201389</t>
  </si>
  <si>
    <t>US BANCORP</t>
  </si>
  <si>
    <t>US9029733048</t>
  </si>
  <si>
    <t>USB.N</t>
  </si>
  <si>
    <t>902973304</t>
  </si>
  <si>
    <t>2736035</t>
  </si>
  <si>
    <t>Developed</t>
  </si>
  <si>
    <t>Emerging Markets</t>
  </si>
  <si>
    <t>Frontier Markets</t>
  </si>
  <si>
    <t>Market</t>
  </si>
  <si>
    <t>Emerging Market</t>
  </si>
  <si>
    <t>6.55% Oracle 04.02.2046 Senior</t>
  </si>
  <si>
    <t>US68389XEA90</t>
  </si>
  <si>
    <t>04/02/2046</t>
  </si>
  <si>
    <t>9.125% Vedanta Res Fin 15.10.2032 Senior</t>
  </si>
  <si>
    <t>9.25% CoreWeave 01.06.2030 Senior</t>
  </si>
  <si>
    <t>USU2069EAA83</t>
  </si>
  <si>
    <t>01/06/2030</t>
  </si>
  <si>
    <t>Ninety One GSF European Equity I Acc EUR</t>
  </si>
  <si>
    <t>LU0386383433</t>
  </si>
  <si>
    <t>Technology</t>
  </si>
  <si>
    <t>Industry</t>
  </si>
  <si>
    <t>%</t>
  </si>
  <si>
    <t>Other EM</t>
  </si>
  <si>
    <t>Other DM</t>
  </si>
  <si>
    <t>3.375% T.BDS  3 3/8% 15 Nov 2048</t>
  </si>
  <si>
    <t>4.25% US T.BDS  4 1/4% 15 May 2039</t>
  </si>
  <si>
    <t>Global</t>
  </si>
  <si>
    <t>Column2</t>
  </si>
  <si>
    <t>Jersey</t>
  </si>
  <si>
    <t>Column3</t>
  </si>
  <si>
    <t xml:space="preserve">Netherlands </t>
  </si>
  <si>
    <t>Column7</t>
  </si>
  <si>
    <t>Column8</t>
  </si>
  <si>
    <t>Bond ETF</t>
  </si>
  <si>
    <t>Private Credit</t>
  </si>
  <si>
    <t>Alternative Assets</t>
  </si>
  <si>
    <t>Iberia</t>
  </si>
  <si>
    <t>Bonds ETFs</t>
  </si>
  <si>
    <t>JPM Modules</t>
  </si>
  <si>
    <t>RE proceeds 2026</t>
  </si>
  <si>
    <t>Grainger PLC</t>
  </si>
  <si>
    <t>SECTOR SPDR TRUST UTILITIES SELECT SECTOR SPDR FUND</t>
  </si>
  <si>
    <t>US81369Y8865</t>
  </si>
  <si>
    <t>7.625% NATWEST GROUP PLC Open End FRN Senior</t>
  </si>
  <si>
    <t>XS3178106103</t>
  </si>
  <si>
    <t>16/09/2049</t>
  </si>
  <si>
    <t>Oakmark International Fund Institutional</t>
  </si>
  <si>
    <t>US4138387232</t>
  </si>
  <si>
    <t>Right Shell</t>
  </si>
  <si>
    <t>NL0015073VB0</t>
  </si>
  <si>
    <t>UBS SMIM® ETF CHF dis</t>
  </si>
  <si>
    <t>CH0111762537</t>
  </si>
  <si>
    <t>UBS SMI® ETF CHF dis</t>
  </si>
  <si>
    <t>CH0017142719</t>
  </si>
  <si>
    <t>AGNC Investment Corp Registered</t>
  </si>
  <si>
    <t>US00123Q1040</t>
  </si>
  <si>
    <t>Annaly Capital Management Inc Registered</t>
  </si>
  <si>
    <t>US0357108390</t>
  </si>
  <si>
    <t>iShares MSCI Korea UCITS ETF USD (Dist)</t>
  </si>
  <si>
    <t>IE00B0M63391</t>
  </si>
  <si>
    <t>VanEck Oil Services ETF</t>
  </si>
  <si>
    <t>US92189H6071</t>
  </si>
  <si>
    <t>VanEck Quantum Computing UCITS ETF USD A</t>
  </si>
  <si>
    <t>IE0007Y8Y157</t>
  </si>
  <si>
    <t xml:space="preserve">NATWEST GROUP </t>
  </si>
  <si>
    <t>Day</t>
  </si>
  <si>
    <t>GB00B04V1276</t>
  </si>
  <si>
    <t>MV, USD at 09.02.2026</t>
  </si>
  <si>
    <t>MV, USD at 24.02.2026</t>
  </si>
  <si>
    <t>(Last date) 24.02.2026</t>
  </si>
  <si>
    <t>As of - 24 February 2026 11:00 AM CET</t>
  </si>
  <si>
    <t>9671500</t>
  </si>
  <si>
    <t>5207750</t>
  </si>
  <si>
    <t>BLUEMOUNTAIN CA LTD CL S-R 0118-R</t>
  </si>
  <si>
    <t>HF</t>
  </si>
  <si>
    <t>Hedge Fund</t>
  </si>
  <si>
    <t>Unclassified</t>
  </si>
  <si>
    <t>9507750</t>
  </si>
  <si>
    <t>9671550</t>
  </si>
  <si>
    <t>9007059</t>
  </si>
  <si>
    <t>Pvt Equity</t>
  </si>
  <si>
    <t>PECTUAYZ8</t>
  </si>
  <si>
    <t>9004872</t>
  </si>
  <si>
    <t>9HAEYP0</t>
  </si>
  <si>
    <t>9005844</t>
  </si>
  <si>
    <t>PEHPSACX3</t>
  </si>
  <si>
    <t>4026025</t>
  </si>
  <si>
    <t>621621911</t>
  </si>
  <si>
    <t>9426025</t>
  </si>
  <si>
    <t>4019536</t>
  </si>
  <si>
    <t>PALO ALTO NETWORKS INC</t>
  </si>
  <si>
    <t>US6974351057</t>
  </si>
  <si>
    <t>PANW.OQ</t>
  </si>
  <si>
    <t>697435105</t>
  </si>
  <si>
    <t>B87ZMX0</t>
  </si>
  <si>
    <t>578</t>
  </si>
  <si>
    <t>Cash Account - NOK</t>
  </si>
  <si>
    <t>MF</t>
  </si>
  <si>
    <t>PIMCO INCOME FUND USD INC INST</t>
  </si>
  <si>
    <t>FI</t>
  </si>
  <si>
    <t>3 Rivers</t>
  </si>
  <si>
    <t>Fixed Advance EUR, 2.74%, 12.09.2025-12.03.2026</t>
  </si>
  <si>
    <t xml:space="preserve"> CA13321L1085</t>
  </si>
  <si>
    <t>Fixed Advance CHF, 0.73%, 26.02.2026-02.09.2026</t>
  </si>
  <si>
    <t>Fixed Advance GBP, 4.5%, 26.02.2026-19.03.2026</t>
  </si>
  <si>
    <t>Fixed Advance CHF, 0.5%, 23.05.2025-22.05.2026</t>
  </si>
  <si>
    <t>Fixed Advance CHF, 0.58%, 05.08.2025-05.08.2026</t>
  </si>
  <si>
    <t>Fixed Advance CHF, 0.64%, 18.11.2025-18.11.2026</t>
  </si>
  <si>
    <t>Fixed Advance CHF, 0.77%, 04.04.2025-08.04.2026</t>
  </si>
  <si>
    <t>Fixed Advance CHF, 0.88%, 21.03.2025-24.03.2026</t>
  </si>
  <si>
    <t>Fixed Advance EUR, 2.6%, 18.07.2025-17.07.2026</t>
  </si>
  <si>
    <t>Fixed Advance EUR, 2.76%, 12.11.2025-12.05.2026</t>
  </si>
  <si>
    <t>Fixed Advance EUR, 2.76%, 18.11.2025-18.05.2026</t>
  </si>
  <si>
    <t>Fixed Advance EUR, 2.77%, 05.01.2026-03.07.2026</t>
  </si>
  <si>
    <t>Fixed Advance JPY, 1.5%, 26.08.2025-26.08.2026</t>
  </si>
  <si>
    <t>As of - 09 March 2026 03:56 PM CET</t>
  </si>
  <si>
    <t>9867400</t>
  </si>
  <si>
    <t>9867401</t>
  </si>
  <si>
    <t>9867402</t>
  </si>
  <si>
    <t>9867453</t>
  </si>
  <si>
    <t>4056806</t>
  </si>
  <si>
    <t>XUHC.L</t>
  </si>
  <si>
    <t>Passive</t>
  </si>
  <si>
    <t>BCHWNW5</t>
  </si>
  <si>
    <t>Multi Sector</t>
  </si>
  <si>
    <t>60141</t>
  </si>
  <si>
    <t>INTUIT</t>
  </si>
  <si>
    <t>US4612021034</t>
  </si>
  <si>
    <t>INTU.OQ</t>
  </si>
  <si>
    <t>461202103</t>
  </si>
  <si>
    <t>2459020</t>
  </si>
  <si>
    <t>4030281</t>
  </si>
  <si>
    <t>CSPX.L</t>
  </si>
  <si>
    <t>G4955H110</t>
  </si>
  <si>
    <t>B50YWZ5</t>
  </si>
  <si>
    <t>3306000</t>
  </si>
  <si>
    <t>XBI.P</t>
  </si>
  <si>
    <t>78464A870</t>
  </si>
  <si>
    <t>B0Y90K2</t>
  </si>
  <si>
    <t>986060</t>
  </si>
  <si>
    <t>UTILITIES SELECT SECTOR SPDR ETF</t>
  </si>
  <si>
    <t>XLU.P</t>
  </si>
  <si>
    <t>81369Y886</t>
  </si>
  <si>
    <t>2371812</t>
  </si>
  <si>
    <t>4035155</t>
  </si>
  <si>
    <t>ISHARES $ TREAS BD 3-7YR USD ACC</t>
  </si>
  <si>
    <t>IE00B3VWN393</t>
  </si>
  <si>
    <t>CBU7.L</t>
  </si>
  <si>
    <t>B4ZS7L6</t>
  </si>
  <si>
    <t>8008271</t>
  </si>
  <si>
    <t>ISHARES $ TRES BD 7-10Y USD ACC ETF</t>
  </si>
  <si>
    <t>IE00B3VWN518</t>
  </si>
  <si>
    <t>CBU0.L</t>
  </si>
  <si>
    <t>G4955H482</t>
  </si>
  <si>
    <t>B50M721</t>
  </si>
  <si>
    <t>8092919</t>
  </si>
  <si>
    <t>G6429U270</t>
  </si>
  <si>
    <t>B99K467</t>
  </si>
  <si>
    <t>4046755</t>
  </si>
  <si>
    <t>B8JDQ96</t>
  </si>
  <si>
    <t>8003513</t>
  </si>
  <si>
    <t>3 3/8%</t>
  </si>
  <si>
    <t>Semi-Annually</t>
  </si>
  <si>
    <t>912810SE9</t>
  </si>
  <si>
    <t>BGRW851</t>
  </si>
  <si>
    <t>841221</t>
  </si>
  <si>
    <t>4 1/4%</t>
  </si>
  <si>
    <t>912810QB7</t>
  </si>
  <si>
    <t>B41K8R9</t>
  </si>
  <si>
    <t>LU782509867400011000</t>
  </si>
  <si>
    <t>LU472509867453011000</t>
  </si>
  <si>
    <t>9867454</t>
  </si>
  <si>
    <t>LU942509867454011000</t>
  </si>
  <si>
    <t>LU912509867456011000</t>
  </si>
  <si>
    <t>9867458</t>
  </si>
  <si>
    <t>LU882509867458011000</t>
  </si>
  <si>
    <t>9904853</t>
  </si>
  <si>
    <t>LU132509904853011000</t>
  </si>
  <si>
    <t>9904856</t>
  </si>
  <si>
    <t>LU572509904856011000</t>
  </si>
  <si>
    <t>159</t>
  </si>
  <si>
    <t>Cash Account - CNH</t>
  </si>
  <si>
    <t>CNH</t>
  </si>
  <si>
    <t>LU442509867455011000</t>
  </si>
  <si>
    <t>9904850</t>
  </si>
  <si>
    <t>LU662509904850011000</t>
  </si>
  <si>
    <t>9904851</t>
  </si>
  <si>
    <t>LU162509904851011000</t>
  </si>
  <si>
    <t>9904852</t>
  </si>
  <si>
    <t>LU632509904852011000</t>
  </si>
  <si>
    <t>LU602509904854011000</t>
  </si>
  <si>
    <t>9904855</t>
  </si>
  <si>
    <t>LU102509904855011000</t>
  </si>
  <si>
    <t>LU282509867401011000</t>
  </si>
  <si>
    <t>LU752509867402011000</t>
  </si>
  <si>
    <t>9867403</t>
  </si>
  <si>
    <t>LU252509867403011000</t>
  </si>
  <si>
    <t>9867450</t>
  </si>
  <si>
    <t>LU032509867450011000</t>
  </si>
  <si>
    <t>9867452</t>
  </si>
  <si>
    <t>LU972509867452011000</t>
  </si>
  <si>
    <t>9867457</t>
  </si>
  <si>
    <t>LU412509867457011000</t>
  </si>
  <si>
    <t>376</t>
  </si>
  <si>
    <t>Cash Account - ILS</t>
  </si>
  <si>
    <t>ILS</t>
  </si>
  <si>
    <t>710</t>
  </si>
  <si>
    <t>Cash Account - ZAR</t>
  </si>
  <si>
    <t>ZAR</t>
  </si>
  <si>
    <t>Notice Deposit 35 Day - Evergreen Account</t>
  </si>
  <si>
    <t>13</t>
  </si>
  <si>
    <t>Notice deposit - evergreen</t>
  </si>
  <si>
    <t>Notice Deposit 95 Day - Evergreen 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</si>
</sst>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3">
    <numFmt numFmtId="41" formatCode="_-* #,##0_-;\-* #,##0_-;_-* &quot;-&quot;_-;_-@_-"/>
    <numFmt numFmtId="43" formatCode="_-* #,##0.00_-;\-* #,##0.00_-;_-* &quot;-&quot;??_-;_-@_-"/>
    <numFmt numFmtId="164" formatCode="_ * #,##0.00_ ;_ * \-#,##0.00_ ;_ * &quot;-&quot;??_ ;_ @_ "/>
    <numFmt numFmtId="165" formatCode="_-* #,##0.00\ _₽_-;\-* #,##0.00\ _₽_-;_-* &quot;-&quot;??\ _₽_-;_-@_-"/>
    <numFmt numFmtId="166" formatCode="#,##0.0000"/>
    <numFmt numFmtId="167" formatCode="#,##0.00%"/>
    <numFmt numFmtId="168" formatCode="#,###"/>
    <numFmt numFmtId="169" formatCode="0.0%"/>
    <numFmt numFmtId="170" formatCode="_-* #,##0_-;\-* #,##0_-;_-* &quot;-&quot;??_-;_-@_-"/>
    <numFmt numFmtId="171" formatCode="_-* #,##0.0_-;\-* #,##0.0_-;_-* &quot;-&quot;??_-;_-@_-"/>
    <numFmt numFmtId="172" formatCode="0.0000%"/>
    <numFmt numFmtId="173" formatCode="0.000%"/>
    <numFmt numFmtId="174" formatCode="dd\.mm\.yyyy"/>
    <numFmt numFmtId="175" formatCode="yyyy\-mm\-dd"/>
    <numFmt numFmtId="176" formatCode="_([$$-409]* #,##0.00_);_([$$-409]* \(#,##0.00\);_([$$-409]* &quot;-&quot;??_);_(@_)"/>
    <numFmt numFmtId="177" formatCode="[$-9]dd\/mm\/yyyy"/>
    <numFmt numFmtId="178" formatCode="#,##0.000"/>
    <numFmt numFmtId="179" formatCode="#,##0%"/>
    <numFmt numFmtId="180" formatCode="[$-409]mmm\-yy;@"/>
    <numFmt numFmtId="181" formatCode="[$-409]d\-mmm\-yy;@"/>
    <numFmt numFmtId="182" formatCode="_-* #,##0.00000_-;\-* #,##0.00000_-;_-* &quot;-&quot;??_-;_-@_-"/>
    <numFmt numFmtId="183" formatCode="_(* #,##0_);_(* \(#,##0\);_(* &quot;-&quot;??_);_(@_)"/>
    <numFmt numFmtId="184" formatCode="_-* #,##0.0\ _₽_-;\-* #,##0.0\ _₽_-;_-* &quot;-&quot;?\ _₽_-;_-@_-"/>
    <numFmt numFmtId="185" formatCode="_([$€-2]\ * #,##0.00_);_([$€-2]\ * \(#,##0.00\);_([$€-2]\ * &quot;-&quot;??_);_(@_)"/>
    <numFmt numFmtId="186" formatCode="_-[$€-2]\ * #,##0.00_-;\-[$€-2]\ * #,##0.00_-;_-[$€-2]\ * &quot;-&quot;??_-;_-@_-"/>
    <numFmt numFmtId="187" formatCode="_(* #,##0.0_);_(* \(#,##0.0\);_(* &quot;-&quot;?_);_(@_)"/>
    <numFmt numFmtId="188" formatCode="dd/mm/yyyy;@"/>
    <numFmt numFmtId="189" formatCode="0.000000000000"/>
    <numFmt numFmtId="190" formatCode="_-* #,##0.00\ _$_-;\-* #,##0.00\ _$_-;_-* &quot;-&quot;??\ _$_-;_-@_-"/>
    <numFmt numFmtId="191" formatCode="_-* #,##0.00000000000000_-;\-* #,##0.00000000000000_-;_-* &quot;-&quot;??_-;_-@_-"/>
    <numFmt numFmtId="192" formatCode="_-* #,##0\ _$_-;\-* #,##0\ _$_-;_-* &quot;-&quot;??\ _$_-;_-@_-"/>
    <numFmt numFmtId="193" formatCode="_-* #,##0.0\ _$_-;\-* #,##0.0\ _$_-;_-* &quot;-&quot;?\ _$_-;_-@_-"/>
    <numFmt numFmtId="194" formatCode="_ * #,##0_ ;_ * \-#,##0_ ;_ * &quot;-&quot;??_ ;_ @_ "/>
  </numFmts>
  <fonts count="81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</font>
    <font>
      <sz val="11"/>
      <color indexed="8"/>
      <name val="Calibri"/>
      <family val="2"/>
      <scheme val="minor"/>
    </font>
    <font>
      <b/>
      <sz val="11"/>
      <name val="Calibri"/>
      <family val="2"/>
      <charset val="204"/>
    </font>
    <font>
      <i/>
      <sz val="12"/>
      <color indexed="8"/>
      <name val="Calibri"/>
      <family val="2"/>
      <charset val="204"/>
      <scheme val="minor"/>
    </font>
    <font>
      <b/>
      <sz val="11"/>
      <color indexed="8"/>
      <name val="Calibri"/>
      <family val="2"/>
      <charset val="204"/>
      <scheme val="minor"/>
    </font>
    <font>
      <sz val="11"/>
      <color indexed="8"/>
      <name val="Calibri"/>
      <family val="2"/>
      <charset val="204"/>
      <scheme val="minor"/>
    </font>
    <font>
      <b/>
      <sz val="12"/>
      <color indexed="8"/>
      <name val="Calibri"/>
      <family val="2"/>
      <charset val="204"/>
      <scheme val="minor"/>
    </font>
    <font>
      <sz val="8"/>
      <name val="Calibri"/>
      <family val="2"/>
      <scheme val="minor"/>
    </font>
    <font>
      <sz val="11"/>
      <name val="Calibri"/>
      <family val="2"/>
      <charset val="204"/>
      <scheme val="minor"/>
    </font>
    <font>
      <sz val="11"/>
      <color theme="0"/>
      <name val="Calibri"/>
      <family val="2"/>
      <scheme val="minor"/>
    </font>
    <font>
      <sz val="10"/>
      <color rgb="FF000000"/>
      <name val="Arial"/>
      <family val="2"/>
      <charset val="204"/>
    </font>
    <font>
      <sz val="11"/>
      <color indexed="8"/>
      <name val="Calibri"/>
      <family val="2"/>
      <charset val="204"/>
      <scheme val="minor"/>
    </font>
    <font>
      <sz val="11"/>
      <name val="Calibri"/>
      <family val="2"/>
      <charset val="204"/>
    </font>
    <font>
      <sz val="11"/>
      <name val="Calibri"/>
      <family val="2"/>
      <charset val="204"/>
    </font>
    <font>
      <sz val="11"/>
      <color theme="1"/>
      <name val="Calibri"/>
      <family val="2"/>
      <scheme val="minor"/>
    </font>
    <font>
      <b/>
      <sz val="9"/>
      <color indexed="81"/>
      <name val="Tahoma"/>
      <family val="2"/>
      <charset val="204"/>
    </font>
    <font>
      <i/>
      <sz val="11"/>
      <color indexed="8"/>
      <name val="Calibri"/>
      <family val="2"/>
      <charset val="204"/>
      <scheme val="minor"/>
    </font>
    <font>
      <sz val="11"/>
      <name val="Calibri"/>
      <family val="2"/>
      <charset val="204"/>
    </font>
    <font>
      <sz val="11"/>
      <color indexed="8"/>
      <name val="Calibri"/>
      <family val="2"/>
      <charset val="204"/>
      <scheme val="minor"/>
    </font>
    <font>
      <sz val="11"/>
      <name val="Calibri"/>
      <family val="2"/>
      <charset val="204"/>
    </font>
    <font>
      <b/>
      <sz val="11"/>
      <color theme="1"/>
      <name val="Calibri"/>
      <family val="2"/>
      <scheme val="minor"/>
    </font>
    <font>
      <b/>
      <sz val="11"/>
      <color theme="9" tint="0.79998168889431442"/>
      <name val="Calibri"/>
      <family val="2"/>
      <charset val="204"/>
      <scheme val="minor"/>
    </font>
    <font>
      <b/>
      <sz val="11"/>
      <color indexed="8"/>
      <name val="Calibri"/>
      <family val="2"/>
      <charset val="204"/>
    </font>
    <font>
      <sz val="11"/>
      <name val="Calibri"/>
      <family val="2"/>
      <charset val="204"/>
    </font>
    <font>
      <b/>
      <sz val="11"/>
      <color indexed="8"/>
      <name val="Calibri"/>
      <family val="2"/>
      <charset val="204"/>
    </font>
    <font>
      <sz val="11"/>
      <name val="Calibri"/>
      <family val="2"/>
      <charset val="204"/>
    </font>
    <font>
      <sz val="11"/>
      <color indexed="8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name val="Calibri"/>
      <family val="2"/>
      <charset val="204"/>
    </font>
    <font>
      <sz val="11"/>
      <color indexed="8"/>
      <name val="Calibri"/>
      <family val="2"/>
      <charset val="204"/>
      <scheme val="minor"/>
    </font>
    <font>
      <sz val="11"/>
      <name val="Calibri"/>
      <family val="2"/>
      <charset val="204"/>
    </font>
    <font>
      <sz val="11"/>
      <color rgb="FF000000"/>
      <name val="Calibri"/>
      <family val="2"/>
      <charset val="204"/>
    </font>
    <font>
      <b/>
      <i/>
      <sz val="12"/>
      <color rgb="FF000000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0"/>
      <color indexed="8"/>
      <name val="Calibri"/>
      <family val="2"/>
      <scheme val="minor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i/>
      <sz val="11"/>
      <color theme="0" tint="-0.499984740745262"/>
      <name val="Calibri"/>
      <family val="2"/>
      <charset val="204"/>
      <scheme val="minor"/>
    </font>
    <font>
      <sz val="11"/>
      <name val="Calibri"/>
      <family val="2"/>
      <charset val="204"/>
    </font>
    <font>
      <sz val="11"/>
      <color indexed="8"/>
      <name val="Calibri"/>
      <family val="2"/>
      <charset val="204"/>
      <scheme val="minor"/>
    </font>
    <font>
      <sz val="11"/>
      <name val="Calibri"/>
      <family val="2"/>
      <charset val="204"/>
    </font>
    <font>
      <sz val="11"/>
      <color theme="1"/>
      <name val="Calibri"/>
      <family val="2"/>
    </font>
    <font>
      <sz val="10"/>
      <name val="Calibri"/>
      <family val="2"/>
      <charset val="204"/>
    </font>
    <font>
      <sz val="11"/>
      <color theme="0" tint="-0.499984740745262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1"/>
      <color theme="4" tint="-0.249977111117893"/>
      <name val="Calibri"/>
      <family val="2"/>
      <charset val="204"/>
      <scheme val="minor"/>
    </font>
    <font>
      <b/>
      <sz val="11"/>
      <color theme="4" tint="-0.249977111117893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sz val="11"/>
      <color theme="1"/>
      <name val="Calibri"/>
      <family val="2"/>
      <charset val="204"/>
    </font>
    <font>
      <b/>
      <sz val="11"/>
      <color theme="0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name val="Calibri"/>
      <family val="2"/>
      <charset val="204"/>
    </font>
    <font>
      <sz val="12"/>
      <color rgb="FF000000"/>
      <name val="Arial"/>
      <family val="2"/>
      <charset val="204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rgb="FF707070"/>
      <name val="Trebuchet MS"/>
      <family val="2"/>
      <charset val="204"/>
    </font>
    <font>
      <sz val="11"/>
      <color rgb="FF0F0F0F"/>
      <name val="Trebuchet MS"/>
      <family val="2"/>
      <charset val="204"/>
    </font>
    <font>
      <b/>
      <sz val="11"/>
      <color theme="0" tint="-0.14999847407452621"/>
      <name val="Calibri"/>
      <family val="2"/>
      <charset val="204"/>
      <scheme val="minor"/>
    </font>
    <font>
      <sz val="8"/>
      <color indexed="8"/>
      <name val="Calibri"/>
      <family val="2"/>
      <scheme val="minor"/>
    </font>
    <font>
      <sz val="11"/>
      <color theme="4" tint="-0.249977111117893"/>
      <name val="Calibri"/>
      <family val="2"/>
      <charset val="204"/>
    </font>
    <font>
      <sz val="11"/>
      <name val="Calibri"/>
      <family val="2"/>
      <charset val="204"/>
    </font>
    <font>
      <sz val="11"/>
      <color rgb="FFC00000"/>
      <name val="Calibri"/>
      <family val="2"/>
      <charset val="204"/>
      <scheme val="minor"/>
    </font>
    <font>
      <sz val="11"/>
      <color indexed="8"/>
      <name val="Calibri"/>
      <family val="2"/>
      <charset val="204"/>
      <scheme val="minor"/>
    </font>
    <font>
      <sz val="11"/>
      <name val="Calibri"/>
      <family val="2"/>
      <charset val="204"/>
    </font>
    <font>
      <sz val="11"/>
      <color rgb="FFC00000"/>
      <name val="Calibri"/>
      <family val="2"/>
      <charset val="204"/>
    </font>
    <font>
      <sz val="11"/>
      <name val="Calibri"/>
      <family val="2"/>
      <scheme val="minor"/>
    </font>
    <font>
      <sz val="11"/>
      <name val="Calibri"/>
      <family val="2"/>
      <charset val="204"/>
    </font>
    <font>
      <sz val="11"/>
      <color indexed="8"/>
      <name val="Calibri"/>
      <family val="2"/>
      <charset val="204"/>
      <scheme val="minor"/>
    </font>
    <font>
      <sz val="11"/>
      <name val="Calibri"/>
      <family val="2"/>
      <charset val="204"/>
    </font>
    <font>
      <sz val="11"/>
      <color rgb="FFFF0000"/>
      <name val="Calibri"/>
      <family val="2"/>
      <charset val="204"/>
    </font>
    <font>
      <sz val="11"/>
      <color rgb="FFFF0000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2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E3DAC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theme="0" tint="-0.249977111117893"/>
      </right>
      <top style="thin">
        <color indexed="64"/>
      </top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indexed="64"/>
      </top>
      <bottom style="thin">
        <color indexed="64"/>
      </bottom>
      <diagonal/>
    </border>
    <border>
      <left/>
      <right style="thin">
        <color theme="0" tint="-0.249977111117893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thin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64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indexed="64"/>
      </right>
      <top/>
      <bottom style="thin">
        <color theme="0" tint="-0.249977111117893"/>
      </bottom>
      <diagonal/>
    </border>
    <border>
      <left style="thin">
        <color indexed="64"/>
      </left>
      <right style="thin">
        <color theme="0" tint="-0.249977111117893"/>
      </right>
      <top/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indexed="64"/>
      </bottom>
      <diagonal/>
    </border>
    <border>
      <left/>
      <right style="thin">
        <color theme="0" tint="-0.249977111117893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</borders>
  <cellStyleXfs count="16">
    <xf numFmtId="0" fontId="0" fillId="0" borderId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18" fillId="0" borderId="0"/>
    <xf numFmtId="0" fontId="21" fillId="0" borderId="0"/>
    <xf numFmtId="0" fontId="5" fillId="0" borderId="0"/>
    <xf numFmtId="0" fontId="27" fillId="0" borderId="0"/>
    <xf numFmtId="0" fontId="18" fillId="0" borderId="0"/>
    <xf numFmtId="0" fontId="40" fillId="0" borderId="0"/>
    <xf numFmtId="164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164" fontId="40" fillId="0" borderId="0" applyFont="0" applyFill="0" applyBorder="0" applyAlignment="0" applyProtection="0"/>
    <xf numFmtId="0" fontId="40" fillId="0" borderId="0"/>
    <xf numFmtId="9" fontId="40" fillId="0" borderId="0" applyFont="0" applyFill="0" applyBorder="0" applyAlignment="0" applyProtection="0"/>
    <xf numFmtId="41" fontId="5" fillId="0" borderId="0" applyFont="0" applyFill="0" applyBorder="0" applyAlignment="0" applyProtection="0"/>
  </cellStyleXfs>
  <cellXfs count="1056">
    <xf numFmtId="0" fontId="0" fillId="0" borderId="0" xfId="0"/>
    <xf numFmtId="0" fontId="4" fillId="0" borderId="0" xfId="0" applyFont="1" applyAlignment="1">
      <alignment vertical="center"/>
    </xf>
    <xf numFmtId="4" fontId="4" fillId="0" borderId="0" xfId="0" applyNumberFormat="1" applyFont="1"/>
    <xf numFmtId="0" fontId="4" fillId="0" borderId="0" xfId="0" applyFont="1"/>
    <xf numFmtId="166" fontId="4" fillId="0" borderId="0" xfId="0" applyNumberFormat="1" applyFont="1"/>
    <xf numFmtId="167" fontId="4" fillId="0" borderId="0" xfId="0" applyNumberFormat="1" applyFont="1"/>
    <xf numFmtId="164" fontId="4" fillId="0" borderId="0" xfId="1" applyFont="1"/>
    <xf numFmtId="164" fontId="0" fillId="0" borderId="0" xfId="1" applyFont="1"/>
    <xf numFmtId="169" fontId="0" fillId="0" borderId="0" xfId="2" applyNumberFormat="1" applyFont="1"/>
    <xf numFmtId="10" fontId="0" fillId="0" borderId="0" xfId="2" applyNumberFormat="1" applyFont="1"/>
    <xf numFmtId="10" fontId="4" fillId="0" borderId="0" xfId="2" applyNumberFormat="1" applyFont="1"/>
    <xf numFmtId="0" fontId="8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/>
    </xf>
    <xf numFmtId="0" fontId="8" fillId="3" borderId="5" xfId="0" applyFont="1" applyFill="1" applyBorder="1" applyAlignment="1">
      <alignment horizontal="center"/>
    </xf>
    <xf numFmtId="164" fontId="4" fillId="0" borderId="0" xfId="1" applyFont="1" applyAlignment="1">
      <alignment vertical="center"/>
    </xf>
    <xf numFmtId="14" fontId="4" fillId="0" borderId="0" xfId="0" applyNumberFormat="1" applyFont="1" applyAlignment="1">
      <alignment vertical="center"/>
    </xf>
    <xf numFmtId="14" fontId="0" fillId="0" borderId="0" xfId="0" applyNumberFormat="1"/>
    <xf numFmtId="170" fontId="0" fillId="0" borderId="0" xfId="1" applyNumberFormat="1" applyFont="1"/>
    <xf numFmtId="0" fontId="8" fillId="0" borderId="0" xfId="0" applyFont="1"/>
    <xf numFmtId="169" fontId="4" fillId="0" borderId="0" xfId="2" applyNumberFormat="1" applyFont="1" applyAlignment="1">
      <alignment vertical="center"/>
    </xf>
    <xf numFmtId="164" fontId="0" fillId="0" borderId="0" xfId="1" applyFont="1" applyAlignment="1">
      <alignment horizontal="right"/>
    </xf>
    <xf numFmtId="0" fontId="0" fillId="3" borderId="0" xfId="0" applyFill="1"/>
    <xf numFmtId="10" fontId="0" fillId="0" borderId="0" xfId="0" applyNumberFormat="1"/>
    <xf numFmtId="0" fontId="0" fillId="4" borderId="0" xfId="0" applyFill="1"/>
    <xf numFmtId="170" fontId="0" fillId="0" borderId="0" xfId="0" applyNumberFormat="1"/>
    <xf numFmtId="164" fontId="0" fillId="0" borderId="0" xfId="0" applyNumberFormat="1"/>
    <xf numFmtId="165" fontId="0" fillId="0" borderId="0" xfId="0" applyNumberFormat="1"/>
    <xf numFmtId="9" fontId="4" fillId="0" borderId="0" xfId="2" applyFont="1"/>
    <xf numFmtId="0" fontId="8" fillId="0" borderId="4" xfId="0" applyFont="1" applyBorder="1"/>
    <xf numFmtId="0" fontId="6" fillId="0" borderId="4" xfId="0" applyFont="1" applyBorder="1" applyAlignment="1">
      <alignment vertical="center"/>
    </xf>
    <xf numFmtId="172" fontId="4" fillId="0" borderId="0" xfId="0" applyNumberFormat="1" applyFont="1" applyAlignment="1">
      <alignment vertical="center"/>
    </xf>
    <xf numFmtId="4" fontId="0" fillId="0" borderId="0" xfId="0" applyNumberFormat="1"/>
    <xf numFmtId="173" fontId="0" fillId="0" borderId="0" xfId="2" applyNumberFormat="1" applyFont="1"/>
    <xf numFmtId="164" fontId="8" fillId="0" borderId="4" xfId="1" applyFont="1" applyBorder="1"/>
    <xf numFmtId="173" fontId="0" fillId="0" borderId="0" xfId="0" applyNumberFormat="1"/>
    <xf numFmtId="175" fontId="0" fillId="0" borderId="0" xfId="0" applyNumberFormat="1"/>
    <xf numFmtId="0" fontId="8" fillId="3" borderId="4" xfId="0" applyFont="1" applyFill="1" applyBorder="1" applyAlignment="1">
      <alignment horizontal="center" vertical="center" wrapText="1"/>
    </xf>
    <xf numFmtId="14" fontId="0" fillId="0" borderId="0" xfId="1" applyNumberFormat="1" applyFont="1"/>
    <xf numFmtId="0" fontId="0" fillId="0" borderId="0" xfId="0" applyAlignment="1">
      <alignment horizontal="left" vertical="top" wrapText="1"/>
    </xf>
    <xf numFmtId="3" fontId="0" fillId="0" borderId="0" xfId="0" applyNumberFormat="1" applyAlignment="1">
      <alignment horizontal="right" vertical="top" wrapText="1"/>
    </xf>
    <xf numFmtId="174" fontId="4" fillId="0" borderId="0" xfId="0" applyNumberFormat="1" applyFont="1"/>
    <xf numFmtId="0" fontId="8" fillId="3" borderId="9" xfId="0" applyFont="1" applyFill="1" applyBorder="1" applyAlignment="1">
      <alignment horizontal="center" vertical="center"/>
    </xf>
    <xf numFmtId="164" fontId="0" fillId="0" borderId="0" xfId="1" applyFont="1" applyBorder="1"/>
    <xf numFmtId="0" fontId="0" fillId="3" borderId="15" xfId="0" applyFill="1" applyBorder="1"/>
    <xf numFmtId="0" fontId="0" fillId="3" borderId="7" xfId="0" applyFill="1" applyBorder="1"/>
    <xf numFmtId="0" fontId="0" fillId="3" borderId="4" xfId="0" applyFill="1" applyBorder="1"/>
    <xf numFmtId="0" fontId="0" fillId="4" borderId="15" xfId="0" applyFill="1" applyBorder="1"/>
    <xf numFmtId="0" fontId="0" fillId="4" borderId="4" xfId="0" applyFill="1" applyBorder="1"/>
    <xf numFmtId="0" fontId="0" fillId="6" borderId="11" xfId="0" applyFill="1" applyBorder="1"/>
    <xf numFmtId="0" fontId="0" fillId="7" borderId="0" xfId="0" applyFill="1"/>
    <xf numFmtId="0" fontId="0" fillId="7" borderId="4" xfId="0" applyFill="1" applyBorder="1"/>
    <xf numFmtId="0" fontId="0" fillId="4" borderId="16" xfId="0" applyFill="1" applyBorder="1"/>
    <xf numFmtId="0" fontId="0" fillId="3" borderId="15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7" borderId="15" xfId="0" applyFill="1" applyBorder="1" applyAlignment="1">
      <alignment horizontal="center"/>
    </xf>
    <xf numFmtId="0" fontId="0" fillId="7" borderId="7" xfId="0" applyFill="1" applyBorder="1" applyAlignment="1">
      <alignment horizontal="center"/>
    </xf>
    <xf numFmtId="0" fontId="0" fillId="6" borderId="16" xfId="0" applyFill="1" applyBorder="1" applyAlignment="1">
      <alignment horizontal="center"/>
    </xf>
    <xf numFmtId="169" fontId="0" fillId="3" borderId="0" xfId="2" applyNumberFormat="1" applyFont="1" applyFill="1" applyBorder="1"/>
    <xf numFmtId="169" fontId="0" fillId="4" borderId="0" xfId="2" applyNumberFormat="1" applyFont="1" applyFill="1" applyBorder="1"/>
    <xf numFmtId="169" fontId="0" fillId="7" borderId="0" xfId="2" applyNumberFormat="1" applyFont="1" applyFill="1" applyBorder="1"/>
    <xf numFmtId="169" fontId="0" fillId="4" borderId="4" xfId="2" applyNumberFormat="1" applyFont="1" applyFill="1" applyBorder="1"/>
    <xf numFmtId="169" fontId="0" fillId="3" borderId="4" xfId="2" applyNumberFormat="1" applyFont="1" applyFill="1" applyBorder="1"/>
    <xf numFmtId="169" fontId="0" fillId="7" borderId="4" xfId="2" applyNumberFormat="1" applyFont="1" applyFill="1" applyBorder="1"/>
    <xf numFmtId="169" fontId="0" fillId="6" borderId="11" xfId="2" applyNumberFormat="1" applyFont="1" applyFill="1" applyBorder="1"/>
    <xf numFmtId="169" fontId="0" fillId="4" borderId="11" xfId="2" applyNumberFormat="1" applyFont="1" applyFill="1" applyBorder="1"/>
    <xf numFmtId="0" fontId="9" fillId="5" borderId="17" xfId="0" applyFont="1" applyFill="1" applyBorder="1" applyAlignment="1">
      <alignment horizontal="center"/>
    </xf>
    <xf numFmtId="4" fontId="0" fillId="0" borderId="0" xfId="0" applyNumberFormat="1" applyAlignment="1">
      <alignment horizontal="right" vertical="top" wrapText="1"/>
    </xf>
    <xf numFmtId="0" fontId="9" fillId="0" borderId="0" xfId="0" applyFont="1"/>
    <xf numFmtId="0" fontId="0" fillId="3" borderId="12" xfId="0" applyFill="1" applyBorder="1"/>
    <xf numFmtId="169" fontId="0" fillId="3" borderId="13" xfId="2" applyNumberFormat="1" applyFont="1" applyFill="1" applyBorder="1"/>
    <xf numFmtId="170" fontId="4" fillId="0" borderId="0" xfId="1" applyNumberFormat="1" applyFont="1" applyFill="1"/>
    <xf numFmtId="10" fontId="4" fillId="0" borderId="0" xfId="2" applyNumberFormat="1" applyFont="1" applyFill="1"/>
    <xf numFmtId="164" fontId="4" fillId="0" borderId="0" xfId="1" applyFont="1" applyFill="1"/>
    <xf numFmtId="10" fontId="0" fillId="0" borderId="0" xfId="2" applyNumberFormat="1" applyFont="1" applyFill="1"/>
    <xf numFmtId="164" fontId="4" fillId="0" borderId="0" xfId="1" applyFont="1" applyFill="1" applyAlignment="1">
      <alignment vertical="center"/>
    </xf>
    <xf numFmtId="169" fontId="4" fillId="0" borderId="0" xfId="2" applyNumberFormat="1" applyFont="1" applyFill="1" applyAlignment="1">
      <alignment vertical="center"/>
    </xf>
    <xf numFmtId="0" fontId="4" fillId="0" borderId="0" xfId="1" applyNumberFormat="1" applyFont="1" applyFill="1" applyAlignment="1">
      <alignment vertical="center"/>
    </xf>
    <xf numFmtId="10" fontId="4" fillId="0" borderId="0" xfId="2" applyNumberFormat="1" applyFont="1" applyFill="1" applyAlignment="1">
      <alignment vertical="center"/>
    </xf>
    <xf numFmtId="10" fontId="9" fillId="0" borderId="0" xfId="2" applyNumberFormat="1" applyFont="1" applyFill="1"/>
    <xf numFmtId="0" fontId="6" fillId="8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center"/>
    </xf>
    <xf numFmtId="170" fontId="6" fillId="8" borderId="0" xfId="1" applyNumberFormat="1" applyFont="1" applyFill="1" applyAlignment="1">
      <alignment horizontal="center" vertical="center"/>
    </xf>
    <xf numFmtId="10" fontId="6" fillId="8" borderId="0" xfId="2" applyNumberFormat="1" applyFont="1" applyFill="1" applyAlignment="1">
      <alignment horizontal="center" vertical="center"/>
    </xf>
    <xf numFmtId="14" fontId="6" fillId="8" borderId="0" xfId="0" applyNumberFormat="1" applyFont="1" applyFill="1" applyAlignment="1">
      <alignment horizontal="center" vertical="center"/>
    </xf>
    <xf numFmtId="164" fontId="6" fillId="8" borderId="0" xfId="1" applyFont="1" applyFill="1" applyAlignment="1">
      <alignment horizontal="center" vertical="center"/>
    </xf>
    <xf numFmtId="0" fontId="9" fillId="5" borderId="11" xfId="0" applyFont="1" applyFill="1" applyBorder="1" applyAlignment="1">
      <alignment horizontal="center" wrapText="1"/>
    </xf>
    <xf numFmtId="0" fontId="7" fillId="2" borderId="2" xfId="0" applyFont="1" applyFill="1" applyBorder="1" applyAlignment="1">
      <alignment vertical="center"/>
    </xf>
    <xf numFmtId="0" fontId="7" fillId="2" borderId="3" xfId="0" applyFont="1" applyFill="1" applyBorder="1" applyAlignment="1">
      <alignment vertical="center"/>
    </xf>
    <xf numFmtId="169" fontId="0" fillId="0" borderId="0" xfId="0" applyNumberFormat="1"/>
    <xf numFmtId="0" fontId="8" fillId="3" borderId="18" xfId="0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3" fontId="4" fillId="0" borderId="0" xfId="0" applyNumberFormat="1" applyFont="1"/>
    <xf numFmtId="0" fontId="4" fillId="3" borderId="0" xfId="0" applyFont="1" applyFill="1" applyAlignment="1">
      <alignment vertical="center"/>
    </xf>
    <xf numFmtId="170" fontId="4" fillId="0" borderId="0" xfId="1" applyNumberFormat="1" applyFont="1" applyFill="1" applyAlignment="1">
      <alignment vertical="center"/>
    </xf>
    <xf numFmtId="10" fontId="9" fillId="0" borderId="0" xfId="0" applyNumberFormat="1" applyFont="1"/>
    <xf numFmtId="0" fontId="4" fillId="0" borderId="0" xfId="2" applyNumberFormat="1" applyFont="1" applyFill="1" applyAlignment="1">
      <alignment vertical="center"/>
    </xf>
    <xf numFmtId="170" fontId="4" fillId="0" borderId="0" xfId="0" applyNumberFormat="1" applyFont="1"/>
    <xf numFmtId="169" fontId="4" fillId="0" borderId="0" xfId="0" applyNumberFormat="1" applyFont="1" applyAlignment="1">
      <alignment vertical="center"/>
    </xf>
    <xf numFmtId="166" fontId="4" fillId="0" borderId="0" xfId="0" applyNumberFormat="1" applyFont="1" applyAlignment="1">
      <alignment vertical="center"/>
    </xf>
    <xf numFmtId="0" fontId="4" fillId="0" borderId="0" xfId="1" applyNumberFormat="1" applyFont="1" applyFill="1"/>
    <xf numFmtId="0" fontId="0" fillId="0" borderId="0" xfId="2" applyNumberFormat="1" applyFont="1" applyFill="1"/>
    <xf numFmtId="170" fontId="4" fillId="0" borderId="0" xfId="0" applyNumberFormat="1" applyFont="1" applyAlignment="1">
      <alignment vertical="center"/>
    </xf>
    <xf numFmtId="170" fontId="4" fillId="0" borderId="0" xfId="2" applyNumberFormat="1" applyFont="1" applyFill="1" applyAlignment="1">
      <alignment vertical="center"/>
    </xf>
    <xf numFmtId="170" fontId="6" fillId="8" borderId="0" xfId="0" applyNumberFormat="1" applyFont="1" applyFill="1" applyAlignment="1">
      <alignment horizontal="center" vertical="center"/>
    </xf>
    <xf numFmtId="170" fontId="4" fillId="0" borderId="0" xfId="1" applyNumberFormat="1" applyFont="1" applyFill="1" applyAlignment="1">
      <alignment horizontal="right" vertical="center"/>
    </xf>
    <xf numFmtId="170" fontId="4" fillId="0" borderId="0" xfId="0" applyNumberFormat="1" applyFont="1" applyAlignment="1">
      <alignment horizontal="right" vertical="center"/>
    </xf>
    <xf numFmtId="164" fontId="0" fillId="0" borderId="0" xfId="1" applyFont="1" applyFill="1"/>
    <xf numFmtId="169" fontId="4" fillId="0" borderId="0" xfId="2" applyNumberFormat="1" applyFont="1" applyFill="1"/>
    <xf numFmtId="0" fontId="4" fillId="0" borderId="0" xfId="1" applyNumberFormat="1" applyFont="1" applyFill="1" applyAlignment="1">
      <alignment horizontal="right" vertical="center"/>
    </xf>
    <xf numFmtId="0" fontId="14" fillId="0" borderId="0" xfId="0" applyFont="1"/>
    <xf numFmtId="176" fontId="0" fillId="0" borderId="0" xfId="0" applyNumberFormat="1"/>
    <xf numFmtId="177" fontId="0" fillId="0" borderId="0" xfId="0" applyNumberFormat="1" applyAlignment="1">
      <alignment horizontal="left" vertical="top" wrapText="1"/>
    </xf>
    <xf numFmtId="171" fontId="0" fillId="0" borderId="0" xfId="1" applyNumberFormat="1" applyFont="1" applyBorder="1"/>
    <xf numFmtId="14" fontId="0" fillId="0" borderId="0" xfId="0" applyNumberFormat="1" applyAlignment="1">
      <alignment horizontal="left" vertical="top" wrapText="1"/>
    </xf>
    <xf numFmtId="0" fontId="0" fillId="9" borderId="0" xfId="0" applyFill="1"/>
    <xf numFmtId="170" fontId="0" fillId="9" borderId="0" xfId="0" applyNumberFormat="1" applyFill="1"/>
    <xf numFmtId="0" fontId="16" fillId="0" borderId="0" xfId="0" applyFont="1" applyAlignment="1">
      <alignment vertical="center"/>
    </xf>
    <xf numFmtId="10" fontId="15" fillId="0" borderId="0" xfId="0" applyNumberFormat="1" applyFont="1"/>
    <xf numFmtId="170" fontId="16" fillId="0" borderId="0" xfId="0" applyNumberFormat="1" applyFont="1"/>
    <xf numFmtId="14" fontId="16" fillId="0" borderId="0" xfId="0" applyNumberFormat="1" applyFont="1" applyAlignment="1">
      <alignment vertical="center"/>
    </xf>
    <xf numFmtId="170" fontId="16" fillId="0" borderId="0" xfId="0" applyNumberFormat="1" applyFont="1" applyAlignment="1">
      <alignment horizontal="right" vertical="center"/>
    </xf>
    <xf numFmtId="166" fontId="16" fillId="0" borderId="0" xfId="0" applyNumberFormat="1" applyFont="1"/>
    <xf numFmtId="166" fontId="17" fillId="0" borderId="0" xfId="0" applyNumberFormat="1" applyFont="1"/>
    <xf numFmtId="170" fontId="16" fillId="0" borderId="0" xfId="0" applyNumberFormat="1" applyFont="1" applyAlignment="1">
      <alignment vertical="center"/>
    </xf>
    <xf numFmtId="0" fontId="8" fillId="9" borderId="0" xfId="0" applyFont="1" applyFill="1"/>
    <xf numFmtId="170" fontId="8" fillId="9" borderId="0" xfId="0" applyNumberFormat="1" applyFont="1" applyFill="1"/>
    <xf numFmtId="14" fontId="0" fillId="9" borderId="0" xfId="0" applyNumberFormat="1" applyFill="1"/>
    <xf numFmtId="164" fontId="0" fillId="9" borderId="0" xfId="1" applyFont="1" applyFill="1"/>
    <xf numFmtId="0" fontId="0" fillId="9" borderId="6" xfId="0" applyFill="1" applyBorder="1"/>
    <xf numFmtId="171" fontId="0" fillId="9" borderId="0" xfId="1" applyNumberFormat="1" applyFont="1" applyFill="1"/>
    <xf numFmtId="169" fontId="0" fillId="9" borderId="0" xfId="2" applyNumberFormat="1" applyFont="1" applyFill="1"/>
    <xf numFmtId="9" fontId="0" fillId="9" borderId="0" xfId="2" applyFont="1" applyFill="1"/>
    <xf numFmtId="169" fontId="0" fillId="9" borderId="0" xfId="2" applyNumberFormat="1" applyFont="1" applyFill="1" applyBorder="1"/>
    <xf numFmtId="0" fontId="0" fillId="9" borderId="4" xfId="0" applyFill="1" applyBorder="1"/>
    <xf numFmtId="0" fontId="0" fillId="9" borderId="0" xfId="0" applyFill="1" applyAlignment="1">
      <alignment horizontal="center"/>
    </xf>
    <xf numFmtId="16" fontId="0" fillId="9" borderId="0" xfId="0" applyNumberFormat="1" applyFill="1"/>
    <xf numFmtId="170" fontId="0" fillId="3" borderId="6" xfId="1" applyNumberFormat="1" applyFont="1" applyFill="1" applyBorder="1"/>
    <xf numFmtId="170" fontId="0" fillId="3" borderId="5" xfId="1" applyNumberFormat="1" applyFont="1" applyFill="1" applyBorder="1"/>
    <xf numFmtId="170" fontId="0" fillId="4" borderId="6" xfId="1" applyNumberFormat="1" applyFont="1" applyFill="1" applyBorder="1"/>
    <xf numFmtId="170" fontId="0" fillId="4" borderId="17" xfId="1" applyNumberFormat="1" applyFont="1" applyFill="1" applyBorder="1"/>
    <xf numFmtId="170" fontId="0" fillId="3" borderId="14" xfId="1" applyNumberFormat="1" applyFont="1" applyFill="1" applyBorder="1"/>
    <xf numFmtId="170" fontId="0" fillId="4" borderId="5" xfId="1" applyNumberFormat="1" applyFont="1" applyFill="1" applyBorder="1"/>
    <xf numFmtId="170" fontId="0" fillId="7" borderId="6" xfId="1" applyNumberFormat="1" applyFont="1" applyFill="1" applyBorder="1"/>
    <xf numFmtId="170" fontId="0" fillId="7" borderId="5" xfId="1" applyNumberFormat="1" applyFont="1" applyFill="1" applyBorder="1"/>
    <xf numFmtId="170" fontId="0" fillId="6" borderId="17" xfId="1" applyNumberFormat="1" applyFont="1" applyFill="1" applyBorder="1"/>
    <xf numFmtId="0" fontId="9" fillId="9" borderId="0" xfId="0" applyFont="1" applyFill="1" applyAlignment="1">
      <alignment horizontal="center" vertical="center"/>
    </xf>
    <xf numFmtId="169" fontId="9" fillId="9" borderId="6" xfId="2" applyNumberFormat="1" applyFont="1" applyFill="1" applyBorder="1" applyAlignment="1">
      <alignment horizontal="center" vertical="center"/>
    </xf>
    <xf numFmtId="170" fontId="9" fillId="9" borderId="0" xfId="1" applyNumberFormat="1" applyFont="1" applyFill="1" applyBorder="1" applyAlignment="1">
      <alignment horizontal="center" vertical="center"/>
    </xf>
    <xf numFmtId="170" fontId="9" fillId="9" borderId="6" xfId="1" applyNumberFormat="1" applyFont="1" applyFill="1" applyBorder="1" applyAlignment="1">
      <alignment horizontal="center" vertical="center"/>
    </xf>
    <xf numFmtId="164" fontId="13" fillId="9" borderId="0" xfId="0" applyNumberFormat="1" applyFont="1" applyFill="1"/>
    <xf numFmtId="10" fontId="9" fillId="9" borderId="0" xfId="2" applyNumberFormat="1" applyFont="1" applyFill="1" applyBorder="1" applyAlignment="1">
      <alignment horizontal="center" vertical="center"/>
    </xf>
    <xf numFmtId="170" fontId="0" fillId="9" borderId="0" xfId="1" applyNumberFormat="1" applyFont="1" applyFill="1" applyBorder="1" applyAlignment="1">
      <alignment horizontal="center" vertical="center"/>
    </xf>
    <xf numFmtId="170" fontId="0" fillId="9" borderId="0" xfId="1" applyNumberFormat="1" applyFont="1" applyFill="1"/>
    <xf numFmtId="165" fontId="13" fillId="9" borderId="0" xfId="0" applyNumberFormat="1" applyFont="1" applyFill="1"/>
    <xf numFmtId="0" fontId="9" fillId="9" borderId="4" xfId="0" applyFont="1" applyFill="1" applyBorder="1" applyAlignment="1">
      <alignment horizontal="center" vertical="center"/>
    </xf>
    <xf numFmtId="169" fontId="9" fillId="9" borderId="5" xfId="2" applyNumberFormat="1" applyFont="1" applyFill="1" applyBorder="1" applyAlignment="1">
      <alignment horizontal="center" vertical="center"/>
    </xf>
    <xf numFmtId="169" fontId="8" fillId="9" borderId="0" xfId="2" applyNumberFormat="1" applyFont="1" applyFill="1" applyBorder="1" applyAlignment="1">
      <alignment horizontal="center" vertical="center"/>
    </xf>
    <xf numFmtId="169" fontId="8" fillId="9" borderId="6" xfId="2" applyNumberFormat="1" applyFont="1" applyFill="1" applyBorder="1" applyAlignment="1">
      <alignment horizontal="center" vertical="center"/>
    </xf>
    <xf numFmtId="170" fontId="8" fillId="9" borderId="6" xfId="1" applyNumberFormat="1" applyFont="1" applyFill="1" applyBorder="1" applyAlignment="1">
      <alignment horizontal="center" vertical="center"/>
    </xf>
    <xf numFmtId="170" fontId="8" fillId="9" borderId="0" xfId="1" applyNumberFormat="1" applyFont="1" applyFill="1" applyAlignment="1">
      <alignment horizontal="center" vertical="center"/>
    </xf>
    <xf numFmtId="10" fontId="9" fillId="9" borderId="4" xfId="2" applyNumberFormat="1" applyFont="1" applyFill="1" applyBorder="1" applyAlignment="1">
      <alignment horizontal="center" vertical="center"/>
    </xf>
    <xf numFmtId="170" fontId="0" fillId="9" borderId="4" xfId="1" applyNumberFormat="1" applyFont="1" applyFill="1" applyBorder="1" applyAlignment="1">
      <alignment horizontal="center" vertical="center"/>
    </xf>
    <xf numFmtId="170" fontId="0" fillId="9" borderId="4" xfId="1" applyNumberFormat="1" applyFont="1" applyFill="1" applyBorder="1"/>
    <xf numFmtId="170" fontId="9" fillId="9" borderId="4" xfId="1" applyNumberFormat="1" applyFont="1" applyFill="1" applyBorder="1" applyAlignment="1">
      <alignment horizontal="center" vertical="center"/>
    </xf>
    <xf numFmtId="164" fontId="0" fillId="9" borderId="4" xfId="1" applyFont="1" applyFill="1" applyBorder="1"/>
    <xf numFmtId="169" fontId="9" fillId="9" borderId="0" xfId="2" applyNumberFormat="1" applyFont="1" applyFill="1" applyBorder="1" applyAlignment="1">
      <alignment horizontal="center" vertical="center"/>
    </xf>
    <xf numFmtId="171" fontId="0" fillId="9" borderId="0" xfId="0" applyNumberFormat="1" applyFill="1"/>
    <xf numFmtId="170" fontId="0" fillId="9" borderId="6" xfId="1" applyNumberFormat="1" applyFont="1" applyFill="1" applyBorder="1" applyAlignment="1">
      <alignment horizontal="center" vertical="center"/>
    </xf>
    <xf numFmtId="170" fontId="9" fillId="9" borderId="10" xfId="1" applyNumberFormat="1" applyFont="1" applyFill="1" applyBorder="1" applyAlignment="1">
      <alignment horizontal="center" vertical="center"/>
    </xf>
    <xf numFmtId="170" fontId="0" fillId="9" borderId="5" xfId="1" applyNumberFormat="1" applyFont="1" applyFill="1" applyBorder="1" applyAlignment="1">
      <alignment horizontal="center" vertical="center"/>
    </xf>
    <xf numFmtId="170" fontId="9" fillId="9" borderId="5" xfId="1" applyNumberFormat="1" applyFont="1" applyFill="1" applyBorder="1" applyAlignment="1">
      <alignment horizontal="center" vertical="center"/>
    </xf>
    <xf numFmtId="9" fontId="9" fillId="9" borderId="6" xfId="2" applyFont="1" applyFill="1" applyBorder="1" applyAlignment="1">
      <alignment horizontal="center" vertical="center"/>
    </xf>
    <xf numFmtId="10" fontId="9" fillId="9" borderId="10" xfId="2" applyNumberFormat="1" applyFont="1" applyFill="1" applyBorder="1" applyAlignment="1">
      <alignment horizontal="center" vertical="center"/>
    </xf>
    <xf numFmtId="170" fontId="0" fillId="9" borderId="0" xfId="1" applyNumberFormat="1" applyFont="1" applyFill="1" applyAlignment="1">
      <alignment horizontal="center" vertical="center"/>
    </xf>
    <xf numFmtId="170" fontId="0" fillId="9" borderId="0" xfId="1" applyNumberFormat="1" applyFont="1" applyFill="1" applyBorder="1"/>
    <xf numFmtId="9" fontId="9" fillId="9" borderId="5" xfId="2" applyFont="1" applyFill="1" applyBorder="1" applyAlignment="1">
      <alignment horizontal="center" vertical="center"/>
    </xf>
    <xf numFmtId="10" fontId="9" fillId="9" borderId="5" xfId="2" applyNumberFormat="1" applyFont="1" applyFill="1" applyBorder="1" applyAlignment="1">
      <alignment horizontal="center" vertical="center"/>
    </xf>
    <xf numFmtId="0" fontId="9" fillId="9" borderId="6" xfId="0" applyFont="1" applyFill="1" applyBorder="1" applyAlignment="1">
      <alignment horizontal="center" vertical="center"/>
    </xf>
    <xf numFmtId="169" fontId="8" fillId="9" borderId="0" xfId="2" applyNumberFormat="1" applyFont="1" applyFill="1" applyAlignment="1">
      <alignment horizontal="center" vertical="center"/>
    </xf>
    <xf numFmtId="169" fontId="9" fillId="9" borderId="0" xfId="2" applyNumberFormat="1" applyFont="1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169" fontId="0" fillId="9" borderId="10" xfId="2" applyNumberFormat="1" applyFont="1" applyFill="1" applyBorder="1" applyAlignment="1">
      <alignment horizontal="center"/>
    </xf>
    <xf numFmtId="170" fontId="0" fillId="9" borderId="10" xfId="1" applyNumberFormat="1" applyFont="1" applyFill="1" applyBorder="1"/>
    <xf numFmtId="170" fontId="0" fillId="9" borderId="6" xfId="1" applyNumberFormat="1" applyFont="1" applyFill="1" applyBorder="1"/>
    <xf numFmtId="9" fontId="0" fillId="9" borderId="0" xfId="0" applyNumberFormat="1" applyFill="1" applyAlignment="1">
      <alignment horizontal="center"/>
    </xf>
    <xf numFmtId="10" fontId="9" fillId="9" borderId="6" xfId="2" applyNumberFormat="1" applyFont="1" applyFill="1" applyBorder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170" fontId="8" fillId="9" borderId="0" xfId="1" applyNumberFormat="1" applyFont="1" applyFill="1" applyBorder="1" applyAlignment="1">
      <alignment horizontal="center" vertical="center"/>
    </xf>
    <xf numFmtId="169" fontId="9" fillId="9" borderId="4" xfId="2" applyNumberFormat="1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/>
    </xf>
    <xf numFmtId="0" fontId="0" fillId="9" borderId="5" xfId="0" applyFill="1" applyBorder="1"/>
    <xf numFmtId="164" fontId="0" fillId="0" borderId="0" xfId="1" applyFont="1" applyAlignment="1">
      <alignment horizontal="center"/>
    </xf>
    <xf numFmtId="14" fontId="0" fillId="0" borderId="0" xfId="1" applyNumberFormat="1" applyFont="1" applyAlignment="1">
      <alignment horizontal="center"/>
    </xf>
    <xf numFmtId="0" fontId="9" fillId="5" borderId="16" xfId="0" applyFont="1" applyFill="1" applyBorder="1" applyAlignment="1">
      <alignment horizontal="center"/>
    </xf>
    <xf numFmtId="10" fontId="9" fillId="0" borderId="0" xfId="1" applyNumberFormat="1" applyFont="1" applyFill="1"/>
    <xf numFmtId="170" fontId="4" fillId="0" borderId="0" xfId="2" applyNumberFormat="1" applyFont="1" applyFill="1"/>
    <xf numFmtId="178" fontId="4" fillId="0" borderId="0" xfId="0" applyNumberFormat="1" applyFont="1"/>
    <xf numFmtId="0" fontId="9" fillId="0" borderId="0" xfId="0" applyFont="1" applyAlignment="1">
      <alignment horizontal="right"/>
    </xf>
    <xf numFmtId="10" fontId="4" fillId="0" borderId="0" xfId="0" applyNumberFormat="1" applyFont="1" applyAlignment="1">
      <alignment vertical="center"/>
    </xf>
    <xf numFmtId="0" fontId="0" fillId="10" borderId="0" xfId="0" applyFill="1"/>
    <xf numFmtId="0" fontId="0" fillId="10" borderId="0" xfId="0" applyFill="1" applyAlignment="1">
      <alignment horizontal="left"/>
    </xf>
    <xf numFmtId="170" fontId="0" fillId="10" borderId="0" xfId="1" applyNumberFormat="1" applyFont="1" applyFill="1"/>
    <xf numFmtId="14" fontId="0" fillId="0" borderId="0" xfId="0" applyNumberFormat="1" applyAlignment="1">
      <alignment horizontal="left"/>
    </xf>
    <xf numFmtId="10" fontId="8" fillId="8" borderId="0" xfId="2" applyNumberFormat="1" applyFont="1" applyFill="1" applyAlignment="1">
      <alignment horizontal="center"/>
    </xf>
    <xf numFmtId="10" fontId="4" fillId="0" borderId="0" xfId="2" applyNumberFormat="1" applyFont="1" applyAlignment="1">
      <alignment horizontal="right"/>
    </xf>
    <xf numFmtId="10" fontId="4" fillId="0" borderId="0" xfId="2" applyNumberFormat="1" applyFont="1" applyAlignment="1">
      <alignment vertical="center"/>
    </xf>
    <xf numFmtId="10" fontId="16" fillId="0" borderId="0" xfId="2" applyNumberFormat="1" applyFont="1"/>
    <xf numFmtId="0" fontId="20" fillId="0" borderId="0" xfId="0" applyFont="1"/>
    <xf numFmtId="14" fontId="4" fillId="0" borderId="0" xfId="0" applyNumberFormat="1" applyFont="1"/>
    <xf numFmtId="169" fontId="9" fillId="0" borderId="0" xfId="0" applyNumberFormat="1" applyFont="1" applyAlignment="1">
      <alignment horizontal="right" vertical="top" wrapText="1"/>
    </xf>
    <xf numFmtId="14" fontId="4" fillId="0" borderId="0" xfId="2" applyNumberFormat="1" applyFont="1" applyAlignment="1">
      <alignment vertical="center"/>
    </xf>
    <xf numFmtId="170" fontId="0" fillId="0" borderId="0" xfId="2" applyNumberFormat="1" applyFont="1"/>
    <xf numFmtId="0" fontId="0" fillId="0" borderId="0" xfId="0" applyAlignment="1">
      <alignment horizontal="center" vertical="center"/>
    </xf>
    <xf numFmtId="0" fontId="21" fillId="0" borderId="0" xfId="0" applyFont="1" applyAlignment="1">
      <alignment vertical="center"/>
    </xf>
    <xf numFmtId="166" fontId="21" fillId="0" borderId="0" xfId="0" applyNumberFormat="1" applyFont="1"/>
    <xf numFmtId="0" fontId="6" fillId="3" borderId="0" xfId="0" applyFont="1" applyFill="1" applyAlignment="1">
      <alignment horizontal="center" vertical="center"/>
    </xf>
    <xf numFmtId="170" fontId="21" fillId="0" borderId="21" xfId="1" applyNumberFormat="1" applyFont="1" applyFill="1" applyBorder="1" applyAlignment="1">
      <alignment vertical="center"/>
    </xf>
    <xf numFmtId="10" fontId="6" fillId="3" borderId="0" xfId="2" applyNumberFormat="1" applyFont="1" applyFill="1" applyAlignment="1">
      <alignment horizontal="center" vertical="center"/>
    </xf>
    <xf numFmtId="10" fontId="4" fillId="3" borderId="0" xfId="2" applyNumberFormat="1" applyFont="1" applyFill="1" applyAlignment="1">
      <alignment horizontal="right" vertical="center"/>
    </xf>
    <xf numFmtId="10" fontId="0" fillId="3" borderId="0" xfId="2" applyNumberFormat="1" applyFont="1" applyFill="1"/>
    <xf numFmtId="170" fontId="0" fillId="3" borderId="0" xfId="1" applyNumberFormat="1" applyFont="1" applyFill="1"/>
    <xf numFmtId="10" fontId="22" fillId="0" borderId="0" xfId="0" applyNumberFormat="1" applyFont="1"/>
    <xf numFmtId="170" fontId="21" fillId="0" borderId="0" xfId="0" applyNumberFormat="1" applyFont="1"/>
    <xf numFmtId="14" fontId="21" fillId="0" borderId="0" xfId="0" applyNumberFormat="1" applyFont="1" applyAlignment="1">
      <alignment vertical="center"/>
    </xf>
    <xf numFmtId="170" fontId="21" fillId="0" borderId="0" xfId="0" applyNumberFormat="1" applyFont="1" applyAlignment="1">
      <alignment horizontal="right" vertical="center"/>
    </xf>
    <xf numFmtId="166" fontId="23" fillId="0" borderId="0" xfId="0" applyNumberFormat="1" applyFont="1"/>
    <xf numFmtId="170" fontId="21" fillId="0" borderId="0" xfId="0" applyNumberFormat="1" applyFont="1" applyAlignment="1">
      <alignment vertical="center"/>
    </xf>
    <xf numFmtId="14" fontId="21" fillId="0" borderId="0" xfId="0" applyNumberFormat="1" applyFont="1"/>
    <xf numFmtId="10" fontId="21" fillId="0" borderId="0" xfId="2" applyNumberFormat="1" applyFont="1" applyFill="1"/>
    <xf numFmtId="0" fontId="0" fillId="12" borderId="0" xfId="0" applyFill="1"/>
    <xf numFmtId="14" fontId="21" fillId="0" borderId="0" xfId="0" applyNumberFormat="1" applyFont="1" applyAlignment="1">
      <alignment horizontal="center" vertical="center"/>
    </xf>
    <xf numFmtId="180" fontId="25" fillId="3" borderId="4" xfId="0" applyNumberFormat="1" applyFont="1" applyFill="1" applyBorder="1" applyAlignment="1">
      <alignment horizontal="center"/>
    </xf>
    <xf numFmtId="180" fontId="8" fillId="3" borderId="4" xfId="0" applyNumberFormat="1" applyFont="1" applyFill="1" applyBorder="1" applyAlignment="1">
      <alignment horizontal="center"/>
    </xf>
    <xf numFmtId="164" fontId="0" fillId="0" borderId="0" xfId="1" quotePrefix="1" applyFont="1" applyFill="1"/>
    <xf numFmtId="0" fontId="26" fillId="0" borderId="22" xfId="0" applyFont="1" applyBorder="1" applyAlignment="1">
      <alignment horizontal="left" vertical="center" wrapText="1"/>
    </xf>
    <xf numFmtId="182" fontId="26" fillId="0" borderId="22" xfId="1" applyNumberFormat="1" applyFont="1" applyBorder="1" applyAlignment="1">
      <alignment horizontal="left" vertical="center" wrapText="1"/>
    </xf>
    <xf numFmtId="0" fontId="0" fillId="0" borderId="8" xfId="0" applyBorder="1" applyAlignment="1">
      <alignment horizontal="left" vertical="center"/>
    </xf>
    <xf numFmtId="182" fontId="0" fillId="0" borderId="8" xfId="1" applyNumberFormat="1" applyFont="1" applyBorder="1" applyAlignment="1">
      <alignment vertical="center"/>
    </xf>
    <xf numFmtId="182" fontId="0" fillId="0" borderId="0" xfId="0" applyNumberFormat="1"/>
    <xf numFmtId="0" fontId="8" fillId="0" borderId="23" xfId="0" applyFont="1" applyBorder="1" applyAlignment="1">
      <alignment horizontal="left" vertical="center"/>
    </xf>
    <xf numFmtId="182" fontId="8" fillId="0" borderId="0" xfId="0" applyNumberFormat="1" applyFont="1"/>
    <xf numFmtId="170" fontId="0" fillId="8" borderId="0" xfId="1" applyNumberFormat="1" applyFont="1" applyFill="1" applyAlignment="1">
      <alignment vertical="center"/>
    </xf>
    <xf numFmtId="170" fontId="8" fillId="9" borderId="0" xfId="1" applyNumberFormat="1" applyFont="1" applyFill="1" applyBorder="1"/>
    <xf numFmtId="0" fontId="0" fillId="9" borderId="0" xfId="0" applyFill="1" applyAlignment="1">
      <alignment horizontal="left"/>
    </xf>
    <xf numFmtId="180" fontId="8" fillId="9" borderId="0" xfId="0" applyNumberFormat="1" applyFont="1" applyFill="1" applyAlignment="1">
      <alignment horizontal="center"/>
    </xf>
    <xf numFmtId="181" fontId="0" fillId="9" borderId="0" xfId="0" applyNumberFormat="1" applyFill="1"/>
    <xf numFmtId="181" fontId="0" fillId="9" borderId="25" xfId="0" applyNumberFormat="1" applyFill="1" applyBorder="1" applyAlignment="1">
      <alignment horizontal="center" vertical="center"/>
    </xf>
    <xf numFmtId="181" fontId="0" fillId="9" borderId="0" xfId="0" applyNumberFormat="1" applyFill="1" applyAlignment="1">
      <alignment vertical="center"/>
    </xf>
    <xf numFmtId="181" fontId="0" fillId="9" borderId="4" xfId="0" applyNumberFormat="1" applyFill="1" applyBorder="1"/>
    <xf numFmtId="0" fontId="0" fillId="9" borderId="24" xfId="0" applyFill="1" applyBorder="1" applyAlignment="1">
      <alignment vertical="center"/>
    </xf>
    <xf numFmtId="0" fontId="0" fillId="9" borderId="0" xfId="0" applyFill="1" applyAlignment="1">
      <alignment vertical="center"/>
    </xf>
    <xf numFmtId="0" fontId="0" fillId="9" borderId="24" xfId="0" applyFill="1" applyBorder="1" applyAlignment="1">
      <alignment horizontal="left" indent="2"/>
    </xf>
    <xf numFmtId="170" fontId="0" fillId="9" borderId="24" xfId="1" applyNumberFormat="1" applyFont="1" applyFill="1" applyBorder="1"/>
    <xf numFmtId="0" fontId="0" fillId="9" borderId="0" xfId="0" applyFill="1" applyAlignment="1">
      <alignment horizontal="left" indent="2"/>
    </xf>
    <xf numFmtId="0" fontId="0" fillId="9" borderId="11" xfId="0" applyFill="1" applyBorder="1" applyAlignment="1">
      <alignment horizontal="left" indent="2"/>
    </xf>
    <xf numFmtId="170" fontId="0" fillId="9" borderId="11" xfId="1" applyNumberFormat="1" applyFont="1" applyFill="1" applyBorder="1"/>
    <xf numFmtId="0" fontId="0" fillId="9" borderId="13" xfId="0" applyFill="1" applyBorder="1" applyAlignment="1">
      <alignment horizontal="left" indent="2"/>
    </xf>
    <xf numFmtId="170" fontId="0" fillId="9" borderId="13" xfId="1" applyNumberFormat="1" applyFont="1" applyFill="1" applyBorder="1"/>
    <xf numFmtId="180" fontId="8" fillId="13" borderId="4" xfId="0" applyNumberFormat="1" applyFont="1" applyFill="1" applyBorder="1" applyAlignment="1">
      <alignment horizontal="center"/>
    </xf>
    <xf numFmtId="0" fontId="0" fillId="9" borderId="11" xfId="0" applyFill="1" applyBorder="1"/>
    <xf numFmtId="0" fontId="0" fillId="9" borderId="11" xfId="0" applyFill="1" applyBorder="1" applyAlignment="1">
      <alignment vertical="center"/>
    </xf>
    <xf numFmtId="0" fontId="8" fillId="13" borderId="0" xfId="0" applyFont="1" applyFill="1" applyAlignment="1">
      <alignment horizontal="center" vertical="center"/>
    </xf>
    <xf numFmtId="0" fontId="6" fillId="13" borderId="0" xfId="0" applyFont="1" applyFill="1" applyAlignment="1">
      <alignment horizontal="center" vertical="center"/>
    </xf>
    <xf numFmtId="170" fontId="6" fillId="13" borderId="0" xfId="1" applyNumberFormat="1" applyFont="1" applyFill="1" applyAlignment="1">
      <alignment horizontal="center" vertical="center"/>
    </xf>
    <xf numFmtId="10" fontId="6" fillId="13" borderId="0" xfId="2" applyNumberFormat="1" applyFont="1" applyFill="1" applyAlignment="1">
      <alignment horizontal="center" vertical="center"/>
    </xf>
    <xf numFmtId="10" fontId="6" fillId="13" borderId="0" xfId="2" applyNumberFormat="1" applyFont="1" applyFill="1" applyAlignment="1">
      <alignment horizontal="center" vertical="center" wrapText="1"/>
    </xf>
    <xf numFmtId="14" fontId="6" fillId="13" borderId="0" xfId="0" applyNumberFormat="1" applyFont="1" applyFill="1" applyAlignment="1">
      <alignment horizontal="center" vertical="center"/>
    </xf>
    <xf numFmtId="164" fontId="6" fillId="13" borderId="0" xfId="1" applyFont="1" applyFill="1" applyAlignment="1">
      <alignment horizontal="center" vertical="center"/>
    </xf>
    <xf numFmtId="170" fontId="0" fillId="0" borderId="0" xfId="2" applyNumberFormat="1" applyFont="1" applyFill="1"/>
    <xf numFmtId="14" fontId="0" fillId="0" borderId="0" xfId="2" applyNumberFormat="1" applyFont="1" applyFill="1"/>
    <xf numFmtId="14" fontId="4" fillId="0" borderId="0" xfId="2" applyNumberFormat="1" applyFont="1" applyFill="1" applyAlignment="1">
      <alignment vertical="center"/>
    </xf>
    <xf numFmtId="181" fontId="8" fillId="3" borderId="0" xfId="0" applyNumberFormat="1" applyFont="1" applyFill="1" applyAlignment="1">
      <alignment horizontal="center"/>
    </xf>
    <xf numFmtId="0" fontId="24" fillId="0" borderId="0" xfId="0" applyFont="1" applyAlignment="1">
      <alignment horizontal="center" vertical="top" wrapText="1"/>
    </xf>
    <xf numFmtId="164" fontId="4" fillId="4" borderId="0" xfId="1" applyFont="1" applyFill="1"/>
    <xf numFmtId="0" fontId="8" fillId="14" borderId="0" xfId="0" applyFont="1" applyFill="1"/>
    <xf numFmtId="0" fontId="6" fillId="14" borderId="0" xfId="0" applyFont="1" applyFill="1" applyAlignment="1">
      <alignment vertical="center"/>
    </xf>
    <xf numFmtId="0" fontId="0" fillId="14" borderId="0" xfId="0" applyFill="1"/>
    <xf numFmtId="0" fontId="27" fillId="0" borderId="0" xfId="0" applyFont="1" applyAlignment="1">
      <alignment vertical="center"/>
    </xf>
    <xf numFmtId="4" fontId="27" fillId="0" borderId="0" xfId="0" applyNumberFormat="1" applyFont="1"/>
    <xf numFmtId="0" fontId="28" fillId="11" borderId="20" xfId="0" applyFont="1" applyFill="1" applyBorder="1"/>
    <xf numFmtId="4" fontId="0" fillId="3" borderId="0" xfId="0" applyNumberFormat="1" applyFill="1"/>
    <xf numFmtId="170" fontId="6" fillId="14" borderId="0" xfId="1" applyNumberFormat="1" applyFont="1" applyFill="1" applyAlignment="1">
      <alignment vertical="center"/>
    </xf>
    <xf numFmtId="10" fontId="6" fillId="14" borderId="0" xfId="2" applyNumberFormat="1" applyFont="1" applyFill="1" applyAlignment="1">
      <alignment vertical="center"/>
    </xf>
    <xf numFmtId="14" fontId="6" fillId="14" borderId="0" xfId="0" applyNumberFormat="1" applyFont="1" applyFill="1" applyAlignment="1">
      <alignment vertical="center"/>
    </xf>
    <xf numFmtId="164" fontId="6" fillId="14" borderId="0" xfId="1" applyFont="1" applyFill="1" applyAlignment="1">
      <alignment horizontal="center" vertical="center"/>
    </xf>
    <xf numFmtId="164" fontId="6" fillId="14" borderId="0" xfId="1" applyFont="1" applyFill="1" applyAlignment="1">
      <alignment vertical="center"/>
    </xf>
    <xf numFmtId="169" fontId="9" fillId="9" borderId="0" xfId="0" applyNumberFormat="1" applyFont="1" applyFill="1" applyAlignment="1">
      <alignment horizontal="center" vertical="center"/>
    </xf>
    <xf numFmtId="169" fontId="9" fillId="9" borderId="10" xfId="2" applyNumberFormat="1" applyFont="1" applyFill="1" applyBorder="1" applyAlignment="1">
      <alignment horizontal="center" vertical="center"/>
    </xf>
    <xf numFmtId="169" fontId="9" fillId="9" borderId="4" xfId="0" applyNumberFormat="1" applyFont="1" applyFill="1" applyBorder="1" applyAlignment="1">
      <alignment horizontal="center" vertical="center"/>
    </xf>
    <xf numFmtId="169" fontId="0" fillId="9" borderId="6" xfId="2" applyNumberFormat="1" applyFont="1" applyFill="1" applyBorder="1" applyAlignment="1">
      <alignment horizontal="center"/>
    </xf>
    <xf numFmtId="4" fontId="4" fillId="3" borderId="0" xfId="0" applyNumberFormat="1" applyFont="1" applyFill="1"/>
    <xf numFmtId="4" fontId="12" fillId="7" borderId="0" xfId="0" applyNumberFormat="1" applyFont="1" applyFill="1"/>
    <xf numFmtId="170" fontId="4" fillId="3" borderId="0" xfId="1" applyNumberFormat="1" applyFont="1" applyFill="1"/>
    <xf numFmtId="164" fontId="0" fillId="7" borderId="0" xfId="1" applyFont="1" applyFill="1"/>
    <xf numFmtId="0" fontId="4" fillId="10" borderId="0" xfId="0" applyFont="1" applyFill="1" applyAlignment="1">
      <alignment vertical="center"/>
    </xf>
    <xf numFmtId="167" fontId="4" fillId="7" borderId="0" xfId="0" applyNumberFormat="1" applyFont="1" applyFill="1"/>
    <xf numFmtId="3" fontId="9" fillId="3" borderId="0" xfId="1" applyNumberFormat="1" applyFont="1" applyFill="1"/>
    <xf numFmtId="168" fontId="0" fillId="7" borderId="0" xfId="0" applyNumberFormat="1" applyFill="1"/>
    <xf numFmtId="10" fontId="30" fillId="0" borderId="0" xfId="0" applyNumberFormat="1" applyFont="1"/>
    <xf numFmtId="170" fontId="27" fillId="0" borderId="0" xfId="0" applyNumberFormat="1" applyFont="1"/>
    <xf numFmtId="14" fontId="27" fillId="0" borderId="0" xfId="0" applyNumberFormat="1" applyFont="1" applyAlignment="1">
      <alignment vertical="center"/>
    </xf>
    <xf numFmtId="170" fontId="27" fillId="0" borderId="0" xfId="0" applyNumberFormat="1" applyFont="1" applyAlignment="1">
      <alignment horizontal="right" vertical="center"/>
    </xf>
    <xf numFmtId="166" fontId="27" fillId="0" borderId="0" xfId="0" applyNumberFormat="1" applyFont="1"/>
    <xf numFmtId="166" fontId="29" fillId="0" borderId="0" xfId="0" applyNumberFormat="1" applyFont="1"/>
    <xf numFmtId="170" fontId="27" fillId="0" borderId="0" xfId="0" applyNumberFormat="1" applyFont="1" applyAlignment="1">
      <alignment vertical="center"/>
    </xf>
    <xf numFmtId="14" fontId="27" fillId="0" borderId="0" xfId="0" applyNumberFormat="1" applyFont="1"/>
    <xf numFmtId="10" fontId="27" fillId="0" borderId="0" xfId="2" applyNumberFormat="1" applyFont="1" applyFill="1"/>
    <xf numFmtId="164" fontId="4" fillId="10" borderId="0" xfId="1" applyFont="1" applyFill="1"/>
    <xf numFmtId="0" fontId="0" fillId="15" borderId="0" xfId="0" applyFill="1"/>
    <xf numFmtId="164" fontId="4" fillId="10" borderId="0" xfId="1" applyFont="1" applyFill="1" applyAlignment="1">
      <alignment vertical="center"/>
    </xf>
    <xf numFmtId="4" fontId="0" fillId="4" borderId="0" xfId="0" applyNumberFormat="1" applyFill="1"/>
    <xf numFmtId="170" fontId="4" fillId="6" borderId="0" xfId="0" applyNumberFormat="1" applyFont="1" applyFill="1" applyAlignment="1">
      <alignment vertical="center"/>
    </xf>
    <xf numFmtId="4" fontId="0" fillId="15" borderId="0" xfId="0" applyNumberFormat="1" applyFill="1"/>
    <xf numFmtId="0" fontId="7" fillId="7" borderId="8" xfId="0" applyFont="1" applyFill="1" applyBorder="1" applyAlignment="1">
      <alignment horizontal="center" vertical="center"/>
    </xf>
    <xf numFmtId="170" fontId="4" fillId="4" borderId="0" xfId="1" applyNumberFormat="1" applyFont="1" applyFill="1"/>
    <xf numFmtId="0" fontId="31" fillId="0" borderId="0" xfId="0" applyFont="1"/>
    <xf numFmtId="0" fontId="9" fillId="3" borderId="0" xfId="0" applyFont="1" applyFill="1"/>
    <xf numFmtId="171" fontId="0" fillId="0" borderId="0" xfId="1" applyNumberFormat="1" applyFont="1" applyBorder="1" applyAlignment="1">
      <alignment wrapText="1"/>
    </xf>
    <xf numFmtId="0" fontId="0" fillId="16" borderId="0" xfId="0" applyFill="1"/>
    <xf numFmtId="0" fontId="8" fillId="7" borderId="0" xfId="0" applyFont="1" applyFill="1"/>
    <xf numFmtId="182" fontId="0" fillId="0" borderId="0" xfId="1" applyNumberFormat="1" applyFont="1" applyBorder="1" applyAlignment="1">
      <alignment wrapText="1"/>
    </xf>
    <xf numFmtId="182" fontId="0" fillId="0" borderId="0" xfId="1" applyNumberFormat="1" applyFont="1" applyBorder="1"/>
    <xf numFmtId="182" fontId="0" fillId="0" borderId="0" xfId="2" applyNumberFormat="1" applyFont="1" applyBorder="1"/>
    <xf numFmtId="182" fontId="0" fillId="16" borderId="0" xfId="0" applyNumberFormat="1" applyFill="1"/>
    <xf numFmtId="182" fontId="0" fillId="16" borderId="0" xfId="0" applyNumberFormat="1" applyFill="1" applyAlignment="1">
      <alignment horizontal="right"/>
    </xf>
    <xf numFmtId="182" fontId="8" fillId="14" borderId="0" xfId="0" applyNumberFormat="1" applyFont="1" applyFill="1"/>
    <xf numFmtId="10" fontId="4" fillId="0" borderId="0" xfId="0" applyNumberFormat="1" applyFont="1"/>
    <xf numFmtId="0" fontId="32" fillId="0" borderId="0" xfId="0" applyFont="1" applyAlignment="1">
      <alignment vertical="center"/>
    </xf>
    <xf numFmtId="166" fontId="32" fillId="0" borderId="0" xfId="0" applyNumberFormat="1" applyFont="1"/>
    <xf numFmtId="10" fontId="33" fillId="0" borderId="0" xfId="0" applyNumberFormat="1" applyFont="1"/>
    <xf numFmtId="170" fontId="32" fillId="0" borderId="0" xfId="0" applyNumberFormat="1" applyFont="1"/>
    <xf numFmtId="170" fontId="32" fillId="0" borderId="0" xfId="0" applyNumberFormat="1" applyFont="1" applyAlignment="1">
      <alignment horizontal="right" vertical="center"/>
    </xf>
    <xf numFmtId="166" fontId="34" fillId="0" borderId="0" xfId="0" applyNumberFormat="1" applyFont="1"/>
    <xf numFmtId="170" fontId="32" fillId="0" borderId="0" xfId="0" applyNumberFormat="1" applyFont="1" applyAlignment="1">
      <alignment vertical="center"/>
    </xf>
    <xf numFmtId="14" fontId="32" fillId="0" borderId="0" xfId="0" applyNumberFormat="1" applyFont="1"/>
    <xf numFmtId="10" fontId="32" fillId="0" borderId="0" xfId="0" applyNumberFormat="1" applyFont="1"/>
    <xf numFmtId="0" fontId="12" fillId="3" borderId="0" xfId="0" applyFont="1" applyFill="1"/>
    <xf numFmtId="0" fontId="18" fillId="4" borderId="0" xfId="0" applyFont="1" applyFill="1"/>
    <xf numFmtId="14" fontId="18" fillId="4" borderId="0" xfId="0" applyNumberFormat="1" applyFont="1" applyFill="1"/>
    <xf numFmtId="0" fontId="24" fillId="0" borderId="0" xfId="4" applyFont="1" applyAlignment="1">
      <alignment horizontal="center" vertical="top" wrapText="1"/>
    </xf>
    <xf numFmtId="10" fontId="0" fillId="9" borderId="0" xfId="2" applyNumberFormat="1" applyFont="1" applyFill="1" applyBorder="1" applyAlignment="1">
      <alignment horizontal="center" vertical="center"/>
    </xf>
    <xf numFmtId="10" fontId="0" fillId="9" borderId="4" xfId="2" applyNumberFormat="1" applyFont="1" applyFill="1" applyBorder="1" applyAlignment="1">
      <alignment horizontal="center" vertical="center"/>
    </xf>
    <xf numFmtId="170" fontId="0" fillId="9" borderId="7" xfId="1" applyNumberFormat="1" applyFont="1" applyFill="1" applyBorder="1"/>
    <xf numFmtId="169" fontId="9" fillId="9" borderId="7" xfId="2" applyNumberFormat="1" applyFont="1" applyFill="1" applyBorder="1" applyAlignment="1">
      <alignment horizontal="center" vertical="center"/>
    </xf>
    <xf numFmtId="14" fontId="32" fillId="0" borderId="0" xfId="0" applyNumberFormat="1" applyFont="1" applyAlignment="1">
      <alignment vertical="center"/>
    </xf>
    <xf numFmtId="0" fontId="35" fillId="0" borderId="0" xfId="0" applyFont="1"/>
    <xf numFmtId="49" fontId="35" fillId="0" borderId="0" xfId="0" applyNumberFormat="1" applyFont="1"/>
    <xf numFmtId="10" fontId="9" fillId="0" borderId="0" xfId="2" applyNumberFormat="1" applyFont="1"/>
    <xf numFmtId="0" fontId="6" fillId="14" borderId="0" xfId="0" applyFont="1" applyFill="1" applyAlignment="1">
      <alignment horizontal="center" vertical="center"/>
    </xf>
    <xf numFmtId="164" fontId="8" fillId="14" borderId="0" xfId="1" applyFont="1" applyFill="1" applyAlignment="1">
      <alignment horizontal="center"/>
    </xf>
    <xf numFmtId="0" fontId="8" fillId="14" borderId="0" xfId="0" applyFont="1" applyFill="1" applyAlignment="1">
      <alignment horizontal="center"/>
    </xf>
    <xf numFmtId="169" fontId="9" fillId="9" borderId="26" xfId="2" applyNumberFormat="1" applyFont="1" applyFill="1" applyBorder="1" applyAlignment="1">
      <alignment horizontal="center" vertical="center"/>
    </xf>
    <xf numFmtId="169" fontId="9" fillId="9" borderId="15" xfId="2" applyNumberFormat="1" applyFont="1" applyFill="1" applyBorder="1" applyAlignment="1">
      <alignment horizontal="center" vertical="center"/>
    </xf>
    <xf numFmtId="0" fontId="20" fillId="0" borderId="0" xfId="0" quotePrefix="1" applyFont="1"/>
    <xf numFmtId="0" fontId="38" fillId="0" borderId="0" xfId="0" applyFont="1" applyAlignment="1">
      <alignment horizontal="left"/>
    </xf>
    <xf numFmtId="0" fontId="38" fillId="0" borderId="0" xfId="0" applyFont="1"/>
    <xf numFmtId="164" fontId="38" fillId="0" borderId="0" xfId="1" applyFont="1" applyAlignment="1">
      <alignment horizontal="right"/>
    </xf>
    <xf numFmtId="0" fontId="38" fillId="0" borderId="0" xfId="0" applyFont="1" applyAlignment="1">
      <alignment horizontal="center"/>
    </xf>
    <xf numFmtId="14" fontId="38" fillId="0" borderId="0" xfId="0" applyNumberFormat="1" applyFont="1"/>
    <xf numFmtId="170" fontId="38" fillId="0" borderId="0" xfId="1" applyNumberFormat="1" applyFont="1" applyAlignment="1">
      <alignment horizontal="center"/>
    </xf>
    <xf numFmtId="164" fontId="4" fillId="0" borderId="0" xfId="0" applyNumberFormat="1" applyFont="1"/>
    <xf numFmtId="164" fontId="9" fillId="0" borderId="0" xfId="0" applyNumberFormat="1" applyFont="1" applyAlignment="1">
      <alignment horizontal="right"/>
    </xf>
    <xf numFmtId="179" fontId="4" fillId="0" borderId="0" xfId="0" applyNumberFormat="1" applyFont="1"/>
    <xf numFmtId="0" fontId="39" fillId="17" borderId="0" xfId="0" applyFont="1" applyFill="1"/>
    <xf numFmtId="10" fontId="8" fillId="14" borderId="0" xfId="2" applyNumberFormat="1" applyFont="1" applyFill="1" applyAlignment="1">
      <alignment horizontal="center"/>
    </xf>
    <xf numFmtId="10" fontId="39" fillId="17" borderId="0" xfId="2" applyNumberFormat="1" applyFont="1" applyFill="1"/>
    <xf numFmtId="0" fontId="7" fillId="7" borderId="2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0" fillId="9" borderId="12" xfId="0" applyFill="1" applyBorder="1"/>
    <xf numFmtId="0" fontId="0" fillId="9" borderId="13" xfId="0" applyFill="1" applyBorder="1"/>
    <xf numFmtId="0" fontId="0" fillId="9" borderId="16" xfId="0" applyFill="1" applyBorder="1"/>
    <xf numFmtId="170" fontId="0" fillId="4" borderId="25" xfId="1" applyNumberFormat="1" applyFont="1" applyFill="1" applyBorder="1"/>
    <xf numFmtId="0" fontId="0" fillId="4" borderId="25" xfId="0" applyFill="1" applyBorder="1" applyAlignment="1">
      <alignment horizontal="center"/>
    </xf>
    <xf numFmtId="0" fontId="0" fillId="9" borderId="15" xfId="0" applyFill="1" applyBorder="1"/>
    <xf numFmtId="0" fontId="0" fillId="4" borderId="31" xfId="0" applyFill="1" applyBorder="1" applyAlignment="1">
      <alignment horizontal="center"/>
    </xf>
    <xf numFmtId="0" fontId="9" fillId="10" borderId="0" xfId="0" applyFont="1" applyFill="1" applyAlignment="1">
      <alignment horizontal="center" vertical="center"/>
    </xf>
    <xf numFmtId="170" fontId="0" fillId="10" borderId="0" xfId="2" applyNumberFormat="1" applyFont="1" applyFill="1" applyBorder="1"/>
    <xf numFmtId="170" fontId="0" fillId="10" borderId="0" xfId="1" applyNumberFormat="1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/>
    </xf>
    <xf numFmtId="170" fontId="0" fillId="4" borderId="30" xfId="1" applyNumberFormat="1" applyFont="1" applyFill="1" applyBorder="1"/>
    <xf numFmtId="0" fontId="13" fillId="9" borderId="0" xfId="0" applyFont="1" applyFill="1"/>
    <xf numFmtId="170" fontId="0" fillId="0" borderId="0" xfId="2" applyNumberFormat="1" applyFont="1" applyFill="1" applyBorder="1"/>
    <xf numFmtId="170" fontId="0" fillId="0" borderId="0" xfId="1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169" fontId="0" fillId="9" borderId="4" xfId="2" applyNumberFormat="1" applyFont="1" applyFill="1" applyBorder="1"/>
    <xf numFmtId="169" fontId="8" fillId="0" borderId="0" xfId="2" applyNumberFormat="1" applyFont="1" applyFill="1" applyBorder="1" applyAlignment="1">
      <alignment horizontal="center"/>
    </xf>
    <xf numFmtId="0" fontId="0" fillId="4" borderId="30" xfId="0" applyFill="1" applyBorder="1" applyAlignment="1">
      <alignment horizontal="center"/>
    </xf>
    <xf numFmtId="0" fontId="37" fillId="17" borderId="0" xfId="0" applyFont="1" applyFill="1"/>
    <xf numFmtId="169" fontId="8" fillId="10" borderId="0" xfId="2" applyNumberFormat="1" applyFont="1" applyFill="1" applyBorder="1" applyAlignment="1">
      <alignment horizontal="center"/>
    </xf>
    <xf numFmtId="169" fontId="0" fillId="10" borderId="0" xfId="2" applyNumberFormat="1" applyFont="1" applyFill="1"/>
    <xf numFmtId="0" fontId="8" fillId="10" borderId="28" xfId="0" applyFont="1" applyFill="1" applyBorder="1" applyAlignment="1">
      <alignment horizontal="center"/>
    </xf>
    <xf numFmtId="170" fontId="8" fillId="10" borderId="28" xfId="0" applyNumberFormat="1" applyFont="1" applyFill="1" applyBorder="1"/>
    <xf numFmtId="169" fontId="8" fillId="10" borderId="28" xfId="2" applyNumberFormat="1" applyFont="1" applyFill="1" applyBorder="1"/>
    <xf numFmtId="0" fontId="8" fillId="10" borderId="28" xfId="0" applyFont="1" applyFill="1" applyBorder="1" applyAlignment="1">
      <alignment horizontal="center" vertical="center"/>
    </xf>
    <xf numFmtId="170" fontId="8" fillId="10" borderId="28" xfId="2" applyNumberFormat="1" applyFont="1" applyFill="1" applyBorder="1"/>
    <xf numFmtId="169" fontId="8" fillId="10" borderId="28" xfId="2" applyNumberFormat="1" applyFont="1" applyFill="1" applyBorder="1" applyAlignment="1">
      <alignment horizontal="center"/>
    </xf>
    <xf numFmtId="0" fontId="8" fillId="10" borderId="28" xfId="0" applyFont="1" applyFill="1" applyBorder="1"/>
    <xf numFmtId="0" fontId="20" fillId="0" borderId="0" xfId="0" applyFont="1" applyAlignment="1">
      <alignment horizontal="center"/>
    </xf>
    <xf numFmtId="0" fontId="0" fillId="10" borderId="0" xfId="0" applyFill="1" applyAlignment="1">
      <alignment horizontal="center"/>
    </xf>
    <xf numFmtId="0" fontId="0" fillId="9" borderId="26" xfId="0" applyFill="1" applyBorder="1"/>
    <xf numFmtId="0" fontId="7" fillId="7" borderId="3" xfId="0" applyFont="1" applyFill="1" applyBorder="1" applyAlignment="1">
      <alignment horizontal="right" vertical="center"/>
    </xf>
    <xf numFmtId="170" fontId="0" fillId="9" borderId="27" xfId="0" applyNumberFormat="1" applyFill="1" applyBorder="1"/>
    <xf numFmtId="183" fontId="0" fillId="0" borderId="0" xfId="0" applyNumberFormat="1"/>
    <xf numFmtId="0" fontId="43" fillId="14" borderId="0" xfId="0" applyFont="1" applyFill="1" applyAlignment="1">
      <alignment vertical="center"/>
    </xf>
    <xf numFmtId="183" fontId="8" fillId="14" borderId="0" xfId="0" applyNumberFormat="1" applyFont="1" applyFill="1"/>
    <xf numFmtId="0" fontId="13" fillId="9" borderId="32" xfId="0" applyFont="1" applyFill="1" applyBorder="1"/>
    <xf numFmtId="0" fontId="7" fillId="7" borderId="1" xfId="0" applyFont="1" applyFill="1" applyBorder="1" applyAlignment="1">
      <alignment vertical="center"/>
    </xf>
    <xf numFmtId="0" fontId="7" fillId="7" borderId="3" xfId="0" applyFont="1" applyFill="1" applyBorder="1" applyAlignment="1">
      <alignment vertical="center"/>
    </xf>
    <xf numFmtId="0" fontId="7" fillId="2" borderId="1" xfId="0" applyFont="1" applyFill="1" applyBorder="1" applyAlignment="1">
      <alignment vertical="center"/>
    </xf>
    <xf numFmtId="164" fontId="43" fillId="14" borderId="0" xfId="1" applyFont="1" applyFill="1" applyAlignment="1">
      <alignment vertical="center"/>
    </xf>
    <xf numFmtId="170" fontId="43" fillId="14" borderId="0" xfId="1" applyNumberFormat="1" applyFont="1" applyFill="1" applyAlignment="1">
      <alignment vertical="center"/>
    </xf>
    <xf numFmtId="170" fontId="43" fillId="14" borderId="0" xfId="1" applyNumberFormat="1" applyFont="1" applyFill="1" applyAlignment="1">
      <alignment horizontal="center" vertical="center"/>
    </xf>
    <xf numFmtId="0" fontId="12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170" fontId="12" fillId="7" borderId="0" xfId="0" applyNumberFormat="1" applyFont="1" applyFill="1" applyAlignment="1">
      <alignment vertical="center"/>
    </xf>
    <xf numFmtId="170" fontId="12" fillId="0" borderId="0" xfId="1" applyNumberFormat="1" applyFont="1" applyAlignment="1">
      <alignment vertical="center"/>
    </xf>
    <xf numFmtId="9" fontId="12" fillId="0" borderId="0" xfId="2" applyFont="1" applyAlignment="1">
      <alignment horizontal="center" vertical="center"/>
    </xf>
    <xf numFmtId="170" fontId="12" fillId="0" borderId="0" xfId="0" applyNumberFormat="1" applyFont="1" applyAlignment="1">
      <alignment vertical="center"/>
    </xf>
    <xf numFmtId="170" fontId="12" fillId="10" borderId="0" xfId="0" applyNumberFormat="1" applyFont="1" applyFill="1" applyAlignment="1">
      <alignment vertical="center"/>
    </xf>
    <xf numFmtId="170" fontId="12" fillId="3" borderId="0" xfId="0" applyNumberFormat="1" applyFont="1" applyFill="1" applyAlignment="1">
      <alignment vertical="center"/>
    </xf>
    <xf numFmtId="170" fontId="12" fillId="4" borderId="0" xfId="0" applyNumberFormat="1" applyFont="1" applyFill="1" applyAlignment="1">
      <alignment vertical="center"/>
    </xf>
    <xf numFmtId="0" fontId="9" fillId="0" borderId="11" xfId="0" applyFont="1" applyBorder="1"/>
    <xf numFmtId="0" fontId="12" fillId="0" borderId="11" xfId="0" applyFont="1" applyBorder="1" applyAlignment="1">
      <alignment vertical="center"/>
    </xf>
    <xf numFmtId="14" fontId="12" fillId="0" borderId="11" xfId="0" applyNumberFormat="1" applyFont="1" applyBorder="1" applyAlignment="1">
      <alignment vertical="center"/>
    </xf>
    <xf numFmtId="170" fontId="12" fillId="0" borderId="11" xfId="0" applyNumberFormat="1" applyFont="1" applyBorder="1" applyAlignment="1">
      <alignment vertical="center"/>
    </xf>
    <xf numFmtId="170" fontId="12" fillId="10" borderId="11" xfId="0" applyNumberFormat="1" applyFont="1" applyFill="1" applyBorder="1" applyAlignment="1">
      <alignment vertical="center"/>
    </xf>
    <xf numFmtId="170" fontId="12" fillId="3" borderId="11" xfId="0" applyNumberFormat="1" applyFont="1" applyFill="1" applyBorder="1" applyAlignment="1">
      <alignment vertical="center"/>
    </xf>
    <xf numFmtId="170" fontId="12" fillId="4" borderId="11" xfId="0" applyNumberFormat="1" applyFont="1" applyFill="1" applyBorder="1" applyAlignment="1">
      <alignment vertical="center"/>
    </xf>
    <xf numFmtId="183" fontId="3" fillId="3" borderId="0" xfId="10" applyNumberFormat="1" applyFont="1" applyFill="1" applyBorder="1" applyAlignment="1">
      <alignment horizontal="center"/>
    </xf>
    <xf numFmtId="183" fontId="3" fillId="4" borderId="0" xfId="10" applyNumberFormat="1" applyFont="1" applyFill="1" applyBorder="1" applyAlignment="1">
      <alignment horizontal="center"/>
    </xf>
    <xf numFmtId="183" fontId="3" fillId="3" borderId="11" xfId="10" applyNumberFormat="1" applyFont="1" applyFill="1" applyBorder="1" applyAlignment="1">
      <alignment horizontal="center"/>
    </xf>
    <xf numFmtId="183" fontId="3" fillId="4" borderId="11" xfId="10" applyNumberFormat="1" applyFont="1" applyFill="1" applyBorder="1" applyAlignment="1">
      <alignment horizontal="center"/>
    </xf>
    <xf numFmtId="0" fontId="45" fillId="0" borderId="0" xfId="0" applyFont="1" applyAlignment="1">
      <alignment vertical="center"/>
    </xf>
    <xf numFmtId="166" fontId="45" fillId="0" borderId="0" xfId="0" applyNumberFormat="1" applyFont="1"/>
    <xf numFmtId="10" fontId="46" fillId="0" borderId="0" xfId="0" applyNumberFormat="1" applyFont="1"/>
    <xf numFmtId="170" fontId="45" fillId="0" borderId="0" xfId="0" applyNumberFormat="1" applyFont="1"/>
    <xf numFmtId="170" fontId="45" fillId="0" borderId="0" xfId="0" applyNumberFormat="1" applyFont="1" applyAlignment="1">
      <alignment horizontal="right" vertical="center"/>
    </xf>
    <xf numFmtId="166" fontId="47" fillId="0" borderId="0" xfId="0" applyNumberFormat="1" applyFont="1"/>
    <xf numFmtId="170" fontId="45" fillId="0" borderId="0" xfId="0" applyNumberFormat="1" applyFont="1" applyAlignment="1">
      <alignment vertical="center"/>
    </xf>
    <xf numFmtId="14" fontId="45" fillId="0" borderId="0" xfId="0" applyNumberFormat="1" applyFont="1"/>
    <xf numFmtId="10" fontId="45" fillId="0" borderId="0" xfId="2" applyNumberFormat="1" applyFont="1" applyFill="1"/>
    <xf numFmtId="0" fontId="49" fillId="0" borderId="0" xfId="0" applyFont="1" applyAlignment="1">
      <alignment vertical="center"/>
    </xf>
    <xf numFmtId="170" fontId="0" fillId="0" borderId="0" xfId="1" applyNumberFormat="1" applyFont="1" applyAlignment="1">
      <alignment horizontal="center"/>
    </xf>
    <xf numFmtId="170" fontId="50" fillId="0" borderId="11" xfId="1" applyNumberFormat="1" applyFont="1" applyBorder="1" applyAlignment="1">
      <alignment vertical="center"/>
    </xf>
    <xf numFmtId="170" fontId="44" fillId="0" borderId="0" xfId="0" applyNumberFormat="1" applyFont="1" applyAlignment="1">
      <alignment vertical="center"/>
    </xf>
    <xf numFmtId="0" fontId="38" fillId="0" borderId="11" xfId="0" applyFont="1" applyBorder="1" applyAlignment="1">
      <alignment horizontal="left"/>
    </xf>
    <xf numFmtId="164" fontId="38" fillId="0" borderId="11" xfId="1" applyFont="1" applyBorder="1" applyAlignment="1">
      <alignment horizontal="right"/>
    </xf>
    <xf numFmtId="0" fontId="38" fillId="0" borderId="11" xfId="0" applyFont="1" applyBorder="1" applyAlignment="1">
      <alignment horizontal="center"/>
    </xf>
    <xf numFmtId="14" fontId="38" fillId="0" borderId="11" xfId="0" applyNumberFormat="1" applyFont="1" applyBorder="1" applyAlignment="1">
      <alignment horizontal="right"/>
    </xf>
    <xf numFmtId="170" fontId="38" fillId="0" borderId="11" xfId="1" applyNumberFormat="1" applyFont="1" applyBorder="1" applyAlignment="1">
      <alignment horizontal="center"/>
    </xf>
    <xf numFmtId="0" fontId="37" fillId="17" borderId="11" xfId="0" applyFont="1" applyFill="1" applyBorder="1" applyAlignment="1">
      <alignment horizontal="center"/>
    </xf>
    <xf numFmtId="164" fontId="37" fillId="17" borderId="11" xfId="1" applyFont="1" applyFill="1" applyBorder="1" applyAlignment="1">
      <alignment horizontal="center"/>
    </xf>
    <xf numFmtId="183" fontId="9" fillId="7" borderId="0" xfId="0" applyNumberFormat="1" applyFont="1" applyFill="1"/>
    <xf numFmtId="183" fontId="9" fillId="7" borderId="11" xfId="0" applyNumberFormat="1" applyFont="1" applyFill="1" applyBorder="1"/>
    <xf numFmtId="185" fontId="0" fillId="9" borderId="0" xfId="0" applyNumberFormat="1" applyFill="1"/>
    <xf numFmtId="186" fontId="0" fillId="9" borderId="0" xfId="0" applyNumberFormat="1" applyFill="1"/>
    <xf numFmtId="9" fontId="0" fillId="0" borderId="0" xfId="0" applyNumberFormat="1"/>
    <xf numFmtId="183" fontId="42" fillId="3" borderId="0" xfId="10" applyNumberFormat="1" applyFont="1" applyFill="1" applyBorder="1" applyAlignment="1">
      <alignment horizontal="center"/>
    </xf>
    <xf numFmtId="170" fontId="50" fillId="0" borderId="0" xfId="1" applyNumberFormat="1" applyFont="1" applyBorder="1" applyAlignment="1">
      <alignment vertical="center"/>
    </xf>
    <xf numFmtId="170" fontId="12" fillId="0" borderId="0" xfId="1" applyNumberFormat="1" applyFont="1" applyBorder="1" applyAlignment="1">
      <alignment vertical="center"/>
    </xf>
    <xf numFmtId="0" fontId="9" fillId="0" borderId="13" xfId="0" applyFont="1" applyBorder="1"/>
    <xf numFmtId="0" fontId="12" fillId="0" borderId="13" xfId="0" applyFont="1" applyBorder="1" applyAlignment="1">
      <alignment vertical="center"/>
    </xf>
    <xf numFmtId="14" fontId="12" fillId="0" borderId="13" xfId="0" applyNumberFormat="1" applyFont="1" applyBorder="1" applyAlignment="1">
      <alignment vertical="center"/>
    </xf>
    <xf numFmtId="170" fontId="50" fillId="0" borderId="13" xfId="1" applyNumberFormat="1" applyFont="1" applyBorder="1" applyAlignment="1">
      <alignment vertical="center"/>
    </xf>
    <xf numFmtId="170" fontId="12" fillId="0" borderId="13" xfId="0" applyNumberFormat="1" applyFont="1" applyBorder="1" applyAlignment="1">
      <alignment vertical="center"/>
    </xf>
    <xf numFmtId="170" fontId="12" fillId="10" borderId="13" xfId="0" applyNumberFormat="1" applyFont="1" applyFill="1" applyBorder="1" applyAlignment="1">
      <alignment vertical="center"/>
    </xf>
    <xf numFmtId="170" fontId="12" fillId="3" borderId="13" xfId="0" applyNumberFormat="1" applyFont="1" applyFill="1" applyBorder="1" applyAlignment="1">
      <alignment vertical="center"/>
    </xf>
    <xf numFmtId="170" fontId="12" fillId="4" borderId="13" xfId="0" applyNumberFormat="1" applyFont="1" applyFill="1" applyBorder="1" applyAlignment="1">
      <alignment vertical="center"/>
    </xf>
    <xf numFmtId="183" fontId="3" fillId="3" borderId="13" xfId="10" applyNumberFormat="1" applyFont="1" applyFill="1" applyBorder="1" applyAlignment="1">
      <alignment horizontal="center"/>
    </xf>
    <xf numFmtId="183" fontId="3" fillId="4" borderId="13" xfId="10" applyNumberFormat="1" applyFont="1" applyFill="1" applyBorder="1" applyAlignment="1">
      <alignment horizontal="center"/>
    </xf>
    <xf numFmtId="183" fontId="9" fillId="7" borderId="13" xfId="0" applyNumberFormat="1" applyFont="1" applyFill="1" applyBorder="1"/>
    <xf numFmtId="167" fontId="16" fillId="4" borderId="0" xfId="0" applyNumberFormat="1" applyFont="1" applyFill="1"/>
    <xf numFmtId="167" fontId="4" fillId="4" borderId="0" xfId="0" applyNumberFormat="1" applyFont="1" applyFill="1"/>
    <xf numFmtId="10" fontId="21" fillId="4" borderId="0" xfId="2" applyNumberFormat="1" applyFont="1" applyFill="1" applyAlignment="1">
      <alignment horizontal="right" vertical="center"/>
    </xf>
    <xf numFmtId="10" fontId="0" fillId="4" borderId="0" xfId="2" applyNumberFormat="1" applyFont="1" applyFill="1"/>
    <xf numFmtId="3" fontId="0" fillId="4" borderId="0" xfId="1" applyNumberFormat="1" applyFont="1" applyFill="1"/>
    <xf numFmtId="3" fontId="20" fillId="3" borderId="0" xfId="1" applyNumberFormat="1" applyFont="1" applyFill="1"/>
    <xf numFmtId="10" fontId="20" fillId="3" borderId="0" xfId="2" applyNumberFormat="1" applyFont="1" applyFill="1"/>
    <xf numFmtId="0" fontId="4" fillId="13" borderId="0" xfId="0" applyFont="1" applyFill="1" applyAlignment="1">
      <alignment vertical="center"/>
    </xf>
    <xf numFmtId="0" fontId="0" fillId="13" borderId="0" xfId="0" applyFill="1"/>
    <xf numFmtId="0" fontId="4" fillId="13" borderId="0" xfId="3" applyFont="1" applyFill="1" applyAlignment="1">
      <alignment vertical="center"/>
    </xf>
    <xf numFmtId="0" fontId="38" fillId="0" borderId="11" xfId="0" quotePrefix="1" applyFont="1" applyBorder="1" applyAlignment="1">
      <alignment horizontal="left"/>
    </xf>
    <xf numFmtId="170" fontId="51" fillId="7" borderId="0" xfId="0" applyNumberFormat="1" applyFont="1" applyFill="1" applyAlignment="1">
      <alignment vertical="center"/>
    </xf>
    <xf numFmtId="170" fontId="51" fillId="7" borderId="13" xfId="0" applyNumberFormat="1" applyFont="1" applyFill="1" applyBorder="1" applyAlignment="1">
      <alignment vertical="center"/>
    </xf>
    <xf numFmtId="170" fontId="51" fillId="7" borderId="11" xfId="0" applyNumberFormat="1" applyFont="1" applyFill="1" applyBorder="1" applyAlignment="1">
      <alignment vertical="center"/>
    </xf>
    <xf numFmtId="183" fontId="0" fillId="7" borderId="0" xfId="0" applyNumberFormat="1" applyFill="1"/>
    <xf numFmtId="165" fontId="0" fillId="10" borderId="0" xfId="0" applyNumberFormat="1" applyFill="1"/>
    <xf numFmtId="0" fontId="40" fillId="0" borderId="0" xfId="13"/>
    <xf numFmtId="175" fontId="0" fillId="0" borderId="0" xfId="0" applyNumberFormat="1" applyAlignment="1">
      <alignment horizontal="right"/>
    </xf>
    <xf numFmtId="164" fontId="43" fillId="7" borderId="0" xfId="1" applyFont="1" applyFill="1" applyAlignment="1">
      <alignment horizontal="center" vertical="center" wrapText="1"/>
    </xf>
    <xf numFmtId="164" fontId="43" fillId="18" borderId="0" xfId="1" applyFont="1" applyFill="1" applyAlignment="1">
      <alignment horizontal="center" vertical="center" wrapText="1"/>
    </xf>
    <xf numFmtId="0" fontId="12" fillId="0" borderId="0" xfId="13" applyFont="1"/>
    <xf numFmtId="14" fontId="12" fillId="0" borderId="0" xfId="13" applyNumberFormat="1" applyFont="1"/>
    <xf numFmtId="164" fontId="43" fillId="18" borderId="0" xfId="12" applyFont="1" applyFill="1" applyAlignment="1">
      <alignment horizontal="center" vertical="center" wrapText="1"/>
    </xf>
    <xf numFmtId="0" fontId="12" fillId="0" borderId="0" xfId="13" applyFont="1" applyAlignment="1">
      <alignment horizontal="left"/>
    </xf>
    <xf numFmtId="164" fontId="12" fillId="0" borderId="0" xfId="1" applyFont="1" applyAlignment="1">
      <alignment horizontal="left"/>
    </xf>
    <xf numFmtId="164" fontId="9" fillId="0" borderId="0" xfId="12" applyFont="1"/>
    <xf numFmtId="164" fontId="9" fillId="0" borderId="0" xfId="12" applyFont="1" applyBorder="1"/>
    <xf numFmtId="169" fontId="9" fillId="0" borderId="0" xfId="14" applyNumberFormat="1" applyFont="1"/>
    <xf numFmtId="10" fontId="12" fillId="0" borderId="0" xfId="13" applyNumberFormat="1" applyFont="1"/>
    <xf numFmtId="183" fontId="12" fillId="0" borderId="0" xfId="12" applyNumberFormat="1" applyFont="1"/>
    <xf numFmtId="165" fontId="12" fillId="0" borderId="0" xfId="13" applyNumberFormat="1" applyFont="1"/>
    <xf numFmtId="164" fontId="12" fillId="0" borderId="0" xfId="12" applyFont="1"/>
    <xf numFmtId="164" fontId="12" fillId="0" borderId="0" xfId="12" applyFont="1" applyBorder="1"/>
    <xf numFmtId="169" fontId="12" fillId="0" borderId="0" xfId="14" applyNumberFormat="1" applyFont="1"/>
    <xf numFmtId="0" fontId="43" fillId="0" borderId="29" xfId="13" applyFont="1" applyBorder="1"/>
    <xf numFmtId="164" fontId="43" fillId="0" borderId="29" xfId="12" applyFont="1" applyBorder="1"/>
    <xf numFmtId="10" fontId="43" fillId="0" borderId="29" xfId="14" applyNumberFormat="1" applyFont="1" applyBorder="1"/>
    <xf numFmtId="164" fontId="12" fillId="0" borderId="0" xfId="13" applyNumberFormat="1" applyFont="1"/>
    <xf numFmtId="10" fontId="12" fillId="0" borderId="0" xfId="14" applyNumberFormat="1" applyFont="1"/>
    <xf numFmtId="0" fontId="12" fillId="0" borderId="0" xfId="13" quotePrefix="1" applyFont="1"/>
    <xf numFmtId="14" fontId="52" fillId="0" borderId="36" xfId="13" applyNumberFormat="1" applyFont="1" applyBorder="1" applyAlignment="1">
      <alignment horizontal="right"/>
    </xf>
    <xf numFmtId="183" fontId="53" fillId="10" borderId="37" xfId="12" applyNumberFormat="1" applyFont="1" applyFill="1" applyBorder="1" applyAlignment="1">
      <alignment horizontal="center"/>
    </xf>
    <xf numFmtId="183" fontId="52" fillId="0" borderId="38" xfId="12" applyNumberFormat="1" applyFont="1" applyBorder="1"/>
    <xf numFmtId="183" fontId="52" fillId="0" borderId="37" xfId="12" applyNumberFormat="1" applyFont="1" applyBorder="1"/>
    <xf numFmtId="183" fontId="52" fillId="0" borderId="39" xfId="12" applyNumberFormat="1" applyFont="1" applyBorder="1"/>
    <xf numFmtId="10" fontId="52" fillId="10" borderId="40" xfId="14" applyNumberFormat="1" applyFont="1" applyFill="1" applyBorder="1"/>
    <xf numFmtId="14" fontId="12" fillId="0" borderId="41" xfId="13" applyNumberFormat="1" applyFont="1" applyBorder="1"/>
    <xf numFmtId="183" fontId="43" fillId="10" borderId="42" xfId="12" applyNumberFormat="1" applyFont="1" applyFill="1" applyBorder="1" applyAlignment="1">
      <alignment horizontal="center"/>
    </xf>
    <xf numFmtId="183" fontId="9" fillId="0" borderId="43" xfId="12" applyNumberFormat="1" applyFont="1" applyBorder="1"/>
    <xf numFmtId="183" fontId="9" fillId="0" borderId="42" xfId="12" applyNumberFormat="1" applyFont="1" applyBorder="1"/>
    <xf numFmtId="183" fontId="12" fillId="0" borderId="44" xfId="12" applyNumberFormat="1" applyFont="1" applyBorder="1"/>
    <xf numFmtId="183" fontId="9" fillId="0" borderId="44" xfId="12" applyNumberFormat="1" applyFont="1" applyBorder="1"/>
    <xf numFmtId="14" fontId="12" fillId="0" borderId="36" xfId="13" applyNumberFormat="1" applyFont="1" applyBorder="1" applyAlignment="1">
      <alignment horizontal="right" wrapText="1"/>
    </xf>
    <xf numFmtId="183" fontId="43" fillId="10" borderId="37" xfId="12" applyNumberFormat="1" applyFont="1" applyFill="1" applyBorder="1" applyAlignment="1">
      <alignment horizontal="center"/>
    </xf>
    <xf numFmtId="183" fontId="9" fillId="0" borderId="38" xfId="12" applyNumberFormat="1" applyFont="1" applyBorder="1"/>
    <xf numFmtId="183" fontId="9" fillId="0" borderId="37" xfId="12" applyNumberFormat="1" applyFont="1" applyBorder="1"/>
    <xf numFmtId="183" fontId="12" fillId="0" borderId="39" xfId="12" applyNumberFormat="1" applyFont="1" applyBorder="1"/>
    <xf numFmtId="183" fontId="9" fillId="0" borderId="39" xfId="12" applyNumberFormat="1" applyFont="1" applyBorder="1"/>
    <xf numFmtId="10" fontId="52" fillId="10" borderId="45" xfId="14" applyNumberFormat="1" applyFont="1" applyFill="1" applyBorder="1"/>
    <xf numFmtId="0" fontId="12" fillId="0" borderId="0" xfId="13" applyFont="1" applyAlignment="1">
      <alignment wrapText="1"/>
    </xf>
    <xf numFmtId="183" fontId="9" fillId="0" borderId="0" xfId="12" applyNumberFormat="1" applyFont="1"/>
    <xf numFmtId="14" fontId="12" fillId="0" borderId="36" xfId="13" applyNumberFormat="1" applyFont="1" applyBorder="1" applyAlignment="1">
      <alignment wrapText="1"/>
    </xf>
    <xf numFmtId="14" fontId="12" fillId="0" borderId="46" xfId="13" applyNumberFormat="1" applyFont="1" applyBorder="1" applyAlignment="1">
      <alignment wrapText="1"/>
    </xf>
    <xf numFmtId="183" fontId="43" fillId="10" borderId="47" xfId="12" applyNumberFormat="1" applyFont="1" applyFill="1" applyBorder="1" applyAlignment="1">
      <alignment horizontal="center"/>
    </xf>
    <xf numFmtId="183" fontId="9" fillId="0" borderId="11" xfId="12" applyNumberFormat="1" applyFont="1" applyBorder="1"/>
    <xf numFmtId="183" fontId="9" fillId="0" borderId="47" xfId="12" applyNumberFormat="1" applyFont="1" applyBorder="1"/>
    <xf numFmtId="183" fontId="9" fillId="0" borderId="48" xfId="12" applyNumberFormat="1" applyFont="1" applyBorder="1"/>
    <xf numFmtId="183" fontId="9" fillId="10" borderId="17" xfId="12" applyNumberFormat="1" applyFont="1" applyFill="1" applyBorder="1"/>
    <xf numFmtId="164" fontId="12" fillId="0" borderId="0" xfId="1" applyFont="1"/>
    <xf numFmtId="0" fontId="9" fillId="9" borderId="0" xfId="0" applyFont="1" applyFill="1" applyAlignment="1">
      <alignment horizontal="left" vertical="center"/>
    </xf>
    <xf numFmtId="0" fontId="9" fillId="9" borderId="4" xfId="0" applyFont="1" applyFill="1" applyBorder="1" applyAlignment="1">
      <alignment horizontal="left" vertical="center"/>
    </xf>
    <xf numFmtId="164" fontId="43" fillId="19" borderId="0" xfId="12" applyFont="1" applyFill="1" applyAlignment="1">
      <alignment horizontal="center" vertical="center" wrapText="1"/>
    </xf>
    <xf numFmtId="14" fontId="9" fillId="9" borderId="0" xfId="0" applyNumberFormat="1" applyFont="1" applyFill="1" applyAlignment="1">
      <alignment horizontal="center" vertical="center"/>
    </xf>
    <xf numFmtId="14" fontId="9" fillId="9" borderId="4" xfId="0" applyNumberFormat="1" applyFont="1" applyFill="1" applyBorder="1" applyAlignment="1">
      <alignment horizontal="center" vertical="center"/>
    </xf>
    <xf numFmtId="10" fontId="0" fillId="9" borderId="0" xfId="2" applyNumberFormat="1" applyFont="1" applyFill="1"/>
    <xf numFmtId="10" fontId="0" fillId="9" borderId="4" xfId="2" applyNumberFormat="1" applyFont="1" applyFill="1" applyBorder="1"/>
    <xf numFmtId="10" fontId="9" fillId="9" borderId="0" xfId="2" applyNumberFormat="1" applyFont="1" applyFill="1" applyAlignment="1">
      <alignment horizontal="center" vertical="center"/>
    </xf>
    <xf numFmtId="0" fontId="43" fillId="19" borderId="0" xfId="13" applyFont="1" applyFill="1" applyAlignment="1">
      <alignment horizontal="left"/>
    </xf>
    <xf numFmtId="164" fontId="43" fillId="19" borderId="33" xfId="12" applyFont="1" applyFill="1" applyBorder="1" applyAlignment="1">
      <alignment horizontal="center"/>
    </xf>
    <xf numFmtId="164" fontId="43" fillId="19" borderId="34" xfId="12" applyFont="1" applyFill="1" applyBorder="1" applyAlignment="1">
      <alignment horizontal="center"/>
    </xf>
    <xf numFmtId="164" fontId="43" fillId="19" borderId="2" xfId="12" applyFont="1" applyFill="1" applyBorder="1" applyAlignment="1">
      <alignment horizontal="center"/>
    </xf>
    <xf numFmtId="164" fontId="43" fillId="19" borderId="35" xfId="12" applyFont="1" applyFill="1" applyBorder="1" applyAlignment="1">
      <alignment horizontal="center"/>
    </xf>
    <xf numFmtId="164" fontId="43" fillId="19" borderId="3" xfId="12" applyFont="1" applyFill="1" applyBorder="1" applyAlignment="1">
      <alignment horizontal="center"/>
    </xf>
    <xf numFmtId="0" fontId="43" fillId="19" borderId="0" xfId="13" applyFont="1" applyFill="1" applyAlignment="1">
      <alignment horizontal="center" vertical="center" wrapText="1"/>
    </xf>
    <xf numFmtId="169" fontId="4" fillId="0" borderId="0" xfId="0" applyNumberFormat="1" applyFont="1"/>
    <xf numFmtId="187" fontId="4" fillId="0" borderId="0" xfId="0" applyNumberFormat="1" applyFont="1" applyAlignment="1">
      <alignment vertical="center"/>
    </xf>
    <xf numFmtId="164" fontId="4" fillId="7" borderId="0" xfId="1" applyFont="1" applyFill="1"/>
    <xf numFmtId="184" fontId="4" fillId="0" borderId="0" xfId="0" applyNumberFormat="1" applyFont="1" applyAlignment="1">
      <alignment vertical="center"/>
    </xf>
    <xf numFmtId="0" fontId="26" fillId="14" borderId="0" xfId="0" applyFont="1" applyFill="1"/>
    <xf numFmtId="170" fontId="54" fillId="8" borderId="0" xfId="1" applyNumberFormat="1" applyFont="1" applyFill="1" applyAlignment="1">
      <alignment vertical="center"/>
    </xf>
    <xf numFmtId="0" fontId="54" fillId="14" borderId="0" xfId="0" applyFont="1" applyFill="1"/>
    <xf numFmtId="0" fontId="54" fillId="10" borderId="0" xfId="0" applyFont="1" applyFill="1"/>
    <xf numFmtId="0" fontId="54" fillId="0" borderId="0" xfId="0" applyFont="1"/>
    <xf numFmtId="170" fontId="54" fillId="3" borderId="0" xfId="1" applyNumberFormat="1" applyFont="1" applyFill="1"/>
    <xf numFmtId="164" fontId="54" fillId="7" borderId="0" xfId="1" applyFont="1" applyFill="1"/>
    <xf numFmtId="170" fontId="54" fillId="0" borderId="0" xfId="1" applyNumberFormat="1" applyFont="1" applyFill="1" applyAlignment="1"/>
    <xf numFmtId="10" fontId="54" fillId="0" borderId="0" xfId="2" applyNumberFormat="1" applyFont="1" applyFill="1"/>
    <xf numFmtId="164" fontId="54" fillId="3" borderId="0" xfId="1" applyFont="1" applyFill="1"/>
    <xf numFmtId="164" fontId="54" fillId="0" borderId="0" xfId="0" applyNumberFormat="1" applyFont="1"/>
    <xf numFmtId="164" fontId="54" fillId="0" borderId="0" xfId="1" applyFont="1" applyFill="1"/>
    <xf numFmtId="164" fontId="54" fillId="0" borderId="0" xfId="1" applyFont="1"/>
    <xf numFmtId="10" fontId="54" fillId="0" borderId="0" xfId="2" applyNumberFormat="1" applyFont="1"/>
    <xf numFmtId="14" fontId="54" fillId="0" borderId="0" xfId="0" applyNumberFormat="1" applyFont="1"/>
    <xf numFmtId="164" fontId="54" fillId="0" borderId="0" xfId="1" quotePrefix="1" applyFont="1" applyFill="1"/>
    <xf numFmtId="170" fontId="55" fillId="0" borderId="0" xfId="1" applyNumberFormat="1" applyFont="1" applyFill="1" applyAlignment="1">
      <alignment wrapText="1"/>
    </xf>
    <xf numFmtId="170" fontId="54" fillId="4" borderId="0" xfId="1" applyNumberFormat="1" applyFont="1" applyFill="1"/>
    <xf numFmtId="170" fontId="54" fillId="0" borderId="0" xfId="0" applyNumberFormat="1" applyFont="1"/>
    <xf numFmtId="10" fontId="54" fillId="0" borderId="0" xfId="2" applyNumberFormat="1" applyFont="1" applyFill="1" applyAlignment="1">
      <alignment horizontal="right"/>
    </xf>
    <xf numFmtId="10" fontId="54" fillId="0" borderId="0" xfId="0" applyNumberFormat="1" applyFont="1"/>
    <xf numFmtId="170" fontId="54" fillId="0" borderId="0" xfId="1" applyNumberFormat="1" applyFont="1"/>
    <xf numFmtId="14" fontId="0" fillId="0" borderId="0" xfId="12" applyNumberFormat="1" applyFont="1"/>
    <xf numFmtId="164" fontId="9" fillId="0" borderId="0" xfId="1" applyFont="1" applyAlignment="1">
      <alignment horizontal="right"/>
    </xf>
    <xf numFmtId="10" fontId="4" fillId="3" borderId="0" xfId="2" applyNumberFormat="1" applyFont="1" applyFill="1"/>
    <xf numFmtId="10" fontId="0" fillId="7" borderId="0" xfId="0" applyNumberFormat="1" applyFill="1"/>
    <xf numFmtId="170" fontId="18" fillId="0" borderId="0" xfId="2" applyNumberFormat="1" applyFont="1" applyFill="1"/>
    <xf numFmtId="10" fontId="48" fillId="0" borderId="0" xfId="2" applyNumberFormat="1" applyFont="1" applyFill="1"/>
    <xf numFmtId="10" fontId="0" fillId="7" borderId="0" xfId="2" applyNumberFormat="1" applyFont="1" applyFill="1"/>
    <xf numFmtId="166" fontId="0" fillId="0" borderId="0" xfId="0" applyNumberFormat="1"/>
    <xf numFmtId="164" fontId="18" fillId="0" borderId="0" xfId="1" quotePrefix="1" applyFont="1" applyFill="1"/>
    <xf numFmtId="170" fontId="9" fillId="0" borderId="0" xfId="1" applyNumberFormat="1" applyFont="1"/>
    <xf numFmtId="170" fontId="9" fillId="7" borderId="0" xfId="1" applyNumberFormat="1" applyFont="1" applyFill="1"/>
    <xf numFmtId="170" fontId="12" fillId="0" borderId="0" xfId="1" applyNumberFormat="1" applyFont="1"/>
    <xf numFmtId="170" fontId="12" fillId="3" borderId="0" xfId="1" applyNumberFormat="1" applyFont="1" applyFill="1"/>
    <xf numFmtId="170" fontId="12" fillId="0" borderId="0" xfId="1" applyNumberFormat="1" applyFont="1" applyFill="1" applyAlignment="1">
      <alignment horizontal="center"/>
    </xf>
    <xf numFmtId="1" fontId="12" fillId="0" borderId="0" xfId="1" applyNumberFormat="1" applyFont="1" applyFill="1" applyAlignment="1">
      <alignment horizontal="center"/>
    </xf>
    <xf numFmtId="170" fontId="9" fillId="0" borderId="0" xfId="1" applyNumberFormat="1" applyFont="1" applyAlignment="1">
      <alignment horizontal="center"/>
    </xf>
    <xf numFmtId="170" fontId="12" fillId="0" borderId="0" xfId="1" applyNumberFormat="1" applyFont="1" applyFill="1"/>
    <xf numFmtId="187" fontId="9" fillId="0" borderId="0" xfId="0" applyNumberFormat="1" applyFont="1" applyAlignment="1">
      <alignment horizontal="right"/>
    </xf>
    <xf numFmtId="10" fontId="27" fillId="0" borderId="0" xfId="2" applyNumberFormat="1" applyFont="1"/>
    <xf numFmtId="169" fontId="0" fillId="9" borderId="6" xfId="2" applyNumberFormat="1" applyFont="1" applyFill="1" applyBorder="1"/>
    <xf numFmtId="170" fontId="8" fillId="9" borderId="6" xfId="1" applyNumberFormat="1" applyFont="1" applyFill="1" applyBorder="1"/>
    <xf numFmtId="189" fontId="0" fillId="9" borderId="0" xfId="0" applyNumberFormat="1" applyFill="1"/>
    <xf numFmtId="0" fontId="9" fillId="10" borderId="9" xfId="0" applyFont="1" applyFill="1" applyBorder="1" applyAlignment="1">
      <alignment horizontal="center" vertical="center"/>
    </xf>
    <xf numFmtId="169" fontId="9" fillId="10" borderId="18" xfId="2" applyNumberFormat="1" applyFont="1" applyFill="1" applyBorder="1" applyAlignment="1">
      <alignment horizontal="center" vertical="center"/>
    </xf>
    <xf numFmtId="169" fontId="9" fillId="10" borderId="9" xfId="2" applyNumberFormat="1" applyFont="1" applyFill="1" applyBorder="1" applyAlignment="1">
      <alignment horizontal="center" vertical="center"/>
    </xf>
    <xf numFmtId="169" fontId="0" fillId="10" borderId="18" xfId="2" applyNumberFormat="1" applyFont="1" applyFill="1" applyBorder="1" applyAlignment="1">
      <alignment horizontal="center"/>
    </xf>
    <xf numFmtId="170" fontId="0" fillId="10" borderId="9" xfId="1" applyNumberFormat="1" applyFont="1" applyFill="1" applyBorder="1"/>
    <xf numFmtId="170" fontId="0" fillId="10" borderId="18" xfId="1" applyNumberFormat="1" applyFont="1" applyFill="1" applyBorder="1"/>
    <xf numFmtId="170" fontId="53" fillId="0" borderId="0" xfId="0" applyNumberFormat="1" applyFont="1" applyAlignment="1">
      <alignment vertical="center"/>
    </xf>
    <xf numFmtId="9" fontId="50" fillId="0" borderId="0" xfId="2" applyFont="1" applyAlignment="1">
      <alignment horizontal="center" vertical="center"/>
    </xf>
    <xf numFmtId="164" fontId="43" fillId="20" borderId="0" xfId="1" applyFont="1" applyFill="1" applyAlignment="1">
      <alignment horizontal="center" vertical="center" wrapText="1"/>
    </xf>
    <xf numFmtId="164" fontId="43" fillId="21" borderId="23" xfId="1" applyFont="1" applyFill="1" applyBorder="1" applyAlignment="1">
      <alignment horizontal="center" vertical="center" wrapText="1"/>
    </xf>
    <xf numFmtId="164" fontId="12" fillId="0" borderId="23" xfId="1" applyFont="1" applyBorder="1" applyAlignment="1">
      <alignment horizontal="left"/>
    </xf>
    <xf numFmtId="164" fontId="12" fillId="0" borderId="23" xfId="1" applyFont="1" applyBorder="1"/>
    <xf numFmtId="0" fontId="2" fillId="9" borderId="0" xfId="0" applyFont="1" applyFill="1"/>
    <xf numFmtId="0" fontId="57" fillId="3" borderId="9" xfId="0" applyFont="1" applyFill="1" applyBorder="1" applyAlignment="1">
      <alignment horizontal="center" vertical="center"/>
    </xf>
    <xf numFmtId="170" fontId="58" fillId="9" borderId="0" xfId="1" applyNumberFormat="1" applyFont="1" applyFill="1" applyAlignment="1">
      <alignment horizontal="center" vertical="center"/>
    </xf>
    <xf numFmtId="170" fontId="58" fillId="9" borderId="6" xfId="1" applyNumberFormat="1" applyFont="1" applyFill="1" applyBorder="1" applyAlignment="1">
      <alignment horizontal="center" vertical="center"/>
    </xf>
    <xf numFmtId="170" fontId="58" fillId="9" borderId="4" xfId="1" applyNumberFormat="1" applyFont="1" applyFill="1" applyBorder="1" applyAlignment="1">
      <alignment horizontal="center" vertical="center"/>
    </xf>
    <xf numFmtId="170" fontId="58" fillId="9" borderId="5" xfId="1" applyNumberFormat="1" applyFont="1" applyFill="1" applyBorder="1" applyAlignment="1">
      <alignment horizontal="center" vertical="center"/>
    </xf>
    <xf numFmtId="164" fontId="2" fillId="9" borderId="0" xfId="1" applyFont="1" applyFill="1"/>
    <xf numFmtId="0" fontId="12" fillId="0" borderId="0" xfId="13" applyFont="1" applyAlignment="1">
      <alignment horizontal="center"/>
    </xf>
    <xf numFmtId="164" fontId="43" fillId="19" borderId="0" xfId="12" applyFont="1" applyFill="1" applyAlignment="1">
      <alignment horizontal="center"/>
    </xf>
    <xf numFmtId="169" fontId="8" fillId="3" borderId="4" xfId="2" applyNumberFormat="1" applyFont="1" applyFill="1" applyBorder="1" applyAlignment="1">
      <alignment horizontal="center" vertical="center"/>
    </xf>
    <xf numFmtId="169" fontId="0" fillId="9" borderId="0" xfId="2" applyNumberFormat="1" applyFont="1" applyFill="1" applyAlignment="1">
      <alignment horizontal="center"/>
    </xf>
    <xf numFmtId="169" fontId="0" fillId="9" borderId="4" xfId="2" applyNumberFormat="1" applyFont="1" applyFill="1" applyBorder="1" applyAlignment="1">
      <alignment horizontal="center"/>
    </xf>
    <xf numFmtId="169" fontId="7" fillId="7" borderId="3" xfId="2" applyNumberFormat="1" applyFont="1" applyFill="1" applyBorder="1" applyAlignment="1">
      <alignment horizontal="center" vertical="center"/>
    </xf>
    <xf numFmtId="164" fontId="12" fillId="3" borderId="0" xfId="1" applyFont="1" applyFill="1" applyAlignment="1">
      <alignment horizontal="left"/>
    </xf>
    <xf numFmtId="164" fontId="43" fillId="14" borderId="0" xfId="1" applyFont="1" applyFill="1" applyAlignment="1">
      <alignment horizontal="left"/>
    </xf>
    <xf numFmtId="169" fontId="56" fillId="9" borderId="0" xfId="2" applyNumberFormat="1" applyFont="1" applyFill="1" applyBorder="1" applyAlignment="1">
      <alignment horizontal="center" vertical="center"/>
    </xf>
    <xf numFmtId="169" fontId="56" fillId="9" borderId="6" xfId="2" applyNumberFormat="1" applyFont="1" applyFill="1" applyBorder="1" applyAlignment="1">
      <alignment horizontal="center" vertical="center"/>
    </xf>
    <xf numFmtId="169" fontId="60" fillId="9" borderId="6" xfId="2" applyNumberFormat="1" applyFont="1" applyFill="1" applyBorder="1" applyAlignment="1">
      <alignment horizontal="center" vertical="center"/>
    </xf>
    <xf numFmtId="169" fontId="60" fillId="9" borderId="5" xfId="2" applyNumberFormat="1" applyFont="1" applyFill="1" applyBorder="1" applyAlignment="1">
      <alignment horizontal="center" vertical="center"/>
    </xf>
    <xf numFmtId="0" fontId="61" fillId="0" borderId="0" xfId="0" applyFont="1" applyAlignment="1">
      <alignment vertical="center"/>
    </xf>
    <xf numFmtId="4" fontId="61" fillId="0" borderId="0" xfId="0" applyNumberFormat="1" applyFont="1"/>
    <xf numFmtId="0" fontId="43" fillId="19" borderId="0" xfId="13" applyFont="1" applyFill="1" applyAlignment="1">
      <alignment horizontal="center"/>
    </xf>
    <xf numFmtId="0" fontId="0" fillId="6" borderId="0" xfId="0" applyFill="1"/>
    <xf numFmtId="170" fontId="12" fillId="7" borderId="13" xfId="0" applyNumberFormat="1" applyFont="1" applyFill="1" applyBorder="1" applyAlignment="1">
      <alignment vertical="center"/>
    </xf>
    <xf numFmtId="170" fontId="53" fillId="0" borderId="13" xfId="0" applyNumberFormat="1" applyFont="1" applyBorder="1" applyAlignment="1">
      <alignment vertical="center"/>
    </xf>
    <xf numFmtId="170" fontId="12" fillId="0" borderId="13" xfId="1" applyNumberFormat="1" applyFont="1" applyBorder="1" applyAlignment="1">
      <alignment vertical="center"/>
    </xf>
    <xf numFmtId="9" fontId="12" fillId="0" borderId="13" xfId="2" applyFont="1" applyBorder="1" applyAlignment="1">
      <alignment horizontal="center" vertical="center"/>
    </xf>
    <xf numFmtId="9" fontId="50" fillId="0" borderId="0" xfId="2" applyFont="1" applyBorder="1" applyAlignment="1">
      <alignment horizontal="center" vertical="center"/>
    </xf>
    <xf numFmtId="9" fontId="50" fillId="0" borderId="13" xfId="2" applyFont="1" applyBorder="1" applyAlignment="1">
      <alignment horizontal="center" vertical="center"/>
    </xf>
    <xf numFmtId="170" fontId="53" fillId="0" borderId="11" xfId="0" applyNumberFormat="1" applyFont="1" applyBorder="1" applyAlignment="1">
      <alignment vertical="center"/>
    </xf>
    <xf numFmtId="9" fontId="50" fillId="0" borderId="11" xfId="2" applyFont="1" applyBorder="1" applyAlignment="1">
      <alignment horizontal="center" vertical="center"/>
    </xf>
    <xf numFmtId="14" fontId="0" fillId="4" borderId="0" xfId="0" applyNumberFormat="1" applyFill="1"/>
    <xf numFmtId="4" fontId="62" fillId="0" borderId="0" xfId="0" applyNumberFormat="1" applyFont="1"/>
    <xf numFmtId="0" fontId="37" fillId="0" borderId="29" xfId="0" applyFont="1" applyBorder="1"/>
    <xf numFmtId="170" fontId="4" fillId="3" borderId="0" xfId="2" applyNumberFormat="1" applyFont="1" applyFill="1" applyAlignment="1">
      <alignment horizontal="right" vertical="center"/>
    </xf>
    <xf numFmtId="170" fontId="21" fillId="3" borderId="21" xfId="1" applyNumberFormat="1" applyFont="1" applyFill="1" applyBorder="1" applyAlignment="1">
      <alignment vertical="center"/>
    </xf>
    <xf numFmtId="0" fontId="38" fillId="0" borderId="2" xfId="0" applyFont="1" applyBorder="1" applyAlignment="1">
      <alignment horizontal="left"/>
    </xf>
    <xf numFmtId="0" fontId="38" fillId="0" borderId="2" xfId="0" applyFont="1" applyBorder="1"/>
    <xf numFmtId="164" fontId="38" fillId="0" borderId="2" xfId="1" applyFont="1" applyFill="1" applyBorder="1" applyAlignment="1">
      <alignment horizontal="right"/>
    </xf>
    <xf numFmtId="0" fontId="38" fillId="0" borderId="2" xfId="0" applyFont="1" applyBorder="1" applyAlignment="1">
      <alignment horizontal="center"/>
    </xf>
    <xf numFmtId="14" fontId="38" fillId="0" borderId="2" xfId="0" applyNumberFormat="1" applyFont="1" applyBorder="1" applyAlignment="1">
      <alignment horizontal="right"/>
    </xf>
    <xf numFmtId="170" fontId="38" fillId="0" borderId="2" xfId="1" applyNumberFormat="1" applyFont="1" applyFill="1" applyBorder="1" applyAlignment="1">
      <alignment horizontal="center"/>
    </xf>
    <xf numFmtId="170" fontId="4" fillId="4" borderId="0" xfId="1" quotePrefix="1" applyNumberFormat="1" applyFont="1" applyFill="1"/>
    <xf numFmtId="0" fontId="9" fillId="10" borderId="0" xfId="0" applyFont="1" applyFill="1"/>
    <xf numFmtId="3" fontId="12" fillId="3" borderId="0" xfId="0" applyNumberFormat="1" applyFont="1" applyFill="1"/>
    <xf numFmtId="3" fontId="9" fillId="0" borderId="0" xfId="0" applyNumberFormat="1" applyFont="1" applyAlignment="1">
      <alignment horizontal="right" vertical="top" wrapText="1"/>
    </xf>
    <xf numFmtId="4" fontId="12" fillId="3" borderId="0" xfId="0" applyNumberFormat="1" applyFont="1" applyFill="1"/>
    <xf numFmtId="169" fontId="9" fillId="0" borderId="0" xfId="2" applyNumberFormat="1" applyFont="1" applyAlignment="1">
      <alignment horizontal="right" vertical="top" wrapText="1"/>
    </xf>
    <xf numFmtId="164" fontId="9" fillId="0" borderId="0" xfId="1" applyFont="1" applyAlignment="1">
      <alignment horizontal="right" vertical="top" wrapText="1"/>
    </xf>
    <xf numFmtId="188" fontId="9" fillId="0" borderId="0" xfId="0" applyNumberFormat="1" applyFont="1"/>
    <xf numFmtId="14" fontId="9" fillId="0" borderId="0" xfId="0" applyNumberFormat="1" applyFont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3" fontId="9" fillId="3" borderId="0" xfId="0" applyNumberFormat="1" applyFont="1" applyFill="1" applyAlignment="1">
      <alignment horizontal="right" vertical="top" wrapText="1"/>
    </xf>
    <xf numFmtId="2" fontId="9" fillId="3" borderId="0" xfId="0" applyNumberFormat="1" applyFont="1" applyFill="1"/>
    <xf numFmtId="14" fontId="12" fillId="0" borderId="0" xfId="0" applyNumberFormat="1" applyFont="1" applyAlignment="1">
      <alignment horizontal="right" vertical="top" wrapText="1"/>
    </xf>
    <xf numFmtId="0" fontId="12" fillId="0" borderId="0" xfId="0" applyFont="1" applyAlignment="1">
      <alignment horizontal="left" vertical="top" wrapText="1"/>
    </xf>
    <xf numFmtId="4" fontId="9" fillId="3" borderId="0" xfId="0" applyNumberFormat="1" applyFont="1" applyFill="1" applyAlignment="1">
      <alignment horizontal="right" vertical="top" wrapText="1"/>
    </xf>
    <xf numFmtId="3" fontId="12" fillId="4" borderId="0" xfId="0" applyNumberFormat="1" applyFont="1" applyFill="1" applyAlignment="1">
      <alignment horizontal="right" vertical="top" wrapText="1"/>
    </xf>
    <xf numFmtId="4" fontId="12" fillId="3" borderId="0" xfId="0" applyNumberFormat="1" applyFont="1" applyFill="1" applyAlignment="1">
      <alignment horizontal="right" vertical="top" wrapText="1"/>
    </xf>
    <xf numFmtId="14" fontId="9" fillId="0" borderId="0" xfId="1" applyNumberFormat="1" applyFont="1" applyAlignment="1">
      <alignment horizontal="right" vertical="top" wrapText="1"/>
    </xf>
    <xf numFmtId="14" fontId="9" fillId="0" borderId="0" xfId="0" applyNumberFormat="1" applyFont="1"/>
    <xf numFmtId="164" fontId="9" fillId="0" borderId="0" xfId="1" applyFont="1" applyFill="1" applyAlignment="1">
      <alignment horizontal="right" vertical="top" wrapText="1"/>
    </xf>
    <xf numFmtId="169" fontId="9" fillId="0" borderId="0" xfId="2" applyNumberFormat="1" applyFont="1" applyFill="1" applyAlignment="1">
      <alignment horizontal="right" vertical="top" wrapText="1"/>
    </xf>
    <xf numFmtId="3" fontId="12" fillId="3" borderId="0" xfId="0" applyNumberFormat="1" applyFont="1" applyFill="1" applyAlignment="1">
      <alignment horizontal="right" vertical="top" wrapText="1"/>
    </xf>
    <xf numFmtId="0" fontId="12" fillId="3" borderId="0" xfId="0" applyFont="1" applyFill="1" applyAlignment="1">
      <alignment horizontal="left" vertical="top" wrapText="1"/>
    </xf>
    <xf numFmtId="0" fontId="12" fillId="0" borderId="0" xfId="0" applyFont="1"/>
    <xf numFmtId="0" fontId="43" fillId="14" borderId="0" xfId="0" applyFont="1" applyFill="1" applyAlignment="1">
      <alignment vertical="center" wrapText="1"/>
    </xf>
    <xf numFmtId="170" fontId="43" fillId="14" borderId="0" xfId="1" applyNumberFormat="1" applyFont="1" applyFill="1" applyAlignment="1">
      <alignment horizontal="center" vertical="center" wrapText="1"/>
    </xf>
    <xf numFmtId="0" fontId="43" fillId="14" borderId="0" xfId="0" applyFont="1" applyFill="1" applyAlignment="1">
      <alignment horizontal="center" vertical="center" wrapText="1"/>
    </xf>
    <xf numFmtId="164" fontId="43" fillId="14" borderId="0" xfId="1" applyFont="1" applyFill="1" applyAlignment="1">
      <alignment horizontal="center" vertical="center" wrapText="1"/>
    </xf>
    <xf numFmtId="0" fontId="43" fillId="14" borderId="0" xfId="0" quotePrefix="1" applyFont="1" applyFill="1" applyAlignment="1">
      <alignment horizontal="center" vertical="center" wrapText="1"/>
    </xf>
    <xf numFmtId="0" fontId="8" fillId="14" borderId="0" xfId="0" applyFont="1" applyFill="1" applyAlignment="1">
      <alignment vertical="center" wrapText="1"/>
    </xf>
    <xf numFmtId="180" fontId="42" fillId="14" borderId="0" xfId="0" applyNumberFormat="1" applyFont="1" applyFill="1" applyAlignment="1">
      <alignment horizontal="center" vertical="center" wrapText="1"/>
    </xf>
    <xf numFmtId="0" fontId="9" fillId="14" borderId="0" xfId="0" applyFont="1" applyFill="1" applyAlignment="1">
      <alignment vertical="center" wrapText="1"/>
    </xf>
    <xf numFmtId="190" fontId="0" fillId="9" borderId="0" xfId="0" applyNumberFormat="1" applyFill="1"/>
    <xf numFmtId="43" fontId="8" fillId="9" borderId="0" xfId="1" applyNumberFormat="1" applyFont="1" applyFill="1" applyBorder="1" applyAlignment="1">
      <alignment horizontal="center" vertical="center"/>
    </xf>
    <xf numFmtId="191" fontId="8" fillId="9" borderId="0" xfId="1" applyNumberFormat="1" applyFont="1" applyFill="1" applyAlignment="1">
      <alignment horizontal="center" vertical="center"/>
    </xf>
    <xf numFmtId="0" fontId="63" fillId="14" borderId="0" xfId="0" applyFont="1" applyFill="1"/>
    <xf numFmtId="0" fontId="64" fillId="0" borderId="0" xfId="0" applyFont="1"/>
    <xf numFmtId="41" fontId="64" fillId="0" borderId="0" xfId="15" applyFont="1"/>
    <xf numFmtId="41" fontId="64" fillId="0" borderId="0" xfId="0" applyNumberFormat="1" applyFont="1"/>
    <xf numFmtId="0" fontId="64" fillId="0" borderId="0" xfId="0" applyFont="1" applyAlignment="1">
      <alignment wrapText="1"/>
    </xf>
    <xf numFmtId="0" fontId="65" fillId="0" borderId="0" xfId="0" applyFont="1" applyAlignment="1">
      <alignment horizontal="left" vertical="center" indent="2"/>
    </xf>
    <xf numFmtId="0" fontId="65" fillId="0" borderId="0" xfId="0" applyFont="1" applyAlignment="1">
      <alignment vertical="center"/>
    </xf>
    <xf numFmtId="0" fontId="66" fillId="0" borderId="0" xfId="0" applyFont="1" applyAlignment="1">
      <alignment horizontal="left" vertical="center" wrapText="1" indent="2"/>
    </xf>
    <xf numFmtId="0" fontId="66" fillId="0" borderId="0" xfId="0" applyFont="1" applyAlignment="1">
      <alignment vertical="center"/>
    </xf>
    <xf numFmtId="167" fontId="4" fillId="0" borderId="0" xfId="0" applyNumberFormat="1" applyFont="1" applyAlignment="1">
      <alignment vertical="center"/>
    </xf>
    <xf numFmtId="0" fontId="9" fillId="10" borderId="0" xfId="0" applyFont="1" applyFill="1" applyAlignment="1">
      <alignment horizontal="left" vertical="top" wrapText="1"/>
    </xf>
    <xf numFmtId="3" fontId="9" fillId="0" borderId="0" xfId="12" applyNumberFormat="1" applyFont="1" applyAlignment="1">
      <alignment horizontal="right" vertical="top" wrapText="1"/>
    </xf>
    <xf numFmtId="192" fontId="67" fillId="10" borderId="28" xfId="0" applyNumberFormat="1" applyFont="1" applyFill="1" applyBorder="1" applyAlignment="1">
      <alignment horizontal="center" vertical="center"/>
    </xf>
    <xf numFmtId="0" fontId="68" fillId="9" borderId="0" xfId="0" applyFont="1" applyFill="1" applyAlignment="1">
      <alignment horizontal="right"/>
    </xf>
    <xf numFmtId="169" fontId="9" fillId="0" borderId="6" xfId="2" applyNumberFormat="1" applyFont="1" applyFill="1" applyBorder="1" applyAlignment="1">
      <alignment horizontal="center" vertical="center"/>
    </xf>
    <xf numFmtId="170" fontId="9" fillId="0" borderId="0" xfId="1" applyNumberFormat="1" applyFont="1" applyFill="1" applyBorder="1" applyAlignment="1">
      <alignment horizontal="center" vertical="center"/>
    </xf>
    <xf numFmtId="170" fontId="9" fillId="0" borderId="6" xfId="1" applyNumberFormat="1" applyFont="1" applyFill="1" applyBorder="1" applyAlignment="1">
      <alignment horizontal="center" vertical="center"/>
    </xf>
    <xf numFmtId="164" fontId="8" fillId="0" borderId="0" xfId="1" applyFont="1" applyFill="1"/>
    <xf numFmtId="169" fontId="9" fillId="0" borderId="0" xfId="2" applyNumberFormat="1" applyFont="1" applyFill="1" applyBorder="1" applyAlignment="1">
      <alignment horizontal="center" vertical="center"/>
    </xf>
    <xf numFmtId="0" fontId="59" fillId="0" borderId="4" xfId="0" applyFont="1" applyBorder="1" applyAlignment="1">
      <alignment horizontal="center" vertical="center"/>
    </xf>
    <xf numFmtId="169" fontId="59" fillId="0" borderId="4" xfId="2" applyNumberFormat="1" applyFont="1" applyFill="1" applyBorder="1" applyAlignment="1">
      <alignment horizontal="center" vertical="center"/>
    </xf>
    <xf numFmtId="170" fontId="9" fillId="0" borderId="7" xfId="1" applyNumberFormat="1" applyFont="1" applyFill="1" applyBorder="1" applyAlignment="1">
      <alignment horizontal="center" vertical="center"/>
    </xf>
    <xf numFmtId="170" fontId="9" fillId="0" borderId="5" xfId="1" applyNumberFormat="1" applyFont="1" applyFill="1" applyBorder="1" applyAlignment="1">
      <alignment horizontal="center" vertical="center"/>
    </xf>
    <xf numFmtId="170" fontId="59" fillId="0" borderId="4" xfId="1" applyNumberFormat="1" applyFont="1" applyFill="1" applyBorder="1" applyAlignment="1">
      <alignment horizontal="center" vertical="center"/>
    </xf>
    <xf numFmtId="180" fontId="8" fillId="3" borderId="4" xfId="0" applyNumberFormat="1" applyFont="1" applyFill="1" applyBorder="1" applyAlignment="1">
      <alignment horizontal="left"/>
    </xf>
    <xf numFmtId="183" fontId="12" fillId="4" borderId="0" xfId="10" applyNumberFormat="1" applyFont="1" applyFill="1" applyBorder="1" applyAlignment="1">
      <alignment horizontal="center"/>
    </xf>
    <xf numFmtId="0" fontId="54" fillId="3" borderId="0" xfId="0" applyFont="1" applyFill="1"/>
    <xf numFmtId="170" fontId="12" fillId="0" borderId="0" xfId="0" quotePrefix="1" applyNumberFormat="1" applyFont="1" applyAlignment="1">
      <alignment vertical="center"/>
    </xf>
    <xf numFmtId="170" fontId="12" fillId="7" borderId="11" xfId="0" applyNumberFormat="1" applyFont="1" applyFill="1" applyBorder="1" applyAlignment="1">
      <alignment vertical="center"/>
    </xf>
    <xf numFmtId="9" fontId="12" fillId="0" borderId="0" xfId="2" applyFont="1" applyBorder="1" applyAlignment="1">
      <alignment horizontal="center" vertical="center"/>
    </xf>
    <xf numFmtId="183" fontId="1" fillId="3" borderId="0" xfId="10" applyNumberFormat="1" applyFont="1" applyFill="1" applyBorder="1" applyAlignment="1">
      <alignment horizontal="center"/>
    </xf>
    <xf numFmtId="170" fontId="52" fillId="7" borderId="13" xfId="0" applyNumberFormat="1" applyFont="1" applyFill="1" applyBorder="1" applyAlignment="1">
      <alignment vertical="center"/>
    </xf>
    <xf numFmtId="170" fontId="52" fillId="7" borderId="0" xfId="0" applyNumberFormat="1" applyFont="1" applyFill="1" applyAlignment="1">
      <alignment vertical="center"/>
    </xf>
    <xf numFmtId="0" fontId="9" fillId="6" borderId="0" xfId="0" applyFont="1" applyFill="1"/>
    <xf numFmtId="0" fontId="12" fillId="6" borderId="0" xfId="0" applyFont="1" applyFill="1" applyAlignment="1">
      <alignment horizontal="left" vertical="top" wrapText="1"/>
    </xf>
    <xf numFmtId="10" fontId="69" fillId="0" borderId="0" xfId="2" applyNumberFormat="1" applyFont="1" applyFill="1"/>
    <xf numFmtId="164" fontId="69" fillId="4" borderId="0" xfId="1" applyFont="1" applyFill="1"/>
    <xf numFmtId="164" fontId="4" fillId="0" borderId="0" xfId="0" applyNumberFormat="1" applyFont="1" applyAlignment="1">
      <alignment vertical="center"/>
    </xf>
    <xf numFmtId="0" fontId="70" fillId="0" borderId="0" xfId="0" applyFont="1" applyAlignment="1">
      <alignment vertical="center"/>
    </xf>
    <xf numFmtId="4" fontId="70" fillId="0" borderId="0" xfId="0" applyNumberFormat="1" applyFont="1"/>
    <xf numFmtId="166" fontId="70" fillId="0" borderId="0" xfId="0" applyNumberFormat="1" applyFont="1"/>
    <xf numFmtId="170" fontId="21" fillId="15" borderId="21" xfId="1" applyNumberFormat="1" applyFont="1" applyFill="1" applyBorder="1" applyAlignment="1">
      <alignment vertical="center"/>
    </xf>
    <xf numFmtId="0" fontId="70" fillId="15" borderId="0" xfId="0" applyFont="1" applyFill="1" applyAlignment="1">
      <alignment vertical="center"/>
    </xf>
    <xf numFmtId="3" fontId="71" fillId="3" borderId="0" xfId="0" applyNumberFormat="1" applyFont="1" applyFill="1" applyAlignment="1">
      <alignment horizontal="right" vertical="top" wrapText="1"/>
    </xf>
    <xf numFmtId="4" fontId="71" fillId="3" borderId="0" xfId="0" applyNumberFormat="1" applyFont="1" applyFill="1" applyAlignment="1">
      <alignment horizontal="right" vertical="top" wrapText="1"/>
    </xf>
    <xf numFmtId="10" fontId="72" fillId="0" borderId="0" xfId="0" applyNumberFormat="1" applyFont="1"/>
    <xf numFmtId="170" fontId="70" fillId="0" borderId="0" xfId="0" applyNumberFormat="1" applyFont="1"/>
    <xf numFmtId="14" fontId="70" fillId="0" borderId="0" xfId="0" applyNumberFormat="1" applyFont="1" applyAlignment="1">
      <alignment vertical="center"/>
    </xf>
    <xf numFmtId="170" fontId="70" fillId="0" borderId="0" xfId="0" applyNumberFormat="1" applyFont="1" applyAlignment="1">
      <alignment horizontal="right" vertical="center"/>
    </xf>
    <xf numFmtId="166" fontId="73" fillId="0" borderId="0" xfId="0" applyNumberFormat="1" applyFont="1"/>
    <xf numFmtId="170" fontId="70" fillId="0" borderId="0" xfId="0" applyNumberFormat="1" applyFont="1" applyAlignment="1">
      <alignment vertical="center"/>
    </xf>
    <xf numFmtId="14" fontId="70" fillId="0" borderId="0" xfId="0" applyNumberFormat="1" applyFont="1"/>
    <xf numFmtId="10" fontId="70" fillId="0" borderId="0" xfId="2" applyNumberFormat="1" applyFont="1" applyFill="1"/>
    <xf numFmtId="167" fontId="74" fillId="7" borderId="0" xfId="0" applyNumberFormat="1" applyFont="1" applyFill="1"/>
    <xf numFmtId="193" fontId="4" fillId="0" borderId="0" xfId="0" applyNumberFormat="1" applyFont="1" applyAlignment="1">
      <alignment vertical="center"/>
    </xf>
    <xf numFmtId="190" fontId="54" fillId="0" borderId="0" xfId="0" applyNumberFormat="1" applyFont="1"/>
    <xf numFmtId="0" fontId="54" fillId="0" borderId="0" xfId="0" quotePrefix="1" applyFont="1"/>
    <xf numFmtId="190" fontId="0" fillId="0" borderId="0" xfId="0" applyNumberFormat="1"/>
    <xf numFmtId="0" fontId="9" fillId="0" borderId="11" xfId="0" applyFont="1" applyBorder="1" applyAlignment="1">
      <alignment horizontal="left" vertical="top" wrapText="1"/>
    </xf>
    <xf numFmtId="0" fontId="12" fillId="0" borderId="11" xfId="0" applyFont="1" applyBorder="1" applyAlignment="1">
      <alignment horizontal="left" vertical="top" wrapText="1"/>
    </xf>
    <xf numFmtId="3" fontId="9" fillId="3" borderId="11" xfId="0" applyNumberFormat="1" applyFont="1" applyFill="1" applyBorder="1" applyAlignment="1">
      <alignment horizontal="right" vertical="top" wrapText="1"/>
    </xf>
    <xf numFmtId="4" fontId="12" fillId="7" borderId="11" xfId="0" applyNumberFormat="1" applyFont="1" applyFill="1" applyBorder="1"/>
    <xf numFmtId="3" fontId="9" fillId="0" borderId="11" xfId="0" applyNumberFormat="1" applyFont="1" applyBorder="1" applyAlignment="1">
      <alignment horizontal="right" vertical="top" wrapText="1"/>
    </xf>
    <xf numFmtId="4" fontId="9" fillId="3" borderId="11" xfId="0" applyNumberFormat="1" applyFont="1" applyFill="1" applyBorder="1" applyAlignment="1">
      <alignment horizontal="right" vertical="top" wrapText="1"/>
    </xf>
    <xf numFmtId="169" fontId="9" fillId="0" borderId="11" xfId="0" applyNumberFormat="1" applyFont="1" applyBorder="1" applyAlignment="1">
      <alignment horizontal="right" vertical="top" wrapText="1"/>
    </xf>
    <xf numFmtId="164" fontId="9" fillId="0" borderId="11" xfId="1" applyFont="1" applyBorder="1" applyAlignment="1">
      <alignment horizontal="right" vertical="top" wrapText="1"/>
    </xf>
    <xf numFmtId="169" fontId="9" fillId="0" borderId="11" xfId="2" applyNumberFormat="1" applyFont="1" applyBorder="1" applyAlignment="1">
      <alignment horizontal="right" vertical="top" wrapText="1"/>
    </xf>
    <xf numFmtId="14" fontId="12" fillId="0" borderId="11" xfId="0" applyNumberFormat="1" applyFont="1" applyBorder="1" applyAlignment="1">
      <alignment horizontal="right" vertical="top" wrapText="1"/>
    </xf>
    <xf numFmtId="14" fontId="9" fillId="0" borderId="11" xfId="0" applyNumberFormat="1" applyFont="1" applyBorder="1" applyAlignment="1">
      <alignment horizontal="right" vertical="top" wrapText="1"/>
    </xf>
    <xf numFmtId="0" fontId="0" fillId="0" borderId="11" xfId="0" applyBorder="1"/>
    <xf numFmtId="164" fontId="38" fillId="0" borderId="0" xfId="1" applyFont="1" applyFill="1" applyBorder="1" applyAlignment="1">
      <alignment horizontal="right"/>
    </xf>
    <xf numFmtId="14" fontId="38" fillId="0" borderId="0" xfId="0" applyNumberFormat="1" applyFont="1" applyAlignment="1">
      <alignment horizontal="right"/>
    </xf>
    <xf numFmtId="170" fontId="38" fillId="0" borderId="0" xfId="1" applyNumberFormat="1" applyFont="1" applyFill="1" applyBorder="1" applyAlignment="1">
      <alignment horizontal="center"/>
    </xf>
    <xf numFmtId="170" fontId="12" fillId="7" borderId="0" xfId="1" applyNumberFormat="1" applyFont="1" applyFill="1"/>
    <xf numFmtId="190" fontId="4" fillId="3" borderId="0" xfId="1" applyNumberFormat="1" applyFont="1" applyFill="1"/>
    <xf numFmtId="0" fontId="54" fillId="10" borderId="11" xfId="0" applyFont="1" applyFill="1" applyBorder="1"/>
    <xf numFmtId="0" fontId="4" fillId="10" borderId="11" xfId="0" applyFont="1" applyFill="1" applyBorder="1" applyAlignment="1">
      <alignment vertical="center"/>
    </xf>
    <xf numFmtId="0" fontId="54" fillId="0" borderId="11" xfId="0" applyFont="1" applyBorder="1"/>
    <xf numFmtId="0" fontId="4" fillId="0" borderId="11" xfId="0" applyFont="1" applyBorder="1" applyAlignment="1">
      <alignment vertical="center"/>
    </xf>
    <xf numFmtId="170" fontId="4" fillId="3" borderId="11" xfId="1" applyNumberFormat="1" applyFont="1" applyFill="1" applyBorder="1"/>
    <xf numFmtId="164" fontId="54" fillId="7" borderId="11" xfId="1" applyFont="1" applyFill="1" applyBorder="1"/>
    <xf numFmtId="170" fontId="54" fillId="0" borderId="11" xfId="1" applyNumberFormat="1" applyFont="1" applyFill="1" applyBorder="1" applyAlignment="1"/>
    <xf numFmtId="10" fontId="54" fillId="0" borderId="11" xfId="2" applyNumberFormat="1" applyFont="1" applyFill="1" applyBorder="1"/>
    <xf numFmtId="164" fontId="4" fillId="4" borderId="11" xfId="1" applyFont="1" applyFill="1" applyBorder="1"/>
    <xf numFmtId="187" fontId="4" fillId="0" borderId="11" xfId="0" applyNumberFormat="1" applyFont="1" applyBorder="1" applyAlignment="1">
      <alignment vertical="center"/>
    </xf>
    <xf numFmtId="164" fontId="4" fillId="0" borderId="11" xfId="1" applyFont="1" applyFill="1" applyBorder="1" applyAlignment="1">
      <alignment vertical="center"/>
    </xf>
    <xf numFmtId="164" fontId="54" fillId="3" borderId="11" xfId="1" applyFont="1" applyFill="1" applyBorder="1"/>
    <xf numFmtId="169" fontId="4" fillId="0" borderId="11" xfId="0" applyNumberFormat="1" applyFont="1" applyBorder="1"/>
    <xf numFmtId="166" fontId="4" fillId="0" borderId="11" xfId="0" applyNumberFormat="1" applyFont="1" applyBorder="1"/>
    <xf numFmtId="164" fontId="54" fillId="0" borderId="11" xfId="0" applyNumberFormat="1" applyFont="1" applyBorder="1"/>
    <xf numFmtId="164" fontId="4" fillId="0" borderId="11" xfId="1" applyFont="1" applyBorder="1" applyAlignment="1">
      <alignment vertical="center"/>
    </xf>
    <xf numFmtId="164" fontId="54" fillId="0" borderId="11" xfId="1" applyFont="1" applyBorder="1"/>
    <xf numFmtId="10" fontId="54" fillId="0" borderId="11" xfId="0" applyNumberFormat="1" applyFont="1" applyBorder="1"/>
    <xf numFmtId="170" fontId="54" fillId="0" borderId="11" xfId="1" applyNumberFormat="1" applyFont="1" applyBorder="1"/>
    <xf numFmtId="14" fontId="54" fillId="0" borderId="11" xfId="0" applyNumberFormat="1" applyFont="1" applyBorder="1"/>
    <xf numFmtId="164" fontId="54" fillId="0" borderId="11" xfId="1" applyFont="1" applyFill="1" applyBorder="1"/>
    <xf numFmtId="164" fontId="4" fillId="4" borderId="0" xfId="1" applyFont="1" applyFill="1" applyAlignment="1">
      <alignment horizontal="right"/>
    </xf>
    <xf numFmtId="0" fontId="26" fillId="11" borderId="20" xfId="0" applyFont="1" applyFill="1" applyBorder="1"/>
    <xf numFmtId="49" fontId="35" fillId="0" borderId="20" xfId="0" applyNumberFormat="1" applyFont="1" applyBorder="1"/>
    <xf numFmtId="4" fontId="35" fillId="0" borderId="20" xfId="0" applyNumberFormat="1" applyFont="1" applyBorder="1"/>
    <xf numFmtId="14" fontId="35" fillId="0" borderId="20" xfId="0" applyNumberFormat="1" applyFont="1" applyBorder="1"/>
    <xf numFmtId="3" fontId="35" fillId="0" borderId="20" xfId="0" applyNumberFormat="1" applyFont="1" applyBorder="1"/>
    <xf numFmtId="169" fontId="75" fillId="0" borderId="0" xfId="2" applyNumberFormat="1" applyFont="1" applyFill="1" applyBorder="1" applyAlignment="1">
      <alignment horizontal="center" vertical="center"/>
    </xf>
    <xf numFmtId="169" fontId="75" fillId="0" borderId="6" xfId="2" applyNumberFormat="1" applyFont="1" applyFill="1" applyBorder="1" applyAlignment="1">
      <alignment horizontal="center" vertical="center"/>
    </xf>
    <xf numFmtId="169" fontId="75" fillId="0" borderId="15" xfId="2" applyNumberFormat="1" applyFont="1" applyFill="1" applyBorder="1" applyAlignment="1">
      <alignment horizontal="center" vertical="center"/>
    </xf>
    <xf numFmtId="169" fontId="75" fillId="0" borderId="7" xfId="2" applyNumberFormat="1" applyFont="1" applyFill="1" applyBorder="1" applyAlignment="1">
      <alignment horizontal="center" vertical="center"/>
    </xf>
    <xf numFmtId="169" fontId="75" fillId="0" borderId="5" xfId="2" applyNumberFormat="1" applyFont="1" applyFill="1" applyBorder="1" applyAlignment="1">
      <alignment horizontal="center" vertical="center"/>
    </xf>
    <xf numFmtId="0" fontId="43" fillId="3" borderId="9" xfId="0" applyFont="1" applyFill="1" applyBorder="1" applyAlignment="1">
      <alignment horizontal="center" vertical="center"/>
    </xf>
    <xf numFmtId="0" fontId="43" fillId="3" borderId="18" xfId="0" applyFont="1" applyFill="1" applyBorder="1" applyAlignment="1">
      <alignment horizontal="center" vertical="center"/>
    </xf>
    <xf numFmtId="0" fontId="24" fillId="3" borderId="0" xfId="0" applyFont="1" applyFill="1" applyAlignment="1">
      <alignment horizontal="center" vertical="top" wrapText="1"/>
    </xf>
    <xf numFmtId="10" fontId="70" fillId="0" borderId="0" xfId="2" applyNumberFormat="1" applyFont="1"/>
    <xf numFmtId="170" fontId="71" fillId="0" borderId="0" xfId="0" applyNumberFormat="1" applyFont="1" applyAlignment="1">
      <alignment vertical="center"/>
    </xf>
    <xf numFmtId="167" fontId="73" fillId="7" borderId="0" xfId="0" applyNumberFormat="1" applyFont="1" applyFill="1"/>
    <xf numFmtId="0" fontId="70" fillId="4" borderId="0" xfId="0" applyFont="1" applyFill="1" applyAlignment="1">
      <alignment vertical="center"/>
    </xf>
    <xf numFmtId="0" fontId="4" fillId="4" borderId="0" xfId="0" applyFont="1" applyFill="1" applyAlignment="1">
      <alignment vertical="center"/>
    </xf>
    <xf numFmtId="14" fontId="70" fillId="15" borderId="0" xfId="0" applyNumberFormat="1" applyFont="1" applyFill="1"/>
    <xf numFmtId="194" fontId="0" fillId="0" borderId="0" xfId="1" applyNumberFormat="1" applyFont="1"/>
    <xf numFmtId="14" fontId="8" fillId="14" borderId="0" xfId="0" applyNumberFormat="1" applyFont="1" applyFill="1" applyAlignment="1">
      <alignment horizontal="center" wrapText="1"/>
    </xf>
    <xf numFmtId="10" fontId="8" fillId="14" borderId="0" xfId="2" applyNumberFormat="1" applyFont="1" applyFill="1" applyAlignment="1">
      <alignment horizontal="center" wrapText="1"/>
    </xf>
    <xf numFmtId="0" fontId="8" fillId="14" borderId="0" xfId="0" applyFont="1" applyFill="1" applyAlignment="1">
      <alignment horizontal="center" wrapText="1"/>
    </xf>
    <xf numFmtId="10" fontId="0" fillId="0" borderId="0" xfId="2" applyNumberFormat="1" applyFont="1" applyAlignment="1">
      <alignment horizontal="center"/>
    </xf>
    <xf numFmtId="194" fontId="0" fillId="0" borderId="0" xfId="1" applyNumberFormat="1" applyFont="1" applyFill="1" applyBorder="1"/>
    <xf numFmtId="10" fontId="0" fillId="0" borderId="0" xfId="2" applyNumberFormat="1" applyFont="1" applyFill="1" applyBorder="1" applyAlignment="1">
      <alignment horizontal="center"/>
    </xf>
    <xf numFmtId="194" fontId="0" fillId="0" borderId="0" xfId="1" applyNumberFormat="1" applyFont="1" applyFill="1"/>
    <xf numFmtId="194" fontId="0" fillId="0" borderId="0" xfId="0" applyNumberFormat="1"/>
    <xf numFmtId="0" fontId="0" fillId="3" borderId="11" xfId="0" applyFill="1" applyBorder="1"/>
    <xf numFmtId="194" fontId="0" fillId="0" borderId="11" xfId="0" applyNumberFormat="1" applyBorder="1"/>
    <xf numFmtId="10" fontId="0" fillId="0" borderId="11" xfId="2" applyNumberFormat="1" applyFont="1" applyFill="1" applyBorder="1"/>
    <xf numFmtId="10" fontId="0" fillId="0" borderId="0" xfId="2" applyNumberFormat="1" applyFont="1" applyFill="1" applyBorder="1"/>
    <xf numFmtId="3" fontId="70" fillId="3" borderId="0" xfId="1" applyNumberFormat="1" applyFont="1" applyFill="1"/>
    <xf numFmtId="0" fontId="70" fillId="7" borderId="0" xfId="0" applyFont="1" applyFill="1" applyAlignment="1">
      <alignment vertical="center"/>
    </xf>
    <xf numFmtId="0" fontId="9" fillId="7" borderId="0" xfId="0" applyFont="1" applyFill="1"/>
    <xf numFmtId="0" fontId="12" fillId="7" borderId="0" xfId="0" applyFont="1" applyFill="1" applyAlignment="1">
      <alignment horizontal="left" vertical="top" wrapText="1"/>
    </xf>
    <xf numFmtId="3" fontId="12" fillId="6" borderId="0" xfId="0" applyNumberFormat="1" applyFont="1" applyFill="1" applyAlignment="1">
      <alignment horizontal="right" vertical="top" wrapText="1"/>
    </xf>
    <xf numFmtId="194" fontId="54" fillId="0" borderId="0" xfId="1" applyNumberFormat="1" applyFont="1"/>
    <xf numFmtId="194" fontId="54" fillId="0" borderId="0" xfId="0" applyNumberFormat="1" applyFont="1"/>
    <xf numFmtId="0" fontId="0" fillId="0" borderId="0" xfId="0" applyAlignment="1">
      <alignment wrapText="1"/>
    </xf>
    <xf numFmtId="14" fontId="8" fillId="14" borderId="12" xfId="0" applyNumberFormat="1" applyFont="1" applyFill="1" applyBorder="1" applyAlignment="1">
      <alignment horizontal="center" wrapText="1"/>
    </xf>
    <xf numFmtId="10" fontId="8" fillId="14" borderId="13" xfId="2" applyNumberFormat="1" applyFont="1" applyFill="1" applyBorder="1" applyAlignment="1">
      <alignment horizontal="center" wrapText="1"/>
    </xf>
    <xf numFmtId="0" fontId="8" fillId="14" borderId="14" xfId="0" applyFont="1" applyFill="1" applyBorder="1" applyAlignment="1">
      <alignment horizontal="center" wrapText="1"/>
    </xf>
    <xf numFmtId="0" fontId="0" fillId="7" borderId="15" xfId="0" applyFill="1" applyBorder="1"/>
    <xf numFmtId="194" fontId="0" fillId="0" borderId="0" xfId="1" applyNumberFormat="1" applyFont="1" applyBorder="1"/>
    <xf numFmtId="10" fontId="0" fillId="0" borderId="6" xfId="2" applyNumberFormat="1" applyFont="1" applyBorder="1"/>
    <xf numFmtId="0" fontId="0" fillId="7" borderId="16" xfId="0" applyFill="1" applyBorder="1"/>
    <xf numFmtId="194" fontId="0" fillId="0" borderId="11" xfId="1" applyNumberFormat="1" applyFont="1" applyBorder="1"/>
    <xf numFmtId="10" fontId="0" fillId="0" borderId="17" xfId="2" applyNumberFormat="1" applyFont="1" applyBorder="1"/>
    <xf numFmtId="10" fontId="0" fillId="0" borderId="6" xfId="2" applyNumberFormat="1" applyFont="1" applyFill="1" applyBorder="1" applyAlignment="1">
      <alignment horizontal="center"/>
    </xf>
    <xf numFmtId="0" fontId="0" fillId="3" borderId="16" xfId="0" applyFill="1" applyBorder="1"/>
    <xf numFmtId="194" fontId="0" fillId="0" borderId="11" xfId="1" applyNumberFormat="1" applyFont="1" applyFill="1" applyBorder="1"/>
    <xf numFmtId="10" fontId="0" fillId="0" borderId="17" xfId="2" applyNumberFormat="1" applyFont="1" applyFill="1" applyBorder="1" applyAlignment="1">
      <alignment horizontal="center"/>
    </xf>
    <xf numFmtId="10" fontId="0" fillId="0" borderId="6" xfId="2" applyNumberFormat="1" applyFont="1" applyFill="1" applyBorder="1"/>
    <xf numFmtId="10" fontId="0" fillId="0" borderId="17" xfId="2" applyNumberFormat="1" applyFont="1" applyFill="1" applyBorder="1"/>
    <xf numFmtId="10" fontId="8" fillId="14" borderId="14" xfId="2" applyNumberFormat="1" applyFont="1" applyFill="1" applyBorder="1" applyAlignment="1">
      <alignment horizontal="center" wrapText="1"/>
    </xf>
    <xf numFmtId="10" fontId="0" fillId="0" borderId="0" xfId="2" applyNumberFormat="1" applyFont="1" applyBorder="1" applyAlignment="1">
      <alignment horizontal="center"/>
    </xf>
    <xf numFmtId="10" fontId="0" fillId="0" borderId="6" xfId="2" applyNumberFormat="1" applyFont="1" applyBorder="1" applyAlignment="1">
      <alignment horizontal="center"/>
    </xf>
    <xf numFmtId="10" fontId="0" fillId="0" borderId="11" xfId="2" applyNumberFormat="1" applyFont="1" applyBorder="1" applyAlignment="1">
      <alignment horizontal="center"/>
    </xf>
    <xf numFmtId="10" fontId="0" fillId="0" borderId="17" xfId="2" applyNumberFormat="1" applyFont="1" applyBorder="1" applyAlignment="1">
      <alignment horizontal="center"/>
    </xf>
    <xf numFmtId="194" fontId="0" fillId="0" borderId="0" xfId="1" applyNumberFormat="1" applyFont="1" applyAlignment="1">
      <alignment wrapText="1"/>
    </xf>
    <xf numFmtId="194" fontId="8" fillId="14" borderId="13" xfId="1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4" fontId="8" fillId="14" borderId="12" xfId="0" applyNumberFormat="1" applyFont="1" applyFill="1" applyBorder="1" applyAlignment="1">
      <alignment horizontal="center" vertical="center" wrapText="1"/>
    </xf>
    <xf numFmtId="10" fontId="8" fillId="14" borderId="13" xfId="2" applyNumberFormat="1" applyFont="1" applyFill="1" applyBorder="1" applyAlignment="1">
      <alignment horizontal="center" vertical="center" wrapText="1"/>
    </xf>
    <xf numFmtId="0" fontId="8" fillId="14" borderId="14" xfId="0" applyFont="1" applyFill="1" applyBorder="1" applyAlignment="1">
      <alignment horizontal="center" vertical="center" wrapText="1"/>
    </xf>
    <xf numFmtId="10" fontId="8" fillId="14" borderId="14" xfId="2" applyNumberFormat="1" applyFont="1" applyFill="1" applyBorder="1" applyAlignment="1">
      <alignment horizontal="center" vertical="center" wrapText="1"/>
    </xf>
    <xf numFmtId="169" fontId="8" fillId="13" borderId="13" xfId="2" applyNumberFormat="1" applyFont="1" applyFill="1" applyBorder="1" applyAlignment="1">
      <alignment horizontal="center" vertical="center" wrapText="1"/>
    </xf>
    <xf numFmtId="169" fontId="0" fillId="0" borderId="0" xfId="2" applyNumberFormat="1" applyFont="1" applyAlignment="1">
      <alignment horizontal="center"/>
    </xf>
    <xf numFmtId="169" fontId="0" fillId="0" borderId="0" xfId="2" applyNumberFormat="1" applyFont="1" applyAlignment="1">
      <alignment horizontal="center" wrapText="1"/>
    </xf>
    <xf numFmtId="194" fontId="8" fillId="14" borderId="12" xfId="1" applyNumberFormat="1" applyFont="1" applyFill="1" applyBorder="1" applyAlignment="1">
      <alignment horizontal="center" vertical="center" wrapText="1"/>
    </xf>
    <xf numFmtId="194" fontId="8" fillId="14" borderId="14" xfId="1" applyNumberFormat="1" applyFont="1" applyFill="1" applyBorder="1" applyAlignment="1">
      <alignment horizontal="center" vertical="center" wrapText="1"/>
    </xf>
    <xf numFmtId="194" fontId="0" fillId="0" borderId="15" xfId="1" applyNumberFormat="1" applyFont="1" applyBorder="1"/>
    <xf numFmtId="194" fontId="0" fillId="0" borderId="6" xfId="1" applyNumberFormat="1" applyFont="1" applyBorder="1"/>
    <xf numFmtId="169" fontId="8" fillId="13" borderId="12" xfId="2" applyNumberFormat="1" applyFont="1" applyFill="1" applyBorder="1" applyAlignment="1">
      <alignment horizontal="center" vertical="center" wrapText="1"/>
    </xf>
    <xf numFmtId="169" fontId="8" fillId="13" borderId="14" xfId="2" applyNumberFormat="1" applyFont="1" applyFill="1" applyBorder="1" applyAlignment="1">
      <alignment horizontal="center" vertical="center" wrapText="1"/>
    </xf>
    <xf numFmtId="10" fontId="0" fillId="0" borderId="15" xfId="2" applyNumberFormat="1" applyFont="1" applyBorder="1" applyAlignment="1">
      <alignment horizontal="center"/>
    </xf>
    <xf numFmtId="194" fontId="0" fillId="10" borderId="0" xfId="1" applyNumberFormat="1" applyFont="1" applyFill="1" applyBorder="1"/>
    <xf numFmtId="10" fontId="0" fillId="10" borderId="0" xfId="2" applyNumberFormat="1" applyFont="1" applyFill="1" applyBorder="1" applyAlignment="1">
      <alignment horizontal="center"/>
    </xf>
    <xf numFmtId="10" fontId="0" fillId="10" borderId="15" xfId="2" applyNumberFormat="1" applyFont="1" applyFill="1" applyBorder="1" applyAlignment="1">
      <alignment horizontal="center"/>
    </xf>
    <xf numFmtId="10" fontId="0" fillId="10" borderId="6" xfId="2" applyNumberFormat="1" applyFont="1" applyFill="1" applyBorder="1" applyAlignment="1">
      <alignment horizontal="center"/>
    </xf>
    <xf numFmtId="10" fontId="0" fillId="10" borderId="16" xfId="2" applyNumberFormat="1" applyFont="1" applyFill="1" applyBorder="1" applyAlignment="1">
      <alignment horizontal="center"/>
    </xf>
    <xf numFmtId="10" fontId="0" fillId="10" borderId="11" xfId="2" applyNumberFormat="1" applyFont="1" applyFill="1" applyBorder="1" applyAlignment="1">
      <alignment horizontal="center"/>
    </xf>
    <xf numFmtId="10" fontId="0" fillId="10" borderId="17" xfId="2" applyNumberFormat="1" applyFont="1" applyFill="1" applyBorder="1" applyAlignment="1">
      <alignment horizontal="center"/>
    </xf>
    <xf numFmtId="194" fontId="0" fillId="10" borderId="15" xfId="1" applyNumberFormat="1" applyFont="1" applyFill="1" applyBorder="1"/>
    <xf numFmtId="194" fontId="0" fillId="10" borderId="6" xfId="1" applyNumberFormat="1" applyFont="1" applyFill="1" applyBorder="1"/>
    <xf numFmtId="194" fontId="0" fillId="10" borderId="16" xfId="1" applyNumberFormat="1" applyFont="1" applyFill="1" applyBorder="1"/>
    <xf numFmtId="194" fontId="0" fillId="10" borderId="11" xfId="1" applyNumberFormat="1" applyFont="1" applyFill="1" applyBorder="1"/>
    <xf numFmtId="194" fontId="0" fillId="10" borderId="17" xfId="1" applyNumberFormat="1" applyFont="1" applyFill="1" applyBorder="1"/>
    <xf numFmtId="194" fontId="8" fillId="14" borderId="49" xfId="1" applyNumberFormat="1" applyFont="1" applyFill="1" applyBorder="1" applyAlignment="1">
      <alignment horizontal="center" vertical="center" wrapText="1"/>
    </xf>
    <xf numFmtId="0" fontId="8" fillId="10" borderId="23" xfId="0" applyFont="1" applyFill="1" applyBorder="1"/>
    <xf numFmtId="0" fontId="8" fillId="0" borderId="23" xfId="0" applyFont="1" applyBorder="1"/>
    <xf numFmtId="0" fontId="8" fillId="10" borderId="50" xfId="0" applyFont="1" applyFill="1" applyBorder="1"/>
    <xf numFmtId="0" fontId="8" fillId="10" borderId="49" xfId="0" applyFont="1" applyFill="1" applyBorder="1"/>
    <xf numFmtId="194" fontId="0" fillId="10" borderId="12" xfId="1" applyNumberFormat="1" applyFont="1" applyFill="1" applyBorder="1"/>
    <xf numFmtId="194" fontId="0" fillId="10" borderId="13" xfId="1" applyNumberFormat="1" applyFont="1" applyFill="1" applyBorder="1"/>
    <xf numFmtId="194" fontId="0" fillId="10" borderId="14" xfId="1" applyNumberFormat="1" applyFont="1" applyFill="1" applyBorder="1"/>
    <xf numFmtId="10" fontId="0" fillId="10" borderId="12" xfId="2" applyNumberFormat="1" applyFont="1" applyFill="1" applyBorder="1" applyAlignment="1">
      <alignment horizontal="center"/>
    </xf>
    <xf numFmtId="10" fontId="0" fillId="10" borderId="13" xfId="2" applyNumberFormat="1" applyFont="1" applyFill="1" applyBorder="1" applyAlignment="1">
      <alignment horizontal="center"/>
    </xf>
    <xf numFmtId="10" fontId="0" fillId="10" borderId="14" xfId="2" applyNumberFormat="1" applyFont="1" applyFill="1" applyBorder="1" applyAlignment="1">
      <alignment horizontal="center"/>
    </xf>
    <xf numFmtId="0" fontId="8" fillId="10" borderId="8" xfId="0" applyFont="1" applyFill="1" applyBorder="1"/>
    <xf numFmtId="194" fontId="0" fillId="10" borderId="1" xfId="1" applyNumberFormat="1" applyFont="1" applyFill="1" applyBorder="1"/>
    <xf numFmtId="194" fontId="0" fillId="10" borderId="2" xfId="1" applyNumberFormat="1" applyFont="1" applyFill="1" applyBorder="1"/>
    <xf numFmtId="194" fontId="0" fillId="10" borderId="3" xfId="1" applyNumberFormat="1" applyFont="1" applyFill="1" applyBorder="1"/>
    <xf numFmtId="10" fontId="0" fillId="10" borderId="1" xfId="2" applyNumberFormat="1" applyFont="1" applyFill="1" applyBorder="1" applyAlignment="1">
      <alignment horizontal="center"/>
    </xf>
    <xf numFmtId="10" fontId="0" fillId="10" borderId="2" xfId="2" applyNumberFormat="1" applyFont="1" applyFill="1" applyBorder="1" applyAlignment="1">
      <alignment horizontal="center"/>
    </xf>
    <xf numFmtId="10" fontId="0" fillId="10" borderId="3" xfId="2" applyNumberFormat="1" applyFont="1" applyFill="1" applyBorder="1" applyAlignment="1">
      <alignment horizontal="center"/>
    </xf>
    <xf numFmtId="194" fontId="8" fillId="10" borderId="12" xfId="1" applyNumberFormat="1" applyFont="1" applyFill="1" applyBorder="1" applyAlignment="1">
      <alignment horizontal="center" vertical="center" wrapText="1"/>
    </xf>
    <xf numFmtId="194" fontId="8" fillId="10" borderId="13" xfId="1" applyNumberFormat="1" applyFont="1" applyFill="1" applyBorder="1" applyAlignment="1">
      <alignment horizontal="center" vertical="center" wrapText="1"/>
    </xf>
    <xf numFmtId="194" fontId="8" fillId="10" borderId="14" xfId="1" applyNumberFormat="1" applyFont="1" applyFill="1" applyBorder="1" applyAlignment="1">
      <alignment horizontal="center" vertical="center" wrapText="1"/>
    </xf>
    <xf numFmtId="0" fontId="8" fillId="0" borderId="49" xfId="0" applyFont="1" applyBorder="1"/>
    <xf numFmtId="194" fontId="0" fillId="0" borderId="12" xfId="1" applyNumberFormat="1" applyFont="1" applyFill="1" applyBorder="1"/>
    <xf numFmtId="194" fontId="0" fillId="0" borderId="13" xfId="1" applyNumberFormat="1" applyFont="1" applyFill="1" applyBorder="1"/>
    <xf numFmtId="194" fontId="0" fillId="0" borderId="14" xfId="1" applyNumberFormat="1" applyFont="1" applyFill="1" applyBorder="1"/>
    <xf numFmtId="10" fontId="0" fillId="0" borderId="12" xfId="2" applyNumberFormat="1" applyFont="1" applyFill="1" applyBorder="1" applyAlignment="1">
      <alignment horizontal="center"/>
    </xf>
    <xf numFmtId="10" fontId="0" fillId="0" borderId="13" xfId="2" applyNumberFormat="1" applyFont="1" applyFill="1" applyBorder="1" applyAlignment="1">
      <alignment horizontal="center"/>
    </xf>
    <xf numFmtId="10" fontId="0" fillId="0" borderId="14" xfId="2" applyNumberFormat="1" applyFont="1" applyFill="1" applyBorder="1" applyAlignment="1">
      <alignment horizontal="center"/>
    </xf>
    <xf numFmtId="0" fontId="8" fillId="0" borderId="50" xfId="0" applyFont="1" applyBorder="1"/>
    <xf numFmtId="194" fontId="0" fillId="0" borderId="16" xfId="1" applyNumberFormat="1" applyFont="1" applyFill="1" applyBorder="1"/>
    <xf numFmtId="194" fontId="0" fillId="0" borderId="17" xfId="1" applyNumberFormat="1" applyFont="1" applyFill="1" applyBorder="1"/>
    <xf numFmtId="10" fontId="0" fillId="0" borderId="16" xfId="2" applyNumberFormat="1" applyFont="1" applyFill="1" applyBorder="1" applyAlignment="1">
      <alignment horizontal="center"/>
    </xf>
    <xf numFmtId="10" fontId="0" fillId="0" borderId="11" xfId="2" applyNumberFormat="1" applyFont="1" applyFill="1" applyBorder="1" applyAlignment="1">
      <alignment horizontal="center"/>
    </xf>
    <xf numFmtId="0" fontId="8" fillId="0" borderId="8" xfId="0" applyFont="1" applyBorder="1"/>
    <xf numFmtId="194" fontId="0" fillId="0" borderId="1" xfId="1" applyNumberFormat="1" applyFont="1" applyFill="1" applyBorder="1"/>
    <xf numFmtId="194" fontId="0" fillId="0" borderId="2" xfId="1" applyNumberFormat="1" applyFont="1" applyFill="1" applyBorder="1"/>
    <xf numFmtId="194" fontId="0" fillId="0" borderId="3" xfId="1" applyNumberFormat="1" applyFont="1" applyFill="1" applyBorder="1"/>
    <xf numFmtId="10" fontId="0" fillId="0" borderId="1" xfId="2" applyNumberFormat="1" applyFont="1" applyFill="1" applyBorder="1" applyAlignment="1">
      <alignment horizontal="center"/>
    </xf>
    <xf numFmtId="10" fontId="0" fillId="0" borderId="2" xfId="2" applyNumberFormat="1" applyFont="1" applyFill="1" applyBorder="1" applyAlignment="1">
      <alignment horizontal="center"/>
    </xf>
    <xf numFmtId="10" fontId="0" fillId="0" borderId="3" xfId="2" applyNumberFormat="1" applyFont="1" applyFill="1" applyBorder="1" applyAlignment="1">
      <alignment horizontal="center"/>
    </xf>
    <xf numFmtId="9" fontId="0" fillId="10" borderId="12" xfId="2" applyFont="1" applyFill="1" applyBorder="1" applyAlignment="1">
      <alignment horizontal="center"/>
    </xf>
    <xf numFmtId="9" fontId="0" fillId="10" borderId="13" xfId="2" applyFont="1" applyFill="1" applyBorder="1" applyAlignment="1">
      <alignment horizontal="center"/>
    </xf>
    <xf numFmtId="9" fontId="0" fillId="10" borderId="14" xfId="2" applyFont="1" applyFill="1" applyBorder="1" applyAlignment="1">
      <alignment horizontal="center"/>
    </xf>
    <xf numFmtId="9" fontId="0" fillId="0" borderId="15" xfId="2" applyFont="1" applyBorder="1" applyAlignment="1">
      <alignment horizontal="center"/>
    </xf>
    <xf numFmtId="9" fontId="0" fillId="0" borderId="0" xfId="2" applyFont="1" applyBorder="1" applyAlignment="1">
      <alignment horizontal="center"/>
    </xf>
    <xf numFmtId="9" fontId="0" fillId="0" borderId="6" xfId="2" applyFont="1" applyBorder="1" applyAlignment="1">
      <alignment horizontal="center"/>
    </xf>
    <xf numFmtId="9" fontId="0" fillId="10" borderId="16" xfId="2" applyFont="1" applyFill="1" applyBorder="1" applyAlignment="1">
      <alignment horizontal="center"/>
    </xf>
    <xf numFmtId="9" fontId="0" fillId="10" borderId="11" xfId="2" applyFont="1" applyFill="1" applyBorder="1" applyAlignment="1">
      <alignment horizontal="center"/>
    </xf>
    <xf numFmtId="9" fontId="0" fillId="10" borderId="17" xfId="2" applyFont="1" applyFill="1" applyBorder="1" applyAlignment="1">
      <alignment horizontal="center"/>
    </xf>
    <xf numFmtId="9" fontId="0" fillId="0" borderId="12" xfId="2" applyFont="1" applyFill="1" applyBorder="1" applyAlignment="1">
      <alignment horizontal="center"/>
    </xf>
    <xf numFmtId="9" fontId="0" fillId="0" borderId="13" xfId="2" applyFont="1" applyFill="1" applyBorder="1" applyAlignment="1">
      <alignment horizontal="center"/>
    </xf>
    <xf numFmtId="9" fontId="0" fillId="0" borderId="14" xfId="2" applyFont="1" applyFill="1" applyBorder="1" applyAlignment="1">
      <alignment horizontal="center"/>
    </xf>
    <xf numFmtId="9" fontId="0" fillId="10" borderId="15" xfId="2" applyFont="1" applyFill="1" applyBorder="1" applyAlignment="1">
      <alignment horizontal="center"/>
    </xf>
    <xf numFmtId="9" fontId="0" fillId="10" borderId="0" xfId="2" applyFont="1" applyFill="1" applyBorder="1" applyAlignment="1">
      <alignment horizontal="center"/>
    </xf>
    <xf numFmtId="9" fontId="0" fillId="10" borderId="6" xfId="2" applyFont="1" applyFill="1" applyBorder="1" applyAlignment="1">
      <alignment horizontal="center"/>
    </xf>
    <xf numFmtId="9" fontId="0" fillId="0" borderId="16" xfId="2" applyFont="1" applyFill="1" applyBorder="1" applyAlignment="1">
      <alignment horizontal="center"/>
    </xf>
    <xf numFmtId="9" fontId="0" fillId="0" borderId="11" xfId="2" applyFont="1" applyFill="1" applyBorder="1" applyAlignment="1">
      <alignment horizontal="center"/>
    </xf>
    <xf numFmtId="9" fontId="0" fillId="0" borderId="17" xfId="2" applyFont="1" applyFill="1" applyBorder="1" applyAlignment="1">
      <alignment horizontal="center"/>
    </xf>
    <xf numFmtId="9" fontId="0" fillId="10" borderId="1" xfId="2" applyFont="1" applyFill="1" applyBorder="1" applyAlignment="1">
      <alignment horizontal="center"/>
    </xf>
    <xf numFmtId="9" fontId="0" fillId="10" borderId="2" xfId="2" applyFont="1" applyFill="1" applyBorder="1" applyAlignment="1">
      <alignment horizontal="center"/>
    </xf>
    <xf numFmtId="9" fontId="0" fillId="10" borderId="3" xfId="2" applyFont="1" applyFill="1" applyBorder="1" applyAlignment="1">
      <alignment horizontal="center"/>
    </xf>
    <xf numFmtId="9" fontId="0" fillId="0" borderId="1" xfId="2" applyFont="1" applyFill="1" applyBorder="1" applyAlignment="1">
      <alignment horizontal="center"/>
    </xf>
    <xf numFmtId="9" fontId="0" fillId="0" borderId="2" xfId="2" applyFont="1" applyFill="1" applyBorder="1" applyAlignment="1">
      <alignment horizontal="center"/>
    </xf>
    <xf numFmtId="9" fontId="0" fillId="0" borderId="3" xfId="2" applyFont="1" applyFill="1" applyBorder="1" applyAlignment="1">
      <alignment horizontal="center"/>
    </xf>
    <xf numFmtId="0" fontId="0" fillId="0" borderId="9" xfId="0" applyBorder="1"/>
    <xf numFmtId="194" fontId="0" fillId="0" borderId="9" xfId="1" applyNumberFormat="1" applyFont="1" applyBorder="1"/>
    <xf numFmtId="169" fontId="0" fillId="0" borderId="9" xfId="2" applyNumberFormat="1" applyFont="1" applyBorder="1" applyAlignment="1">
      <alignment horizontal="center"/>
    </xf>
    <xf numFmtId="0" fontId="8" fillId="0" borderId="52" xfId="0" applyFont="1" applyBorder="1"/>
    <xf numFmtId="194" fontId="8" fillId="0" borderId="28" xfId="1" applyNumberFormat="1" applyFont="1" applyBorder="1"/>
    <xf numFmtId="10" fontId="8" fillId="0" borderId="51" xfId="2" applyNumberFormat="1" applyFont="1" applyFill="1" applyBorder="1" applyAlignment="1">
      <alignment horizontal="center"/>
    </xf>
    <xf numFmtId="10" fontId="8" fillId="0" borderId="28" xfId="2" applyNumberFormat="1" applyFont="1" applyFill="1" applyBorder="1" applyAlignment="1">
      <alignment horizontal="center"/>
    </xf>
    <xf numFmtId="10" fontId="8" fillId="0" borderId="52" xfId="2" applyNumberFormat="1" applyFont="1" applyFill="1" applyBorder="1" applyAlignment="1">
      <alignment horizontal="center"/>
    </xf>
    <xf numFmtId="194" fontId="0" fillId="10" borderId="0" xfId="1" applyNumberFormat="1" applyFont="1" applyFill="1"/>
    <xf numFmtId="169" fontId="0" fillId="10" borderId="0" xfId="2" applyNumberFormat="1" applyFont="1" applyFill="1" applyAlignment="1">
      <alignment horizontal="center"/>
    </xf>
    <xf numFmtId="0" fontId="9" fillId="15" borderId="0" xfId="0" applyFont="1" applyFill="1"/>
    <xf numFmtId="0" fontId="9" fillId="15" borderId="0" xfId="0" applyFont="1" applyFill="1" applyAlignment="1">
      <alignment horizontal="left" vertical="top" wrapText="1"/>
    </xf>
    <xf numFmtId="0" fontId="76" fillId="0" borderId="0" xfId="0" applyFont="1" applyAlignment="1">
      <alignment vertical="center"/>
    </xf>
    <xf numFmtId="4" fontId="76" fillId="0" borderId="0" xfId="0" applyNumberFormat="1" applyFont="1"/>
    <xf numFmtId="167" fontId="76" fillId="0" borderId="0" xfId="0" applyNumberFormat="1" applyFont="1"/>
    <xf numFmtId="166" fontId="76" fillId="0" borderId="0" xfId="0" applyNumberFormat="1" applyFont="1"/>
    <xf numFmtId="3" fontId="76" fillId="0" borderId="0" xfId="0" applyNumberFormat="1" applyFont="1"/>
    <xf numFmtId="178" fontId="76" fillId="0" borderId="0" xfId="0" applyNumberFormat="1" applyFont="1"/>
    <xf numFmtId="0" fontId="76" fillId="15" borderId="0" xfId="0" applyFont="1" applyFill="1" applyAlignment="1">
      <alignment vertical="center"/>
    </xf>
    <xf numFmtId="4" fontId="76" fillId="15" borderId="0" xfId="0" applyNumberFormat="1" applyFont="1" applyFill="1"/>
    <xf numFmtId="167" fontId="76" fillId="15" borderId="0" xfId="0" applyNumberFormat="1" applyFont="1" applyFill="1"/>
    <xf numFmtId="166" fontId="76" fillId="15" borderId="0" xfId="0" applyNumberFormat="1" applyFont="1" applyFill="1"/>
    <xf numFmtId="10" fontId="77" fillId="0" borderId="0" xfId="0" applyNumberFormat="1" applyFont="1"/>
    <xf numFmtId="170" fontId="76" fillId="0" borderId="0" xfId="0" applyNumberFormat="1" applyFont="1"/>
    <xf numFmtId="170" fontId="76" fillId="0" borderId="0" xfId="0" applyNumberFormat="1" applyFont="1" applyAlignment="1">
      <alignment horizontal="right" vertical="center"/>
    </xf>
    <xf numFmtId="166" fontId="78" fillId="0" borderId="0" xfId="0" applyNumberFormat="1" applyFont="1"/>
    <xf numFmtId="170" fontId="76" fillId="0" borderId="0" xfId="0" applyNumberFormat="1" applyFont="1" applyAlignment="1">
      <alignment vertical="center"/>
    </xf>
    <xf numFmtId="10" fontId="76" fillId="0" borderId="0" xfId="2" applyNumberFormat="1" applyFont="1" applyFill="1"/>
    <xf numFmtId="0" fontId="76" fillId="4" borderId="0" xfId="0" applyFont="1" applyFill="1" applyAlignment="1">
      <alignment vertical="center"/>
    </xf>
    <xf numFmtId="167" fontId="79" fillId="7" borderId="0" xfId="0" applyNumberFormat="1" applyFont="1" applyFill="1"/>
    <xf numFmtId="170" fontId="79" fillId="3" borderId="0" xfId="1" applyNumberFormat="1" applyFont="1" applyFill="1"/>
    <xf numFmtId="0" fontId="79" fillId="10" borderId="0" xfId="0" applyFont="1" applyFill="1"/>
    <xf numFmtId="0" fontId="79" fillId="10" borderId="0" xfId="0" applyFont="1" applyFill="1" applyAlignment="1">
      <alignment vertical="center"/>
    </xf>
    <xf numFmtId="0" fontId="79" fillId="0" borderId="0" xfId="0" applyFont="1" applyAlignment="1">
      <alignment vertical="center"/>
    </xf>
    <xf numFmtId="164" fontId="79" fillId="7" borderId="0" xfId="1" applyFont="1" applyFill="1"/>
    <xf numFmtId="170" fontId="79" fillId="0" borderId="0" xfId="1" applyNumberFormat="1" applyFont="1" applyFill="1" applyAlignment="1"/>
    <xf numFmtId="10" fontId="79" fillId="0" borderId="0" xfId="2" applyNumberFormat="1" applyFont="1" applyFill="1"/>
    <xf numFmtId="164" fontId="79" fillId="4" borderId="0" xfId="1" applyFont="1" applyFill="1"/>
    <xf numFmtId="169" fontId="79" fillId="0" borderId="0" xfId="0" applyNumberFormat="1" applyFont="1" applyAlignment="1">
      <alignment vertical="center"/>
    </xf>
    <xf numFmtId="164" fontId="79" fillId="0" borderId="0" xfId="1" applyFont="1" applyFill="1" applyAlignment="1">
      <alignment vertical="center"/>
    </xf>
    <xf numFmtId="164" fontId="79" fillId="3" borderId="0" xfId="1" applyFont="1" applyFill="1"/>
    <xf numFmtId="169" fontId="79" fillId="0" borderId="0" xfId="2" applyNumberFormat="1" applyFont="1" applyFill="1"/>
    <xf numFmtId="166" fontId="79" fillId="0" borderId="0" xfId="0" applyNumberFormat="1" applyFont="1"/>
    <xf numFmtId="164" fontId="79" fillId="0" borderId="0" xfId="0" applyNumberFormat="1" applyFont="1"/>
    <xf numFmtId="164" fontId="79" fillId="0" borderId="0" xfId="1" applyFont="1" applyFill="1"/>
    <xf numFmtId="164" fontId="79" fillId="0" borderId="0" xfId="1" applyFont="1"/>
    <xf numFmtId="10" fontId="79" fillId="0" borderId="0" xfId="0" applyNumberFormat="1" applyFont="1"/>
    <xf numFmtId="14" fontId="79" fillId="0" borderId="0" xfId="0" applyNumberFormat="1" applyFont="1"/>
    <xf numFmtId="164" fontId="79" fillId="0" borderId="0" xfId="1" quotePrefix="1" applyFont="1" applyFill="1"/>
    <xf numFmtId="170" fontId="0" fillId="4" borderId="0" xfId="0" applyNumberFormat="1" applyFill="1"/>
    <xf numFmtId="0" fontId="12" fillId="4" borderId="0" xfId="0" applyFont="1" applyFill="1" applyAlignment="1">
      <alignment horizontal="left" vertical="top" wrapText="1"/>
    </xf>
    <xf numFmtId="0" fontId="9" fillId="4" borderId="0" xfId="0" applyFont="1" applyFill="1" applyAlignment="1">
      <alignment horizontal="left" vertical="top" wrapText="1"/>
    </xf>
    <xf numFmtId="0" fontId="80" fillId="4" borderId="0" xfId="0" applyFont="1" applyFill="1" applyAlignment="1">
      <alignment horizontal="left" vertical="top" wrapText="1"/>
    </xf>
    <xf numFmtId="0" fontId="80" fillId="0" borderId="0" xfId="0" applyFont="1" applyAlignment="1">
      <alignment horizontal="left" vertical="top" wrapText="1"/>
    </xf>
    <xf numFmtId="3" fontId="80" fillId="3" borderId="0" xfId="0" applyNumberFormat="1" applyFont="1" applyFill="1" applyAlignment="1">
      <alignment horizontal="right" vertical="top" wrapText="1"/>
    </xf>
    <xf numFmtId="4" fontId="80" fillId="7" borderId="0" xfId="0" applyNumberFormat="1" applyFont="1" applyFill="1"/>
    <xf numFmtId="3" fontId="80" fillId="0" borderId="0" xfId="0" applyNumberFormat="1" applyFont="1" applyAlignment="1">
      <alignment horizontal="right" vertical="top" wrapText="1"/>
    </xf>
    <xf numFmtId="4" fontId="80" fillId="3" borderId="0" xfId="0" applyNumberFormat="1" applyFont="1" applyFill="1" applyAlignment="1">
      <alignment horizontal="right" vertical="top" wrapText="1"/>
    </xf>
    <xf numFmtId="169" fontId="80" fillId="0" borderId="0" xfId="0" applyNumberFormat="1" applyFont="1" applyAlignment="1">
      <alignment horizontal="right" vertical="top" wrapText="1"/>
    </xf>
    <xf numFmtId="164" fontId="80" fillId="0" borderId="0" xfId="1" applyFont="1" applyAlignment="1">
      <alignment horizontal="right" vertical="top" wrapText="1"/>
    </xf>
    <xf numFmtId="14" fontId="80" fillId="0" borderId="0" xfId="0" applyNumberFormat="1" applyFont="1" applyAlignment="1">
      <alignment horizontal="right" vertical="top" wrapText="1"/>
    </xf>
    <xf numFmtId="164" fontId="80" fillId="0" borderId="0" xfId="1" applyFont="1" applyFill="1" applyAlignment="1">
      <alignment horizontal="right" vertical="top" wrapText="1"/>
    </xf>
    <xf numFmtId="0" fontId="80" fillId="0" borderId="0" xfId="0" applyFont="1"/>
    <xf numFmtId="0" fontId="75" fillId="7" borderId="0" xfId="0" applyFont="1" applyFill="1"/>
    <xf numFmtId="0" fontId="75" fillId="4" borderId="0" xfId="0" applyFont="1" applyFill="1" applyAlignment="1">
      <alignment horizontal="left" vertical="top" wrapText="1"/>
    </xf>
    <xf numFmtId="0" fontId="75" fillId="0" borderId="0" xfId="0" applyFont="1" applyAlignment="1">
      <alignment horizontal="left" vertical="top" wrapText="1"/>
    </xf>
    <xf numFmtId="3" fontId="75" fillId="3" borderId="0" xfId="0" applyNumberFormat="1" applyFont="1" applyFill="1" applyAlignment="1">
      <alignment horizontal="right" vertical="top" wrapText="1"/>
    </xf>
    <xf numFmtId="4" fontId="75" fillId="7" borderId="0" xfId="0" applyNumberFormat="1" applyFont="1" applyFill="1"/>
    <xf numFmtId="3" fontId="75" fillId="0" borderId="0" xfId="0" applyNumberFormat="1" applyFont="1" applyAlignment="1">
      <alignment horizontal="right" vertical="top" wrapText="1"/>
    </xf>
    <xf numFmtId="4" fontId="75" fillId="3" borderId="0" xfId="0" applyNumberFormat="1" applyFont="1" applyFill="1" applyAlignment="1">
      <alignment horizontal="right" vertical="top" wrapText="1"/>
    </xf>
    <xf numFmtId="169" fontId="75" fillId="0" borderId="0" xfId="0" applyNumberFormat="1" applyFont="1" applyAlignment="1">
      <alignment horizontal="right" vertical="top" wrapText="1"/>
    </xf>
    <xf numFmtId="164" fontId="75" fillId="0" borderId="0" xfId="1" applyFont="1" applyAlignment="1">
      <alignment horizontal="right" vertical="top" wrapText="1"/>
    </xf>
    <xf numFmtId="14" fontId="75" fillId="0" borderId="0" xfId="0" applyNumberFormat="1" applyFont="1" applyAlignment="1">
      <alignment horizontal="right" vertical="top" wrapText="1"/>
    </xf>
    <xf numFmtId="164" fontId="75" fillId="0" borderId="0" xfId="1" applyFont="1" applyFill="1" applyAlignment="1">
      <alignment horizontal="right" vertical="top" wrapText="1"/>
    </xf>
    <xf numFmtId="0" fontId="75" fillId="0" borderId="0" xfId="0" applyFont="1"/>
    <xf numFmtId="3" fontId="51" fillId="3" borderId="0" xfId="0" applyNumberFormat="1" applyFont="1" applyFill="1" applyAlignment="1">
      <alignment horizontal="right" vertical="top" wrapText="1"/>
    </xf>
    <xf numFmtId="4" fontId="24" fillId="0" borderId="0" xfId="0" applyNumberFormat="1" applyFont="1" applyAlignment="1">
      <alignment horizontal="center" vertical="top" wrapText="1"/>
    </xf>
    <xf numFmtId="0" fontId="37" fillId="17" borderId="0" xfId="0" applyFont="1" applyFill="1" applyAlignment="1">
      <alignment horizontal="left"/>
    </xf>
    <xf numFmtId="0" fontId="37" fillId="17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37" fillId="0" borderId="29" xfId="0" applyFont="1" applyBorder="1" applyAlignment="1">
      <alignment horizontal="right"/>
    </xf>
    <xf numFmtId="0" fontId="8" fillId="14" borderId="0" xfId="0" applyFont="1" applyFill="1" applyAlignment="1">
      <alignment horizontal="right"/>
    </xf>
    <xf numFmtId="0" fontId="7" fillId="4" borderId="1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19" borderId="1" xfId="0" applyFont="1" applyFill="1" applyBorder="1" applyAlignment="1">
      <alignment horizontal="center" vertical="center"/>
    </xf>
    <xf numFmtId="0" fontId="7" fillId="19" borderId="2" xfId="0" applyFont="1" applyFill="1" applyBorder="1" applyAlignment="1">
      <alignment horizontal="center" vertical="center"/>
    </xf>
    <xf numFmtId="0" fontId="7" fillId="19" borderId="3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7" fillId="7" borderId="8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0" fontId="8" fillId="9" borderId="3" xfId="0" applyFont="1" applyFill="1" applyBorder="1" applyAlignment="1">
      <alignment horizontal="center"/>
    </xf>
    <xf numFmtId="0" fontId="10" fillId="5" borderId="12" xfId="0" applyFont="1" applyFill="1" applyBorder="1" applyAlignment="1">
      <alignment horizontal="center"/>
    </xf>
    <xf numFmtId="0" fontId="10" fillId="5" borderId="13" xfId="0" applyFont="1" applyFill="1" applyBorder="1" applyAlignment="1">
      <alignment horizontal="center"/>
    </xf>
    <xf numFmtId="0" fontId="10" fillId="5" borderId="14" xfId="0" applyFont="1" applyFill="1" applyBorder="1" applyAlignment="1">
      <alignment horizontal="center"/>
    </xf>
    <xf numFmtId="0" fontId="9" fillId="5" borderId="16" xfId="0" applyFont="1" applyFill="1" applyBorder="1" applyAlignment="1">
      <alignment horizontal="center"/>
    </xf>
    <xf numFmtId="0" fontId="9" fillId="5" borderId="11" xfId="0" applyFont="1" applyFill="1" applyBorder="1" applyAlignment="1">
      <alignment horizontal="center"/>
    </xf>
    <xf numFmtId="0" fontId="0" fillId="9" borderId="13" xfId="0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9" borderId="11" xfId="0" applyFill="1" applyBorder="1" applyAlignment="1">
      <alignment horizontal="center" vertical="center"/>
    </xf>
    <xf numFmtId="0" fontId="0" fillId="9" borderId="24" xfId="0" applyFill="1" applyBorder="1" applyAlignment="1">
      <alignment horizontal="center" vertical="center"/>
    </xf>
    <xf numFmtId="2" fontId="0" fillId="0" borderId="0" xfId="0" applyNumberFormat="1"/>
    <xf numFmtId="2" fontId="37" fillId="17" borderId="0" xfId="0" applyNumberFormat="1" applyFont="1" applyFill="1" applyAlignment="1">
      <alignment horizontal="left"/>
    </xf>
    <xf numFmtId="2" fontId="37" fillId="0" borderId="29" xfId="0" applyNumberFormat="1" applyFont="1" applyBorder="1"/>
    <xf numFmtId="2" fontId="40" fillId="0" borderId="0" xfId="13" applyNumberFormat="1"/>
  </cellXfs>
  <cellStyles count="16">
    <cellStyle name="Comma" xfId="1" builtinId="3"/>
    <cellStyle name="Comma [0]" xfId="15" builtinId="6"/>
    <cellStyle name="Comma 2" xfId="10" xr:uid="{2DDC3598-BEBC-492C-9A8A-5ED3104EEFCE}"/>
    <cellStyle name="Comma 2 2" xfId="12" xr:uid="{71B4FAC1-CCDE-4F34-AEFE-72AFFE6A110C}"/>
    <cellStyle name="Normal" xfId="0" builtinId="0"/>
    <cellStyle name="Normal 2" xfId="3" xr:uid="{EB145C44-0922-48CA-A56E-64860953B304}"/>
    <cellStyle name="Normal 3" xfId="6" xr:uid="{C9DD46BE-53B9-444E-BA49-601B2E0EE331}"/>
    <cellStyle name="Normal 3 2" xfId="13" xr:uid="{3C123EBE-FC16-4431-B2EA-9D68E20158AD}"/>
    <cellStyle name="Normal 4" xfId="7" xr:uid="{4BDD8904-6F88-4072-89D0-407B7FE2EEA0}"/>
    <cellStyle name="Normal 5" xfId="8" xr:uid="{F372AA1F-9030-42CF-880E-223BA21B0906}"/>
    <cellStyle name="Normal 6" xfId="9" xr:uid="{DBC32CF4-204A-4259-A75B-C7AE3D1B28B0}"/>
    <cellStyle name="Per cent" xfId="2" builtinId="5"/>
    <cellStyle name="Per cent 2" xfId="11" xr:uid="{ADAC4FB5-4898-41AF-9245-2E86E0F3FF13}"/>
    <cellStyle name="Per cent 2 2" xfId="14" xr:uid="{A9395A56-DEC0-409D-A496-CA6ED5D1D582}"/>
    <cellStyle name="Обычный 2" xfId="4" xr:uid="{9D6A8F1E-3F40-4DED-8180-D8E4FFCCFA17}"/>
    <cellStyle name="Обычный 3" xfId="5" xr:uid="{4C35AD41-4E3A-47EB-B308-D7AEF8F46F7F}"/>
  </cellStyles>
  <dxfs count="405"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ont>
        <color theme="0" tint="-0.24994659260841701"/>
      </font>
    </dxf>
    <dxf>
      <font>
        <b/>
        <i val="0"/>
      </font>
    </dxf>
    <dxf>
      <font>
        <color theme="0" tint="-0.24994659260841701"/>
      </font>
    </dxf>
    <dxf>
      <font>
        <b/>
        <i val="0"/>
      </font>
    </dxf>
    <dxf>
      <font>
        <color auto="1"/>
      </font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color rgb="FFC00000"/>
      </font>
      <fill>
        <patternFill>
          <bgColor theme="5" tint="0.79998168889431442"/>
        </patternFill>
      </fill>
    </dxf>
    <dxf>
      <font>
        <color theme="0" tint="-0.24994659260841701"/>
      </font>
    </dxf>
    <dxf>
      <font>
        <b/>
        <i val="0"/>
      </font>
    </dxf>
    <dxf>
      <font>
        <color theme="0" tint="-0.24994659260841701"/>
      </font>
    </dxf>
    <dxf>
      <font>
        <b/>
        <i val="0"/>
      </font>
    </dxf>
    <dxf>
      <font>
        <color theme="0" tint="-0.24994659260841701"/>
      </font>
    </dxf>
    <dxf>
      <font>
        <b/>
        <i val="0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numFmt numFmtId="183" formatCode="_(* #,##0_);_(* \(#,##0\);_(* &quot;-&quot;??_);_(@_)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numFmt numFmtId="183" formatCode="_(* #,##0_);_(* \(#,##0\);_(* &quot;-&quot;??_);_(@_)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numFmt numFmtId="183" formatCode="_(* #,##0_);_(* \(#,##0\);_(* &quot;-&quot;??_);_(@_)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numFmt numFmtId="183" formatCode="_(* #,##0_);_(* \(#,##0\);_(* &quot;-&quot;??_);_(@_)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numFmt numFmtId="183" formatCode="_(* #,##0_);_(* \(#,##0\);_(* &quot;-&quot;??_);_(@_)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numFmt numFmtId="183" formatCode="_(* #,##0_);_(* \(#,##0\);_(* &quot;-&quot;??_);_(@_)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numFmt numFmtId="183" formatCode="_(* #,##0_);_(* \(#,##0\);_(* &quot;-&quot;??_);_(@_)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numFmt numFmtId="183" formatCode="_(* #,##0_);_(* \(#,##0\);_(* &quot;-&quot;??_);_(@_)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numFmt numFmtId="183" formatCode="_(* #,##0_);_(* \(#,##0\);_(* &quot;-&quot;??_);_(@_)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numFmt numFmtId="183" formatCode="_(* #,##0_);_(* \(#,##0\);_(* &quot;-&quot;??_);_(@_)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numFmt numFmtId="183" formatCode="_(* #,##0_);_(* \(#,##0\);_(* &quot;-&quot;??_);_(@_)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numFmt numFmtId="183" formatCode="_(* #,##0_);_(* \(#,##0\);_(* &quot;-&quot;??_);_(@_)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04"/>
        <scheme val="minor"/>
      </font>
      <numFmt numFmtId="170" formatCode="_-* #,##0_-;\-* #,##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04"/>
        <scheme val="minor"/>
      </font>
      <numFmt numFmtId="170" formatCode="_-* #,##0_-;\-* #,##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04"/>
        <scheme val="minor"/>
      </font>
      <numFmt numFmtId="170" formatCode="_-* #,##0_-;\-* #,##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04"/>
        <scheme val="minor"/>
      </font>
      <numFmt numFmtId="170" formatCode="_-* #,##0_-;\-* #,##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04"/>
        <scheme val="minor"/>
      </font>
      <numFmt numFmtId="170" formatCode="_-* #,##0_-;\-* #,##0_-;_-* &quot;-&quot;??_-;_-@_-"/>
      <fill>
        <patternFill patternType="solid">
          <fgColor indexed="64"/>
          <bgColor theme="7" tint="0.79998168889431442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04"/>
        <scheme val="minor"/>
      </font>
      <numFmt numFmtId="170" formatCode="_-* #,##0_-;\-* #,##0_-;_-* &quot;-&quot;??_-;_-@_-"/>
      <fill>
        <patternFill patternType="solid">
          <fgColor indexed="64"/>
          <bgColor theme="9" tint="0.79998168889431442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04"/>
        <scheme val="minor"/>
      </font>
      <numFmt numFmtId="170" formatCode="_-* #,##0_-;\-* #,##0_-;_-* &quot;-&quot;??_-;_-@_-"/>
      <fill>
        <patternFill patternType="solid">
          <fgColor indexed="64"/>
          <bgColor theme="0" tint="-4.9989318521683403E-2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04"/>
        <scheme val="minor"/>
      </font>
      <numFmt numFmtId="170" formatCode="_-* #,##0_-;\-* #,##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04"/>
        <scheme val="minor"/>
      </font>
      <numFmt numFmtId="170" formatCode="_-* #,##0_-;\-* #,##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04"/>
        <scheme val="minor"/>
      </font>
      <numFmt numFmtId="13" formatCode="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04"/>
        <scheme val="minor"/>
      </font>
      <numFmt numFmtId="170" formatCode="_-* #,##0_-;\-* #,##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04"/>
        <scheme val="minor"/>
      </font>
      <numFmt numFmtId="170" formatCode="_-* #,##0_-;\-* #,##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04"/>
        <scheme val="minor"/>
      </font>
      <numFmt numFmtId="170" formatCode="_-* #,##0_-;\-* #,##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04"/>
        <scheme val="minor"/>
      </font>
      <numFmt numFmtId="170" formatCode="_-* #,##0_-;\-* #,##0_-;_-* &quot;-&quot;??_-;_-@_-"/>
      <fill>
        <patternFill patternType="solid">
          <fgColor indexed="64"/>
          <bgColor theme="8" tint="0.79998168889431442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charset val="204"/>
        <scheme val="minor"/>
      </font>
      <numFmt numFmtId="170" formatCode="_-* #,##0_-;\-* #,##0_-;_-* &quot;-&quot;??_-;_-@_-"/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charset val="204"/>
        <scheme val="minor"/>
      </font>
      <numFmt numFmtId="170" formatCode="_-* #,##0_-;\-* #,##0_-;_-* &quot;-&quot;??_-;_-@_-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04"/>
        <scheme val="minor"/>
      </font>
      <numFmt numFmtId="170" formatCode="_-* #,##0_-;\-* #,##0_-;_-* &quot;-&quot;??_-;_-@_-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04"/>
        <scheme val="minor"/>
      </font>
      <numFmt numFmtId="170" formatCode="_-* #,##0_-;\-* #,##0_-;_-* &quot;-&quot;??_-;_-@_-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04"/>
        <scheme val="minor"/>
      </font>
      <numFmt numFmtId="170" formatCode="_-* #,##0_-;\-* #,##0_-;_-* &quot;-&quot;??_-;_-@_-"/>
      <fill>
        <patternFill patternType="solid">
          <fgColor indexed="64"/>
          <bgColor theme="8" tint="0.79998168889431442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04"/>
        <scheme val="minor"/>
      </font>
      <numFmt numFmtId="170" formatCode="_-* #,##0_-;\-* #,##0_-;_-* &quot;-&quot;??_-;_-@_-"/>
      <fill>
        <patternFill patternType="solid">
          <fgColor indexed="64"/>
          <bgColor theme="9" tint="0.79998168889431442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04"/>
        <scheme val="minor"/>
      </font>
      <numFmt numFmtId="19" formatCode="dd/mm/yyyy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04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04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04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numFmt numFmtId="183" formatCode="_(* #,##0_);_(* \(#,##0\);_(* &quot;-&quot;??_);_(@_)"/>
      <fill>
        <patternFill patternType="solid">
          <fgColor indexed="64"/>
          <bgColor theme="8" tint="0.79998168889431442"/>
        </patternFill>
      </fill>
    </dxf>
    <dxf>
      <numFmt numFmtId="183" formatCode="_(* #,##0_);_(* \(#,##0\);_(* &quot;-&quot;??_);_(@_)"/>
      <fill>
        <patternFill patternType="solid">
          <fgColor indexed="64"/>
          <bgColor theme="8" tint="0.79998168889431442"/>
        </patternFill>
      </fill>
    </dxf>
    <dxf>
      <numFmt numFmtId="183" formatCode="_(* #,##0_);_(* \(#,##0\);_(* &quot;-&quot;??_);_(@_)"/>
      <fill>
        <patternFill patternType="solid">
          <fgColor indexed="64"/>
          <bgColor theme="8" tint="0.79998168889431442"/>
        </patternFill>
      </fill>
    </dxf>
    <dxf>
      <numFmt numFmtId="183" formatCode="_(* #,##0_);_(* \(#,##0\);_(* &quot;-&quot;??_);_(@_)"/>
      <fill>
        <patternFill patternType="solid">
          <fgColor indexed="64"/>
          <bgColor theme="8" tint="0.79998168889431442"/>
        </patternFill>
      </fill>
    </dxf>
    <dxf>
      <numFmt numFmtId="165" formatCode="_-* #,##0.00\ _₽_-;\-* #,##0.00\ _₽_-;_-* &quot;-&quot;??\ _₽_-;_-@_-"/>
      <fill>
        <patternFill patternType="solid">
          <fgColor indexed="64"/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charset val="204"/>
        <scheme val="none"/>
      </font>
      <numFmt numFmtId="4" formatCode="#,##0.00"/>
    </dxf>
    <dxf>
      <numFmt numFmtId="168" formatCode="#,###"/>
      <fill>
        <patternFill patternType="solid">
          <fgColor indexed="64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9" formatCode="0.0%"/>
      <alignment horizontal="general" vertical="center" textRotation="0" wrapText="0" indent="0" justifyLastLine="0" shrinkToFit="0" readingOrder="0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04"/>
        <scheme val="none"/>
      </font>
      <numFmt numFmtId="170" formatCode="_-* #,##0_-;\-* #,##0_-;_-* &quot;-&quot;??_-;_-@_-"/>
      <fill>
        <patternFill patternType="solid">
          <fgColor indexed="64"/>
          <bgColor theme="7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04"/>
        <scheme val="none"/>
      </font>
      <numFmt numFmtId="170" formatCode="_-* #,##0_-;\-* #,##0_-;_-* &quot;-&quot;??_-;_-@_-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04"/>
        <scheme val="none"/>
      </font>
      <numFmt numFmtId="170" formatCode="_-* #,##0_-;\-* #,##0_-;_-* &quot;-&quot;??_-;_-@_-"/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charset val="204"/>
        <scheme val="none"/>
      </font>
      <numFmt numFmtId="170" formatCode="_-* #,##0_-;\-* #,##0_-;_-* &quot;-&quot;??_-;_-@_-"/>
      <fill>
        <patternFill patternType="solid">
          <fgColor indexed="64"/>
          <bgColor theme="7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04"/>
        <scheme val="minor"/>
      </font>
      <numFmt numFmtId="170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04"/>
        <scheme val="minor"/>
      </font>
      <numFmt numFmtId="170" formatCode="_-* #,##0_-;\-* #,##0_-;_-* &quot;-&quot;??_-;_-@_-"/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04"/>
        <scheme val="minor"/>
      </font>
      <numFmt numFmtId="170" formatCode="_-* #,##0_-;\-* #,##0_-;_-* &quot;-&quot;??_-;_-@_-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04"/>
        <scheme val="minor"/>
      </font>
      <numFmt numFmtId="170" formatCode="_-* #,##0_-;\-* #,##0_-;_-* &quot;-&quot;??_-;_-@_-"/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charset val="204"/>
        <scheme val="minor"/>
      </font>
      <numFmt numFmtId="170" formatCode="_-* #,##0_-;\-* #,##0_-;_-* &quot;-&quot;??_-;_-@_-"/>
      <fill>
        <patternFill patternType="solid">
          <fgColor indexed="64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04"/>
        <scheme val="minor"/>
      </font>
      <numFmt numFmtId="170" formatCode="_-* #,##0_-;\-* #,##0_-;_-* &quot;-&quot;??_-;_-@_-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04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04"/>
        <scheme val="minor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  <numFmt numFmtId="19" formatCode="dd/mm/yyyy"/>
      <alignment horizontal="righ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  <numFmt numFmtId="19" formatCode="dd/mm/yyyy"/>
      <alignment horizontal="righ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  <numFmt numFmtId="19" formatCode="dd/mm/yyyy"/>
      <alignment horizontal="righ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  <numFmt numFmtId="19" formatCode="dd/mm/yyyy"/>
      <alignment horizontal="righ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  <numFmt numFmtId="19" formatCode="dd/mm/yyyy"/>
      <alignment horizontal="righ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  <numFmt numFmtId="19" formatCode="dd/mm/yyyy"/>
      <alignment horizontal="righ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  <numFmt numFmtId="19" formatCode="dd/mm/yyyy"/>
      <alignment horizontal="righ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  <numFmt numFmtId="19" formatCode="dd/mm/yyyy"/>
      <alignment horizontal="righ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  <numFmt numFmtId="19" formatCode="dd/mm/yyyy"/>
      <alignment horizontal="righ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  <numFmt numFmtId="19" formatCode="dd/mm/yyyy"/>
      <alignment horizontal="righ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  <numFmt numFmtId="19" formatCode="dd/mm/yyyy"/>
      <alignment horizontal="righ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  <numFmt numFmtId="19" formatCode="dd/mm/yyyy"/>
      <alignment horizontal="righ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  <numFmt numFmtId="19" formatCode="dd/mm/yyyy"/>
      <alignment horizontal="righ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  <numFmt numFmtId="19" formatCode="dd/mm/yyyy"/>
      <alignment horizontal="righ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  <numFmt numFmtId="19" formatCode="dd/mm/yyyy"/>
      <alignment horizontal="righ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charset val="204"/>
        <scheme val="minor"/>
      </font>
      <numFmt numFmtId="19" formatCode="dd/mm/yyyy"/>
      <fill>
        <patternFill patternType="none">
          <fgColor indexed="64"/>
          <bgColor auto="1"/>
        </patternFill>
      </fill>
      <alignment horizontal="righ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  <numFmt numFmtId="3" formatCode="#,##0"/>
      <alignment horizontal="righ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  <numFmt numFmtId="3" formatCode="#,##0"/>
      <alignment horizontal="righ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charset val="204"/>
        <scheme val="minor"/>
      </font>
      <numFmt numFmtId="169" formatCode="0.0%"/>
      <alignment horizontal="righ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charset val="204"/>
        <scheme val="minor"/>
      </font>
      <numFmt numFmtId="169" formatCode="0.0%"/>
      <alignment horizontal="righ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  <numFmt numFmtId="3" formatCode="#,##0"/>
      <alignment horizontal="righ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  <numFmt numFmtId="4" formatCode="#,##0.00"/>
      <fill>
        <patternFill patternType="solid">
          <fgColor indexed="64"/>
          <bgColor theme="9" tint="0.79998168889431442"/>
        </patternFill>
      </fill>
      <alignment horizontal="righ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  <numFmt numFmtId="3" formatCode="#,##0"/>
      <alignment horizontal="righ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04"/>
        <scheme val="minor"/>
      </font>
      <numFmt numFmtId="4" formatCode="#,##0.00"/>
      <fill>
        <patternFill patternType="solid">
          <fgColor indexed="64"/>
          <bgColor theme="8" tint="0.79998168889431442"/>
        </patternFill>
      </fill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charset val="204"/>
        <scheme val="minor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charset val="204"/>
        <scheme val="minor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charset val="204"/>
        <scheme val="minor"/>
      </font>
      <numFmt numFmtId="0" formatCode="General"/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  <alignment horizontal="righ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04"/>
        <scheme val="minor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64" formatCode="_ * #,##0.00_ ;_ * \-#,##0.00_ ;_ * &quot;-&quot;??_ ;_ @_ 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64" formatCode="_ * #,##0.00_ ;_ * \-#,##0.00_ ;_ * &quot;-&quot;??_ ;_ @_ "/>
    </dxf>
    <dxf>
      <numFmt numFmtId="170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04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_ * #,##0.00_ ;_ * \-#,##0.00_ ;_ * &quot;-&quot;??_ ;_ @_ "/>
    </dxf>
    <dxf>
      <numFmt numFmtId="170" formatCode="_-* #,##0_-;\-* #,##0_-;_-* &quot;-&quot;??_-;_-@_-"/>
    </dxf>
    <dxf>
      <numFmt numFmtId="164" formatCode="_ * #,##0.00_ ;_ * \-#,##0.00_ ;_ * &quot;-&quot;??_ ;_ @_ "/>
    </dxf>
    <dxf>
      <numFmt numFmtId="14" formatCode="0.00%"/>
    </dxf>
    <dxf>
      <numFmt numFmtId="166" formatCode="#,##0.0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04"/>
        <scheme val="none"/>
      </font>
      <numFmt numFmtId="164" formatCode="_ * #,##0.00_ ;_ * \-#,##0.0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04"/>
        <scheme val="none"/>
      </font>
      <numFmt numFmtId="179" formatCode="#,##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charset val="204"/>
        <scheme val="minor"/>
      </font>
      <numFmt numFmtId="164" formatCode="_ * #,##0.00_ ;_ * \-#,##0.00_ ;_ * &quot;-&quot;??_ ;_ @_ 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04"/>
        <scheme val="none"/>
      </font>
      <numFmt numFmtId="19" formatCode="dd/mm/yyyy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04"/>
        <scheme val="none"/>
      </font>
      <numFmt numFmtId="19" formatCode="dd/mm/yyyy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04"/>
        <scheme val="none"/>
      </font>
      <numFmt numFmtId="169" formatCode="0.0%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9" formatCode="0.0%"/>
      <alignment horizontal="general" vertical="center" textRotation="0" wrapText="0" indent="0" justifyLastLine="0" shrinkToFit="0" readingOrder="0"/>
    </dxf>
    <dxf>
      <numFmt numFmtId="19" formatCode="dd/mm/yyyy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04"/>
        <scheme val="none"/>
      </font>
      <numFmt numFmtId="164" formatCode="_ * #,##0.00_ ;_ * \-#,##0.0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04"/>
        <scheme val="none"/>
      </font>
      <numFmt numFmtId="164" formatCode="_ * #,##0.00_ ;_ * \-#,##0.0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charset val="204"/>
        <scheme val="none"/>
      </font>
      <numFmt numFmtId="164" formatCode="_ * #,##0.00_ ;_ * \-#,##0.00_ ;_ * &quot;-&quot;??_ ;_ @_ "/>
    </dxf>
    <dxf>
      <numFmt numFmtId="173" formatCode="0.000%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04"/>
        <scheme val="none"/>
      </font>
      <numFmt numFmtId="170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70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04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04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04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04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charset val="204"/>
        <scheme val="none"/>
      </font>
      <numFmt numFmtId="164" formatCode="_ * #,##0.00_ ;_ * \-#,##0.00_ ;_ * &quot;-&quot;??_ ;_ @_ "/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numFmt numFmtId="164" formatCode="_ * #,##0.00_ ;_ * \-#,##0.00_ ;_ * &quot;-&quot;??_ ;_ @_ 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charset val="204"/>
        <scheme val="none"/>
      </font>
      <numFmt numFmtId="164" formatCode="_ * #,##0.00_ ;_ * \-#,##0.00_ ;_ * &quot;-&quot;??_ ;_ @_ "/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numFmt numFmtId="164" formatCode="_ * #,##0.00_ ;_ * \-#,##0.00_ ;_ * &quot;-&quot;??_ ;_ @_ 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charset val="204"/>
        <scheme val="none"/>
      </font>
      <numFmt numFmtId="164" formatCode="_ * #,##0.00_ ;_ * \-#,##0.00_ ;_ * &quot;-&quot;??_ ;_ @_ "/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numFmt numFmtId="164" formatCode="_ * #,##0.00_ ;_ * \-#,##0.00_ ;_ * &quot;-&quot;??_ ;_ @_ 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charset val="204"/>
        <scheme val="none"/>
      </font>
      <numFmt numFmtId="164" formatCode="_ * #,##0.00_ ;_ * \-#,##0.00_ ;_ * &quot;-&quot;??_ ;_ @_ "/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numFmt numFmtId="164" formatCode="_ * #,##0.00_ ;_ * \-#,##0.00_ ;_ * &quot;-&quot;??_ ;_ @_ 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charset val="204"/>
        <scheme val="none"/>
      </font>
      <numFmt numFmtId="164" formatCode="_ * #,##0.00_ ;_ * \-#,##0.00_ ;_ * &quot;-&quot;??_ ;_ @_ "/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numFmt numFmtId="164" formatCode="_ * #,##0.00_ ;_ * \-#,##0.00_ ;_ * &quot;-&quot;??_ ;_ @_ 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charset val="204"/>
        <scheme val="none"/>
      </font>
      <numFmt numFmtId="164" formatCode="_ * #,##0.00_ ;_ * \-#,##0.00_ ;_ * &quot;-&quot;??_ ;_ @_ "/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numFmt numFmtId="164" formatCode="_ * #,##0.00_ ;_ * \-#,##0.00_ ;_ * &quot;-&quot;??_ ;_ @_ 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charset val="204"/>
        <scheme val="none"/>
      </font>
      <numFmt numFmtId="164" formatCode="_ * #,##0.00_ ;_ * \-#,##0.00_ ;_ * &quot;-&quot;??_ ;_ @_ "/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numFmt numFmtId="164" formatCode="_ * #,##0.00_ ;_ * \-#,##0.00_ ;_ * &quot;-&quot;??_ ;_ @_ 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charset val="204"/>
        <scheme val="none"/>
      </font>
      <numFmt numFmtId="164" formatCode="_ * #,##0.00_ ;_ * \-#,##0.00_ ;_ * &quot;-&quot;??_ ;_ @_ "/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numFmt numFmtId="164" formatCode="_ * #,##0.00_ ;_ * \-#,##0.00_ ;_ * &quot;-&quot;??_ ;_ @_ 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charset val="204"/>
        <scheme val="none"/>
      </font>
      <numFmt numFmtId="164" formatCode="_ * #,##0.00_ ;_ * \-#,##0.00_ ;_ * &quot;-&quot;??_ ;_ @_ "/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numFmt numFmtId="164" formatCode="_ * #,##0.00_ ;_ * \-#,##0.00_ ;_ * &quot;-&quot;??_ ;_ @_ 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charset val="204"/>
        <scheme val="none"/>
      </font>
      <numFmt numFmtId="164" formatCode="_ * #,##0.00_ ;_ * \-#,##0.00_ ;_ * &quot;-&quot;??_ ;_ @_ "/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numFmt numFmtId="164" formatCode="_ * #,##0.00_ ;_ * \-#,##0.00_ ;_ * &quot;-&quot;??_ ;_ @_ 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charset val="204"/>
        <scheme val="none"/>
      </font>
      <numFmt numFmtId="164" formatCode="_ * #,##0.00_ ;_ * \-#,##0.00_ ;_ * &quot;-&quot;??_ ;_ @_ "/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numFmt numFmtId="164" formatCode="_ * #,##0.00_ ;_ * \-#,##0.00_ ;_ * &quot;-&quot;??_ ;_ @_ 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charset val="204"/>
        <scheme val="none"/>
      </font>
      <numFmt numFmtId="164" formatCode="_ * #,##0.00_ ;_ * \-#,##0.00_ ;_ * &quot;-&quot;??_ ;_ @_ "/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numFmt numFmtId="164" formatCode="_ * #,##0.00_ ;_ * \-#,##0.00_ ;_ * &quot;-&quot;??_ ;_ @_ 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charset val="204"/>
        <scheme val="none"/>
      </font>
      <numFmt numFmtId="19" formatCode="dd/mm/yyyy"/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charset val="204"/>
        <scheme val="none"/>
      </font>
      <numFmt numFmtId="19" formatCode="dd/mm/yyyy"/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charset val="204"/>
        <scheme val="none"/>
      </font>
      <numFmt numFmtId="19" formatCode="dd/mm/yyyy"/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charset val="204"/>
        <scheme val="none"/>
      </font>
      <numFmt numFmtId="19" formatCode="dd/mm/yyyy"/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charset val="204"/>
        <scheme val="none"/>
      </font>
      <numFmt numFmtId="19" formatCode="dd/mm/yyyy"/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charset val="204"/>
        <scheme val="none"/>
      </font>
      <numFmt numFmtId="19" formatCode="dd/mm/yyyy"/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charset val="204"/>
        <scheme val="none"/>
      </font>
      <numFmt numFmtId="19" formatCode="dd/mm/yyyy"/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charset val="204"/>
        <scheme val="none"/>
      </font>
      <numFmt numFmtId="19" formatCode="dd/mm/yyyy"/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charset val="204"/>
        <scheme val="none"/>
      </font>
      <numFmt numFmtId="19" formatCode="dd/mm/yyyy"/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charset val="204"/>
        <scheme val="none"/>
      </font>
      <numFmt numFmtId="19" formatCode="dd/mm/yyyy"/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charset val="204"/>
        <scheme val="none"/>
      </font>
      <numFmt numFmtId="19" formatCode="dd/mm/yyyy"/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charset val="204"/>
        <scheme val="none"/>
      </font>
      <numFmt numFmtId="19" formatCode="dd/mm/yyyy"/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charset val="204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charset val="204"/>
        <scheme val="none"/>
      </font>
      <numFmt numFmtId="14" formatCode="0.00%"/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charset val="204"/>
        <scheme val="none"/>
      </font>
      <numFmt numFmtId="164" formatCode="_ * #,##0.00_ ;_ * \-#,##0.00_ ;_ * &quot;-&quot;??_ ;_ @_ "/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04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04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04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04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charset val="204"/>
        <scheme val="none"/>
      </font>
      <numFmt numFmtId="164" formatCode="_ * #,##0.00_ ;_ * \-#,##0.00_ ;_ * &quot;-&quot;??_ ;_ @_ "/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numFmt numFmtId="164" formatCode="_ * #,##0.00_ ;_ * \-#,##0.0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04"/>
        <scheme val="none"/>
      </font>
      <numFmt numFmtId="166" formatCode="#,##0.0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04"/>
        <scheme val="none"/>
      </font>
      <numFmt numFmtId="166" formatCode="#,##0.0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04"/>
        <scheme val="none"/>
      </font>
      <numFmt numFmtId="169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04"/>
        <scheme val="none"/>
      </font>
      <numFmt numFmtId="169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charset val="204"/>
        <scheme val="none"/>
      </font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charset val="204"/>
        <scheme val="none"/>
      </font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04"/>
        <scheme val="none"/>
      </font>
      <numFmt numFmtId="164" formatCode="_ * #,##0.00_ ;_ * \-#,##0.00_ ;_ * &quot;-&quot;??_ ;_ @_ 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04"/>
        <scheme val="none"/>
      </font>
      <numFmt numFmtId="164" formatCode="_ * #,##0.00_ ;_ * \-#,##0.00_ ;_ * &quot;-&quot;??_ ;_ @_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04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04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04"/>
        <scheme val="none"/>
      </font>
      <numFmt numFmtId="169" formatCode="0.0%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04"/>
        <scheme val="none"/>
      </font>
      <numFmt numFmtId="169" formatCode="0.0%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04"/>
        <scheme val="none"/>
      </font>
      <numFmt numFmtId="164" formatCode="_ * #,##0.00_ ;_ * \-#,##0.0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04"/>
        <scheme val="none"/>
      </font>
      <numFmt numFmtId="164" formatCode="_ * #,##0.00_ ;_ * \-#,##0.00_ ;_ * &quot;-&quot;??_ ;_ @_ 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charset val="204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charset val="204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charset val="204"/>
        <scheme val="none"/>
      </font>
      <numFmt numFmtId="170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charset val="204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charset val="204"/>
        <scheme val="none"/>
      </font>
      <numFmt numFmtId="170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charset val="204"/>
        <scheme val="none"/>
      </font>
      <numFmt numFmtId="170" formatCode="_-* #,##0_-;\-* #,##0_-;_-* &quot;-&quot;??_-;_-@_-"/>
      <alignment horizontal="general"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charset val="204"/>
        <scheme val="none"/>
      </font>
      <fill>
        <patternFill patternType="solid">
          <fgColor indexed="64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charset val="204"/>
        <scheme val="none"/>
      </font>
      <numFmt numFmtId="170" formatCode="_-* #,##0_-;\-* #,##0_-;_-* &quot;-&quot;??_-;_-@_-"/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numFmt numFmtId="170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charset val="204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charset val="204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04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04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04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04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04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04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04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04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04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charset val="204"/>
        <scheme val="none"/>
      </font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charset val="204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04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04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charset val="204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04"/>
        <scheme val="none"/>
      </font>
      <fill>
        <patternFill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font>
        <b val="0"/>
        <charset val="204"/>
      </font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4" formatCode="0.0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4" formatCode="0.0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9" formatCode="dd/mm/yyyy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9" formatCode="dd/mm/yyyy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5" formatCode="_-* #,##0.00\ _₽_-;\-* #,##0.00\ _₽_-;_-* &quot;-&quot;??\ _₽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04"/>
        <scheme val="none"/>
      </font>
      <numFmt numFmtId="170" formatCode="_-* #,##0_-;\-* #,##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5" formatCode="_-* #,##0.00\ _₽_-;\-* #,##0.00\ _₽_-;_-* &quot;-&quot;??\ _₽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04"/>
        <scheme val="none"/>
      </font>
      <numFmt numFmtId="164" formatCode="_ * #,##0.00_ ;_ * \-#,##0.00_ ;_ * &quot;-&quot;??_ ;_ @_ "/>
      <fill>
        <patternFill patternType="solid">
          <fgColor indexed="64"/>
          <bgColor theme="0" tint="-4.9989318521683403E-2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5" formatCode="_-* #,##0.00\ _₽_-;\-* #,##0.00\ _₽_-;_-* &quot;-&quot;??\ _₽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70" formatCode="_-* #,##0_-;\-* #,##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5" formatCode="_-* #,##0.00\ _₽_-;\-* #,##0.00\ _₽_-;_-* &quot;-&quot;??\ _₽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70" formatCode="_-* #,##0_-;\-* #,##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5" formatCode="_-* #,##0.00\ _₽_-;\-* #,##0.00\ _₽_-;_-* &quot;-&quot;??\ _₽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70" formatCode="_-* #,##0_-;\-* #,##0_-;_-* &quot;-&quot;??_-;_-@_-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70" formatCode="_-* #,##0_-;\-* #,##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70" formatCode="_-* #,##0_-;\-* #,##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70" formatCode="_-* #,##0_-;\-* #,##0_-;_-* &quot;-&quot;??_-;_-@_-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4" formatCode="#,##0.0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70" formatCode="_-* #,##0_-;\-* #,##0_-;_-* &quot;-&quot;??_-;_-@_-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6" formatCode="#,##0.000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charset val="204"/>
        <scheme val="none"/>
      </font>
      <numFmt numFmtId="166" formatCode="#,##0.000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7" formatCode="#,##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charset val="204"/>
        <scheme val="none"/>
      </font>
      <numFmt numFmtId="167" formatCode="#,##0.00%"/>
      <fill>
        <patternFill patternType="solid">
          <fgColor indexed="64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6" formatCode="#,##0.0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6" formatCode="#,##0.000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5" formatCode="_-* #,##0.00\ _₽_-;\-* #,##0.00\ _₽_-;_-* &quot;-&quot;??\ _₽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70" formatCode="_-* #,##0_-;\-* #,##0_-;_-* &quot;-&quot;??_-;_-@_-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7" formatCode="#,##0.00%"/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04"/>
        <scheme val="none"/>
      </font>
      <numFmt numFmtId="14" formatCode="0.00%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04"/>
        <scheme val="none"/>
      </font>
      <numFmt numFmtId="170" formatCode="_-* #,##0_-;\-* #,##0_-;_-* &quot;-&quot;??_-;_-@_-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4" formatCode="_-* #,##0.0\ _₽_-;\-* #,##0.0\ _₽_-;_-* &quot;-&quot;?\ _₽_-;_-@_-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70" formatCode="_-* #,##0_-;\-* #,##0_-;_-* &quot;-&quot;??_-;_-@_-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numFmt numFmtId="169" formatCode="0.0%"/>
    </dxf>
    <dxf>
      <numFmt numFmtId="169" formatCode="0.0%"/>
      <fill>
        <patternFill patternType="none">
          <fgColor indexed="64"/>
          <bgColor auto="1"/>
        </patternFill>
      </fill>
    </dxf>
    <dxf>
      <numFmt numFmtId="169" formatCode="0.0%"/>
    </dxf>
    <dxf>
      <numFmt numFmtId="169" formatCode="0.0%"/>
      <fill>
        <patternFill patternType="none">
          <fgColor indexed="64"/>
          <bgColor auto="1"/>
        </patternFill>
      </fill>
    </dxf>
    <dxf>
      <numFmt numFmtId="195" formatCode="0.000"/>
    </dxf>
    <dxf>
      <font>
        <color auto="1"/>
      </font>
      <numFmt numFmtId="195" formatCode="0.0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charset val="204"/>
        <scheme val="none"/>
      </font>
      <numFmt numFmtId="167" formatCode="#,##0.0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9" formatCode="dd/mm/yyyy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70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70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70" formatCode="_-* #,##0_-;\-* #,##0_-;_-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minor"/>
      </font>
      <numFmt numFmtId="14" formatCode="0.0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minor"/>
      </font>
      <numFmt numFmtId="14" formatCode="0.0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04"/>
        <scheme val="none"/>
      </font>
      <numFmt numFmtId="0" formatCode="General"/>
      <fill>
        <patternFill>
          <fgColor indexed="64"/>
          <bgColor theme="9" tint="0.79998168889431442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04"/>
        <scheme val="none"/>
      </font>
      <numFmt numFmtId="0" formatCode="General"/>
      <fill>
        <patternFill>
          <fgColor indexed="64"/>
          <bgColor theme="9" tint="0.79998168889431442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04"/>
        <scheme val="none"/>
      </font>
      <numFmt numFmtId="0" formatCode="General"/>
      <fill>
        <patternFill>
          <fgColor indexed="64"/>
          <bgColor theme="9" tint="0.79998168889431442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4" formatCode="0.00%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solid">
          <fgColor indexed="64"/>
          <bgColor theme="2" tint="-9.9978637043366805E-2"/>
        </patternFill>
      </fill>
      <alignment horizontal="center" textRotation="0" wrapText="0" indent="0" justifyLastLine="0" shrinkToFit="0" readingOrder="0"/>
    </dxf>
  </dxfs>
  <tableStyles count="0" defaultTableStyle="TableStyleMedium2" defaultPivotStyle="PivotStyleLight16"/>
  <colors>
    <mruColors>
      <color rgb="FFE3DACF"/>
      <color rgb="FFD8CDBE"/>
      <color rgb="FFD1C4B3"/>
      <color rgb="FFD7C7B1"/>
      <color rgb="FFDEC4AA"/>
      <color rgb="FFE4CFBA"/>
      <color rgb="FFCD915F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microsoft.com/office/2017/06/relationships/rdSupportingPropertyBagStructure" Target="richData/rdsupportingpropertybagstructure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microsoft.com/office/2017/06/relationships/richStyles" Target="richData/richStyles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microsoft.com/office/2017/06/relationships/rdRichValueStructure" Target="richData/rdrichvaluestructure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36" Type="http://schemas.microsoft.com/office/2017/06/relationships/rdRichValueTypes" Target="richData/rdRichValueTyp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sheetMetadata" Target="metadata.xml"/><Relationship Id="rId35" Type="http://schemas.microsoft.com/office/2017/06/relationships/rdSupportingPropertyBag" Target="richData/rdsupportingpropertybag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Portfolio composition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Composition!$B$2</c:f>
              <c:strCache>
                <c:ptCount val="1"/>
                <c:pt idx="0">
                  <c:v> Developed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Composition!$A$3:$A$12</c:f>
              <c:strCache>
                <c:ptCount val="10"/>
                <c:pt idx="0">
                  <c:v>Bonds</c:v>
                </c:pt>
                <c:pt idx="1">
                  <c:v>Bonds ETFs</c:v>
                </c:pt>
                <c:pt idx="2">
                  <c:v>Private Credit</c:v>
                </c:pt>
                <c:pt idx="3">
                  <c:v>Equity</c:v>
                </c:pt>
                <c:pt idx="4">
                  <c:v>Equity ETF</c:v>
                </c:pt>
                <c:pt idx="5">
                  <c:v>Option</c:v>
                </c:pt>
                <c:pt idx="6">
                  <c:v>JPM Modules</c:v>
                </c:pt>
                <c:pt idx="7">
                  <c:v>Alternative Assets</c:v>
                </c:pt>
                <c:pt idx="8">
                  <c:v>Cash</c:v>
                </c:pt>
                <c:pt idx="9">
                  <c:v>RE proceeds 2026</c:v>
                </c:pt>
              </c:strCache>
            </c:strRef>
          </c:cat>
          <c:val>
            <c:numRef>
              <c:f>Composition!$B$3:$B$12</c:f>
              <c:numCache>
                <c:formatCode>_ * #,##0_ ;_ * \-#,##0_ ;_ * "-"??_ ;_ @_ </c:formatCode>
                <c:ptCount val="10"/>
                <c:pt idx="0">
                  <c:v>34561291.080058888</c:v>
                </c:pt>
                <c:pt idx="1">
                  <c:v>14063941.496800002</c:v>
                </c:pt>
                <c:pt idx="2">
                  <c:v>8286075.7047329992</c:v>
                </c:pt>
                <c:pt idx="3">
                  <c:v>9121276.550836999</c:v>
                </c:pt>
                <c:pt idx="4">
                  <c:v>9194626.0053652562</c:v>
                </c:pt>
                <c:pt idx="5">
                  <c:v>333276</c:v>
                </c:pt>
                <c:pt idx="6">
                  <c:v>13293212.062253501</c:v>
                </c:pt>
                <c:pt idx="7">
                  <c:v>0</c:v>
                </c:pt>
                <c:pt idx="8">
                  <c:v>10854064.439999999</c:v>
                </c:pt>
                <c:pt idx="9">
                  <c:v>21426488.083249412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96-4DDD-B7CA-96076CF07294}"/>
            </c:ext>
          </c:extLst>
        </c:ser>
        <c:ser>
          <c:idx val="1"/>
          <c:order val="1"/>
          <c:tx>
            <c:strRef>
              <c:f>Composition!$C$2</c:f>
              <c:strCache>
                <c:ptCount val="1"/>
                <c:pt idx="0">
                  <c:v> Emerging Markets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Composition!$A$3:$A$12</c:f>
              <c:strCache>
                <c:ptCount val="10"/>
                <c:pt idx="0">
                  <c:v>Bonds</c:v>
                </c:pt>
                <c:pt idx="1">
                  <c:v>Bonds ETFs</c:v>
                </c:pt>
                <c:pt idx="2">
                  <c:v>Private Credit</c:v>
                </c:pt>
                <c:pt idx="3">
                  <c:v>Equity</c:v>
                </c:pt>
                <c:pt idx="4">
                  <c:v>Equity ETF</c:v>
                </c:pt>
                <c:pt idx="5">
                  <c:v>Option</c:v>
                </c:pt>
                <c:pt idx="6">
                  <c:v>JPM Modules</c:v>
                </c:pt>
                <c:pt idx="7">
                  <c:v>Alternative Assets</c:v>
                </c:pt>
                <c:pt idx="8">
                  <c:v>Cash</c:v>
                </c:pt>
                <c:pt idx="9">
                  <c:v>RE proceeds 2026</c:v>
                </c:pt>
              </c:strCache>
            </c:strRef>
          </c:cat>
          <c:val>
            <c:numRef>
              <c:f>Composition!$C$3:$C$12</c:f>
              <c:numCache>
                <c:formatCode>_ * #,##0_ ;_ * \-#,##0_ ;_ * "-"??_ ;_ @_ </c:formatCode>
                <c:ptCount val="10"/>
                <c:pt idx="0">
                  <c:v>33032532.3338507</c:v>
                </c:pt>
                <c:pt idx="1">
                  <c:v>14582344.265057996</c:v>
                </c:pt>
                <c:pt idx="3">
                  <c:v>1411825.5</c:v>
                </c:pt>
                <c:pt idx="4">
                  <c:v>4072892.6034999993</c:v>
                </c:pt>
                <c:pt idx="5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96-4DDD-B7CA-96076CF07294}"/>
            </c:ext>
          </c:extLst>
        </c:ser>
        <c:ser>
          <c:idx val="2"/>
          <c:order val="2"/>
          <c:tx>
            <c:strRef>
              <c:f>Composition!$D$2</c:f>
              <c:strCache>
                <c:ptCount val="1"/>
                <c:pt idx="0">
                  <c:v> Frontier Markets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Composition!$A$3:$A$12</c:f>
              <c:strCache>
                <c:ptCount val="10"/>
                <c:pt idx="0">
                  <c:v>Bonds</c:v>
                </c:pt>
                <c:pt idx="1">
                  <c:v>Bonds ETFs</c:v>
                </c:pt>
                <c:pt idx="2">
                  <c:v>Private Credit</c:v>
                </c:pt>
                <c:pt idx="3">
                  <c:v>Equity</c:v>
                </c:pt>
                <c:pt idx="4">
                  <c:v>Equity ETF</c:v>
                </c:pt>
                <c:pt idx="5">
                  <c:v>Option</c:v>
                </c:pt>
                <c:pt idx="6">
                  <c:v>JPM Modules</c:v>
                </c:pt>
                <c:pt idx="7">
                  <c:v>Alternative Assets</c:v>
                </c:pt>
                <c:pt idx="8">
                  <c:v>Cash</c:v>
                </c:pt>
                <c:pt idx="9">
                  <c:v>RE proceeds 2026</c:v>
                </c:pt>
              </c:strCache>
            </c:strRef>
          </c:cat>
          <c:val>
            <c:numRef>
              <c:f>Composition!$D$3:$D$12</c:f>
              <c:numCache>
                <c:formatCode>_ * #,##0_ ;_ * \-#,##0_ ;_ * "-"??_ ;_ @_ </c:formatCode>
                <c:ptCount val="10"/>
                <c:pt idx="0">
                  <c:v>4161889.2055555554</c:v>
                </c:pt>
                <c:pt idx="1">
                  <c:v>1000000.0149999999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D96-4DDD-B7CA-96076CF072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69709999"/>
        <c:axId val="769709039"/>
      </c:barChart>
      <c:catAx>
        <c:axId val="7697099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9709039"/>
        <c:crosses val="autoZero"/>
        <c:auto val="1"/>
        <c:lblAlgn val="ctr"/>
        <c:lblOffset val="100"/>
        <c:noMultiLvlLbl val="0"/>
      </c:catAx>
      <c:valAx>
        <c:axId val="769709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9709999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Portfolio allocation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B3D-4234-876F-002FEC473C3C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BB3D-4234-876F-002FEC473C3C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D6F-4BE1-AC14-D68293BFE4ED}"/>
              </c:ext>
            </c:extLst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C8F-478D-834D-903025231371}"/>
              </c:ext>
            </c:extLst>
          </c:dPt>
          <c:dPt>
            <c:idx val="4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B50F-481B-BF97-49009D1DCA0E}"/>
              </c:ext>
            </c:extLst>
          </c:dPt>
          <c:dPt>
            <c:idx val="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A9D0-4E5D-9E71-DEAD0C94B01C}"/>
              </c:ext>
            </c:extLst>
          </c:dPt>
          <c:dPt>
            <c:idx val="6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A958-4FC2-B1C5-7D29AF9B9623}"/>
              </c:ext>
            </c:extLst>
          </c:dPt>
          <c:dLbls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A9D0-4E5D-9E71-DEAD0C94B0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Results!$M$20:$M$26</c:f>
              <c:strCache>
                <c:ptCount val="7"/>
                <c:pt idx="0">
                  <c:v>Bonds</c:v>
                </c:pt>
                <c:pt idx="1">
                  <c:v>Deposits</c:v>
                </c:pt>
                <c:pt idx="2">
                  <c:v>Bond Funds</c:v>
                </c:pt>
                <c:pt idx="3">
                  <c:v>Equities (incl. ETF)</c:v>
                </c:pt>
                <c:pt idx="4">
                  <c:v>AI</c:v>
                </c:pt>
                <c:pt idx="5">
                  <c:v>Real Estate</c:v>
                </c:pt>
                <c:pt idx="6">
                  <c:v>Cash</c:v>
                </c:pt>
              </c:strCache>
            </c:strRef>
          </c:cat>
          <c:val>
            <c:numRef>
              <c:f>Results!$N$20:$N$26</c:f>
              <c:numCache>
                <c:formatCode>0.0%</c:formatCode>
                <c:ptCount val="7"/>
                <c:pt idx="0">
                  <c:v>1.3107032536729324</c:v>
                </c:pt>
                <c:pt idx="1">
                  <c:v>0.2365313690182031</c:v>
                </c:pt>
                <c:pt idx="2">
                  <c:v>0.67992149733546592</c:v>
                </c:pt>
                <c:pt idx="3">
                  <c:v>#N/A</c:v>
                </c:pt>
                <c:pt idx="4">
                  <c:v>0.17406237111239578</c:v>
                </c:pt>
                <c:pt idx="5">
                  <c:v>1.3166054130827811</c:v>
                </c:pt>
                <c:pt idx="6">
                  <c:v>-4.7473235272391161E-2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3D-4234-876F-002FEC473C3C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Currency </a:t>
            </a:r>
            <a:r>
              <a:rPr lang="en-US" baseline="0"/>
              <a:t> allocation</a:t>
            </a:r>
            <a:endParaRPr lang="en-US"/>
          </a:p>
        </c:rich>
      </c:tx>
      <c:layout>
        <c:manualLayout>
          <c:xMode val="edge"/>
          <c:yMode val="edge"/>
          <c:x val="0.5211325933655883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8A2-42F4-8335-E8337C47E47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DDD-48A1-B876-6A30870BA79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DDD-48A1-B876-6A30870BA79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DDD-48A1-B876-6A30870BA79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DDD-48A1-B876-6A30870BA79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8DDD-48A1-B876-6A30870BA79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8DDD-48A1-B876-6A30870BA79E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28A2-42F4-8335-E8337C47E47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Results!$B$4:$B$10</c:f>
              <c:strCache>
                <c:ptCount val="7"/>
                <c:pt idx="0">
                  <c:v>USD</c:v>
                </c:pt>
                <c:pt idx="1">
                  <c:v>GBP</c:v>
                </c:pt>
                <c:pt idx="2">
                  <c:v>EUR</c:v>
                </c:pt>
                <c:pt idx="3">
                  <c:v>CAD</c:v>
                </c:pt>
                <c:pt idx="4">
                  <c:v>BRL</c:v>
                </c:pt>
                <c:pt idx="5">
                  <c:v>TRY</c:v>
                </c:pt>
                <c:pt idx="6">
                  <c:v>Other (JPM DP)</c:v>
                </c:pt>
              </c:strCache>
            </c:strRef>
          </c:cat>
          <c:val>
            <c:numRef>
              <c:f>Results!$C$4:$C$10</c:f>
              <c:numCache>
                <c:formatCode>0.0%</c:formatCode>
                <c:ptCount val="7"/>
                <c:pt idx="0">
                  <c:v>0</c:v>
                </c:pt>
                <c:pt idx="1">
                  <c:v>0.91907903525373824</c:v>
                </c:pt>
                <c:pt idx="2">
                  <c:v>0</c:v>
                </c:pt>
                <c:pt idx="3">
                  <c:v>9.128823837192648E-3</c:v>
                </c:pt>
                <c:pt idx="4">
                  <c:v>4.3523630768849707E-2</c:v>
                </c:pt>
                <c:pt idx="5">
                  <c:v>1.6885031879774578E-2</c:v>
                </c:pt>
                <c:pt idx="6">
                  <c:v>1.1918192163761705E-2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A2-42F4-8335-E8337C47E479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5255668342661988"/>
          <c:y val="0.20825021872265967"/>
          <c:w val="0.30261948581728487"/>
          <c:h val="0.664466681248177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Portfolio</a:t>
            </a:r>
            <a:r>
              <a:rPr lang="en-US" sz="1200" baseline="0"/>
              <a:t> allocation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242163382426937"/>
          <c:y val="0.15258967629046369"/>
          <c:w val="0.58781091482735648"/>
          <c:h val="0.78782990667833186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123-4FB2-B0F9-C0A182ABD351}"/>
              </c:ext>
            </c:extLst>
          </c:dPt>
          <c:val>
            <c:numRef>
              <c:f>'Portfolio LTV'!#REF!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'Portfolio LTV'!#REF!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3123-4FB2-B0F9-C0A182ABD3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6806880800838029"/>
          <c:y val="0.2869268705740739"/>
          <c:w val="0.21068451387628354"/>
          <c:h val="0.5361757436836510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Bonds</a:t>
            </a:r>
            <a:r>
              <a:rPr lang="en-US" sz="1200" b="1" baseline="0"/>
              <a:t> portfolio M.duration distribution</a:t>
            </a:r>
            <a:endParaRPr lang="en-US" sz="12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5">
                <a:lumMod val="60000"/>
                <a:lumOff val="40000"/>
              </a:schemeClr>
            </a:solidFill>
            <a:ln>
              <a:solidFill>
                <a:schemeClr val="tx1">
                  <a:lumMod val="50000"/>
                  <a:lumOff val="50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Bonds_Analysis!$B$21:$B$26</c:f>
              <c:strCache>
                <c:ptCount val="6"/>
                <c:pt idx="0">
                  <c:v>&lt;1 year</c:v>
                </c:pt>
                <c:pt idx="1">
                  <c:v>1-3 years</c:v>
                </c:pt>
                <c:pt idx="2">
                  <c:v>3-5 years</c:v>
                </c:pt>
                <c:pt idx="3">
                  <c:v>5-7 years</c:v>
                </c:pt>
                <c:pt idx="4">
                  <c:v>7-10 years</c:v>
                </c:pt>
                <c:pt idx="5">
                  <c:v>10+ years</c:v>
                </c:pt>
              </c:strCache>
            </c:strRef>
          </c:cat>
          <c:val>
            <c:numRef>
              <c:f>Bonds_Analysis!$C$21:$C$26</c:f>
              <c:numCache>
                <c:formatCode>0.0%</c:formatCode>
                <c:ptCount val="6"/>
                <c:pt idx="0">
                  <c:v>2.5875735106934031E-2</c:v>
                </c:pt>
                <c:pt idx="1">
                  <c:v>4.0062334893903435E-2</c:v>
                </c:pt>
                <c:pt idx="2">
                  <c:v>0.14673202011391848</c:v>
                </c:pt>
                <c:pt idx="3">
                  <c:v>0.26693847463929066</c:v>
                </c:pt>
                <c:pt idx="4">
                  <c:v>7.3003247258833906E-2</c:v>
                </c:pt>
                <c:pt idx="5">
                  <c:v>0.41478438605816553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5B-4766-82E5-C07ECF195A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7"/>
        <c:overlap val="8"/>
        <c:axId val="252122783"/>
        <c:axId val="175661711"/>
      </c:barChart>
      <c:catAx>
        <c:axId val="252122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661711"/>
        <c:crosses val="autoZero"/>
        <c:auto val="1"/>
        <c:lblAlgn val="ctr"/>
        <c:lblOffset val="100"/>
        <c:noMultiLvlLbl val="0"/>
      </c:catAx>
      <c:valAx>
        <c:axId val="175661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21227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Currency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474056127599434"/>
          <c:y val="0.18801422848459731"/>
          <c:w val="0.7441570765192812"/>
          <c:h val="0.76374015748031499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>
                  <a:tint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7B8-4329-8910-A1DE9434E310}"/>
              </c:ext>
            </c:extLst>
          </c:dPt>
          <c:dPt>
            <c:idx val="1"/>
            <c:bubble3D val="0"/>
            <c:spPr>
              <a:solidFill>
                <a:schemeClr val="accent6">
                  <a:tint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7B8-4329-8910-A1DE9434E310}"/>
              </c:ext>
            </c:extLst>
          </c:dPt>
          <c:dPt>
            <c:idx val="2"/>
            <c:bubble3D val="0"/>
            <c:spPr>
              <a:solidFill>
                <a:schemeClr val="accent6">
                  <a:shade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7B8-4329-8910-A1DE9434E310}"/>
              </c:ext>
            </c:extLst>
          </c:dPt>
          <c:dPt>
            <c:idx val="3"/>
            <c:bubble3D val="0"/>
            <c:spPr>
              <a:solidFill>
                <a:schemeClr val="accent6">
                  <a:shade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0B4-499D-9820-07CFDC84430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Results!$B$15:$B$18</c:f>
              <c:strCache>
                <c:ptCount val="4"/>
                <c:pt idx="0">
                  <c:v>USD</c:v>
                </c:pt>
                <c:pt idx="1">
                  <c:v>GBP</c:v>
                </c:pt>
                <c:pt idx="2">
                  <c:v>EUR</c:v>
                </c:pt>
                <c:pt idx="3">
                  <c:v>BRL</c:v>
                </c:pt>
              </c:strCache>
            </c:strRef>
          </c:cat>
          <c:val>
            <c:numRef>
              <c:f>Results!$C$15:$C$18</c:f>
              <c:numCache>
                <c:formatCode>0.0%</c:formatCode>
                <c:ptCount val="4"/>
                <c:pt idx="0">
                  <c:v>0.66087241797660212</c:v>
                </c:pt>
                <c:pt idx="1">
                  <c:v>0.16705907517228041</c:v>
                </c:pt>
                <c:pt idx="2">
                  <c:v>0.13006061451352524</c:v>
                </c:pt>
                <c:pt idx="3">
                  <c:v>3.1904403412575534E-2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7B8-4329-8910-A1DE9434E3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1331869961267628E-2"/>
          <c:y val="0.1189687802182622"/>
          <c:w val="0.40444596599338128"/>
          <c:h val="7.40136759220886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sz="1600" b="1"/>
              <a:t>Antarras Dividends Total Income + PE &amp; RE Cash Flow </a:t>
            </a:r>
            <a:r>
              <a:rPr lang="en-US" sz="1600" b="1" baseline="0"/>
              <a:t>forecast</a:t>
            </a:r>
            <a:endParaRPr lang="en-US" sz="1600" b="1"/>
          </a:p>
          <a:p>
            <a:pPr>
              <a:defRPr sz="1600" b="1"/>
            </a:pPr>
            <a:endParaRPr lang="en-US" sz="1600" b="1"/>
          </a:p>
        </c:rich>
      </c:tx>
      <c:layout>
        <c:manualLayout>
          <c:xMode val="edge"/>
          <c:yMode val="edge"/>
          <c:x val="1.2489063867017572E-4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5630419799840707E-2"/>
          <c:y val="0.13336805348041014"/>
          <c:w val="0.89988693859237401"/>
          <c:h val="0.7222520564308971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'CF USD'!$B$42</c:f>
              <c:strCache>
                <c:ptCount val="1"/>
                <c:pt idx="0">
                  <c:v>Vontobel income</c:v>
                </c:pt>
              </c:strCache>
            </c:strRef>
          </c:tx>
          <c:spPr>
            <a:solidFill>
              <a:schemeClr val="accent6">
                <a:lumMod val="20000"/>
                <a:lumOff val="8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'CF USD'!$C$1:$Z$2</c:f>
              <c:numCache>
                <c:formatCode>[$-409]mmm\-yy;@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'CF USD'!$C$42:$Z$42</c:f>
              <c:numCache>
                <c:formatCode>_-* #,##0_-;\-* #,##0_-;_-* "-"??_-;_-@_-</c:formatCode>
                <c:ptCount val="12"/>
                <c:pt idx="0">
                  <c:v>371299.25957262504</c:v>
                </c:pt>
                <c:pt idx="1">
                  <c:v>9794357.4910726212</c:v>
                </c:pt>
                <c:pt idx="2">
                  <c:v>850184.88292262459</c:v>
                </c:pt>
                <c:pt idx="3">
                  <c:v>404909.49520516949</c:v>
                </c:pt>
                <c:pt idx="4">
                  <c:v>225415.49107262504</c:v>
                </c:pt>
                <c:pt idx="5">
                  <c:v>371868.05067262508</c:v>
                </c:pt>
                <c:pt idx="6">
                  <c:v>371299.25957262504</c:v>
                </c:pt>
                <c:pt idx="7">
                  <c:v>273283.49107262504</c:v>
                </c:pt>
                <c:pt idx="8">
                  <c:v>612860.88292262494</c:v>
                </c:pt>
                <c:pt idx="9">
                  <c:v>1147253.8310726245</c:v>
                </c:pt>
                <c:pt idx="10">
                  <c:v>296285.02427262504</c:v>
                </c:pt>
                <c:pt idx="11">
                  <c:v>504682.36628582503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A2-4990-A75D-ED104B77E84A}"/>
            </c:ext>
          </c:extLst>
        </c:ser>
        <c:ser>
          <c:idx val="1"/>
          <c:order val="1"/>
          <c:tx>
            <c:strRef>
              <c:f>'CF USD'!$B$43</c:f>
              <c:strCache>
                <c:ptCount val="1"/>
                <c:pt idx="0">
                  <c:v>UBS income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'CF USD'!$C$1:$Z$2</c:f>
              <c:numCache>
                <c:formatCode>[$-409]mmm\-yy;@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'CF USD'!$C$43:$Z$43</c:f>
              <c:numCache>
                <c:formatCode>_-* #,##0_-;\-* #,##0_-;_-* "-"??_-;_-@_-</c:formatCode>
                <c:ptCount val="12"/>
                <c:pt idx="0">
                  <c:v>137453.84101040667</c:v>
                </c:pt>
                <c:pt idx="1">
                  <c:v>121517.17793440665</c:v>
                </c:pt>
                <c:pt idx="2">
                  <c:v>118252.58331809896</c:v>
                </c:pt>
                <c:pt idx="3">
                  <c:v>115453.84101040664</c:v>
                </c:pt>
                <c:pt idx="4">
                  <c:v>115453.84101040664</c:v>
                </c:pt>
                <c:pt idx="5">
                  <c:v>118252.58331809896</c:v>
                </c:pt>
                <c:pt idx="6">
                  <c:v>137453.84101040667</c:v>
                </c:pt>
                <c:pt idx="7">
                  <c:v>115453.84101040664</c:v>
                </c:pt>
                <c:pt idx="8">
                  <c:v>118252.58331809896</c:v>
                </c:pt>
                <c:pt idx="9">
                  <c:v>115453.84101040664</c:v>
                </c:pt>
                <c:pt idx="10">
                  <c:v>115453.84101040664</c:v>
                </c:pt>
                <c:pt idx="11">
                  <c:v>118252.58331809896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A2-4990-A75D-ED104B77E8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7"/>
        <c:overlap val="100"/>
        <c:axId val="1075708128"/>
        <c:axId val="1075708608"/>
        <c:extLst>
          <c:ext xmlns:c15="http://schemas.microsoft.com/office/drawing/2012/chart" uri="{02D57815-91ED-43cb-92C2-25804820EDAC}">
            <c15:filteredBa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'CF USD'!$B$44</c15:sqref>
                        </c15:formulaRef>
                      </c:ext>
                    </c:extLst>
                    <c:strCache>
                      <c:ptCount val="1"/>
                      <c:pt idx="0">
                        <c:v>JPM</c:v>
                      </c:pt>
                    </c:strCache>
                  </c:strRef>
                </c:tx>
                <c:spPr>
                  <a:solidFill>
                    <a:schemeClr val="accent3">
                      <a:alpha val="70000"/>
                    </a:schemeClr>
                  </a:solidFill>
                  <a:ln>
                    <a:solidFill>
                      <a:schemeClr val="tx1"/>
                    </a:solidFill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'CF USD'!$C$1:$Z$2</c15:sqref>
                        </c15:formulaRef>
                      </c:ext>
                    </c:extLst>
                    <c:numCache>
                      <c:formatCode>[$-409]mmm\-yy;@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'CF USD'!$C$44:$Z$44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12"/>
                      <c:pt idx="0">
                        <c:v>104052.92200925</c:v>
                      </c:pt>
                      <c:pt idx="1">
                        <c:v>26023.944255000002</c:v>
                      </c:pt>
                      <c:pt idx="2">
                        <c:v>86731.276105000012</c:v>
                      </c:pt>
                      <c:pt idx="3">
                        <c:v>46293.677009250001</c:v>
                      </c:pt>
                      <c:pt idx="4">
                        <c:v>64148.944254999973</c:v>
                      </c:pt>
                      <c:pt idx="5">
                        <c:v>83843.272005000006</c:v>
                      </c:pt>
                      <c:pt idx="6">
                        <c:v>46293.677009250001</c:v>
                      </c:pt>
                      <c:pt idx="7">
                        <c:v>26023.944255000002</c:v>
                      </c:pt>
                      <c:pt idx="8">
                        <c:v>86731.276105000012</c:v>
                      </c:pt>
                      <c:pt idx="9">
                        <c:v>46293.677009250001</c:v>
                      </c:pt>
                      <c:pt idx="10">
                        <c:v>64148.944254999973</c:v>
                      </c:pt>
                      <c:pt idx="11">
                        <c:v>83843.272005000006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66A2-4990-A75D-ED104B77E84A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'CF USD'!$B$45</c15:sqref>
                        </c15:formulaRef>
                      </c:ext>
                    </c:extLst>
                    <c:strCache>
                      <c:ptCount val="1"/>
                      <c:pt idx="0">
                        <c:v>Personal</c:v>
                      </c:pt>
                    </c:strCache>
                  </c:strRef>
                </c:tx>
                <c:spPr>
                  <a:solidFill>
                    <a:schemeClr val="accent2">
                      <a:lumMod val="40000"/>
                      <a:lumOff val="60000"/>
                    </a:schemeClr>
                  </a:solidFill>
                  <a:ln>
                    <a:solidFill>
                      <a:schemeClr val="tx1"/>
                    </a:solidFill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12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'CF USD'!$C$1:$Z$2</c15:sqref>
                        </c15:formulaRef>
                      </c:ext>
                    </c:extLst>
                    <c:numCache>
                      <c:formatCode>[$-409]mmm\-yy;@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'CF USD'!$C$45:$Z$45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12"/>
                      <c:pt idx="0">
                        <c:v>82829.57964958332</c:v>
                      </c:pt>
                      <c:pt idx="1">
                        <c:v>38853.584722512176</c:v>
                      </c:pt>
                      <c:pt idx="2">
                        <c:v>61773.957916666666</c:v>
                      </c:pt>
                      <c:pt idx="3">
                        <c:v>72445.177982916648</c:v>
                      </c:pt>
                      <c:pt idx="4">
                        <c:v>52421.58458333333</c:v>
                      </c:pt>
                      <c:pt idx="5">
                        <c:v>56078.042916666665</c:v>
                      </c:pt>
                      <c:pt idx="6">
                        <c:v>54222.912982916663</c:v>
                      </c:pt>
                      <c:pt idx="7">
                        <c:v>38853.584722512176</c:v>
                      </c:pt>
                      <c:pt idx="8">
                        <c:v>108380.62458333332</c:v>
                      </c:pt>
                      <c:pt idx="9">
                        <c:v>49417.177982916663</c:v>
                      </c:pt>
                      <c:pt idx="10">
                        <c:v>50314.917916666658</c:v>
                      </c:pt>
                      <c:pt idx="11">
                        <c:v>86974.282916666663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6A2-4990-A75D-ED104B77E84A}"/>
                  </c:ext>
                </c:extLst>
              </c15:ser>
            </c15:filteredBarSeries>
          </c:ext>
        </c:extLst>
      </c:barChart>
      <c:barChart>
        <c:barDir val="col"/>
        <c:grouping val="clustered"/>
        <c:varyColors val="0"/>
        <c:ser>
          <c:idx val="6"/>
          <c:order val="6"/>
          <c:tx>
            <c:strRef>
              <c:f>'CF USD'!$B$79</c:f>
              <c:strCache>
                <c:ptCount val="1"/>
                <c:pt idx="0">
                  <c:v>PE &amp; RE Cash Flow (without US)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  <a:alpha val="79000"/>
              </a:schemeClr>
            </a:solidFill>
            <a:ln>
              <a:solidFill>
                <a:schemeClr val="accent1">
                  <a:lumMod val="75000"/>
                </a:schemeClr>
              </a:solidFill>
            </a:ln>
            <a:effectLst/>
          </c:spPr>
          <c:invertIfNegative val="0"/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AA-45A6-B8D5-282E73EB724D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B21-4A98-8F5E-B2CE2DBCF77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'CF USD'!$C$1:$Z$1</c:f>
              <c:numCache>
                <c:formatCode>[$-409]mmm\-yy;@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'CF USD'!$C$79:$Z$79</c:f>
              <c:numCache>
                <c:formatCode>_-* #,##0_-;\-* #,##0_-;_-* "-"??_-;_-@_-</c:formatCode>
                <c:ptCount val="12"/>
                <c:pt idx="0">
                  <c:v>-377.62095179999994</c:v>
                </c:pt>
                <c:pt idx="1">
                  <c:v>-327.71694179999992</c:v>
                </c:pt>
                <c:pt idx="2">
                  <c:v>39.680212200000007</c:v>
                </c:pt>
                <c:pt idx="3">
                  <c:v>148.73180819999999</c:v>
                </c:pt>
                <c:pt idx="4">
                  <c:v>132.34865820000002</c:v>
                </c:pt>
                <c:pt idx="5">
                  <c:v>3831.2092121999995</c:v>
                </c:pt>
                <c:pt idx="6">
                  <c:v>-287.26059179999993</c:v>
                </c:pt>
                <c:pt idx="7">
                  <c:v>167.12105819999999</c:v>
                </c:pt>
                <c:pt idx="8">
                  <c:v>1397.50595829285</c:v>
                </c:pt>
                <c:pt idx="9">
                  <c:v>180.82940820000002</c:v>
                </c:pt>
                <c:pt idx="10">
                  <c:v>167.12105819999999</c:v>
                </c:pt>
                <c:pt idx="11">
                  <c:v>73.11521220000003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075-4116-8243-056A86FE58ED}"/>
            </c:ext>
          </c:extLst>
        </c:ser>
        <c:ser>
          <c:idx val="7"/>
          <c:order val="7"/>
          <c:tx>
            <c:strRef>
              <c:f>'CF USD'!$B$80</c:f>
              <c:strCache>
                <c:ptCount val="1"/>
                <c:pt idx="0">
                  <c:v>US projects income</c:v>
                </c:pt>
              </c:strCache>
            </c:strRef>
          </c:tx>
          <c:spPr>
            <a:solidFill>
              <a:srgbClr val="7030A0">
                <a:alpha val="19000"/>
              </a:srgbClr>
            </a:solidFill>
            <a:ln>
              <a:solidFill>
                <a:schemeClr val="accent1">
                  <a:lumMod val="75000"/>
                </a:schemeClr>
              </a:solidFill>
            </a:ln>
            <a:effectLst/>
          </c:spPr>
          <c:invertIfNegative val="0"/>
          <c:cat>
            <c:numRef>
              <c:f>'CF USD'!$C$1:$Z$1</c:f>
              <c:numCache>
                <c:formatCode>[$-409]mmm\-yy;@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'CF USD'!$C$80:$Z$80</c:f>
              <c:numCache>
                <c:formatCode>_-* #,##0_-;\-* #,##0_-;_-* "-"??_-;_-@_-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8154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C7-4B6D-811B-4F4A380442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7"/>
        <c:overlap val="-12"/>
        <c:axId val="1524963040"/>
        <c:axId val="1524962080"/>
        <c:extLst>
          <c:ext xmlns:c15="http://schemas.microsoft.com/office/drawing/2012/chart" uri="{02D57815-91ED-43cb-92C2-25804820EDAC}">
            <c15:filteredBar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'CF USD'!$B$81</c15:sqref>
                        </c15:formulaRef>
                      </c:ext>
                    </c:extLst>
                    <c:strCache>
                      <c:ptCount val="1"/>
                      <c:pt idx="0">
                        <c:v>Private Equity Cash Flow</c:v>
                      </c:pt>
                    </c:strCache>
                  </c:strRef>
                </c:tx>
                <c:spPr>
                  <a:solidFill>
                    <a:schemeClr val="accent5">
                      <a:alpha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'CF USD'!$C$1:$Z$1</c15:sqref>
                        </c15:formulaRef>
                      </c:ext>
                    </c:extLst>
                    <c:numCache>
                      <c:formatCode>[$-409]mmm\-yy;@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'CF USD'!$C$81:$Z$81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12"/>
                      <c:pt idx="0">
                        <c:v>72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C075-4116-8243-056A86FE58ED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'CF USD'!$B$82</c15:sqref>
                        </c15:formulaRef>
                      </c:ext>
                    </c:extLst>
                    <c:strCache>
                      <c:ptCount val="1"/>
                      <c:pt idx="0">
                        <c:v>Real Estate Cash Flow</c:v>
                      </c:pt>
                    </c:strCache>
                  </c:strRef>
                </c:tx>
                <c:spPr>
                  <a:solidFill>
                    <a:schemeClr val="accent6">
                      <a:alpha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dLbl>
                    <c:idx val="3"/>
                    <c:layout>
                      <c:manualLayout>
                        <c:x val="1.1123941628314133E-2"/>
                        <c:y val="-7.6390507265980873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0-CC39-4353-8D22-7FCE02700895}"/>
                      </c:ext>
                    </c:extLst>
                  </c:dLbl>
                  <c:spPr>
                    <a:solidFill>
                      <a:sysClr val="windowText" lastClr="000000">
                        <a:lumMod val="50000"/>
                        <a:lumOff val="50000"/>
                      </a:sysClr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clip" horzOverflow="clip" vert="horz" wrap="square" lIns="36576" tIns="18288" rIns="36576" bIns="18288" anchor="ctr" anchorCtr="1">
                      <a:spAutoFit/>
                    </a:bodyPr>
                    <a:lstStyle/>
                    <a:p>
                      <a:pPr>
                        <a:defRPr sz="1200" b="0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pPr xmlns:c15="http://schemas.microsoft.com/office/drawing/2012/chart">
                        <a:prstGeom prst="wedgeEllipseCallout">
                          <a:avLst/>
                        </a:prstGeom>
                        <a:noFill/>
                        <a:ln>
                          <a:noFill/>
                        </a:ln>
                      </c15:spPr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'CF USD'!$C$1:$Z$1</c15:sqref>
                        </c15:formulaRef>
                      </c:ext>
                    </c:extLst>
                    <c:numCache>
                      <c:formatCode>[$-409]mmm\-yy;@</c:formatCode>
                      <c:ptCount val="12"/>
                      <c:pt idx="0">
                        <c:v>46023</c:v>
                      </c:pt>
                      <c:pt idx="1">
                        <c:v>46054</c:v>
                      </c:pt>
                      <c:pt idx="2">
                        <c:v>46082</c:v>
                      </c:pt>
                      <c:pt idx="3">
                        <c:v>46113</c:v>
                      </c:pt>
                      <c:pt idx="4">
                        <c:v>46143</c:v>
                      </c:pt>
                      <c:pt idx="5">
                        <c:v>46174</c:v>
                      </c:pt>
                      <c:pt idx="6">
                        <c:v>46204</c:v>
                      </c:pt>
                      <c:pt idx="7">
                        <c:v>46235</c:v>
                      </c:pt>
                      <c:pt idx="8">
                        <c:v>46266</c:v>
                      </c:pt>
                      <c:pt idx="9">
                        <c:v>46296</c:v>
                      </c:pt>
                      <c:pt idx="10">
                        <c:v>46327</c:v>
                      </c:pt>
                      <c:pt idx="11">
                        <c:v>46357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'CF USD'!$C$82:$Z$82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12"/>
                      <c:pt idx="0">
                        <c:v>-449.62095179999994</c:v>
                      </c:pt>
                      <c:pt idx="1">
                        <c:v>-327.71694179999992</c:v>
                      </c:pt>
                      <c:pt idx="2">
                        <c:v>39.680212200000007</c:v>
                      </c:pt>
                      <c:pt idx="3">
                        <c:v>148.73180819999999</c:v>
                      </c:pt>
                      <c:pt idx="4">
                        <c:v>132.34865820000002</c:v>
                      </c:pt>
                      <c:pt idx="5">
                        <c:v>3831.2092121999995</c:v>
                      </c:pt>
                      <c:pt idx="6">
                        <c:v>-287.26059179999993</c:v>
                      </c:pt>
                      <c:pt idx="7">
                        <c:v>167.12105819999999</c:v>
                      </c:pt>
                      <c:pt idx="8">
                        <c:v>1397.50595829285</c:v>
                      </c:pt>
                      <c:pt idx="9">
                        <c:v>180.82940820000002</c:v>
                      </c:pt>
                      <c:pt idx="10">
                        <c:v>167.12105819999999</c:v>
                      </c:pt>
                      <c:pt idx="11">
                        <c:v>73.11521220000003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C075-4116-8243-056A86FE58ED}"/>
                  </c:ext>
                </c:extLst>
              </c15:ser>
            </c15:filteredBarSeries>
          </c:ext>
        </c:extLst>
      </c:barChart>
      <c:dateAx>
        <c:axId val="1075708128"/>
        <c:scaling>
          <c:orientation val="minMax"/>
        </c:scaling>
        <c:delete val="0"/>
        <c:axPos val="b"/>
        <c:numFmt formatCode="[$-409]mmm\-yy;@" sourceLinked="1"/>
        <c:majorTickMark val="out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5708608"/>
        <c:crosses val="autoZero"/>
        <c:auto val="1"/>
        <c:lblOffset val="100"/>
        <c:baseTimeUnit val="months"/>
      </c:dateAx>
      <c:valAx>
        <c:axId val="1075708608"/>
        <c:scaling>
          <c:orientation val="minMax"/>
          <c:max val="2200000"/>
          <c:min val="-120000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prstDash val="dash"/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5708128"/>
        <c:crosses val="autoZero"/>
        <c:crossBetween val="between"/>
        <c:majorUnit val="400000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valAx>
        <c:axId val="1524962080"/>
        <c:scaling>
          <c:orientation val="minMax"/>
          <c:max val="2200"/>
          <c:min val="-1200"/>
        </c:scaling>
        <c:delete val="0"/>
        <c:axPos val="r"/>
        <c:numFmt formatCode="_-* #,##0_-;\-* #,##0_-;_-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963040"/>
        <c:crosses val="max"/>
        <c:crossBetween val="between"/>
        <c:majorUnit val="400"/>
      </c:valAx>
      <c:dateAx>
        <c:axId val="1524963040"/>
        <c:scaling>
          <c:orientation val="minMax"/>
        </c:scaling>
        <c:delete val="1"/>
        <c:axPos val="b"/>
        <c:numFmt formatCode="[$-409]mmm\-yy;@" sourceLinked="1"/>
        <c:majorTickMark val="out"/>
        <c:minorTickMark val="none"/>
        <c:tickLblPos val="nextTo"/>
        <c:crossAx val="1524962080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Real Estate Capital Calls &amp; Distributions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'Real Estate'!$AW$27</c:f>
              <c:strCache>
                <c:ptCount val="1"/>
                <c:pt idx="0">
                  <c:v>Distributions</c:v>
                </c:pt>
              </c:strCache>
            </c:strRef>
          </c:tx>
          <c:spPr>
            <a:solidFill>
              <a:schemeClr val="accent6">
                <a:lumMod val="20000"/>
                <a:lumOff val="8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'Real Estate'!$AX$1:$BI$1</c:f>
              <c:numCache>
                <c:formatCode>[$-409]mmm\-yy;@</c:formatCode>
                <c:ptCount val="12"/>
                <c:pt idx="0">
                  <c:v>46037</c:v>
                </c:pt>
                <c:pt idx="1">
                  <c:v>46068</c:v>
                </c:pt>
                <c:pt idx="2">
                  <c:v>46096</c:v>
                </c:pt>
                <c:pt idx="3">
                  <c:v>46127</c:v>
                </c:pt>
                <c:pt idx="4">
                  <c:v>46157</c:v>
                </c:pt>
                <c:pt idx="5">
                  <c:v>46188</c:v>
                </c:pt>
                <c:pt idx="6">
                  <c:v>46218</c:v>
                </c:pt>
                <c:pt idx="7">
                  <c:v>46249</c:v>
                </c:pt>
                <c:pt idx="8">
                  <c:v>46280</c:v>
                </c:pt>
                <c:pt idx="9">
                  <c:v>46310</c:v>
                </c:pt>
                <c:pt idx="10">
                  <c:v>46341</c:v>
                </c:pt>
                <c:pt idx="11">
                  <c:v>46371</c:v>
                </c:pt>
              </c:numCache>
            </c:numRef>
          </c:cat>
          <c:val>
            <c:numRef>
              <c:f>'Real Estate'!$AX$27:$BI$27</c:f>
              <c:numCache>
                <c:formatCode>_(* #,##0_);_(* \(#,##0\);_(* "-"??_);_(@_)</c:formatCode>
                <c:ptCount val="12"/>
                <c:pt idx="0">
                  <c:v>133740</c:v>
                </c:pt>
                <c:pt idx="1">
                  <c:v>185096.16</c:v>
                </c:pt>
                <c:pt idx="2">
                  <c:v>185096.16</c:v>
                </c:pt>
                <c:pt idx="3">
                  <c:v>185096.16</c:v>
                </c:pt>
                <c:pt idx="4">
                  <c:v>185096.16</c:v>
                </c:pt>
                <c:pt idx="5">
                  <c:v>3943190.1599999997</c:v>
                </c:pt>
                <c:pt idx="6">
                  <c:v>185096.16</c:v>
                </c:pt>
                <c:pt idx="7">
                  <c:v>185096.16</c:v>
                </c:pt>
                <c:pt idx="8">
                  <c:v>1509486.90609285</c:v>
                </c:pt>
                <c:pt idx="9">
                  <c:v>185096.16</c:v>
                </c:pt>
                <c:pt idx="10">
                  <c:v>185096.16</c:v>
                </c:pt>
                <c:pt idx="11">
                  <c:v>185096.16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5A-435F-8B18-A31C288569BC}"/>
            </c:ext>
          </c:extLst>
        </c:ser>
        <c:ser>
          <c:idx val="1"/>
          <c:order val="1"/>
          <c:tx>
            <c:strRef>
              <c:f>'Real Estate'!$AW$28</c:f>
              <c:strCache>
                <c:ptCount val="1"/>
                <c:pt idx="0">
                  <c:v>Capital Calls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'Real Estate'!$AX$1:$BI$1</c:f>
              <c:numCache>
                <c:formatCode>[$-409]mmm\-yy;@</c:formatCode>
                <c:ptCount val="12"/>
                <c:pt idx="0">
                  <c:v>46037</c:v>
                </c:pt>
                <c:pt idx="1">
                  <c:v>46068</c:v>
                </c:pt>
                <c:pt idx="2">
                  <c:v>46096</c:v>
                </c:pt>
                <c:pt idx="3">
                  <c:v>46127</c:v>
                </c:pt>
                <c:pt idx="4">
                  <c:v>46157</c:v>
                </c:pt>
                <c:pt idx="5">
                  <c:v>46188</c:v>
                </c:pt>
                <c:pt idx="6">
                  <c:v>46218</c:v>
                </c:pt>
                <c:pt idx="7">
                  <c:v>46249</c:v>
                </c:pt>
                <c:pt idx="8">
                  <c:v>46280</c:v>
                </c:pt>
                <c:pt idx="9">
                  <c:v>46310</c:v>
                </c:pt>
                <c:pt idx="10">
                  <c:v>46341</c:v>
                </c:pt>
                <c:pt idx="11">
                  <c:v>46371</c:v>
                </c:pt>
              </c:numCache>
            </c:numRef>
          </c:cat>
          <c:val>
            <c:numRef>
              <c:f>'Real Estate'!$AX$28:$BI$28</c:f>
              <c:numCache>
                <c:formatCode>_(* #,##0_);_(* \(#,##0\);_(* "-"??_);_(@_)</c:formatCode>
                <c:ptCount val="12"/>
                <c:pt idx="0">
                  <c:v>-583360.95179999992</c:v>
                </c:pt>
                <c:pt idx="1">
                  <c:v>-512813.10179999995</c:v>
                </c:pt>
                <c:pt idx="2">
                  <c:v>-145415.94779999999</c:v>
                </c:pt>
                <c:pt idx="3">
                  <c:v>-36364.351799999997</c:v>
                </c:pt>
                <c:pt idx="4">
                  <c:v>-52747.501799999998</c:v>
                </c:pt>
                <c:pt idx="5">
                  <c:v>-111980.94779999998</c:v>
                </c:pt>
                <c:pt idx="6">
                  <c:v>-472356.75179999997</c:v>
                </c:pt>
                <c:pt idx="7">
                  <c:v>-17975.1018</c:v>
                </c:pt>
                <c:pt idx="8">
                  <c:v>-111980.94779999998</c:v>
                </c:pt>
                <c:pt idx="9">
                  <c:v>-4266.7518</c:v>
                </c:pt>
                <c:pt idx="10">
                  <c:v>-17975.1018</c:v>
                </c:pt>
                <c:pt idx="11">
                  <c:v>-111980.94779999998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5A-435F-8B18-A31C288569BC}"/>
            </c:ext>
          </c:extLst>
        </c:ser>
        <c:ser>
          <c:idx val="2"/>
          <c:order val="2"/>
          <c:tx>
            <c:strRef>
              <c:f>'Real Estate'!$AW$29</c:f>
              <c:strCache>
                <c:ptCount val="1"/>
                <c:pt idx="0">
                  <c:v>US projects income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'Real Estate'!$AX$1:$BI$1</c:f>
              <c:numCache>
                <c:formatCode>[$-409]mmm\-yy;@</c:formatCode>
                <c:ptCount val="12"/>
                <c:pt idx="0">
                  <c:v>46037</c:v>
                </c:pt>
                <c:pt idx="1">
                  <c:v>46068</c:v>
                </c:pt>
                <c:pt idx="2">
                  <c:v>46096</c:v>
                </c:pt>
                <c:pt idx="3">
                  <c:v>46127</c:v>
                </c:pt>
                <c:pt idx="4">
                  <c:v>46157</c:v>
                </c:pt>
                <c:pt idx="5">
                  <c:v>46188</c:v>
                </c:pt>
                <c:pt idx="6">
                  <c:v>46218</c:v>
                </c:pt>
                <c:pt idx="7">
                  <c:v>46249</c:v>
                </c:pt>
                <c:pt idx="8">
                  <c:v>46280</c:v>
                </c:pt>
                <c:pt idx="9">
                  <c:v>46310</c:v>
                </c:pt>
                <c:pt idx="10">
                  <c:v>46341</c:v>
                </c:pt>
                <c:pt idx="11">
                  <c:v>46371</c:v>
                </c:pt>
              </c:numCache>
            </c:numRef>
          </c:cat>
          <c:val>
            <c:numRef>
              <c:f>'Real Estate'!$AX$29:$BI$29</c:f>
              <c:numCache>
                <c:formatCode>_(* #,##0_);_(* \(#,##0\);_(*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8154000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550000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3DB-B043-FB4629898D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25133920"/>
        <c:axId val="1525125280"/>
      </c:barChart>
      <c:dateAx>
        <c:axId val="1525133920"/>
        <c:scaling>
          <c:orientation val="minMax"/>
        </c:scaling>
        <c:delete val="0"/>
        <c:axPos val="b"/>
        <c:numFmt formatCode="[$-409]mmm\-yy;@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5125280"/>
        <c:crosses val="autoZero"/>
        <c:auto val="1"/>
        <c:lblOffset val="100"/>
        <c:baseTimeUnit val="months"/>
      </c:dateAx>
      <c:valAx>
        <c:axId val="1525125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5133920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_xlchart.v1.1</cx:f>
      </cx:numDim>
    </cx:data>
  </cx:chartData>
  <cx:chart>
    <cx:title pos="t" align="ctr" overlay="0">
      <cx:tx>
        <cx:txData>
          <cx:v>Currency debt distribtuion, USD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400"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Currency debt distribtuion, USD</a:t>
          </a:r>
        </a:p>
      </cx:txPr>
    </cx:title>
    <cx:plotArea>
      <cx:plotAreaRegion>
        <cx:series layoutId="treemap" uniqueId="{920532A2-23EC-4C45-8F60-0AC35D5E360D}">
          <cx:tx>
            <cx:txData>
              <cx:f>_xlchart.v1.1</cx:f>
              <cx:v> 210,492   2,283,057   28,548,652   17,503,386   935,729 </cx:v>
            </cx:txData>
          </cx:tx>
          <cx:dataLabels pos="inEnd">
            <cx:numFmt formatCode="# ##0" sourceLinked="0"/>
            <cx:spPr>
              <a:ln>
                <a:noFill/>
              </a:ln>
            </cx:spPr>
            <cx:txPr>
              <a:bodyPr vertOverflow="overflow" horzOverflow="overflow" wrap="square" lIns="0" tIns="0" rIns="0" bIns="0"/>
              <a:lstStyle/>
              <a:p>
                <a:pPr algn="ctr" rtl="0">
                  <a:defRPr sz="1100" b="0" i="0">
                    <a:solidFill>
                      <a:srgbClr val="FFFFFF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en-US" sz="1100"/>
              </a:p>
            </cx:txPr>
            <cx:visibility seriesName="0" categoryName="1" value="1"/>
            <cx:separator>
</cx:separator>
          </cx:dataLabels>
          <cx:dataId val="0"/>
          <cx:layoutPr>
            <cx:parentLabelLayout val="overlapping"/>
          </cx:layoutPr>
        </cx:series>
      </cx:plotAreaRegion>
    </cx:plotArea>
    <cx:legend pos="t" align="ctr" overlay="0">
      <cx:txPr>
        <a:bodyPr vertOverflow="overflow" horzOverflow="overflow" wrap="square" lIns="0" tIns="0" rIns="0" bIns="0"/>
        <a:lstStyle/>
        <a:p>
          <a:pPr algn="ctr" rtl="0">
            <a:defRPr sz="1100" b="0" i="0">
              <a:solidFill>
                <a:srgbClr val="595959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 sz="1100"/>
        </a:p>
      </cx:txPr>
    </cx:legend>
  </cx:chart>
  <cx:spPr>
    <a:ln>
      <a:solidFill>
        <a:schemeClr val="bg1"/>
      </a:solidFill>
    </a:ln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</cx:f>
      </cx:strDim>
      <cx:numDim type="val">
        <cx:f>_xlchart.v1.3</cx:f>
      </cx:numDim>
    </cx:data>
  </cx:chartData>
  <cx:chart>
    <cx:title pos="t" align="ctr" overlay="0">
      <cx:tx>
        <cx:txData>
          <cx:v>Geographical portoflio distribution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2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Geographical portoflio distribution</a:t>
          </a:r>
        </a:p>
      </cx:txPr>
    </cx:title>
    <cx:plotArea>
      <cx:plotAreaRegion>
        <cx:series layoutId="waterfall" uniqueId="{5F994649-C11C-4C19-A1BB-65E856D1ADEB}">
          <cx:spPr>
            <a:solidFill>
              <a:schemeClr val="accent6">
                <a:lumMod val="20000"/>
                <a:lumOff val="80000"/>
              </a:schemeClr>
            </a:solidFill>
            <a:ln w="6350">
              <a:solidFill>
                <a:schemeClr val="tx1">
                  <a:lumMod val="50000"/>
                  <a:lumOff val="50000"/>
                </a:schemeClr>
              </a:solidFill>
            </a:ln>
          </cx:spPr>
          <cx:dataLabels pos="ctr"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  <cx:visibility seriesName="0" categoryName="0" value="1"/>
            <cx:separator>, </cx:separator>
          </cx:dataLabels>
          <cx:dataId val="0"/>
          <cx:layoutPr>
            <cx:subtotals/>
          </cx:layoutPr>
        </cx:series>
      </cx:plotAreaRegion>
      <cx:axis id="0">
        <cx:catScaling gapWidth="0.5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800"/>
            </a:pPr>
            <a:endParaRPr lang="en-US" sz="8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  <cx:axis id="1">
        <cx:valScaling max="1"/>
        <cx:majorGridlines/>
        <cx:tickLabels/>
        <cx:numFmt formatCode="0%" sourceLinked="0"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microsoft.com/office/2014/relationships/chartEx" Target="../charts/chartEx1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microsoft.com/office/2014/relationships/chartEx" Target="../charts/chartEx2.xml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514350</xdr:colOff>
      <xdr:row>17</xdr:row>
      <xdr:rowOff>14287</xdr:rowOff>
    </xdr:from>
    <xdr:to>
      <xdr:col>10</xdr:col>
      <xdr:colOff>180975</xdr:colOff>
      <xdr:row>34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1E37EB1-4648-D31D-CDB4-6D9088D9F2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112340</xdr:colOff>
      <xdr:row>16</xdr:row>
      <xdr:rowOff>67096</xdr:rowOff>
    </xdr:from>
    <xdr:to>
      <xdr:col>17</xdr:col>
      <xdr:colOff>76200</xdr:colOff>
      <xdr:row>31</xdr:row>
      <xdr:rowOff>130549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768A7F-C81D-AE71-9546-D4A4C85569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8964</xdr:colOff>
      <xdr:row>31</xdr:row>
      <xdr:rowOff>191248</xdr:rowOff>
    </xdr:from>
    <xdr:to>
      <xdr:col>17</xdr:col>
      <xdr:colOff>188259</xdr:colOff>
      <xdr:row>49</xdr:row>
      <xdr:rowOff>111500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178EE563-1DEF-D0B6-F7D4-51E16A84C56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562914" y="6353923"/>
              <a:ext cx="4189320" cy="351117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10</xdr:col>
      <xdr:colOff>114300</xdr:colOff>
      <xdr:row>1</xdr:row>
      <xdr:rowOff>90487</xdr:rowOff>
    </xdr:from>
    <xdr:to>
      <xdr:col>17</xdr:col>
      <xdr:colOff>57150</xdr:colOff>
      <xdr:row>15</xdr:row>
      <xdr:rowOff>61912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D061DE3-6031-1723-2F3C-A80B875883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145677</xdr:rowOff>
    </xdr:from>
    <xdr:to>
      <xdr:col>1</xdr:col>
      <xdr:colOff>0</xdr:colOff>
      <xdr:row>13</xdr:row>
      <xdr:rowOff>44824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017981-DFC4-4841-8A31-5F8E2418FD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231777</xdr:colOff>
      <xdr:row>18</xdr:row>
      <xdr:rowOff>173037</xdr:rowOff>
    </xdr:from>
    <xdr:to>
      <xdr:col>7</xdr:col>
      <xdr:colOff>793750</xdr:colOff>
      <xdr:row>34</xdr:row>
      <xdr:rowOff>17859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8F46D2-BE68-576A-C8B8-BFADFF7727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790576</xdr:colOff>
      <xdr:row>18</xdr:row>
      <xdr:rowOff>171450</xdr:rowOff>
    </xdr:from>
    <xdr:to>
      <xdr:col>12</xdr:col>
      <xdr:colOff>1228725</xdr:colOff>
      <xdr:row>34</xdr:row>
      <xdr:rowOff>19049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9FAADC57-08FF-4FCC-A788-E223510BA6C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600701" y="3810000"/>
              <a:ext cx="5391149" cy="28955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12</xdr:col>
      <xdr:colOff>1219200</xdr:colOff>
      <xdr:row>18</xdr:row>
      <xdr:rowOff>171450</xdr:rowOff>
    </xdr:from>
    <xdr:to>
      <xdr:col>16</xdr:col>
      <xdr:colOff>9525</xdr:colOff>
      <xdr:row>34</xdr:row>
      <xdr:rowOff>23812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B1027A8-6778-43FA-AE74-EFD5088FD3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156882</xdr:colOff>
      <xdr:row>2</xdr:row>
      <xdr:rowOff>71718</xdr:rowOff>
    </xdr:from>
    <xdr:to>
      <xdr:col>26</xdr:col>
      <xdr:colOff>268941</xdr:colOff>
      <xdr:row>39</xdr:row>
      <xdr:rowOff>138394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F9256F-B6B9-4C5E-8065-730CB4D660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19051</xdr:colOff>
      <xdr:row>23</xdr:row>
      <xdr:rowOff>57150</xdr:rowOff>
    </xdr:from>
    <xdr:to>
      <xdr:col>14</xdr:col>
      <xdr:colOff>171450</xdr:colOff>
      <xdr:row>52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472471A-7B04-CFC4-79B6-928BDCB86B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linkedentity">
      <keyFlags>
        <key name="%cvi">
          <flag name="ShowInCardView" value="0"/>
          <flag name="ShowInDotNotation" value="0"/>
          <flag name="ShowInAutoComplete" value="0"/>
          <flag name="ExcludeFromCalcComparison" value="1"/>
        </key>
      </keyFlags>
      <extLst>
        <x:ext xmlns:xlrvr="http://schemas.microsoft.com/office/spreadsheetml/2020/richvaluerefresh" uri="{6D21E516-79A1-49C6-A8DF-7D825B72F6C7}">
          <xlrvr:refreshIntervals>
            <xlrvr:refreshInterval resourceIdInt="268435456" interval="-1"/>
          </xlrvr:refreshIntervals>
        </x:ext>
      </extLst>
    </type>
    <type name="_linkedentitycore">
      <keyFlags>
        <key name="%EntityServiceId">
          <flag name="ShowInCardView" value="0"/>
          <flag name="ShowInDotNotation" value="0"/>
          <flag name="ShowInAutoComplete" value="0"/>
        </key>
        <key name="%EntitySubDomainId">
          <flag name="ShowInCardView" value="0"/>
          <flag name="ShowInDotNotation" value="0"/>
          <flag name="ShowInAutoComplete" value="0"/>
        </key>
        <key name="%EntityCulture">
          <flag name="ShowInCardView" value="0"/>
          <flag name="ShowInDotNotation" value="0"/>
          <flag name="ShowInAutoComplete" value="0"/>
        </key>
        <key name="%EntityId">
          <flag name="ShowInCardView" value="0"/>
          <flag name="ShowInDotNotation" value="0"/>
          <flag name="ShowInAutoComplete" value="0"/>
        </key>
        <key name="%IsRefreshable">
          <flag name="ShowInCardView" value="0"/>
          <flag name="ShowInDotNotation" value="0"/>
          <flag name="ShowInAutoComplete" value="0"/>
          <flag name="ExcludeFromCalcComparison" value="1"/>
        </key>
        <key name="%ProviderInfo">
          <flag name="ShowInCardView" value="0"/>
          <flag name="ShowInDotNotation" value="0"/>
          <flag name="ShowInAutoComplete" value="0"/>
        </key>
        <key name="%DataProviderExternalLinkLogo">
          <flag name="ShowInCardView" value="0"/>
          <flag name="ShowInDotNotation" value="0"/>
          <flag name="ShowInAutoComplete" value="0"/>
        </key>
        <key name="%DataProviderExternalLink">
          <flag name="ShowInCardView" value="0"/>
          <flag name="ShowInDotNotation" value="0"/>
          <flag name="ShowInAutoComplete" value="0"/>
        </key>
        <key name="%OutdatedReason">
          <flag name="ShowInCardView" value="0"/>
          <flag name="ShowInDotNotation" value="0"/>
          <flag name="ShowInAutoComplete" value="0"/>
          <flag name="ExcludeFromCalcComparison" value="1"/>
        </key>
      </keyFlags>
    </type>
  </types>
</rvTypesInfo>
</file>

<file path=xl/richData/rdrichvalue.xml><?xml version="1.0" encoding="utf-8"?>
<rvData xmlns="http://schemas.microsoft.com/office/spreadsheetml/2017/richdata" count="14">
  <rv s="0">
    <v>en-US</v>
    <v>av932w</v>
    <v>268435456</v>
    <v>1</v>
    <v>Powered by Refinitiv</v>
    <v>0</v>
    <v>EUR/USD</v>
    <v>2</v>
    <v>3</v>
    <v>Finance</v>
    <v>4</v>
    <v>1.2078</v>
    <v>1.0469999999999999</v>
    <v>-4.7000000000000002E-3</v>
    <v>-4.045E-3</v>
    <v>USD</v>
    <v>EUR</v>
    <v>1.1587000000000001</v>
    <v>Currency Pair</v>
    <v>46090.622858796298</v>
    <v>1.1508</v>
    <v>Euro/US Dollar FX Spot Rate</v>
    <v>1.1567000000000001</v>
    <v>1.1617999999999999</v>
    <v>1.1571</v>
    <v>EURUSD</v>
    <v>EUR/USD</v>
  </rv>
  <rv s="1">
    <v>0</v>
  </rv>
  <rv s="0">
    <v>en-US</v>
    <v>av3wnm</v>
    <v>268435456</v>
    <v>1</v>
    <v>Powered by Refinitiv</v>
    <v>0</v>
    <v>CAD/USD</v>
    <v>2</v>
    <v>3</v>
    <v>Finance</v>
    <v>4</v>
    <v>0.74170000000000003</v>
    <v>0.68759999999999999</v>
    <v>-5.0000000000000001E-4</v>
    <v>-6.7840000000000001E-4</v>
    <v>USD</v>
    <v>CAD</v>
    <v>0.73929999999999996</v>
    <v>Currency Pair</v>
    <v>46090.622858796298</v>
    <v>0.73499999999999999</v>
    <v>Canadian Dollar/US Dollar FX Cross Rate</v>
    <v>0.73499999999999999</v>
    <v>0.73699999999999999</v>
    <v>0.73650000000000004</v>
    <v>CADUSD</v>
    <v>CAD/USD</v>
  </rv>
  <rv s="1">
    <v>2</v>
  </rv>
  <rv s="0">
    <v>en-US</v>
    <v>avyjhw</v>
    <v>268435456</v>
    <v>1</v>
    <v>Powered by Refinitiv</v>
    <v>0</v>
    <v>GBP/USD</v>
    <v>2</v>
    <v>3</v>
    <v>Finance</v>
    <v>4</v>
    <v>1.3867</v>
    <v>1.2676000000000001</v>
    <v>-3.7000000000000002E-3</v>
    <v>-2.7589999999999997E-3</v>
    <v>USD</v>
    <v>GBP</v>
    <v>1.3382000000000001</v>
    <v>Currency Pair</v>
    <v>46090.622847222221</v>
    <v>1.3284</v>
    <v>UK Pound Sterling/US Dollar FX Spot Rate</v>
    <v>1.3352999999999999</v>
    <v>1.3411</v>
    <v>1.3373999999999999</v>
    <v>GBPUSD</v>
    <v>GBP/USD</v>
  </rv>
  <rv s="1">
    <v>4</v>
  </rv>
  <rv s="0">
    <v>en-US</v>
    <v>avv7r7</v>
    <v>268435456</v>
    <v>1</v>
    <v>Powered by Refinitiv</v>
    <v>0</v>
    <v>CHF/USD</v>
    <v>2</v>
    <v>3</v>
    <v>Finance</v>
    <v>4</v>
    <v>1.3149</v>
    <v>1.1140000000000001</v>
    <v>-5.1000000000000004E-3</v>
    <v>-3.9589999999999998E-3</v>
    <v>USD</v>
    <v>CHF</v>
    <v>1.2857000000000001</v>
    <v>Currency Pair</v>
    <v>46090.622858796298</v>
    <v>1.278</v>
    <v>Swiss Franc/US Dollar FX Cross Rate</v>
    <v>1.2844</v>
    <v>1.2883</v>
    <v>1.2831999999999999</v>
    <v>CHFUSD</v>
    <v>CHF/USD</v>
  </rv>
  <rv s="1">
    <v>6</v>
  </rv>
  <rv s="0">
    <v>en-US</v>
    <v>ave8h7</v>
    <v>268435456</v>
    <v>1</v>
    <v>Powered by Refinitiv</v>
    <v>0</v>
    <v>JPY/USD</v>
    <v>2</v>
    <v>3</v>
    <v>Finance</v>
    <v>4</v>
    <v>7.1479999999999998E-3</v>
    <v>6.2700000000000004E-3</v>
    <v>-2.7610000000000002E-5</v>
    <v>-4.3550000000000004E-3</v>
    <v>USD</v>
    <v>JPY</v>
    <v>6.3379999999999999E-3</v>
    <v>Currency Pair</v>
    <v>46090.622847222221</v>
    <v>6.2940000000000001E-3</v>
    <v>Japanese Yen/US Dollar FX Cross Rate</v>
    <v>6.3379999999999999E-3</v>
    <v>6.339E-3</v>
    <v>6.3119999999999999E-3</v>
    <v>JPYUSD</v>
    <v>JPY/USD</v>
  </rv>
  <rv s="1">
    <v>8</v>
  </rv>
  <rv s="0">
    <v>en-US</v>
    <v>av2elh</v>
    <v>268435456</v>
    <v>1</v>
    <v>Powered by Refinitiv</v>
    <v>0</v>
    <v>BRL/USD</v>
    <v>2</v>
    <v>3</v>
    <v>Finance</v>
    <v>4</v>
    <v>0.19550000000000001</v>
    <v>0.16400000000000001</v>
    <v>1.2999999999999999E-3</v>
    <v>6.8179999999999994E-3</v>
    <v>USD</v>
    <v>BRL</v>
    <v>0.19209999999999999</v>
    <v>Currency Pair</v>
    <v>46090.622847222221</v>
    <v>0.18920000000000001</v>
    <v>Brazilian Real/US Dollar FX Cross Rate</v>
    <v>0.1893</v>
    <v>0.19070000000000001</v>
    <v>0.192</v>
    <v>BRLUSD</v>
    <v>BRL/USD</v>
  </rv>
  <rv s="1">
    <v>10</v>
  </rv>
  <rv s="0">
    <v>en-US</v>
    <v>avx1fr</v>
    <v>268435456</v>
    <v>1</v>
    <v>Powered by Refinitiv</v>
    <v>0</v>
    <v>TRY/USD</v>
    <v>2</v>
    <v>3</v>
    <v>Finance</v>
    <v>4</v>
    <v>2.75E-2</v>
    <v>2.2499999999999999E-2</v>
    <v>2.0000000000000001E-4</v>
    <v>8.8890000000000011E-3</v>
    <v>USD</v>
    <v>TRY</v>
    <v>2.2700000000000001E-2</v>
    <v>Currency Pair</v>
    <v>46090.622835648152</v>
    <v>2.2700000000000001E-2</v>
    <v>Turkish Lira/US Dollar FX Cross Rate</v>
    <v>2.2700000000000001E-2</v>
    <v>2.2499999999999999E-2</v>
    <v>2.2700000000000001E-2</v>
    <v>TRYUSD</v>
    <v>TRY/USD</v>
  </rv>
  <rv s="1">
    <v>12</v>
  </rv>
</rvData>
</file>

<file path=xl/richData/rdrichvaluestructure.xml><?xml version="1.0" encoding="utf-8"?>
<rvStructures xmlns="http://schemas.microsoft.com/office/spreadsheetml/2017/richdata" count="2">
  <s t="_linkedentitycore">
    <k n="%EntityCulture" t="s"/>
    <k n="%EntityId" t="s"/>
    <k n="%EntityServiceId"/>
    <k n="%IsRefreshable" t="b"/>
    <k n="%ProviderInfo" t="s"/>
    <k n="_Display" t="spb"/>
    <k n="_DisplayString" t="s"/>
    <k n="_Flags" t="spb"/>
    <k n="_Format" t="spb"/>
    <k n="_Icon" t="s"/>
    <k n="_SubLabel" t="spb"/>
    <k n="52 week high"/>
    <k n="52 week low"/>
    <k n="Change"/>
    <k n="Change (%)"/>
    <k n="Currency" t="s"/>
    <k n="From currency" t="s"/>
    <k n="High"/>
    <k n="Instrument type" t="s"/>
    <k n="Last trade time"/>
    <k n="Low"/>
    <k n="Name" t="s"/>
    <k n="Open"/>
    <k n="Previous close"/>
    <k n="Price"/>
    <k n="Ticker symbol" t="s"/>
    <k n="UniqueName" t="s"/>
  </s>
  <s t="_linkedentity">
    <k n="%cvi" t="r"/>
  </s>
</rvStructures>
</file>

<file path=xl/richData/rdsupportingpropertybag.xml><?xml version="1.0" encoding="utf-8"?>
<supportingPropertyBags xmlns="http://schemas.microsoft.com/office/spreadsheetml/2017/richdata2">
  <spbArrays count="1">
    <a count="27">
      <v t="s">%EntityServiceId</v>
      <v t="s">_Format</v>
      <v t="s">%IsRefreshable</v>
      <v t="s">%EntityCulture</v>
      <v t="s">%EntityId</v>
      <v t="s">_Icon</v>
      <v t="s">_Display</v>
      <v t="s">Name</v>
      <v t="s">Price</v>
      <v t="s">_SubLabel</v>
      <v t="s">Last trade time</v>
      <v t="s">Ticker symbol</v>
      <v t="s">Change</v>
      <v t="s">Change (%)</v>
      <v t="s">Currency</v>
      <v t="s">From currency</v>
      <v t="s">Previous close</v>
      <v t="s">Open</v>
      <v t="s">High</v>
      <v t="s">Low</v>
      <v t="s">52 week high</v>
      <v t="s">52 week low</v>
      <v t="s">Instrument type</v>
      <v t="s">_Flags</v>
      <v t="s">UniqueName</v>
      <v t="s">_DisplayString</v>
      <v t="s">%ProviderInfo</v>
    </a>
  </spbArrays>
  <spbData count="5">
    <spb s="0">
      <v>0</v>
      <v>Name</v>
    </spb>
    <spb s="1">
      <v>0</v>
      <v>0</v>
      <v>0</v>
    </spb>
    <spb s="2">
      <v>1</v>
      <v>1</v>
    </spb>
    <spb s="3">
      <v>1</v>
      <v>1</v>
      <v>2</v>
      <v>1</v>
      <v>1</v>
      <v>1</v>
      <v>3</v>
      <v>1</v>
      <v>1</v>
      <v>1</v>
      <v>4</v>
      <v>5</v>
    </spb>
    <spb s="4">
      <v>GMT</v>
    </spb>
  </spbData>
</supportingPropertyBags>
</file>

<file path=xl/richData/rdsupportingpropertybagstructure.xml><?xml version="1.0" encoding="utf-8"?>
<spbStructures xmlns="http://schemas.microsoft.com/office/spreadsheetml/2017/richdata2" count="5">
  <s>
    <k n="^Order" t="spba"/>
    <k n="TitleProperty" t="s"/>
  </s>
  <s>
    <k n="ShowInCardView" t="b"/>
    <k n="ShowInDotNotation" t="b"/>
    <k n="ShowInAutoComplete" t="b"/>
  </s>
  <s>
    <k n="UniqueName" t="spb"/>
    <k n="`%ProviderInfo" t="spb"/>
  </s>
  <s>
    <k n="Low" t="i"/>
    <k n="High" t="i"/>
    <k n="Name" t="i"/>
    <k n="Open" t="i"/>
    <k n="Price" t="i"/>
    <k n="Change" t="i"/>
    <k n="Change (%)" t="i"/>
    <k n="52 week low" t="i"/>
    <k n="52 week high" t="i"/>
    <k n="Previous close" t="i"/>
    <k n="Last trade time" t="i"/>
    <k n="`%EntityServiceId" t="i"/>
  </s>
  <s>
    <k n="Last trade time" t="s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4">
    <x:dxf>
      <x:numFmt numFmtId="2" formatCode="0.00"/>
    </x:dxf>
    <x:dxf>
      <x:numFmt numFmtId="0" formatCode="General"/>
    </x:dxf>
    <x:dxf>
      <x:numFmt numFmtId="27" formatCode="dd/mm/yyyy\ h:mm"/>
    </x:dxf>
    <x:dxf>
      <x:numFmt numFmtId="14" formatCode="0.00%"/>
    </x:dxf>
  </dxfs>
  <richProperties>
    <rPr n="NumberFormat" t="s"/>
    <rPr n="IsTitleField" t="b"/>
  </richProperties>
  <richStyles>
    <rSty dxfid="1">
      <rpv i="0">_([$$-en-US]* #,##0.00_);_([$$-en-US]* (#,##0.00);_([$$-en-US]* "-"??_);_(@_)</rpv>
    </rSty>
    <rSty>
      <rpv i="1">1</rpv>
    </rSty>
    <rSty dxfid="3"/>
    <rSty dxfid="2"/>
    <rSty dxfid="0">
      <rpv i="0">0.00</rpv>
    </rSty>
  </richStyles>
</richStyleShee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_Bonds" displayName="T_Bonds" ref="A1:AS98" totalsRowShown="0" headerRowDxfId="404" dataDxfId="403">
  <autoFilter ref="A1:AS98" xr:uid="{00000000-000C-0000-FFFF-FFFF00000000}"/>
  <tableColumns count="45">
    <tableColumn id="3" xr3:uid="{00000000-0010-0000-0000-000003000000}" name="Description" dataDxfId="402" totalsRowDxfId="401"/>
    <tableColumn id="1" xr3:uid="{00000000-0010-0000-0000-000001000000}" name="Source" dataDxfId="400"/>
    <tableColumn id="2" xr3:uid="{00000000-0010-0000-0000-000002000000}" name="Maturity type" dataDxfId="399" totalsRowDxfId="398">
      <calculatedColumnFormula>IF(T_Bonds[[#This Row],[Call date]]&lt;&gt;"","Callable","Maturity")</calculatedColumnFormula>
    </tableColumn>
    <tableColumn id="4" xr3:uid="{00000000-0010-0000-0000-000004000000}" name="ISIN / IBAN" dataDxfId="397"/>
    <tableColumn id="5" xr3:uid="{00000000-0010-0000-0000-000005000000}" name="Risk CCY" dataDxfId="396" totalsRowDxfId="395"/>
    <tableColumn id="37" xr3:uid="{9613681C-EE4B-4898-B6C5-B02C7B450E78}" name="V1412" dataDxfId="394">
      <calculatedColumnFormula>IFERROR(INDEX('V004'!D:E,MATCH(D2,'V004'!D:D,0),2),0)</calculatedColumnFormula>
    </tableColumn>
    <tableColumn id="36" xr3:uid="{2C6DB8E6-AD52-4C13-B6E8-7E4526F43582}" name="V1430" dataDxfId="393">
      <calculatedColumnFormula>IFERROR(INDEX('V001'!D:E,MATCH(D2,'V001'!D:D,0),2),0)</calculatedColumnFormula>
    </tableColumn>
    <tableColumn id="38" xr3:uid="{C172A404-9D2B-4E53-B1A8-9FBBFF081224}" name="UBS" dataDxfId="392">
      <calculatedColumnFormula>IFERROR(INDEX(UBS!C:D,MATCH(D2,UBS!D:D,0),1),0)</calculatedColumnFormula>
    </tableColumn>
    <tableColumn id="6" xr3:uid="{00000000-0010-0000-0000-000006000000}" name="Quantity" dataDxfId="391" totalsRowDxfId="390"/>
    <tableColumn id="7" xr3:uid="{00000000-0010-0000-0000-000007000000}" name="Coupon" dataDxfId="389" totalsRowDxfId="388">
      <calculatedColumnFormula>LEFT(A2,FIND("%",A2,1))+1-1</calculatedColumnFormula>
    </tableColumn>
    <tableColumn id="8" xr3:uid="{00000000-0010-0000-0000-000008000000}" name="Coupon in Loc.Curr" dataDxfId="387" totalsRowDxfId="386">
      <calculatedColumnFormula>J2*I2</calculatedColumnFormula>
    </tableColumn>
    <tableColumn id="9" xr3:uid="{00000000-0010-0000-0000-000009000000}" name="Coupon in USD" dataDxfId="385" totalsRowDxfId="384">
      <calculatedColumnFormula>IF(Y2&lt;&gt;1,I2*J2*Y2,I2*J2)</calculatedColumnFormula>
    </tableColumn>
    <tableColumn id="10" xr3:uid="{00000000-0010-0000-0000-00000A000000}" name="Maturity" dataDxfId="383" totalsRowDxfId="382"/>
    <tableColumn id="11" xr3:uid="{00000000-0010-0000-0000-00000B000000}" name="YTM/YTC" dataDxfId="381"/>
    <tableColumn id="23" xr3:uid="{00000000-0010-0000-0000-000017000000}" name="Duration" dataDxfId="380" totalsRowDxfId="379"/>
    <tableColumn id="27" xr3:uid="{00000000-0010-0000-0000-00001B000000}" name="Gross P&amp;L" dataDxfId="378" totalsRowDxfId="377">
      <calculatedColumnFormula>T_Bonds[[#This Row],[Market price]]-T_Bonds[[#This Row],[Cost price]]</calculatedColumnFormula>
    </tableColumn>
    <tableColumn id="21" xr3:uid="{00000000-0010-0000-0000-000015000000}" name="Current Yield, %" dataDxfId="376" totalsRowDxfId="375"/>
    <tableColumn id="12" xr3:uid="{00000000-0010-0000-0000-00000C000000}" name="for WYTC" dataDxfId="374" totalsRowDxfId="373">
      <calculatedColumnFormula>N2*I2</calculatedColumnFormula>
    </tableColumn>
    <tableColumn id="43" xr3:uid="{1BCD3764-91D7-44AD-B033-582AA0C49D26}" name="V1412 CP" dataDxfId="372">
      <calculatedColumnFormula>IFERROR(VLOOKUP(D2,'V004'!$D:$J,7,0),0)</calculatedColumnFormula>
    </tableColumn>
    <tableColumn id="44" xr3:uid="{FF4BBA29-167D-4BF6-BFC5-B409959EBA77}" name="V1430 CP" dataDxfId="371">
      <calculatedColumnFormula>IFERROR(VLOOKUP(D2,'V001'!$D:$J,7,0),0)</calculatedColumnFormula>
    </tableColumn>
    <tableColumn id="13" xr3:uid="{00000000-0010-0000-0000-00000D000000}" name="Cost price" dataDxfId="370"/>
    <tableColumn id="14" xr3:uid="{00000000-0010-0000-0000-00000E000000}" name="Current Yield" dataDxfId="369" totalsRowDxfId="368">
      <calculatedColumnFormula>I2*J2/U2</calculatedColumnFormula>
    </tableColumn>
    <tableColumn id="15" xr3:uid="{00000000-0010-0000-0000-00000F000000}" name="Exchange rate, C" dataDxfId="367" totalsRowDxfId="366"/>
    <tableColumn id="16" xr3:uid="{00000000-0010-0000-0000-000010000000}" name="Market price" dataDxfId="365" totalsRowDxfId="364">
      <calculatedColumnFormula>IFERROR(INDEX(Cbonds!C:AF,MATCH(D2,Cbonds!C:C,0),29)/100,0)</calculatedColumnFormula>
    </tableColumn>
    <tableColumn id="17" xr3:uid="{00000000-0010-0000-0000-000011000000}" name="Exchange rate, N" dataDxfId="363" totalsRowDxfId="362">
      <calculatedColumnFormula>INDEX('Tech list'!A:C,MATCH(T_Bonds[[#This Row],[Risk CCY]],'Tech list'!A:A,0),3)</calculatedColumnFormula>
    </tableColumn>
    <tableColumn id="22" xr3:uid="{00000000-0010-0000-0000-000016000000}" name="Market value in CCY" dataDxfId="361" totalsRowDxfId="360">
      <calculatedColumnFormula>T_Bonds[[#This Row],[Market price]]*T_Bonds[[#This Row],[Quantity]]</calculatedColumnFormula>
    </tableColumn>
    <tableColumn id="18" xr3:uid="{00000000-0010-0000-0000-000012000000}" name="Market value in USD" dataDxfId="359" totalsRowDxfId="358">
      <calculatedColumnFormula>IF(E2&lt;&gt;"USD",X2*Y2*I2,X2*I2)</calculatedColumnFormula>
    </tableColumn>
    <tableColumn id="32" xr3:uid="{4C2932AA-C9C5-4AEE-8F60-2CD202E0E9FF}" name="Full MV in CCY" dataDxfId="357" totalsRowDxfId="356">
      <calculatedColumnFormula>T_Bonds[[#This Row],[Market value in CCY]]+T_Bonds[[#This Row],[AI, CCY]]</calculatedColumnFormula>
    </tableColumn>
    <tableColumn id="29" xr3:uid="{87DFCA1A-8B62-4D15-9D43-5A4741FE53DC}" name="Full MV in USD" dataDxfId="355" totalsRowDxfId="354">
      <calculatedColumnFormula>T_Bonds[[#This Row],[Market value in USD]]+T_Bonds[[#This Row],[AI, USD]]</calculatedColumnFormula>
    </tableColumn>
    <tableColumn id="19" xr3:uid="{00000000-0010-0000-0000-000013000000}" name="Cost value" dataDxfId="353" totalsRowDxfId="352">
      <calculatedColumnFormula>U2*I2</calculatedColumnFormula>
    </tableColumn>
    <tableColumn id="35" xr3:uid="{1A3AD0B9-9F3D-4EB7-965D-529AE5333C4E}" name="AI, CCY" dataDxfId="351" totalsRowDxfId="350">
      <calculatedColumnFormula>T_Bonds[[#This Row],[Coupon in Loc.Curr]]*(TODAY()-EDATE(T_Bonds[[#This Row],[Next coupon date]],-12/T_Bonds[[#This Row],[Coupons per annum]]))/(T_Bonds[[#This Row],[Coupons per annum]]*360)</calculatedColumnFormula>
    </tableColumn>
    <tableColumn id="33" xr3:uid="{50D65708-5BCB-4597-88BB-F49836720A4E}" name="AI, USD" dataDxfId="349" totalsRowDxfId="348">
      <calculatedColumnFormula>T_Bonds[[#This Row],[AI, CCY]]*T_Bonds[[#This Row],[Exchange rate, N]]</calculatedColumnFormula>
    </tableColumn>
    <tableColumn id="26" xr3:uid="{CF89CFFF-6593-4EA9-8A3A-0A4D6CEAF968}" name="G-spread, p.a." dataDxfId="347" totalsRowDxfId="346" dataCellStyle="Comma">
      <calculatedColumnFormula>IFERROR(IF(INDEX(Cbonds!C:AC,MATCH(D2,Cbonds!C:C,0),27)&gt;5000,0,INDEX(Cbonds!C:AC,MATCH(D2,Cbonds!C:C,0),27)),0)</calculatedColumnFormula>
    </tableColumn>
    <tableColumn id="34" xr3:uid="{3026C2E1-B53C-4413-B1A4-8BC82A3E72C1}" name="Lending Value, %" dataDxfId="345" totalsRowDxfId="344"/>
    <tableColumn id="31" xr3:uid="{00000000-0010-0000-0000-00001F000000}" name="Call date" dataDxfId="343" totalsRowDxfId="342"/>
    <tableColumn id="30" xr3:uid="{00000000-0010-0000-0000-00001E000000}" name="Call margin" dataDxfId="341" totalsRowDxfId="340"/>
    <tableColumn id="20" xr3:uid="{00000000-0010-0000-0000-000014000000}" name="Sector marker" dataDxfId="339"/>
    <tableColumn id="24" xr3:uid="{00000000-0010-0000-0000-000018000000}" name="Country" dataDxfId="338"/>
    <tableColumn id="39" xr3:uid="{63A18E5E-B3FC-421A-9863-89CE4C8AADFC}" name="Market"/>
    <tableColumn id="25" xr3:uid="{00000000-0010-0000-0000-000019000000}" name="Issuer" dataDxfId="337"/>
    <tableColumn id="28" xr3:uid="{E0A16242-BBA1-40EB-9E34-FB402652EFB2}" name="Coupons per annum" dataDxfId="336"/>
    <tableColumn id="66" xr3:uid="{D1AD9AF2-87D9-4460-BD8B-10D201C7237B}" name="Next coupon date" dataDxfId="335"/>
    <tableColumn id="67" xr3:uid="{6B81703B-390F-441D-A3EB-2C11D687EEB5}" name="Second next coupon date" dataDxfId="334">
      <calculatedColumnFormula>EDATE(T_Bonds[[#This Row],[Next coupon date]],12/T_Bonds[[#This Row],[Coupons per annum]])</calculatedColumnFormula>
    </tableColumn>
    <tableColumn id="68" xr3:uid="{F581283E-2C18-47B8-B590-3BEFE023CE36}" name="Coupon date 3" dataDxfId="333">
      <calculatedColumnFormula>EDATE(T_Bonds[[#This Row],[Second next coupon date]],12/$AO2)</calculatedColumnFormula>
    </tableColumn>
    <tableColumn id="69" xr3:uid="{622C78C9-12F2-4813-B827-D9DB4BF4CB64}" name="Coupon date 4" dataDxfId="332">
      <calculatedColumnFormula>EDATE(T_Bonds[[#This Row],[Coupon date 3]],12/$AO2)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_bETFs" displayName="T_bETFs" ref="A1:BG21" totalsRowCount="1" headerRowDxfId="331" dataDxfId="330">
  <autoFilter ref="A1:BG20" xr:uid="{00000000-0009-0000-0100-000003000000}"/>
  <tableColumns count="59">
    <tableColumn id="1" xr3:uid="{00000000-0010-0000-0200-000001000000}" name="Source" dataDxfId="329" totalsRowDxfId="328"/>
    <tableColumn id="2" xr3:uid="{00000000-0010-0000-0200-000002000000}" name="Asset class" dataDxfId="327" totalsRowDxfId="326"/>
    <tableColumn id="3" xr3:uid="{00000000-0010-0000-0200-000003000000}" name="Description" dataDxfId="325" totalsRowDxfId="324"/>
    <tableColumn id="26" xr3:uid="{5E25159C-812B-4970-B4AA-AA3644641652}" name="Market" dataDxfId="323" totalsRowDxfId="322"/>
    <tableColumn id="51" xr3:uid="{09261463-8A3B-42BB-8D88-18E1C89BD965}" name="USA" dataDxfId="321" totalsRowDxfId="320"/>
    <tableColumn id="52" xr3:uid="{41835C27-96DA-429D-89BC-F6081E4FF6AC}" name="United Kingdom" dataDxfId="319" totalsRowDxfId="318"/>
    <tableColumn id="53" xr3:uid="{A2ADC2F2-3122-4F25-85F8-BB651C033DD4}" name="Europe" dataDxfId="317" totalsRowDxfId="316"/>
    <tableColumn id="54" xr3:uid="{AF61F18F-FC64-4865-9B95-E4654CC39FB3}" name="Emerging Markets" dataDxfId="315" totalsRowDxfId="314"/>
    <tableColumn id="55" xr3:uid="{02F1EF29-2109-4B9E-B98F-2A174E1F52A3}" name="Other DM" dataDxfId="313" totalsRowDxfId="312"/>
    <tableColumn id="56" xr3:uid="{9E11C8BB-BF19-4B5B-9BBB-EDF8528B08A3}" name="Other EM" dataDxfId="311" totalsRowDxfId="310"/>
    <tableColumn id="57" xr3:uid="{A03035A8-7AAD-48C8-BB0F-F49281E5082D}" name="Column7" dataDxfId="309" totalsRowDxfId="308"/>
    <tableColumn id="58" xr3:uid="{60BB5189-3044-41EB-8C70-44654874FE27}" name="Column8" dataDxfId="307" totalsRowDxfId="306"/>
    <tableColumn id="59" xr3:uid="{844278D1-91CB-4BCE-80A2-E418F8A6F04B}" name="Other" dataDxfId="305" totalsRowDxfId="304"/>
    <tableColumn id="4" xr3:uid="{00000000-0010-0000-0200-000004000000}" name="ISIN / IBAN" dataDxfId="303" totalsRowDxfId="302"/>
    <tableColumn id="5" xr3:uid="{00000000-0010-0000-0200-000005000000}" name="Risk CCY" dataDxfId="301" totalsRowDxfId="300"/>
    <tableColumn id="20" xr3:uid="{00000000-0010-0000-0200-000014000000}" name="Quantity" dataDxfId="299" totalsRowDxfId="298" dataCellStyle="Comma"/>
    <tableColumn id="21" xr3:uid="{A0D6E205-35D7-4080-9E2C-B91C9ED76906}" name="Market Price" dataDxfId="297" totalsRowDxfId="296" dataCellStyle="Comma"/>
    <tableColumn id="6" xr3:uid="{00000000-0010-0000-0200-000006000000}" name="Market Value, CCY" dataDxfId="295" totalsRowDxfId="294"/>
    <tableColumn id="23" xr3:uid="{9627F439-6DA1-487C-8A7F-E6E97F8005D8}" name="Market Value, USD" dataDxfId="293" totalsRowDxfId="292" dataCellStyle="Comma">
      <calculatedColumnFormula>T_bETFs[[#This Row],[Market Value, CCY]]*T_bETFs[[#This Row],[Exchange rate]]</calculatedColumnFormula>
    </tableColumn>
    <tableColumn id="7" xr3:uid="{00000000-0010-0000-0200-000007000000}" name="Coupon" dataDxfId="291" totalsRowDxfId="290"/>
    <tableColumn id="8" xr3:uid="{00000000-0010-0000-0200-000008000000}" name="Coupon in CCY" dataDxfId="289" totalsRowDxfId="288"/>
    <tableColumn id="9" xr3:uid="{00000000-0010-0000-0200-000009000000}" name="Coupon in USD" dataDxfId="287" totalsRowDxfId="286" dataCellStyle="Comma">
      <calculatedColumnFormula>IFERROR(T_bETFs[[#This Row],[Coupon in CCY]]*INDEX('Tech list'!A:C,MATCH(T_bETFs[[#This Row],[Risk CCY]],'Tech list'!A:A,0),3),"")</calculatedColumnFormula>
    </tableColumn>
    <tableColumn id="10" xr3:uid="{00000000-0010-0000-0200-00000A000000}" name="YTM/YTC" dataDxfId="285" totalsRowDxfId="284"/>
    <tableColumn id="11" xr3:uid="{00000000-0010-0000-0200-00000B000000}" name="for WYTC" dataDxfId="283" totalsRowDxfId="282">
      <calculatedColumnFormula>W2*R2</calculatedColumnFormula>
    </tableColumn>
    <tableColumn id="24" xr3:uid="{0A7B7A18-99FC-4487-9AEE-9DE72E4FB7E9}" name="Cost, CCY" dataDxfId="281" totalsRowDxfId="280" dataCellStyle="Comma">
      <calculatedColumnFormula>SUMIFS(#REF!,#REF!,T_bETFs[[#This Row],[Quantity]])</calculatedColumnFormula>
    </tableColumn>
    <tableColumn id="12" xr3:uid="{00000000-0010-0000-0200-00000C000000}" name="Cost price, CCY" dataDxfId="279" totalsRowDxfId="278"/>
    <tableColumn id="13" xr3:uid="{00000000-0010-0000-0200-00000D000000}" name="Current Yield" dataDxfId="277" totalsRowDxfId="276">
      <calculatedColumnFormula>T_bETFs[[#This Row],[Coupon]]</calculatedColumnFormula>
    </tableColumn>
    <tableColumn id="14" xr3:uid="{00000000-0010-0000-0200-00000E000000}" name="Exchange rate" dataDxfId="275" totalsRowDxfId="274">
      <calculatedColumnFormula>VLOOKUP(T_bETFs[[#This Row],[Risk CCY]],'Tech list'!$A$2:$D$8,3,0)</calculatedColumnFormula>
    </tableColumn>
    <tableColumn id="15" xr3:uid="{00000000-0010-0000-0200-00000F000000}" name="Market price2" dataDxfId="273" totalsRowDxfId="272">
      <calculatedColumnFormula>R2</calculatedColumnFormula>
    </tableColumn>
    <tableColumn id="16" xr3:uid="{00000000-0010-0000-0200-000010000000}" name="Exchange rate2" dataDxfId="271" totalsRowDxfId="270">
      <calculatedColumnFormula>INDEX('Tech list'!A:C,MATCH(T_bETFs[[#This Row],[Risk CCY]],'Tech list'!A:A,0),3)</calculatedColumnFormula>
    </tableColumn>
    <tableColumn id="19" xr3:uid="{00000000-0010-0000-0200-000013000000}" name="Market value in CCY" dataDxfId="269" totalsRowDxfId="268">
      <calculatedColumnFormula>T_bETFs[[#This Row],[Market Value, CCY]]</calculatedColumnFormula>
    </tableColumn>
    <tableColumn id="17" xr3:uid="{00000000-0010-0000-0200-000011000000}" name="Market value in USD" dataDxfId="267" totalsRowDxfId="266">
      <calculatedColumnFormula>AC2*T_bETFs[[#This Row],[Exchange rate2]]</calculatedColumnFormula>
    </tableColumn>
    <tableColumn id="18" xr3:uid="{00000000-0010-0000-0200-000012000000}" name="P&amp;L" dataDxfId="265" totalsRowDxfId="264" dataCellStyle="Comma">
      <calculatedColumnFormula>T_bETFs[[#This Row],[Market value in CCY]]-T_bETFs[[#This Row],[Cost price, CCY]]</calculatedColumnFormula>
    </tableColumn>
    <tableColumn id="50" xr3:uid="{2BBEDDB7-2DD0-406F-8127-A22AE4F27EB2}" name="P&amp;L, %" dataDxfId="263" totalsRowDxfId="262">
      <calculatedColumnFormula>T_bETFs[[#This Row],[P&amp;L]]/T_bETFs[[#This Row],[Cost price, CCY]]</calculatedColumnFormula>
    </tableColumn>
    <tableColumn id="22" xr3:uid="{7AE991D7-4921-416F-8F6F-59BF82D6C326}" name="Coupons per annum" dataDxfId="261" totalsRowDxfId="260"/>
    <tableColumn id="25" xr3:uid="{A89E0B1D-7DBD-4D56-8FA9-934535E4D31C}" name="Coupon date 1" dataDxfId="259" totalsRowDxfId="258"/>
    <tableColumn id="27" xr3:uid="{9EC3CBF2-5F2A-46C8-B4A0-FF665773DD66}" name="Coupon date 2" dataDxfId="257" totalsRowDxfId="256">
      <calculatedColumnFormula>IFERROR(EDATE(T_bETFs[[#This Row],[Coupon date 1]],12/$AI2),"")</calculatedColumnFormula>
    </tableColumn>
    <tableColumn id="28" xr3:uid="{48B500F7-7B0D-442B-93A9-43550E2AF69B}" name="Coupon date 3" dataDxfId="255" totalsRowDxfId="254">
      <calculatedColumnFormula>IFERROR(EDATE(T_bETFs[[#This Row],[Coupon date 2]],12/$AI2),"")</calculatedColumnFormula>
    </tableColumn>
    <tableColumn id="29" xr3:uid="{F0DF1475-E079-4F12-A953-5E166DB90ACB}" name="Coupon date 4" dataDxfId="253" totalsRowDxfId="252">
      <calculatedColumnFormula>IFERROR(EDATE(T_bETFs[[#This Row],[Coupon date 3]],12/$AI2),"")</calculatedColumnFormula>
    </tableColumn>
    <tableColumn id="30" xr3:uid="{81A36A9C-D48B-4CF2-92D5-89000458FFAA}" name="Coupon date 5" dataDxfId="251" totalsRowDxfId="250">
      <calculatedColumnFormula>IFERROR(EDATE(T_bETFs[[#This Row],[Coupon date 4]],12/$AI2),"")</calculatedColumnFormula>
    </tableColumn>
    <tableColumn id="31" xr3:uid="{E0EA6AA3-49ED-4C75-AD1D-6995EDF73AF7}" name="Coupon date 6" dataDxfId="249" totalsRowDxfId="248">
      <calculatedColumnFormula>IFERROR(EDATE(T_bETFs[[#This Row],[Coupon date 5]],12/$AI2),"")</calculatedColumnFormula>
    </tableColumn>
    <tableColumn id="32" xr3:uid="{6E805345-B857-4266-9258-FBD209B7E76A}" name="Coupon date 7" dataDxfId="247" totalsRowDxfId="246">
      <calculatedColumnFormula>IFERROR(EDATE(T_bETFs[[#This Row],[Coupon date 6]],12/$AI2),"")</calculatedColumnFormula>
    </tableColumn>
    <tableColumn id="33" xr3:uid="{6B2530F1-EF87-440C-A234-2FE95EF4FB55}" name="Coupon date 8" dataDxfId="245" totalsRowDxfId="244">
      <calculatedColumnFormula>IFERROR(EDATE(T_bETFs[[#This Row],[Coupon date 7]],12/$AI2),"")</calculatedColumnFormula>
    </tableColumn>
    <tableColumn id="34" xr3:uid="{976AC7DA-D488-402F-AEC4-88CCAD102F00}" name="Coupon date 9" dataDxfId="243" totalsRowDxfId="242">
      <calculatedColumnFormula>IFERROR(EDATE(T_bETFs[[#This Row],[Coupon date 8]],12/$AI2),"")</calculatedColumnFormula>
    </tableColumn>
    <tableColumn id="35" xr3:uid="{A9780177-D768-4BC4-B00A-8272922A8024}" name="Coupon date 10" dataDxfId="241" totalsRowDxfId="240">
      <calculatedColumnFormula>IFERROR(EDATE(T_bETFs[[#This Row],[Coupon date 9]],12/$AI2),"")</calculatedColumnFormula>
    </tableColumn>
    <tableColumn id="36" xr3:uid="{FB2617B4-540E-45E9-B973-2889AF75A2CD}" name="Coupon date 11" dataDxfId="239" totalsRowDxfId="238">
      <calculatedColumnFormula>IFERROR(EDATE(T_bETFs[[#This Row],[Coupon date 10]],12/$AI2),"")</calculatedColumnFormula>
    </tableColumn>
    <tableColumn id="37" xr3:uid="{25BC4456-5163-423A-8DB5-8BF8E1F1995C}" name="Coupon date 12" dataDxfId="237" totalsRowDxfId="236">
      <calculatedColumnFormula>IFERROR(EDATE(T_bETFs[[#This Row],[Coupon date 11]],12/$AI2),"")</calculatedColumnFormula>
    </tableColumn>
    <tableColumn id="38" xr3:uid="{7666FB68-063A-4BD5-87C8-B0978750F8EB}" name=" 1 " dataDxfId="235" totalsRowDxfId="234" dataCellStyle="Comma">
      <calculatedColumnFormula>IFERROR(IF(
OR(
AV$1+1-1=MONTH(T_bETFs[[#This Row],[Coupon date 1]]),
AV$1+1-1=MONTH(T_bETFs[[#This Row],[Coupon date 2]]),
AV$1+1-1=MONTH(T_bETFs[[#This Row],[Coupon date 3]]),
AV$1+1-1=MONTH(T_bETFs[[#This Row],[Coupon date 4]]),
AV$1+1-1=MONTH(T_bETFs[[#This Row],[Coupon date 5]]),
AV$1+1-1=MONTH(T_bETFs[[#This Row],[Coupon date 6]]),
AV$1+1-1=MONTH(T_bETFs[[#This Row],[Coupon date 7]]),
AV$1+1-1=MONTH(T_bETFs[[#This Row],[Coupon date 8]]),
AV$1+1-1=MONTH(T_bETFs[[#This Row],[Coupon date 9]]),
AV$1+1-1=MONTH(T_bETFs[[#This Row],[Coupon date 10]]),
AV$1+1-1=MONTH(T_bETFs[[#This Row],[Coupon date 11]]),
AV$1+1-1=MONTH(T_bETFs[[#This Row],[Coupon date 12]]),),
IF('CF USD'!$A$8="on",T_bETFs[[#This Row],[Coupon in USD]],T_bETFs[[#This Row],[Coupon in CCY]])/T_bETFs[[#This Row],[Coupons per annum]],0),
"")</calculatedColumnFormula>
    </tableColumn>
    <tableColumn id="39" xr3:uid="{CE5543AA-CD09-4117-B6B8-1EA352583BD9}" name=" 2 " dataDxfId="233" totalsRowDxfId="232" dataCellStyle="Comma">
      <calculatedColumnFormula>IFERROR(IF(
OR(
AW$1+1-1=MONTH(T_bETFs[[#This Row],[Coupon date 1]]),
AW$1+1-1=MONTH(T_bETFs[[#This Row],[Coupon date 2]]),
AW$1+1-1=MONTH(T_bETFs[[#This Row],[Coupon date 3]]),
AW$1+1-1=MONTH(T_bETFs[[#This Row],[Coupon date 4]]),
AW$1+1-1=MONTH(T_bETFs[[#This Row],[Coupon date 5]]),
AW$1+1-1=MONTH(T_bETFs[[#This Row],[Coupon date 6]]),
AW$1+1-1=MONTH(T_bETFs[[#This Row],[Coupon date 7]]),
AW$1+1-1=MONTH(T_bETFs[[#This Row],[Coupon date 8]]),
AW$1+1-1=MONTH(T_bETFs[[#This Row],[Coupon date 9]]),
AW$1+1-1=MONTH(T_bETFs[[#This Row],[Coupon date 10]]),
AW$1+1-1=MONTH(T_bETFs[[#This Row],[Coupon date 11]]),
AW$1+1-1=MONTH(T_bETFs[[#This Row],[Coupon date 12]]),),
IF('CF USD'!$A$8="on",T_bETFs[[#This Row],[Coupon in USD]],T_bETFs[[#This Row],[Coupon in CCY]])/T_bETFs[[#This Row],[Coupons per annum]],0),
"")</calculatedColumnFormula>
    </tableColumn>
    <tableColumn id="40" xr3:uid="{F5D6B557-A733-4618-BA08-89531821E2EB}" name=" 3 " dataDxfId="231" totalsRowDxfId="230" dataCellStyle="Comma">
      <calculatedColumnFormula>IFERROR(IF(
OR(
AX$1+1-1=MONTH(T_bETFs[[#This Row],[Coupon date 1]]),
AX$1+1-1=MONTH(T_bETFs[[#This Row],[Coupon date 2]]),
AX$1+1-1=MONTH(T_bETFs[[#This Row],[Coupon date 3]]),
AX$1+1-1=MONTH(T_bETFs[[#This Row],[Coupon date 4]]),
AX$1+1-1=MONTH(T_bETFs[[#This Row],[Coupon date 5]]),
AX$1+1-1=MONTH(T_bETFs[[#This Row],[Coupon date 6]]),
AX$1+1-1=MONTH(T_bETFs[[#This Row],[Coupon date 7]]),
AX$1+1-1=MONTH(T_bETFs[[#This Row],[Coupon date 8]]),
AX$1+1-1=MONTH(T_bETFs[[#This Row],[Coupon date 9]]),
AX$1+1-1=MONTH(T_bETFs[[#This Row],[Coupon date 10]]),
AX$1+1-1=MONTH(T_bETFs[[#This Row],[Coupon date 11]]),
AX$1+1-1=MONTH(T_bETFs[[#This Row],[Coupon date 12]]),),
IF('CF USD'!$A$8="on",T_bETFs[[#This Row],[Coupon in USD]],T_bETFs[[#This Row],[Coupon in CCY]])/T_bETFs[[#This Row],[Coupons per annum]],0),
"")</calculatedColumnFormula>
    </tableColumn>
    <tableColumn id="41" xr3:uid="{A8D85067-D0AB-4E5A-AE01-6742D0B98013}" name=" 4 " dataDxfId="229" totalsRowDxfId="228" dataCellStyle="Comma">
      <calculatedColumnFormula>IFERROR(IF(
OR(
AY$1+1-1=MONTH(T_bETFs[[#This Row],[Coupon date 1]]),
AY$1+1-1=MONTH(T_bETFs[[#This Row],[Coupon date 2]]),
AY$1+1-1=MONTH(T_bETFs[[#This Row],[Coupon date 3]]),
AY$1+1-1=MONTH(T_bETFs[[#This Row],[Coupon date 4]]),
AY$1+1-1=MONTH(T_bETFs[[#This Row],[Coupon date 5]]),
AY$1+1-1=MONTH(T_bETFs[[#This Row],[Coupon date 6]]),
AY$1+1-1=MONTH(T_bETFs[[#This Row],[Coupon date 7]]),
AY$1+1-1=MONTH(T_bETFs[[#This Row],[Coupon date 8]]),
AY$1+1-1=MONTH(T_bETFs[[#This Row],[Coupon date 9]]),
AY$1+1-1=MONTH(T_bETFs[[#This Row],[Coupon date 10]]),
AY$1+1-1=MONTH(T_bETFs[[#This Row],[Coupon date 11]]),
AY$1+1-1=MONTH(T_bETFs[[#This Row],[Coupon date 12]]),),
IF('CF USD'!$A$8="on",T_bETFs[[#This Row],[Coupon in USD]],T_bETFs[[#This Row],[Coupon in CCY]])/T_bETFs[[#This Row],[Coupons per annum]],0),
"")</calculatedColumnFormula>
    </tableColumn>
    <tableColumn id="42" xr3:uid="{0E3A9D8D-F2E0-4AA7-9CB1-CD395ABFF785}" name=" 5 " dataDxfId="227" totalsRowDxfId="226" dataCellStyle="Comma">
      <calculatedColumnFormula>IFERROR(IF(
OR(
AZ$1+1-1=MONTH(T_bETFs[[#This Row],[Coupon date 1]]),
AZ$1+1-1=MONTH(T_bETFs[[#This Row],[Coupon date 2]]),
AZ$1+1-1=MONTH(T_bETFs[[#This Row],[Coupon date 3]]),
AZ$1+1-1=MONTH(T_bETFs[[#This Row],[Coupon date 4]]),
AZ$1+1-1=MONTH(T_bETFs[[#This Row],[Coupon date 5]]),
AZ$1+1-1=MONTH(T_bETFs[[#This Row],[Coupon date 6]]),
AZ$1+1-1=MONTH(T_bETFs[[#This Row],[Coupon date 7]]),
AZ$1+1-1=MONTH(T_bETFs[[#This Row],[Coupon date 8]]),
AZ$1+1-1=MONTH(T_bETFs[[#This Row],[Coupon date 9]]),
AZ$1+1-1=MONTH(T_bETFs[[#This Row],[Coupon date 10]]),
AZ$1+1-1=MONTH(T_bETFs[[#This Row],[Coupon date 11]]),
AZ$1+1-1=MONTH(T_bETFs[[#This Row],[Coupon date 12]]),),
IF('CF USD'!$A$8="on",T_bETFs[[#This Row],[Coupon in USD]],T_bETFs[[#This Row],[Coupon in CCY]])/T_bETFs[[#This Row],[Coupons per annum]],0),
"")</calculatedColumnFormula>
    </tableColumn>
    <tableColumn id="43" xr3:uid="{93C10FA3-F6F7-4AC9-8EC4-F7DACEB72031}" name=" 6 " dataDxfId="225" totalsRowDxfId="224" dataCellStyle="Comma">
      <calculatedColumnFormula>IFERROR(IF(
OR(
BA$1+1-1=MONTH(T_bETFs[[#This Row],[Coupon date 1]]),
BA$1+1-1=MONTH(T_bETFs[[#This Row],[Coupon date 2]]),
BA$1+1-1=MONTH(T_bETFs[[#This Row],[Coupon date 3]]),
BA$1+1-1=MONTH(T_bETFs[[#This Row],[Coupon date 4]]),
BA$1+1-1=MONTH(T_bETFs[[#This Row],[Coupon date 5]]),
BA$1+1-1=MONTH(T_bETFs[[#This Row],[Coupon date 6]]),
BA$1+1-1=MONTH(T_bETFs[[#This Row],[Coupon date 7]]),
BA$1+1-1=MONTH(T_bETFs[[#This Row],[Coupon date 8]]),
BA$1+1-1=MONTH(T_bETFs[[#This Row],[Coupon date 9]]),
BA$1+1-1=MONTH(T_bETFs[[#This Row],[Coupon date 10]]),
BA$1+1-1=MONTH(T_bETFs[[#This Row],[Coupon date 11]]),
BA$1+1-1=MONTH(T_bETFs[[#This Row],[Coupon date 12]]),),
IF('CF USD'!$A$8="on",T_bETFs[[#This Row],[Coupon in USD]],T_bETFs[[#This Row],[Coupon in CCY]])/T_bETFs[[#This Row],[Coupons per annum]],0),
"")</calculatedColumnFormula>
    </tableColumn>
    <tableColumn id="44" xr3:uid="{97F2CD2D-2EEA-4B8A-9B5B-F6B2B1405057}" name=" 7 " dataDxfId="223" totalsRowDxfId="222" dataCellStyle="Comma">
      <calculatedColumnFormula>IFERROR(IF(
OR(
BB$1+1-1=MONTH(T_bETFs[[#This Row],[Coupon date 1]]),
BB$1+1-1=MONTH(T_bETFs[[#This Row],[Coupon date 2]]),
BB$1+1-1=MONTH(T_bETFs[[#This Row],[Coupon date 3]]),
BB$1+1-1=MONTH(T_bETFs[[#This Row],[Coupon date 4]]),
BB$1+1-1=MONTH(T_bETFs[[#This Row],[Coupon date 5]]),
BB$1+1-1=MONTH(T_bETFs[[#This Row],[Coupon date 6]]),
BB$1+1-1=MONTH(T_bETFs[[#This Row],[Coupon date 7]]),
BB$1+1-1=MONTH(T_bETFs[[#This Row],[Coupon date 8]]),
BB$1+1-1=MONTH(T_bETFs[[#This Row],[Coupon date 9]]),
BB$1+1-1=MONTH(T_bETFs[[#This Row],[Coupon date 10]]),
BB$1+1-1=MONTH(T_bETFs[[#This Row],[Coupon date 11]]),
BB$1+1-1=MONTH(T_bETFs[[#This Row],[Coupon date 12]]),),
IF('CF USD'!$A$8="on",T_bETFs[[#This Row],[Coupon in USD]],T_bETFs[[#This Row],[Coupon in CCY]])/T_bETFs[[#This Row],[Coupons per annum]],0),
"")</calculatedColumnFormula>
    </tableColumn>
    <tableColumn id="45" xr3:uid="{36E79865-ACEF-49FF-A9B8-05390BD288E3}" name=" 8 " dataDxfId="221" totalsRowDxfId="220" dataCellStyle="Comma">
      <calculatedColumnFormula>IFERROR(IF(
OR(
BC$1+1-1=MONTH(T_bETFs[[#This Row],[Coupon date 1]]),
BC$1+1-1=MONTH(T_bETFs[[#This Row],[Coupon date 2]]),
BC$1+1-1=MONTH(T_bETFs[[#This Row],[Coupon date 3]]),
BC$1+1-1=MONTH(T_bETFs[[#This Row],[Coupon date 4]]),
BC$1+1-1=MONTH(T_bETFs[[#This Row],[Coupon date 5]]),
BC$1+1-1=MONTH(T_bETFs[[#This Row],[Coupon date 6]]),
BC$1+1-1=MONTH(T_bETFs[[#This Row],[Coupon date 7]]),
BC$1+1-1=MONTH(T_bETFs[[#This Row],[Coupon date 8]]),
BC$1+1-1=MONTH(T_bETFs[[#This Row],[Coupon date 9]]),
BC$1+1-1=MONTH(T_bETFs[[#This Row],[Coupon date 10]]),
BC$1+1-1=MONTH(T_bETFs[[#This Row],[Coupon date 11]]),
BC$1+1-1=MONTH(T_bETFs[[#This Row],[Coupon date 12]]),),
IF('CF USD'!$A$8="on",T_bETFs[[#This Row],[Coupon in USD]],T_bETFs[[#This Row],[Coupon in CCY]])/T_bETFs[[#This Row],[Coupons per annum]],0),
"")</calculatedColumnFormula>
    </tableColumn>
    <tableColumn id="46" xr3:uid="{1C9F2DFE-000A-4ECC-B2FA-ACE2FB1F2589}" name=" 9 " dataDxfId="219" totalsRowDxfId="218" dataCellStyle="Comma">
      <calculatedColumnFormula>IFERROR(IF(
OR(
BD$1+1-1=MONTH(T_bETFs[[#This Row],[Coupon date 1]]),
BD$1+1-1=MONTH(T_bETFs[[#This Row],[Coupon date 2]]),
BD$1+1-1=MONTH(T_bETFs[[#This Row],[Coupon date 3]]),
BD$1+1-1=MONTH(T_bETFs[[#This Row],[Coupon date 4]]),
BD$1+1-1=MONTH(T_bETFs[[#This Row],[Coupon date 5]]),
BD$1+1-1=MONTH(T_bETFs[[#This Row],[Coupon date 6]]),
BD$1+1-1=MONTH(T_bETFs[[#This Row],[Coupon date 7]]),
BD$1+1-1=MONTH(T_bETFs[[#This Row],[Coupon date 8]]),
BD$1+1-1=MONTH(T_bETFs[[#This Row],[Coupon date 9]]),
BD$1+1-1=MONTH(T_bETFs[[#This Row],[Coupon date 10]]),
BD$1+1-1=MONTH(T_bETFs[[#This Row],[Coupon date 11]]),
BD$1+1-1=MONTH(T_bETFs[[#This Row],[Coupon date 12]]),),
IF('CF USD'!$A$8="on",T_bETFs[[#This Row],[Coupon in USD]],T_bETFs[[#This Row],[Coupon in CCY]])/T_bETFs[[#This Row],[Coupons per annum]],0),
"")</calculatedColumnFormula>
    </tableColumn>
    <tableColumn id="47" xr3:uid="{277804A1-5F4A-44B4-8262-7663FBE1C0E4}" name=" 10 " dataDxfId="217" totalsRowDxfId="216" dataCellStyle="Comma">
      <calculatedColumnFormula>IFERROR(IF(
OR(
BE$1+1-1=MONTH(T_bETFs[[#This Row],[Coupon date 1]]),
BE$1+1-1=MONTH(T_bETFs[[#This Row],[Coupon date 2]]),
BE$1+1-1=MONTH(T_bETFs[[#This Row],[Coupon date 3]]),
BE$1+1-1=MONTH(T_bETFs[[#This Row],[Coupon date 4]]),
BE$1+1-1=MONTH(T_bETFs[[#This Row],[Coupon date 5]]),
BE$1+1-1=MONTH(T_bETFs[[#This Row],[Coupon date 6]]),
BE$1+1-1=MONTH(T_bETFs[[#This Row],[Coupon date 7]]),
BE$1+1-1=MONTH(T_bETFs[[#This Row],[Coupon date 8]]),
BE$1+1-1=MONTH(T_bETFs[[#This Row],[Coupon date 9]]),
BE$1+1-1=MONTH(T_bETFs[[#This Row],[Coupon date 10]]),
BE$1+1-1=MONTH(T_bETFs[[#This Row],[Coupon date 11]]),
BE$1+1-1=MONTH(T_bETFs[[#This Row],[Coupon date 12]]),),
IF('CF USD'!$A$8="on",T_bETFs[[#This Row],[Coupon in USD]],T_bETFs[[#This Row],[Coupon in CCY]])/T_bETFs[[#This Row],[Coupons per annum]],0),
"")</calculatedColumnFormula>
    </tableColumn>
    <tableColumn id="48" xr3:uid="{7D9C7C3A-AC20-4253-8017-0A30264CCB0C}" name=" 11 " dataDxfId="215" totalsRowDxfId="214" dataCellStyle="Comma">
      <calculatedColumnFormula>IFERROR(IF(
OR(
BF$1+1-1=MONTH(T_bETFs[[#This Row],[Coupon date 1]]),
BF$1+1-1=MONTH(T_bETFs[[#This Row],[Coupon date 2]]),
BF$1+1-1=MONTH(T_bETFs[[#This Row],[Coupon date 3]]),
BF$1+1-1=MONTH(T_bETFs[[#This Row],[Coupon date 4]]),
BF$1+1-1=MONTH(T_bETFs[[#This Row],[Coupon date 5]]),
BF$1+1-1=MONTH(T_bETFs[[#This Row],[Coupon date 6]]),
BF$1+1-1=MONTH(T_bETFs[[#This Row],[Coupon date 7]]),
BF$1+1-1=MONTH(T_bETFs[[#This Row],[Coupon date 8]]),
BF$1+1-1=MONTH(T_bETFs[[#This Row],[Coupon date 9]]),
BF$1+1-1=MONTH(T_bETFs[[#This Row],[Coupon date 10]]),
BF$1+1-1=MONTH(T_bETFs[[#This Row],[Coupon date 11]]),
BF$1+1-1=MONTH(T_bETFs[[#This Row],[Coupon date 12]]),),
IF('CF USD'!$A$8="on",T_bETFs[[#This Row],[Coupon in USD]],T_bETFs[[#This Row],[Coupon in CCY]])/T_bETFs[[#This Row],[Coupons per annum]],0),
"")</calculatedColumnFormula>
    </tableColumn>
    <tableColumn id="49" xr3:uid="{A4ECE480-34B7-4AD1-B739-79348819C7D2}" name=" 12 " dataDxfId="213" totalsRowDxfId="212" dataCellStyle="Comma">
      <calculatedColumnFormula>IFERROR(IF(
OR(
BG$1+1-1=MONTH(T_bETFs[[#This Row],[Coupon date 1]]),
BG$1+1-1=MONTH(T_bETFs[[#This Row],[Coupon date 2]]),
BG$1+1-1=MONTH(T_bETFs[[#This Row],[Coupon date 3]]),
BG$1+1-1=MONTH(T_bETFs[[#This Row],[Coupon date 4]]),
BG$1+1-1=MONTH(T_bETFs[[#This Row],[Coupon date 5]]),
BG$1+1-1=MONTH(T_bETFs[[#This Row],[Coupon date 6]]),
BG$1+1-1=MONTH(T_bETFs[[#This Row],[Coupon date 7]]),
BG$1+1-1=MONTH(T_bETFs[[#This Row],[Coupon date 8]]),
BG$1+1-1=MONTH(T_bETFs[[#This Row],[Coupon date 9]]),
BG$1+1-1=MONTH(T_bETFs[[#This Row],[Coupon date 10]]),
BG$1+1-1=MONTH(T_bETFs[[#This Row],[Coupon date 11]]),
BG$1+1-1=MONTH(T_bETFs[[#This Row],[Coupon date 12]]),),
IF('CF USD'!$A$8="on",T_bETFs[[#This Row],[Coupon in USD]],T_bETFs[[#This Row],[Coupon in CCY]])/T_bETFs[[#This Row],[Coupons per annum]],0),
"")</calculatedColumnFormula>
    </tableColumn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_deposits" displayName="T_deposits" ref="A1:AU7" totalsRowCount="1" headerRowDxfId="211">
  <autoFilter ref="A1:AU6" xr:uid="{00000000-000C-0000-FFFF-FFFF01000000}"/>
  <sortState xmlns:xlrd2="http://schemas.microsoft.com/office/spreadsheetml/2017/richdata2" ref="A2:V3">
    <sortCondition ref="K1:K3"/>
  </sortState>
  <tableColumns count="47">
    <tableColumn id="1" xr3:uid="{00000000-0010-0000-0100-000001000000}" name="Source"/>
    <tableColumn id="2" xr3:uid="{00000000-0010-0000-0100-000002000000}" name="Asset class"/>
    <tableColumn id="4" xr3:uid="{00000000-0010-0000-0100-000004000000}" name="Description" dataDxfId="210" totalsRowDxfId="209"/>
    <tableColumn id="5" xr3:uid="{00000000-0010-0000-0100-000005000000}" name="Risk CCY" dataDxfId="208" totalsRowDxfId="207"/>
    <tableColumn id="47" xr3:uid="{4ECBA170-98D9-4A40-B31B-9773E0510AA0}" name="ISIN" dataDxfId="206" totalsRowDxfId="205"/>
    <tableColumn id="6" xr3:uid="{00000000-0010-0000-0100-000006000000}" name="Quantity" dataDxfId="204" totalsRowDxfId="203" dataCellStyle="Comma"/>
    <tableColumn id="7" xr3:uid="{00000000-0010-0000-0100-000007000000}" name="Coupon" totalsRowDxfId="202"/>
    <tableColumn id="22" xr3:uid="{CDA20E61-3047-4785-BACC-ED0FBA70CEFD}" name="Coupon in USD, real" totalsRowDxfId="201"/>
    <tableColumn id="8" xr3:uid="{00000000-0010-0000-0100-000008000000}" name="Coupon in Loc.Curr" dataDxfId="200" totalsRowDxfId="199">
      <calculatedColumnFormula>T_deposits[[#This Row],[Coupon in USD, real]]*365/(T_deposits[[#This Row],[Maturity]]-T_deposits[[#This Row],[Purchase date]])</calculatedColumnFormula>
    </tableColumn>
    <tableColumn id="9" xr3:uid="{00000000-0010-0000-0100-000009000000}" name="Coupon in USD" dataDxfId="198" totalsRowDxfId="197">
      <calculatedColumnFormula>IF(T2&lt;&gt;1,F2*G2*T2,F2*G2)</calculatedColumnFormula>
    </tableColumn>
    <tableColumn id="10" xr3:uid="{00000000-0010-0000-0100-00000A000000}" name="Maturity" dataDxfId="196" totalsRowDxfId="195"/>
    <tableColumn id="11" xr3:uid="{00000000-0010-0000-0100-00000B000000}" name="YTM/YTC" dataDxfId="194" totalsRowDxfId="193">
      <calculatedColumnFormula>G2</calculatedColumnFormula>
    </tableColumn>
    <tableColumn id="23" xr3:uid="{3FD5EA34-DA3D-4D18-AC35-899897BB7D0B}" name="Purchase date" dataDxfId="192" totalsRowDxfId="191"/>
    <tableColumn id="12" xr3:uid="{00000000-0010-0000-0100-00000C000000}" name="for WYTC" dataDxfId="190" totalsRowDxfId="189">
      <calculatedColumnFormula>L2*F2</calculatedColumnFormula>
    </tableColumn>
    <tableColumn id="13" xr3:uid="{00000000-0010-0000-0100-00000D000000}" name="Cost price" dataDxfId="188" totalsRowDxfId="187"/>
    <tableColumn id="14" xr3:uid="{00000000-0010-0000-0100-00000E000000}" name="Current Yield" dataDxfId="186" totalsRowDxfId="185">
      <calculatedColumnFormula>T_deposits[[#This Row],[Coupon in Loc.Curr]]/T_deposits[[#This Row],[Market value in CCY]]</calculatedColumnFormula>
    </tableColumn>
    <tableColumn id="15" xr3:uid="{00000000-0010-0000-0100-00000F000000}" name="Exchange rate" dataDxfId="184">
      <calculatedColumnFormula>T_deposits[[#This Row],[Exchange rate2]]</calculatedColumnFormula>
    </tableColumn>
    <tableColumn id="16" xr3:uid="{00000000-0010-0000-0100-000010000000}" name="Market price"/>
    <tableColumn id="3" xr3:uid="{97861910-F925-432D-9D7D-E298D6329707}" name="P&amp;L,%" dataDxfId="183">
      <calculatedColumnFormula>T_deposits[[#This Row],[Market price]]/T_deposits[[#This Row],[Cost price]]-1</calculatedColumnFormula>
    </tableColumn>
    <tableColumn id="17" xr3:uid="{00000000-0010-0000-0100-000011000000}" name="Exchange rate2">
      <calculatedColumnFormula>INDEX('Tech list'!A:C,MATCH(T_deposits[[#This Row],[Risk CCY]],'Tech list'!A:A,0),3)</calculatedColumnFormula>
    </tableColumn>
    <tableColumn id="21" xr3:uid="{00000000-0010-0000-0100-000015000000}" name="Market value in CCY" dataDxfId="182" totalsRowDxfId="181" dataCellStyle="Comma">
      <calculatedColumnFormula>T_deposits[[#This Row],[Market price]]*T_deposits[[#This Row],[Quantity]]</calculatedColumnFormula>
    </tableColumn>
    <tableColumn id="18" xr3:uid="{00000000-0010-0000-0100-000012000000}" name="Market value in USD" dataDxfId="180" totalsRowDxfId="179" dataCellStyle="Comma">
      <calculatedColumnFormula>T_deposits[[#This Row],[Market value in CCY]]*T_deposits[[#This Row],[Exchange rate2]]</calculatedColumnFormula>
    </tableColumn>
    <tableColumn id="24" xr3:uid="{DC5C2E79-6EE0-428D-A060-F1A7DF165F19}" name="Coupons per annum" dataDxfId="178" totalsRowDxfId="177" dataCellStyle="Comma"/>
    <tableColumn id="19" xr3:uid="{B70F38E0-B629-483A-BDD5-BE5C42D564B2}" name="Coupon date 1" dataDxfId="176" totalsRowDxfId="175">
      <calculatedColumnFormula>T_deposits[[#This Row],[Maturity]]</calculatedColumnFormula>
    </tableColumn>
    <tableColumn id="20" xr3:uid="{116A887F-DC8B-4C6F-90F0-F7F973E3DA5B}" name="Coupon date 2" dataDxfId="174" totalsRowDxfId="173">
      <calculatedColumnFormula>IFERROR(EDATE(T_deposits[[#This Row],[Coupon date 1]],12/$W2),"")</calculatedColumnFormula>
    </tableColumn>
    <tableColumn id="25" xr3:uid="{056F3AC1-F177-49C7-A275-0FE92F5DC868}" name="Coupon date 3" dataDxfId="172" totalsRowDxfId="171">
      <calculatedColumnFormula>IFERROR(EDATE(T_deposits[[#This Row],[Coupon date 2]],12/$W2),"")</calculatedColumnFormula>
    </tableColumn>
    <tableColumn id="26" xr3:uid="{9B7FF6B5-42A9-49BC-9D71-7F5502D7C068}" name="Coupon date 4" dataDxfId="170" totalsRowDxfId="169">
      <calculatedColumnFormula>IFERROR(EDATE(T_deposits[[#This Row],[Coupon date 3]],12/$W2),"")</calculatedColumnFormula>
    </tableColumn>
    <tableColumn id="27" xr3:uid="{DEC45616-D624-40BF-8131-2CD7B735D59D}" name="Coupon date 5" dataDxfId="168" totalsRowDxfId="167">
      <calculatedColumnFormula>IFERROR(EDATE(T_deposits[[#This Row],[Coupon date 4]],12/$W2),"")</calculatedColumnFormula>
    </tableColumn>
    <tableColumn id="28" xr3:uid="{D1F08CDF-E04E-4334-88D3-A77832A95358}" name="Coupon date 6" dataDxfId="166" totalsRowDxfId="165">
      <calculatedColumnFormula>IFERROR(EDATE(T_deposits[[#This Row],[Coupon date 5]],12/$W2),"")</calculatedColumnFormula>
    </tableColumn>
    <tableColumn id="29" xr3:uid="{B9BDB17E-247C-44D9-BEDE-8F1947F06F6D}" name="Coupon date 7" dataDxfId="164" totalsRowDxfId="163">
      <calculatedColumnFormula>IFERROR(EDATE(T_deposits[[#This Row],[Coupon date 6]],12/$W2),"")</calculatedColumnFormula>
    </tableColumn>
    <tableColumn id="30" xr3:uid="{5F98924A-7D32-4242-ACA4-71D1A2B0EA7B}" name="Coupon date 8" dataDxfId="162" totalsRowDxfId="161">
      <calculatedColumnFormula>IFERROR(EDATE(T_deposits[[#This Row],[Coupon date 7]],12/$W2),"")</calculatedColumnFormula>
    </tableColumn>
    <tableColumn id="31" xr3:uid="{A833D834-8C3E-4872-850C-2B213370597F}" name="Coupon date 9" dataDxfId="160" totalsRowDxfId="159">
      <calculatedColumnFormula>IFERROR(EDATE(T_deposits[[#This Row],[Coupon date 8]],12/$W2),"")</calculatedColumnFormula>
    </tableColumn>
    <tableColumn id="32" xr3:uid="{F7A7943A-C815-4B4E-85D6-157A2F38158E}" name="Coupon date 10" dataDxfId="158" totalsRowDxfId="157">
      <calculatedColumnFormula>IFERROR(EDATE(T_deposits[[#This Row],[Coupon date 9]],12/$W2),"")</calculatedColumnFormula>
    </tableColumn>
    <tableColumn id="33" xr3:uid="{BC6C507B-A3E7-42FE-8D95-245B334BB8EB}" name="Coupon date 11" dataDxfId="156" totalsRowDxfId="155">
      <calculatedColumnFormula>IFERROR(EDATE(T_deposits[[#This Row],[Coupon date 10]],12/$W2),"")</calculatedColumnFormula>
    </tableColumn>
    <tableColumn id="34" xr3:uid="{2A83E5D1-7033-42A6-8797-BC3A75763FC6}" name="Coupon date 12" dataDxfId="154" totalsRowDxfId="153">
      <calculatedColumnFormula>IFERROR(EDATE(T_deposits[[#This Row],[Coupon date 11]],12/$W2),"")</calculatedColumnFormula>
    </tableColumn>
    <tableColumn id="35" xr3:uid="{85431485-52A3-44FB-AE22-9AFA93E0F838}" name=" 1 " dataDxfId="152" totalsRowDxfId="151">
      <calculatedColumnFormula>IFERROR(IF(
OR(
AJ$1+1-1=MONTH(T_deposits[[#This Row],[Coupon date 1]]),
AJ$1+1-1=MONTH(T_deposits[[#This Row],[Coupon date 2]]),
AJ$1+1-1=MONTH(T_deposits[[#This Row],[Coupon date 3]]),
AJ$1+1-1=MONTH(T_deposits[[#This Row],[Coupon date 4]]),
AJ$1+1-1=MONTH(T_deposits[[#This Row],[Coupon date 5]]),
AJ$1+1-1=MONTH(T_deposits[[#This Row],[Coupon date 6]]),
AJ$1+1-1=MONTH(T_deposits[[#This Row],[Coupon date 7]]),
AJ$1+1-1=MONTH(T_deposits[[#This Row],[Coupon date 8]]),
AJ$1+1-1=MONTH(T_deposits[[#This Row],[Coupon date 9]]),
AJ$1+1-1=MONTH(T_deposits[[#This Row],[Coupon date 10]]),
AJ$1+1-1=MONTH(T_deposits[[#This Row],[Coupon date 11]]),
AJ$1+1-1=MONTH(T_deposits[[#This Row],[Coupon date 12]]),),
IF('CF USD'!$A$8="on",$J2,$I2)/T_deposits[[#This Row],[Coupons per annum]],0),
"")</calculatedColumnFormula>
    </tableColumn>
    <tableColumn id="36" xr3:uid="{C1BE518F-380B-4595-8677-3CBB3779BE0E}" name=" 2 " dataDxfId="150" totalsRowDxfId="149">
      <calculatedColumnFormula>IFERROR(IF(
OR(
AJ$1+1-1=MONTH(T_deposits[[#This Row],[Coupon date 1]]),
AJ$1+1-1=MONTH(T_deposits[[#This Row],[Coupon date 2]]),
AJ$1+1-1=MONTH(T_deposits[[#This Row],[Coupon date 3]]),
AJ$1+1-1=MONTH(T_deposits[[#This Row],[Coupon date 4]]),
AJ$1+1-1=MONTH(T_deposits[[#This Row],[Coupon date 5]]),
AJ$1+1-1=MONTH(T_deposits[[#This Row],[Coupon date 6]]),
AJ$1+1-1=MONTH(T_deposits[[#This Row],[Coupon date 7]]),
AJ$1+1-1=MONTH(T_deposits[[#This Row],[Coupon date 8]]),
AJ$1+1-1=MONTH(T_deposits[[#This Row],[Coupon date 9]]),
AJ$1+1-1=MONTH(T_deposits[[#This Row],[Coupon date 10]]),
AJ$1+1-1=MONTH(T_deposits[[#This Row],[Coupon date 11]]),
AJ$1+1-1=MONTH(T_deposits[[#This Row],[Coupon date 12]]),),
IF('CF USD'!$A$8="on",$J2,$I2)/T_deposits[[#This Row],[Coupons per annum]],0),
"")</calculatedColumnFormula>
    </tableColumn>
    <tableColumn id="37" xr3:uid="{8FEE2C78-BE5D-4E55-AF25-DF8D62BEA919}" name=" 3 " dataDxfId="148" totalsRowDxfId="147">
      <calculatedColumnFormula>IFERROR(IF(
OR(
AJ$1+1-1=MONTH(T_deposits[[#This Row],[Coupon date 1]]),
AJ$1+1-1=MONTH(T_deposits[[#This Row],[Coupon date 2]]),
AJ$1+1-1=MONTH(T_deposits[[#This Row],[Coupon date 3]]),
AJ$1+1-1=MONTH(T_deposits[[#This Row],[Coupon date 4]]),
AJ$1+1-1=MONTH(T_deposits[[#This Row],[Coupon date 5]]),
AJ$1+1-1=MONTH(T_deposits[[#This Row],[Coupon date 6]]),
AJ$1+1-1=MONTH(T_deposits[[#This Row],[Coupon date 7]]),
AJ$1+1-1=MONTH(T_deposits[[#This Row],[Coupon date 8]]),
AJ$1+1-1=MONTH(T_deposits[[#This Row],[Coupon date 9]]),
AJ$1+1-1=MONTH(T_deposits[[#This Row],[Coupon date 10]]),
AJ$1+1-1=MONTH(T_deposits[[#This Row],[Coupon date 11]]),
AJ$1+1-1=MONTH(T_deposits[[#This Row],[Coupon date 12]]),),
IF('CF USD'!$A$8="on",$J2,$I2)/T_deposits[[#This Row],[Coupons per annum]],0),
"")</calculatedColumnFormula>
    </tableColumn>
    <tableColumn id="38" xr3:uid="{613465D9-B908-46EE-A1F4-E4702A61F3EF}" name=" 4 " dataDxfId="146" totalsRowDxfId="145">
      <calculatedColumnFormula>IFERROR(IF(
OR(
AJ$1+1-1=MONTH(T_deposits[[#This Row],[Coupon date 1]]),
AJ$1+1-1=MONTH(T_deposits[[#This Row],[Coupon date 2]]),
AJ$1+1-1=MONTH(T_deposits[[#This Row],[Coupon date 3]]),
AJ$1+1-1=MONTH(T_deposits[[#This Row],[Coupon date 4]]),
AJ$1+1-1=MONTH(T_deposits[[#This Row],[Coupon date 5]]),
AJ$1+1-1=MONTH(T_deposits[[#This Row],[Coupon date 6]]),
AJ$1+1-1=MONTH(T_deposits[[#This Row],[Coupon date 7]]),
AJ$1+1-1=MONTH(T_deposits[[#This Row],[Coupon date 8]]),
AJ$1+1-1=MONTH(T_deposits[[#This Row],[Coupon date 9]]),
AJ$1+1-1=MONTH(T_deposits[[#This Row],[Coupon date 10]]),
AJ$1+1-1=MONTH(T_deposits[[#This Row],[Coupon date 11]]),
AJ$1+1-1=MONTH(T_deposits[[#This Row],[Coupon date 12]]),),
IF('CF USD'!$A$8="on",$J2,$I2)/T_deposits[[#This Row],[Coupons per annum]],0),
"")</calculatedColumnFormula>
    </tableColumn>
    <tableColumn id="39" xr3:uid="{582685A7-1337-44E5-893E-ABEFEC19F006}" name=" 5 " dataDxfId="144" totalsRowDxfId="143">
      <calculatedColumnFormula>IFERROR(IF(
OR(
AJ$1+1-1=MONTH(T_deposits[[#This Row],[Coupon date 1]]),
AJ$1+1-1=MONTH(T_deposits[[#This Row],[Coupon date 2]]),
AJ$1+1-1=MONTH(T_deposits[[#This Row],[Coupon date 3]]),
AJ$1+1-1=MONTH(T_deposits[[#This Row],[Coupon date 4]]),
AJ$1+1-1=MONTH(T_deposits[[#This Row],[Coupon date 5]]),
AJ$1+1-1=MONTH(T_deposits[[#This Row],[Coupon date 6]]),
AJ$1+1-1=MONTH(T_deposits[[#This Row],[Coupon date 7]]),
AJ$1+1-1=MONTH(T_deposits[[#This Row],[Coupon date 8]]),
AJ$1+1-1=MONTH(T_deposits[[#This Row],[Coupon date 9]]),
AJ$1+1-1=MONTH(T_deposits[[#This Row],[Coupon date 10]]),
AJ$1+1-1=MONTH(T_deposits[[#This Row],[Coupon date 11]]),
AJ$1+1-1=MONTH(T_deposits[[#This Row],[Coupon date 12]]),),
IF('CF USD'!$A$8="on",$J2,$I2)/T_deposits[[#This Row],[Coupons per annum]],0),
"")</calculatedColumnFormula>
    </tableColumn>
    <tableColumn id="40" xr3:uid="{7372A320-B4A1-4485-85A1-2E83193740ED}" name=" 6 " dataDxfId="142" totalsRowDxfId="141">
      <calculatedColumnFormula>IFERROR(IF(
OR(
AJ$1+1-1=MONTH(T_deposits[[#This Row],[Coupon date 1]]),
AJ$1+1-1=MONTH(T_deposits[[#This Row],[Coupon date 2]]),
AJ$1+1-1=MONTH(T_deposits[[#This Row],[Coupon date 3]]),
AJ$1+1-1=MONTH(T_deposits[[#This Row],[Coupon date 4]]),
AJ$1+1-1=MONTH(T_deposits[[#This Row],[Coupon date 5]]),
AJ$1+1-1=MONTH(T_deposits[[#This Row],[Coupon date 6]]),
AJ$1+1-1=MONTH(T_deposits[[#This Row],[Coupon date 7]]),
AJ$1+1-1=MONTH(T_deposits[[#This Row],[Coupon date 8]]),
AJ$1+1-1=MONTH(T_deposits[[#This Row],[Coupon date 9]]),
AJ$1+1-1=MONTH(T_deposits[[#This Row],[Coupon date 10]]),
AJ$1+1-1=MONTH(T_deposits[[#This Row],[Coupon date 11]]),
AJ$1+1-1=MONTH(T_deposits[[#This Row],[Coupon date 12]]),),
IF('CF USD'!$A$8="on",$J2,$I2)/T_deposits[[#This Row],[Coupons per annum]],0),
"")</calculatedColumnFormula>
    </tableColumn>
    <tableColumn id="41" xr3:uid="{2F5BDB5D-82D4-4065-BECA-6E2F8C7A198A}" name=" 7 " dataDxfId="140" totalsRowDxfId="139">
      <calculatedColumnFormula>IFERROR(IF(
OR(
AJ$1+1-1=MONTH(T_deposits[[#This Row],[Coupon date 1]]),
AJ$1+1-1=MONTH(T_deposits[[#This Row],[Coupon date 2]]),
AJ$1+1-1=MONTH(T_deposits[[#This Row],[Coupon date 3]]),
AJ$1+1-1=MONTH(T_deposits[[#This Row],[Coupon date 4]]),
AJ$1+1-1=MONTH(T_deposits[[#This Row],[Coupon date 5]]),
AJ$1+1-1=MONTH(T_deposits[[#This Row],[Coupon date 6]]),
AJ$1+1-1=MONTH(T_deposits[[#This Row],[Coupon date 7]]),
AJ$1+1-1=MONTH(T_deposits[[#This Row],[Coupon date 8]]),
AJ$1+1-1=MONTH(T_deposits[[#This Row],[Coupon date 9]]),
AJ$1+1-1=MONTH(T_deposits[[#This Row],[Coupon date 10]]),
AJ$1+1-1=MONTH(T_deposits[[#This Row],[Coupon date 11]]),
AJ$1+1-1=MONTH(T_deposits[[#This Row],[Coupon date 12]]),),
IF('CF USD'!$A$8="on",$J2,$I2)/T_deposits[[#This Row],[Coupons per annum]],0),
"")</calculatedColumnFormula>
    </tableColumn>
    <tableColumn id="42" xr3:uid="{B48C0D2B-8294-40F5-BD78-84194B9A9783}" name=" 8 " dataDxfId="138" totalsRowDxfId="137">
      <calculatedColumnFormula>IFERROR(IF(
OR(
AJ$1+1-1=MONTH(T_deposits[[#This Row],[Coupon date 1]]),
AJ$1+1-1=MONTH(T_deposits[[#This Row],[Coupon date 2]]),
AJ$1+1-1=MONTH(T_deposits[[#This Row],[Coupon date 3]]),
AJ$1+1-1=MONTH(T_deposits[[#This Row],[Coupon date 4]]),
AJ$1+1-1=MONTH(T_deposits[[#This Row],[Coupon date 5]]),
AJ$1+1-1=MONTH(T_deposits[[#This Row],[Coupon date 6]]),
AJ$1+1-1=MONTH(T_deposits[[#This Row],[Coupon date 7]]),
AJ$1+1-1=MONTH(T_deposits[[#This Row],[Coupon date 8]]),
AJ$1+1-1=MONTH(T_deposits[[#This Row],[Coupon date 9]]),
AJ$1+1-1=MONTH(T_deposits[[#This Row],[Coupon date 10]]),
AJ$1+1-1=MONTH(T_deposits[[#This Row],[Coupon date 11]]),
AJ$1+1-1=MONTH(T_deposits[[#This Row],[Coupon date 12]]),),
IF('CF USD'!$A$8="on",$J2,$I2)/T_deposits[[#This Row],[Coupons per annum]],0),
"")</calculatedColumnFormula>
    </tableColumn>
    <tableColumn id="43" xr3:uid="{04B56CB8-8A4D-422F-9DBE-1BA9F44247A3}" name=" 9 " dataDxfId="136" totalsRowDxfId="135">
      <calculatedColumnFormula>IFERROR(IF(
OR(
AJ$1+1-1=MONTH(T_deposits[[#This Row],[Coupon date 1]]),
AJ$1+1-1=MONTH(T_deposits[[#This Row],[Coupon date 2]]),
AJ$1+1-1=MONTH(T_deposits[[#This Row],[Coupon date 3]]),
AJ$1+1-1=MONTH(T_deposits[[#This Row],[Coupon date 4]]),
AJ$1+1-1=MONTH(T_deposits[[#This Row],[Coupon date 5]]),
AJ$1+1-1=MONTH(T_deposits[[#This Row],[Coupon date 6]]),
AJ$1+1-1=MONTH(T_deposits[[#This Row],[Coupon date 7]]),
AJ$1+1-1=MONTH(T_deposits[[#This Row],[Coupon date 8]]),
AJ$1+1-1=MONTH(T_deposits[[#This Row],[Coupon date 9]]),
AJ$1+1-1=MONTH(T_deposits[[#This Row],[Coupon date 10]]),
AJ$1+1-1=MONTH(T_deposits[[#This Row],[Coupon date 11]]),
AJ$1+1-1=MONTH(T_deposits[[#This Row],[Coupon date 12]]),),
IF('CF USD'!$A$8="on",$J2,$I2)/T_deposits[[#This Row],[Coupons per annum]],0),
"")</calculatedColumnFormula>
    </tableColumn>
    <tableColumn id="44" xr3:uid="{7EDE58BE-1145-4C17-AC8A-1B188111D8C7}" name=" 10 " dataDxfId="134" totalsRowDxfId="133">
      <calculatedColumnFormula>IFERROR(IF(
OR(
AJ$1+1-1=MONTH(T_deposits[[#This Row],[Coupon date 1]]),
AJ$1+1-1=MONTH(T_deposits[[#This Row],[Coupon date 2]]),
AJ$1+1-1=MONTH(T_deposits[[#This Row],[Coupon date 3]]),
AJ$1+1-1=MONTH(T_deposits[[#This Row],[Coupon date 4]]),
AJ$1+1-1=MONTH(T_deposits[[#This Row],[Coupon date 5]]),
AJ$1+1-1=MONTH(T_deposits[[#This Row],[Coupon date 6]]),
AJ$1+1-1=MONTH(T_deposits[[#This Row],[Coupon date 7]]),
AJ$1+1-1=MONTH(T_deposits[[#This Row],[Coupon date 8]]),
AJ$1+1-1=MONTH(T_deposits[[#This Row],[Coupon date 9]]),
AJ$1+1-1=MONTH(T_deposits[[#This Row],[Coupon date 10]]),
AJ$1+1-1=MONTH(T_deposits[[#This Row],[Coupon date 11]]),
AJ$1+1-1=MONTH(T_deposits[[#This Row],[Coupon date 12]]),),
IF('CF USD'!$A$8="on",$J2,$I2)/T_deposits[[#This Row],[Coupons per annum]],0),
"")</calculatedColumnFormula>
    </tableColumn>
    <tableColumn id="45" xr3:uid="{36058A9A-AE83-42E8-93EB-DFA90BBBADB8}" name=" 11 " dataDxfId="132" totalsRowDxfId="131">
      <calculatedColumnFormula>IFERROR(IF(
OR(
AJ$1+1-1=MONTH(T_deposits[[#This Row],[Coupon date 1]]),
AJ$1+1-1=MONTH(T_deposits[[#This Row],[Coupon date 2]]),
AJ$1+1-1=MONTH(T_deposits[[#This Row],[Coupon date 3]]),
AJ$1+1-1=MONTH(T_deposits[[#This Row],[Coupon date 4]]),
AJ$1+1-1=MONTH(T_deposits[[#This Row],[Coupon date 5]]),
AJ$1+1-1=MONTH(T_deposits[[#This Row],[Coupon date 6]]),
AJ$1+1-1=MONTH(T_deposits[[#This Row],[Coupon date 7]]),
AJ$1+1-1=MONTH(T_deposits[[#This Row],[Coupon date 8]]),
AJ$1+1-1=MONTH(T_deposits[[#This Row],[Coupon date 9]]),
AJ$1+1-1=MONTH(T_deposits[[#This Row],[Coupon date 10]]),
AJ$1+1-1=MONTH(T_deposits[[#This Row],[Coupon date 11]]),
AJ$1+1-1=MONTH(T_deposits[[#This Row],[Coupon date 12]]),),
IF('CF USD'!$A$8="on",$J2,$I2)/T_deposits[[#This Row],[Coupons per annum]],0),
"")</calculatedColumnFormula>
    </tableColumn>
    <tableColumn id="46" xr3:uid="{F931CFB1-5590-424E-A3E5-371AF140D217}" name=" 12 " dataDxfId="130" totalsRowDxfId="129">
      <calculatedColumnFormula>IFERROR(IF(
OR(
AJ$1+1-1=MONTH(T_deposits[[#This Row],[Coupon date 1]]),
AJ$1+1-1=MONTH(T_deposits[[#This Row],[Coupon date 2]]),
AJ$1+1-1=MONTH(T_deposits[[#This Row],[Coupon date 3]]),
AJ$1+1-1=MONTH(T_deposits[[#This Row],[Coupon date 4]]),
AJ$1+1-1=MONTH(T_deposits[[#This Row],[Coupon date 5]]),
AJ$1+1-1=MONTH(T_deposits[[#This Row],[Coupon date 6]]),
AJ$1+1-1=MONTH(T_deposits[[#This Row],[Coupon date 7]]),
AJ$1+1-1=MONTH(T_deposits[[#This Row],[Coupon date 8]]),
AJ$1+1-1=MONTH(T_deposits[[#This Row],[Coupon date 9]]),
AJ$1+1-1=MONTH(T_deposits[[#This Row],[Coupon date 10]]),
AJ$1+1-1=MONTH(T_deposits[[#This Row],[Coupon date 11]]),
AJ$1+1-1=MONTH(T_deposits[[#This Row],[Coupon date 12]]),),
IF('CF USD'!$A$8="on",$J2,$I2)/T_deposits[[#This Row],[Coupons per annum]],0),
"")</calculatedColumnFormula>
    </tableColumn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_Eq" displayName="T_Eq" ref="A1:AJ72" totalsRowShown="0" headerRowDxfId="128" dataDxfId="127">
  <autoFilter ref="A1:AJ72" xr:uid="{00000000-0009-0000-0100-000004000000}"/>
  <tableColumns count="36">
    <tableColumn id="1" xr3:uid="{00000000-0010-0000-0300-000001000000}" name="Source" dataDxfId="126"/>
    <tableColumn id="2" xr3:uid="{00000000-0010-0000-0300-000002000000}" name="Asset class" dataDxfId="125"/>
    <tableColumn id="3" xr3:uid="{00000000-0010-0000-0300-000003000000}" name="Description" dataDxfId="124"/>
    <tableColumn id="4" xr3:uid="{00000000-0010-0000-0300-000004000000}" name="ISIN / IBAN" dataDxfId="123"/>
    <tableColumn id="5" xr3:uid="{00000000-0010-0000-0300-000005000000}" name="Risk CCY" dataDxfId="122"/>
    <tableColumn id="23" xr3:uid="{1BAFC8A1-B22F-4F32-8F86-08E1978D04D5}" name="Column3" dataDxfId="121"/>
    <tableColumn id="18" xr3:uid="{489F2735-CDE2-432C-8DF2-046543C5C1EF}" name="Column2" dataDxfId="120"/>
    <tableColumn id="17" xr3:uid="{24E2A379-84AC-4E2E-8507-1D6BCFB6223E}" name="Column1" dataDxfId="119"/>
    <tableColumn id="6" xr3:uid="{00000000-0010-0000-0300-000006000000}" name="Quantity" dataDxfId="118"/>
    <tableColumn id="13" xr3:uid="{00000000-0010-0000-0300-00000D000000}" name="Market price" dataDxfId="117"/>
    <tableColumn id="7" xr3:uid="{00000000-0010-0000-0300-000007000000}" name="Market value, CCY" dataDxfId="116">
      <calculatedColumnFormula>ABS(T_Eq[[#This Row],[Quantity]]*T_Eq[[#This Row],[Market price]])</calculatedColumnFormula>
    </tableColumn>
    <tableColumn id="15" xr3:uid="{00000000-0010-0000-0300-00000F000000}" name="Market value, USD" dataDxfId="115">
      <calculatedColumnFormula>ABS(INDEX('Tech list'!A:C,MATCH(T_Eq[[#This Row],[Risk CCY]],'Tech list'!A:A,0),3)*T_Eq[[#This Row],[Market value, CCY]])</calculatedColumnFormula>
    </tableColumn>
    <tableColumn id="14" xr3:uid="{00000000-0010-0000-0300-00000E000000}" name="Cost price" dataDxfId="114"/>
    <tableColumn id="8" xr3:uid="{00000000-0010-0000-0300-000008000000}" name="Cost value" dataDxfId="113">
      <calculatedColumnFormula>ABS(T_Eq[[#This Row],[Cost price]]*T_Eq[[#This Row],[Quantity]])</calculatedColumnFormula>
    </tableColumn>
    <tableColumn id="9" xr3:uid="{00000000-0010-0000-0300-000009000000}" name="Unrealized p/l - reference" dataDxfId="112">
      <calculatedColumnFormula>IF(T_Eq[[#This Row],[Quantity]]&lt;0,N2/K2-1,K2/N2-1)</calculatedColumnFormula>
    </tableColumn>
    <tableColumn id="10" xr3:uid="{00000000-0010-0000-0300-00000A000000}" name="Dividend per share" dataDxfId="111" dataCellStyle="Comma">
      <calculatedColumnFormula>#REF!*12/130</calculatedColumnFormula>
    </tableColumn>
    <tableColumn id="32" xr3:uid="{86E59939-86D8-40B3-9FEC-D5EADBC2336A}" name="Div. yield" dataDxfId="110">
      <calculatedColumnFormula>T_Eq[[#This Row],[Dividend per share]]/T_Eq[[#This Row],[Market price]]</calculatedColumnFormula>
    </tableColumn>
    <tableColumn id="11" xr3:uid="{00000000-0010-0000-0300-00000B000000}" name="Dividend in Loc.Curr" dataDxfId="109">
      <calculatedColumnFormula>T_Eq[[#This Row],[Dividend per share]]*T_Eq[[#This Row],[Quantity]]</calculatedColumnFormula>
    </tableColumn>
    <tableColumn id="12" xr3:uid="{00000000-0010-0000-0300-00000C000000}" name="Dividend in USD" dataDxfId="108">
      <calculatedColumnFormula>INDEX('Tech list'!A:C,MATCH(T_Eq[[#This Row],[Risk CCY]],'Tech list'!A:A,0),3)*T_Eq[[#This Row],[Dividend in Loc.Curr]]</calculatedColumnFormula>
    </tableColumn>
    <tableColumn id="16" xr3:uid="{76DF248F-9A9B-43B8-96BA-42D2E47D5584}" name="Dividends per annum" dataDxfId="107"/>
    <tableColumn id="19" xr3:uid="{7975B153-1D02-48DD-BA11-2B5448DE1A68}" name="Next coupon date" dataDxfId="106"/>
    <tableColumn id="20" xr3:uid="{16C79062-2921-449B-BD10-5DFBF9B668FD}" name="coupon date 1" dataDxfId="105">
      <calculatedColumnFormula>EDATE(T_Eq[[#This Row],[Next coupon date]],12/$T2)</calculatedColumnFormula>
    </tableColumn>
    <tableColumn id="21" xr3:uid="{8E9473C0-DBAD-4A86-87F8-1946158E03ED}" name="coupon date 2" dataDxfId="104"/>
    <tableColumn id="22" xr3:uid="{450B8485-439D-45CB-994B-8E071A29C312}" name="coupon date 3" dataDxfId="103"/>
    <tableColumn id="33" xr3:uid="{355E0ED6-34D6-4963-9543-626DBA454785}" name="1" dataDxfId="102" dataCellStyle="Comma">
      <calculatedColumnFormula>IFERROR(IF(
OR(
Y$1+1-1=MONTH($U2),
Y$1+1-1=MONTH(T_Eq[[#This Row],[coupon date 1]]),
Y$1+1-1=MONTH(T_Eq[[#This Row],[coupon date 2]]),
Y$1+1-1=MONTH(T_Eq[[#This Row],[coupon date 3]])),
IF('CF USD'!$A$8="on",T_Eq[[#This Row],[Dividend in USD]],T_Eq[[#This Row],[Dividend in Loc.Curr]])
/T_Eq[[#This Row],[Dividends per annum]],0),
"")</calculatedColumnFormula>
    </tableColumn>
    <tableColumn id="34" xr3:uid="{AB293DF8-F8BD-4667-98C3-EC0DE1DA5BA6}" name="2" dataDxfId="101" dataCellStyle="Comma">
      <calculatedColumnFormula>IFERROR(IF(
OR(
Z$1+1-1=MONTH($U2),
Z$1+1-1=MONTH(T_Eq[[#This Row],[coupon date 1]]),
Z$1+1-1=MONTH(T_Eq[[#This Row],[coupon date 2]]),
Z$1+1-1=MONTH(T_Eq[[#This Row],[coupon date 3]])),
IF('CF USD'!$A$8="on",T_Eq[[#This Row],[Dividend in USD]],T_Eq[[#This Row],[Dividend in Loc.Curr]])
/T_Eq[[#This Row],[Dividends per annum]],0),
"")</calculatedColumnFormula>
    </tableColumn>
    <tableColumn id="35" xr3:uid="{9EF8CF0F-C6DC-4E0B-B582-805D844F2E29}" name="3" dataDxfId="100" dataCellStyle="Comma">
      <calculatedColumnFormula>IFERROR(IF(
OR(
AA$1+1-1=MONTH($U2),
AA$1+1-1=MONTH(T_Eq[[#This Row],[coupon date 1]]),
AA$1+1-1=MONTH(T_Eq[[#This Row],[coupon date 2]]),
AA$1+1-1=MONTH(T_Eq[[#This Row],[coupon date 3]])),
IF('CF USD'!$A$8="on",T_Eq[[#This Row],[Dividend in USD]],T_Eq[[#This Row],[Dividend in Loc.Curr]])
/T_Eq[[#This Row],[Dividends per annum]],0),
"")</calculatedColumnFormula>
    </tableColumn>
    <tableColumn id="36" xr3:uid="{7AAC59A6-8702-4950-84AA-F619BDB1D531}" name="4" dataDxfId="99" dataCellStyle="Comma">
      <calculatedColumnFormula>IFERROR(IF(
OR(
AB$1+1-1=MONTH($U2),
AB$1+1-1=MONTH(T_Eq[[#This Row],[coupon date 1]]),
AB$1+1-1=MONTH(T_Eq[[#This Row],[coupon date 2]]),
AB$1+1-1=MONTH(T_Eq[[#This Row],[coupon date 3]])),
IF('CF USD'!$A$8="on",T_Eq[[#This Row],[Dividend in USD]],T_Eq[[#This Row],[Dividend in Loc.Curr]])
/T_Eq[[#This Row],[Dividends per annum]],0),
"")</calculatedColumnFormula>
    </tableColumn>
    <tableColumn id="37" xr3:uid="{5BF18CB6-3D43-4EBA-95AD-2876C9FCB693}" name="5" dataDxfId="98" dataCellStyle="Comma">
      <calculatedColumnFormula>IFERROR(IF(
OR(
AC$1+1-1=MONTH($U2),
AC$1+1-1=MONTH(T_Eq[[#This Row],[coupon date 1]]),
AC$1+1-1=MONTH(T_Eq[[#This Row],[coupon date 2]]),
AC$1+1-1=MONTH(T_Eq[[#This Row],[coupon date 3]])),
IF('CF USD'!$A$8="on",T_Eq[[#This Row],[Dividend in USD]],T_Eq[[#This Row],[Dividend in Loc.Curr]])
/T_Eq[[#This Row],[Dividends per annum]],0),
"")</calculatedColumnFormula>
    </tableColumn>
    <tableColumn id="38" xr3:uid="{5E6C17AD-6A9C-4468-BA84-1C9C7952799B}" name="6" dataDxfId="97" dataCellStyle="Comma">
      <calculatedColumnFormula>IFERROR(IF(
OR(
AD$1+1-1=MONTH($U2),
AD$1+1-1=MONTH(T_Eq[[#This Row],[coupon date 1]]),
AD$1+1-1=MONTH(T_Eq[[#This Row],[coupon date 2]]),
AD$1+1-1=MONTH(T_Eq[[#This Row],[coupon date 3]])),
IF('CF USD'!$A$8="on",T_Eq[[#This Row],[Dividend in USD]],T_Eq[[#This Row],[Dividend in Loc.Curr]])
/T_Eq[[#This Row],[Dividends per annum]],0),
"")</calculatedColumnFormula>
    </tableColumn>
    <tableColumn id="39" xr3:uid="{967B35F2-EDEF-487D-B0E6-E2551BDBC506}" name="7" dataDxfId="96" dataCellStyle="Comma">
      <calculatedColumnFormula>IFERROR(IF(
OR(
AE$1+1-1=MONTH($U2),
AE$1+1-1=MONTH(T_Eq[[#This Row],[coupon date 1]]),
AE$1+1-1=MONTH(T_Eq[[#This Row],[coupon date 2]]),
AE$1+1-1=MONTH(T_Eq[[#This Row],[coupon date 3]])),
IF('CF USD'!$A$8="on",T_Eq[[#This Row],[Dividend in USD]],T_Eq[[#This Row],[Dividend in Loc.Curr]])
/T_Eq[[#This Row],[Dividends per annum]],0),
"")</calculatedColumnFormula>
    </tableColumn>
    <tableColumn id="40" xr3:uid="{4D84EC7C-D346-42DA-AFAB-EBB4D2813FA2}" name="8" dataDxfId="95" dataCellStyle="Comma">
      <calculatedColumnFormula>IFERROR(IF(
OR(
AF$1+1-1=MONTH($U2),
AF$1+1-1=MONTH(T_Eq[[#This Row],[coupon date 1]]),
AF$1+1-1=MONTH(T_Eq[[#This Row],[coupon date 2]]),
AF$1+1-1=MONTH(T_Eq[[#This Row],[coupon date 3]])),
IF('CF USD'!$A$8="on",T_Eq[[#This Row],[Dividend in USD]],T_Eq[[#This Row],[Dividend in Loc.Curr]])
/T_Eq[[#This Row],[Dividends per annum]],0),
"")</calculatedColumnFormula>
    </tableColumn>
    <tableColumn id="41" xr3:uid="{ED725C5E-89BF-479A-9AF0-D8BD406D7DD3}" name="9" dataDxfId="94" dataCellStyle="Comma">
      <calculatedColumnFormula>IFERROR(IF(
OR(
AG$1+1-1=MONTH($U2),
AG$1+1-1=MONTH(T_Eq[[#This Row],[coupon date 1]]),
AG$1+1-1=MONTH(T_Eq[[#This Row],[coupon date 2]]),
AG$1+1-1=MONTH(T_Eq[[#This Row],[coupon date 3]])),
IF('CF USD'!$A$8="on",T_Eq[[#This Row],[Dividend in USD]],T_Eq[[#This Row],[Dividend in Loc.Curr]])
/T_Eq[[#This Row],[Dividends per annum]],0),
"")</calculatedColumnFormula>
    </tableColumn>
    <tableColumn id="42" xr3:uid="{E4ADD874-8A19-45DF-9C98-F8654ED310DB}" name="10" dataDxfId="93" dataCellStyle="Comma">
      <calculatedColumnFormula>IFERROR(IF(
OR(
AH$1+1-1=MONTH($U2),
AH$1+1-1=MONTH(T_Eq[[#This Row],[coupon date 1]]),
AH$1+1-1=MONTH(T_Eq[[#This Row],[coupon date 2]]),
AH$1+1-1=MONTH(T_Eq[[#This Row],[coupon date 3]])),
IF('CF USD'!$A$8="on",T_Eq[[#This Row],[Dividend in USD]],T_Eq[[#This Row],[Dividend in Loc.Curr]])
/T_Eq[[#This Row],[Dividends per annum]],0),
"")</calculatedColumnFormula>
    </tableColumn>
    <tableColumn id="43" xr3:uid="{D6EF28DC-2D74-4C1B-AB14-D5888C8CF31A}" name="11" dataDxfId="92" dataCellStyle="Comma">
      <calculatedColumnFormula>IFERROR(IF(
OR(
AI$1+1-1=MONTH($U2),
AI$1+1-1=MONTH(T_Eq[[#This Row],[coupon date 1]]),
AI$1+1-1=MONTH(T_Eq[[#This Row],[coupon date 2]]),
AI$1+1-1=MONTH(T_Eq[[#This Row],[coupon date 3]])),
IF('CF USD'!$A$8="on",T_Eq[[#This Row],[Dividend in USD]],T_Eq[[#This Row],[Dividend in Loc.Curr]])
/T_Eq[[#This Row],[Dividends per annum]],0),
"")</calculatedColumnFormula>
    </tableColumn>
    <tableColumn id="44" xr3:uid="{9A4EE0FD-CE0F-418B-8A6D-D6594C23B34E}" name="12" dataDxfId="91" dataCellStyle="Comma">
      <calculatedColumnFormula>IFERROR(IF(
OR(
AJ$1+1-1=MONTH($U2),
AJ$1+1-1=MONTH(T_Eq[[#This Row],[coupon date 1]]),
AJ$1+1-1=MONTH(T_Eq[[#This Row],[coupon date 2]]),
AJ$1+1-1=MONTH(T_Eq[[#This Row],[coupon date 3]])),
IF('CF USD'!$A$8="on",T_Eq[[#This Row],[Dividend in USD]],T_Eq[[#This Row],[Dividend in Loc.Curr]])
/T_Eq[[#This Row],[Dividends per annum]],0),
"")</calculatedColumnFormula>
    </tableColumn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_AI" displayName="T_AI" ref="C1:AO12" totalsRowShown="0" headerRowDxfId="90">
  <autoFilter ref="C1:AO12" xr:uid="{00000000-0009-0000-0100-000005000000}"/>
  <tableColumns count="39">
    <tableColumn id="1" xr3:uid="{00000000-0010-0000-0400-000001000000}" name="Description" dataDxfId="89"/>
    <tableColumn id="2" xr3:uid="{00000000-0010-0000-0400-000002000000}" name="Risk CCY" dataDxfId="88"/>
    <tableColumn id="3" xr3:uid="{00000000-0010-0000-0400-000003000000}" name="Quantity" dataDxfId="87" dataCellStyle="Comma"/>
    <tableColumn id="25" xr3:uid="{500B099A-9E47-4CCF-B974-BA5273557BAB}" name="MV, CCY" dataDxfId="86" dataCellStyle="Comma">
      <calculatedColumnFormula>G2</calculatedColumnFormula>
    </tableColumn>
    <tableColumn id="21" xr3:uid="{A5EC7543-A8E8-4D9B-B2E5-EF0DF540603D}" name="NAV reported, CCY" dataDxfId="85" dataCellStyle="Comma"/>
    <tableColumn id="26" xr3:uid="{6076B122-3666-41F5-9C55-4B2BD4878186}" name="Report" dataDxfId="84" dataCellStyle="Comma"/>
    <tableColumn id="23" xr3:uid="{56212BC9-83FD-40CD-B2FD-C760D08CA549}" name="Total (net) drawdown, CCY" dataDxfId="83" dataCellStyle="Comma"/>
    <tableColumn id="20" xr3:uid="{CC91AF38-5153-4DEB-84EB-BCDA6B2EF0B4}" name="Remaining commitment,CCY" dataDxfId="82" dataCellStyle="Comma"/>
    <tableColumn id="10" xr3:uid="{00000000-0010-0000-0400-00000A000000}" name="Cost price, CCY" dataDxfId="81" dataCellStyle="Comma"/>
    <tableColumn id="22" xr3:uid="{922F7E4F-767C-46E0-9970-E8FB01E09C21}" name="Cash distribtuion, CCY" dataDxfId="80" dataCellStyle="Comma">
      <calculatedColumnFormula>T_AI[[#This Row],[2026 CF in USD &gt;&gt;]]</calculatedColumnFormula>
    </tableColumn>
    <tableColumn id="24" xr3:uid="{ED9DB47A-0887-44F1-AC3D-1DB191CCB0EF}" name="Total Commitment, CCY" dataDxfId="79" dataCellStyle="Comma"/>
    <tableColumn id="27" xr3:uid="{6F3D21C2-7A6E-4886-838A-B39723999798}" name="Q4 2025 Capital Calls,CCY" dataDxfId="78" dataCellStyle="Comma"/>
    <tableColumn id="4" xr3:uid="{00000000-0010-0000-0400-000004000000}" name="Coupon"/>
    <tableColumn id="5" xr3:uid="{00000000-0010-0000-0400-000005000000}" name="Coupon in Loc.Curr" dataDxfId="77">
      <calculatedColumnFormula>O2*E2</calculatedColumnFormula>
    </tableColumn>
    <tableColumn id="6" xr3:uid="{00000000-0010-0000-0400-000006000000}" name="Coupon in USD" dataDxfId="76">
      <calculatedColumnFormula>IF(X2&lt;&gt;"",E2*O2*X2,E2*O2)</calculatedColumnFormula>
    </tableColumn>
    <tableColumn id="7" xr3:uid="{00000000-0010-0000-0400-000007000000}" name="P&amp;L, %" dataDxfId="75">
      <calculatedColumnFormula>T_AI[[#This Row],[MV, CCY]]/T_AI[[#This Row],[Cost price, CCY]]-1</calculatedColumnFormula>
    </tableColumn>
    <tableColumn id="8" xr3:uid="{00000000-0010-0000-0400-000008000000}" name="YTM/YTC" dataDxfId="74">
      <calculatedColumnFormula>O2</calculatedColumnFormula>
    </tableColumn>
    <tableColumn id="9" xr3:uid="{00000000-0010-0000-0400-000009000000}" name="for WYTC" dataDxfId="73">
      <calculatedColumnFormula>S2*E2</calculatedColumnFormula>
    </tableColumn>
    <tableColumn id="11" xr3:uid="{00000000-0010-0000-0400-00000B000000}" name="Current Yield" dataDxfId="72">
      <calculatedColumnFormula>E2*O2/K2</calculatedColumnFormula>
    </tableColumn>
    <tableColumn id="12" xr3:uid="{00000000-0010-0000-0400-00000C000000}" name="Exchange rate"/>
    <tableColumn id="13" xr3:uid="{00000000-0010-0000-0400-00000D000000}" name="Market price"/>
    <tableColumn id="14" xr3:uid="{00000000-0010-0000-0400-00000E000000}" name="Exchange rate2">
      <calculatedColumnFormula>INDEX('Tech list'!A:C,MATCH(T_AI[[#This Row],[Risk CCY]],'Tech list'!A:A,0),3)</calculatedColumnFormula>
    </tableColumn>
    <tableColumn id="18" xr3:uid="{00000000-0010-0000-0400-000012000000}" name="Market value in CCY" dataDxfId="71">
      <calculatedColumnFormula>T_AI[[#This Row],[MV, CCY]]</calculatedColumnFormula>
    </tableColumn>
    <tableColumn id="15" xr3:uid="{00000000-0010-0000-0400-00000F000000}" name="Market value in USD" dataDxfId="70">
      <calculatedColumnFormula>W2*X2*T_AI[[#This Row],[Market value in CCY]]</calculatedColumnFormula>
    </tableColumn>
    <tableColumn id="16" xr3:uid="{00000000-0010-0000-0400-000010000000}" name="Cash distribtuion, CCY2"/>
    <tableColumn id="17" xr3:uid="{00000000-0010-0000-0400-000011000000}" name="2026 CF in USD &gt;&gt;" dataDxfId="69"/>
    <tableColumn id="19" xr3:uid="{F79D73C7-1B36-44AF-A4FA-892F4BA115CD}" name="Unfunded commitment"/>
    <tableColumn id="28" xr3:uid="{B84EFAB2-C432-4CE5-862D-6D4D3DE1CC64}" name="1" dataDxfId="68">
      <calculatedColumnFormula>SUM(T_AI9[[#This Row],[1]],Q2)*$BF2</calculatedColumnFormula>
    </tableColumn>
    <tableColumn id="29" xr3:uid="{7BA3306C-ACAB-4218-A187-596F7DC4B801}" name="2" dataDxfId="67">
      <calculatedColumnFormula>SUM(T_AI9[[#This Row],[2]],R2)*$BF2</calculatedColumnFormula>
    </tableColumn>
    <tableColumn id="30" xr3:uid="{3614CF17-2912-49B5-9FEB-9ABEFD3B4A9A}" name="3" dataDxfId="66">
      <calculatedColumnFormula>SUM(T_AI9[[#This Row],[3]],S2)*$BF2</calculatedColumnFormula>
    </tableColumn>
    <tableColumn id="31" xr3:uid="{A3CA9940-9283-4A49-9F49-6A71726975DE}" name="4" dataDxfId="65">
      <calculatedColumnFormula>SUM(T_AI9[[#This Row],[4]],T2)*$BF2</calculatedColumnFormula>
    </tableColumn>
    <tableColumn id="32" xr3:uid="{99F06438-1C1D-42AC-8FEB-7EA551C32E49}" name="5" dataDxfId="64">
      <calculatedColumnFormula>SUM(T_AI9[[#This Row],[2]],U2)*$BF2</calculatedColumnFormula>
    </tableColumn>
    <tableColumn id="33" xr3:uid="{9218CB09-5FBD-4033-950A-70F81FFF77F9}" name="6" dataDxfId="63">
      <calculatedColumnFormula>SUM(T_AI9[[#This Row],[3]],V2)*$BF2</calculatedColumnFormula>
    </tableColumn>
    <tableColumn id="34" xr3:uid="{A0879819-925B-44BC-A136-95DFCAA17653}" name="7" dataDxfId="62">
      <calculatedColumnFormula>SUM(T_AI9[[#This Row],[4]],W2)*$BF2</calculatedColumnFormula>
    </tableColumn>
    <tableColumn id="35" xr3:uid="{7D69C1DB-3B2A-410D-B084-303D130860E9}" name="8" dataDxfId="61">
      <calculatedColumnFormula>SUM(T_AI9[[#This Row],[5]],X2)*$BF2</calculatedColumnFormula>
    </tableColumn>
    <tableColumn id="36" xr3:uid="{4D076C83-FD6F-4EA2-9947-E321957B1F9E}" name="9" dataDxfId="60">
      <calculatedColumnFormula>SUM(T_AI9[[#This Row],[3]],Y2)*$BF2</calculatedColumnFormula>
    </tableColumn>
    <tableColumn id="37" xr3:uid="{66211DFA-B54E-494B-99C8-1B304A5E5792}" name="10" dataDxfId="59">
      <calculatedColumnFormula>SUM(T_AI9[[#This Row],[4]],Z2)*$BF2</calculatedColumnFormula>
    </tableColumn>
    <tableColumn id="38" xr3:uid="{6794BECE-EDF9-4B5A-9E3C-62A4C92646F3}" name="11" dataDxfId="58">
      <calculatedColumnFormula>SUM(T_AI9[[#This Row],[5]],AA2)*$BF2</calculatedColumnFormula>
    </tableColumn>
    <tableColumn id="39" xr3:uid="{5EAFB394-9467-4E3A-8452-E2B1D2ACB27E}" name="12" dataDxfId="57">
      <calculatedColumnFormula>SUM(T_AI9[[#This Row],[6]],AB2)*$BF2</calculatedColumnFormula>
    </tableColumn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332892E-1928-4B0E-96F6-D9AD63D8B0C8}" name="T_AI9" displayName="T_AI9" ref="C1:AK22" totalsRowShown="0" headerRowDxfId="56" dataDxfId="55">
  <tableColumns count="35">
    <tableColumn id="1" xr3:uid="{CD653223-46C2-41BA-AB4B-986D6E47CE7A}" name="Description" dataDxfId="54"/>
    <tableColumn id="2" xr3:uid="{7E320362-A585-4FC5-ADCD-3BBAF2166E1E}" name="Risk CCY" dataDxfId="53"/>
    <tableColumn id="7" xr3:uid="{8F2E61F7-CE60-42EE-A1BA-35E082244AD4}" name="Date of first payment" dataDxfId="52"/>
    <tableColumn id="34" xr3:uid="{344D064C-9A0B-46F8-8805-F39A3043CDEC}" name="Market value in USD" dataDxfId="51">
      <calculatedColumnFormula>T_AI9[[#This Row],[Market value in CCY]]*BJ2</calculatedColumnFormula>
    </tableColumn>
    <tableColumn id="29" xr3:uid="{DEBFF604-8824-43A9-88A0-C85E347797E1}" name="Market value in CCY" dataDxfId="50">
      <calculatedColumnFormula>IF(T_AI9[[#This Row],[MV Valuation]]="Cost",-T_AI9[[#This Row],[Funded to date, CCY]],SUM(T_AI9[[#This Row],[2026 Distribution, CCY]],T_AI9[[#This Row],[2027+ Distribution, CCY]])*T_AI9[[#This Row],[Val. Mult]]+T_AI9[[#This Row],[+Valuation]])</calculatedColumnFormula>
    </tableColumn>
    <tableColumn id="13" xr3:uid="{AF097403-87C3-4FC5-B157-D4F2DB8A7700}" name="Val. Mult" dataDxfId="49"/>
    <tableColumn id="6" xr3:uid="{68FB8DE7-77E7-4DD7-8A0D-0D34ADFF1A6D}" name="+Valuation" dataDxfId="48"/>
    <tableColumn id="5" xr3:uid="{A5D38D3E-7FCF-4789-B15E-E0FDEAEABC30}" name="MV Valuation" dataDxfId="47"/>
    <tableColumn id="23" xr3:uid="{0EFC7B55-6898-4D65-B1E9-5640DEA777FE}" name="Column1" dataDxfId="46"/>
    <tableColumn id="4" xr3:uid="{16FDC258-4ABC-402E-B25F-F2AAAA5682B5}" name="Comments" dataDxfId="45"/>
    <tableColumn id="31" xr3:uid="{2F555587-DF81-468F-9A13-76AD5CA439DA}" name="Total Commitment, CCY" dataDxfId="44" dataCellStyle="Comma"/>
    <tableColumn id="32" xr3:uid="{416C29B8-1139-495F-AC97-5E7741A0FEB4}" name="Funded to date, CCY" dataDxfId="43" dataCellStyle="Comma"/>
    <tableColumn id="3" xr3:uid="{131DDCB6-2E72-4FAD-B7AF-ABF98704AFBD}" name="Distribuitions, CCY" dataDxfId="42" dataCellStyle="Comma"/>
    <tableColumn id="36" xr3:uid="{AC180E59-6311-4CC7-BA33-F581F80D8E2F}" name="ROI" dataDxfId="41">
      <calculatedColumnFormula>IFERROR(-SUM(T_AI9[[#This Row],[Market value in CCY]],T_AI9[[#This Row],[Distribuitions, CCY]],T_AI9[[#This Row],[Funded to date, CCY]])/T_AI9[[#This Row],[Funded to date, CCY]],"")</calculatedColumnFormula>
    </tableColumn>
    <tableColumn id="33" xr3:uid="{FFB3D7B7-5BF5-4E5D-8C84-C1767C84A19D}" name="Remaining commitment, CCY" dataDxfId="40">
      <calculatedColumnFormula>SUM(U2,W2)</calculatedColumnFormula>
    </tableColumn>
    <tableColumn id="30" xr3:uid="{E0AA6EA7-9CD7-48DC-8897-E963B37ADC83}" name="2026 CF, USD" dataDxfId="39">
      <calculatedColumnFormula>SUM(T_AI9[[#This Row],[2026 Distribution, CCY]:[2026 Capital calls, CCY]])*BJ2</calculatedColumnFormula>
    </tableColumn>
    <tableColumn id="35" xr3:uid="{B625B89A-718D-40B6-9F0E-0D98AB2C35AC}" name="2027+ CF, USD" dataDxfId="38">
      <calculatedColumnFormula>SUM(T_AI9[[#This Row],[2027+ Distribution, CCY]:[2027 Capital calls, CCY]])*BJ2</calculatedColumnFormula>
    </tableColumn>
    <tableColumn id="26" xr3:uid="{4B0748D0-BD37-45B8-BD70-556F69ACAB20}" name="2026 Distribution, CCY" dataDxfId="37">
      <calculatedColumnFormula>SUM(T_AI9[[#This Row],[1]:[12]])</calculatedColumnFormula>
    </tableColumn>
    <tableColumn id="27" xr3:uid="{5849D52D-E576-48A8-880A-0CA679A3428F}" name="2026 Capital calls, CCY" dataDxfId="36">
      <calculatedColumnFormula>SUM(AL2:AW2)</calculatedColumnFormula>
    </tableColumn>
    <tableColumn id="25" xr3:uid="{69F6EC24-0889-4D7E-B11F-627DBC321057}" name="2027+ Distribution, CCY" dataDxfId="35"/>
    <tableColumn id="24" xr3:uid="{3D2416F6-87B2-4039-BB1A-A0E3A2637FE6}" name="2027 Capital calls, CCY" dataDxfId="34"/>
    <tableColumn id="14" xr3:uid="{523DF988-DE4B-4041-AB6F-0C2F3E3A72A2}" name="Total coupon 2026, CCY" dataDxfId="33">
      <calculatedColumnFormula>SUM(T_AI9[[#This Row],[1]:[12]])</calculatedColumnFormula>
    </tableColumn>
    <tableColumn id="22" xr3:uid="{D271065D-D768-4D2E-9773-203A77FCD49C}" name="Total coupon 2026, USD" dataDxfId="32">
      <calculatedColumnFormula>T_AI9[[#This Row],[Total coupon 2026, CCY]]*BJ2</calculatedColumnFormula>
    </tableColumn>
    <tableColumn id="8" xr3:uid="{1105C385-5070-41BD-BB7A-26F5E6A90653}" name="1" dataDxfId="31" dataCellStyle="Comma 2">
      <calculatedColumnFormula>T_AI9[[#This Row],[Total Commitment, CCY]]-T_AI9[[#This Row],[Funded to date, CCY]]</calculatedColumnFormula>
    </tableColumn>
    <tableColumn id="9" xr3:uid="{CB94F1B8-1F8C-4732-8386-F2ED33BDF433}" name="2" dataDxfId="30" dataCellStyle="Comma 2">
      <calculatedColumnFormula>T_AI9[[#This Row],[Total Commitment, CCY]]-T_AI9[[#This Row],[Funded to date, CCY]]</calculatedColumnFormula>
    </tableColumn>
    <tableColumn id="10" xr3:uid="{18EFAF48-84F1-4A7C-9AAD-1D5DDF9C8426}" name="3" dataDxfId="29" dataCellStyle="Comma 2">
      <calculatedColumnFormula>T_AI9[[#This Row],[Total Commitment, CCY]]-T_AI9[[#This Row],[Funded to date, CCY]]</calculatedColumnFormula>
    </tableColumn>
    <tableColumn id="11" xr3:uid="{5F3558FF-9C37-44B5-A985-8996613AD01B}" name="4" dataDxfId="28" dataCellStyle="Comma 2">
      <calculatedColumnFormula>T_AI9[[#This Row],[Total Commitment, CCY]]-T_AI9[[#This Row],[Funded to date, CCY]]</calculatedColumnFormula>
    </tableColumn>
    <tableColumn id="12" xr3:uid="{70AA7C2C-6798-4BDB-A894-3A4FBFB02115}" name="5" dataDxfId="27" dataCellStyle="Comma 2">
      <calculatedColumnFormula>T_AI9[[#This Row],[Total Commitment, CCY]]-T_AI9[[#This Row],[Funded to date, CCY]]</calculatedColumnFormula>
    </tableColumn>
    <tableColumn id="15" xr3:uid="{12E62C6D-0D9B-400F-A6AE-0D00ECD25C9A}" name="6" dataDxfId="26" dataCellStyle="Comma 2">
      <calculatedColumnFormula>T_AI9[[#This Row],[Total Commitment, CCY]]-T_AI9[[#This Row],[Funded to date, CCY]]</calculatedColumnFormula>
    </tableColumn>
    <tableColumn id="16" xr3:uid="{1E14EBF7-3A18-4AD1-B469-A31AC93C7DC8}" name="7" dataDxfId="25" dataCellStyle="Comma 2">
      <calculatedColumnFormula>T_AI9[[#This Row],[Total Commitment, CCY]]-T_AI9[[#This Row],[Funded to date, CCY]]</calculatedColumnFormula>
    </tableColumn>
    <tableColumn id="17" xr3:uid="{4EF7B946-9569-4D75-B917-2BBB0112AD59}" name="8" dataDxfId="24" dataCellStyle="Comma 2">
      <calculatedColumnFormula>T_AI9[[#This Row],[Total Commitment, CCY]]-T_AI9[[#This Row],[Funded to date, CCY]]</calculatedColumnFormula>
    </tableColumn>
    <tableColumn id="18" xr3:uid="{2EBDF1AB-A1E1-47E0-BA77-8A41729C3499}" name="9" dataDxfId="23" dataCellStyle="Comma 2">
      <calculatedColumnFormula>T_AI9[[#This Row],[Total Commitment, CCY]]-T_AI9[[#This Row],[Funded to date, CCY]]</calculatedColumnFormula>
    </tableColumn>
    <tableColumn id="19" xr3:uid="{82AC8D32-3541-48AA-88A5-E1AB66E9D3A9}" name="10" dataDxfId="22" dataCellStyle="Comma 2">
      <calculatedColumnFormula>T_AI9[[#This Row],[Total Commitment, CCY]]-T_AI9[[#This Row],[Funded to date, CCY]]</calculatedColumnFormula>
    </tableColumn>
    <tableColumn id="20" xr3:uid="{9C211B01-570E-4AF2-B662-BE18C108E007}" name="11" dataDxfId="21" dataCellStyle="Comma 2">
      <calculatedColumnFormula>T_AI9[[#This Row],[Total Commitment, CCY]]-T_AI9[[#This Row],[Funded to date, CCY]]</calculatedColumnFormula>
    </tableColumn>
    <tableColumn id="21" xr3:uid="{1A44310A-7EEE-432D-9AF8-2E4D7BF0A3CE}" name="12" dataDxfId="20" dataCellStyle="Comma 2">
      <calculatedColumnFormula>T_AI9[[#This Row],[Total Commitment, CCY]]-T_AI9[[#This Row],[Funded to date, CCY]]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81FCDFE-319A-49B8-9CFD-3A731117BC8F}">
  <we:reference id="wa200002161" version="1.8.0.1" store="en-US" storeType="OMEX"/>
  <we:alternateReferences>
    <we:reference id="wa200002161" version="1.8.0.1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_xldudf_CBONDS_CBONDSISSUERFORECAST</we:customFunctionIds>
        <we:customFunctionIds>_xldudf_CBONDS_CBONDSISSUERRATING</we:customFunctionIds>
        <we:customFunctionIds>_xldudf_CBONDS_CBONDSVARIABLERATETYPE</we:customFunctionIds>
        <we:customFunctionIds>_xldudf_CBONDS_CBONDSCOUPONDESCRIPTION</we:customFunctionIds>
        <we:customFunctionIds>_xldudf_CBONDS_CBONDSMARGIN</we:customFunctionIds>
        <we:customFunctionIds>_xldudf_CBONDS_CBONDSREFERENCERATE</we:customFunctionIds>
        <we:customFunctionIds>_xldudf_CBONDS_CBONDSSTATUSNAME</we:customFunctionIds>
        <we:customFunctionIds>_xldudf_CBONDS_CBONDSCONVERTABLE</we:customFunctionIds>
        <we:customFunctionIds>_xldudf_CBONDS_CBONDSPAYMENTSNUMBER</we:customFunctionIds>
        <we:customFunctionIds>_xldudf_CBONDS_CBONDSCURRENCY</we:customFunctionIds>
        <we:customFunctionIds>_xldudf_CBONDS_CBONDSMATURITYDATE</we:customFunctionIds>
        <we:customFunctionIds>_xldudf_CBONDS_CBONDSCALLDATE</we:customFunctionIds>
        <we:customFunctionIds>_xldudf_CBONDS_CBONDSCOUPONNUMBER</we:customFunctionIds>
        <we:customFunctionIds>_xldudf_CBONDS_CBONDSBONDLASTPRICEDATE</we:customFunctionIds>
        <we:customFunctionIds>_xldudf_CBONDS_CBONDSPUTDATE</we:customFunctionIds>
        <we:customFunctionIds>_xldudf_CBONDS_CBONDSCURRENTCOUPONRATE</we:customFunctionIds>
        <we:customFunctionIds>_xldudf_CBONDS_CBONDSNOMINAL</we:customFunctionIds>
        <we:customFunctionIds>_xldudf_CBONDS_CBONDSMINIMUMSETTLEMENTAMOUNT</we:customFunctionIds>
        <we:customFunctionIds>_xldudf_CBONDS_CBONDSLIQUIDITY</we:customFunctionIds>
        <we:customFunctionIds>_xldudf_CBONDS_CBONDSINTEGRALMULTIPLE</we:customFunctionIds>
        <we:customFunctionIds>_xldudf_CBONDS_CBONDSOUTSTANDINGFACEVALUEAMOUNT</we:customFunctionIds>
        <we:customFunctionIds>_xldudf_CBONDS_CBONDSAMOUNT</we:customFunctionIds>
        <we:customFunctionIds>_xldudf_CBONDS_CBONDSBONDNAME</we:customFunctionIds>
        <we:customFunctionIds>_xldudf_CBONDS_CBONDSPLACEMENTDATE</we:customFunctionIds>
        <we:customFunctionIds>_xldudf_CBONDS_CBONDSISSUERATINGSACRA</we:customFunctionIds>
        <we:customFunctionIds>_xldudf_CBONDS_CBONDSISSUERATINGSEXPERTRA</we:customFunctionIds>
        <we:customFunctionIds>_xldudf_CBONDS_CBONDSFLOATINGRATE</we:customFunctionIds>
        <we:customFunctionIds>_xldudf_CBONDS_CBONDSREGISTRATIONDATE</we:customFunctionIds>
        <we:customFunctionIds>_xldudf_CBONDS_CBONDSMORTGAGEBONDS</we:customFunctionIds>
        <we:customFunctionIds>_xldudf_CBONDS_CBONDSINTERNATIONALBONDS</we:customFunctionIds>
        <we:customFunctionIds>_xldudf_CBONDS_CBONDSCFI</we:customFunctionIds>
        <we:customFunctionIds>_xldudf_CBONDS_CBONDSPERPETUAL</we:customFunctionIds>
        <we:customFunctionIds>_xldudf_CBONDS_CBONDSPRIVATEISSUE</we:customFunctionIds>
        <we:customFunctionIds>_xldudf_CBONDS_CBONDSAMORTIZEDBONDS</we:customFunctionIds>
        <we:customFunctionIds>_xldudf_CBONDS_CBONDSSTRUCTUREDNOTE</we:customFunctionIds>
        <we:customFunctionIds>_xldudf_CBONDS_CBONDSFOREIGNBONDS</we:customFunctionIds>
        <we:customFunctionIds>_xldudf_CBONDS_CBONDSSUBORDINATEDDEBT</we:customFunctionIds>
        <we:customFunctionIds>_xldudf_CBONDS_CBONDSSECURITIZATION</we:customFunctionIds>
        <we:customFunctionIds>_xldudf_CBONDS_CBONDSCBRFLOMBARD</we:customFunctionIds>
        <we:customFunctionIds>_xldudf_CBONDS_CBONDSCOUPONPERIOD</we:customFunctionIds>
        <we:customFunctionIds>_xldudf_CBONDS_CBONDSDAYCOUNTFRACTION</we:customFunctionIds>
        <we:customFunctionIds>_xldudf_CBONDS_CBONDSSUKUKBONDS</we:customFunctionIds>
        <we:customFunctionIds>_xldudf_CBONDS_CBONDSINDEXEDFACEVALUE</we:customFunctionIds>
        <we:customFunctionIds>_xldudf_CBONDS_CBONDSGREENBONDS</we:customFunctionIds>
        <we:customFunctionIds>_xldudf_CBONDS_CBONDSPREVIOUSCOUPONDATE</we:customFunctionIds>
        <we:customFunctionIds>_xldudf_CBONDS_CBONDSPREVIOUSCOUPONSUM</we:customFunctionIds>
        <we:customFunctionIds>_xldudf_CBONDS_CBONDSPREVIOUSCOUPONRATE</we:customFunctionIds>
        <we:customFunctionIds>_xldudf_CBONDS_CBONDSCOUPONDATE</we:customFunctionIds>
        <we:customFunctionIds>_xldudf_CBONDS_CBONDSRECORDDATE</we:customFunctionIds>
        <we:customFunctionIds>_xldudf_CBONDS_CBONDSCOUPONSUM</we:customFunctionIds>
        <we:customFunctionIds>_xldudf_CBONDS_CBONDSCOUPONRATE</we:customFunctionIds>
        <we:customFunctionIds>_xldudf_CBONDS_CBONDSPREVIOUSAMORTIZATIONDATE</we:customFunctionIds>
        <we:customFunctionIds>_xldudf_CBONDS_CBONDSPREVIOUSAMORTIZATIONSUM</we:customFunctionIds>
        <we:customFunctionIds>_xldudf_CBONDS_CBONDSAMORTIZATIONDATE</we:customFunctionIds>
        <we:customFunctionIds>_xldudf_CBONDS_CBONDSAMORTIZATIONSUM</we:customFunctionIds>
        <we:customFunctionIds>_xldudf_CBONDS_CBONDSASKPRICE</we:customFunctionIds>
        <we:customFunctionIds>_xldudf_CBONDS_CBONDSASKYTP</we:customFunctionIds>
        <we:customFunctionIds>_xldudf_CBONDS_CBONDSASKYTM</we:customFunctionIds>
        <we:customFunctionIds>_xldudf_CBONDS_CBONDSBIDPRICE</we:customFunctionIds>
        <we:customFunctionIds>_xldudf_CBONDS_CBONDSBIDYTP</we:customFunctionIds>
        <we:customFunctionIds>_xldudf_CBONDS_CBONDSBIDYTM</we:customFunctionIds>
        <we:customFunctionIds>_xldudf_CBONDS_CBONDSINDICATIVEPRICE</we:customFunctionIds>
        <we:customFunctionIds>_xldudf_CBONDS_CBONDSINDICATIVEYTP</we:customFunctionIds>
        <we:customFunctionIds>_xldudf_CBONDS_CBONDSINDICATIVEYTM</we:customFunctionIds>
        <we:customFunctionIds>_xldudf_CBONDS_CBONDSDURATION</we:customFunctionIds>
        <we:customFunctionIds>_xldudf_CBONDS_CBONDSDURATIONTOPUTCALL</we:customFunctionIds>
        <we:customFunctionIds>_xldudf_CBONDS_CBONDSLASTPRICE</we:customFunctionIds>
        <we:customFunctionIds>_xldudf_CBONDS_CBONDSLASTYTM</we:customFunctionIds>
        <we:customFunctionIds>_xldudf_CBONDS_CBONDSLASTYTP</we:customFunctionIds>
        <we:customFunctionIds>_xldudf_CBONDS_CBONDSCLOSEPRICE</we:customFunctionIds>
        <we:customFunctionIds>_xldudf_CBONDS_CBONDSCLOSEYTM</we:customFunctionIds>
        <we:customFunctionIds>_xldudf_CBONDS_CBONDSCLOSEYTP</we:customFunctionIds>
        <we:customFunctionIds>_xldudf_CBONDS_CBONDSINDICATIVECY</we:customFunctionIds>
        <we:customFunctionIds>_xldudf_CBONDS_CBONDSTRADINGVOLUME</we:customFunctionIds>
        <we:customFunctionIds>_xldudf_CBONDS_CBONDSDEALSNUMBER</we:customFunctionIds>
        <we:customFunctionIds>_xldudf_CBONDS_CBONDSAVGPRICE</we:customFunctionIds>
        <we:customFunctionIds>_xldudf_CBONDS_CBONDSMARKETPRICE</we:customFunctionIds>
        <we:customFunctionIds>_xldudf_CBONDS_CBONDSADMITTEDPRICE</we:customFunctionIds>
        <we:customFunctionIds>_xldudf_CBONDS_CBONDSMAXPRICE</we:customFunctionIds>
        <we:customFunctionIds>_xldudf_CBONDS_CBONDSMINPRICE</we:customFunctionIds>
        <we:customFunctionIds>_xldudf_CBONDS_CBONDSMAXOPENPRICE</we:customFunctionIds>
        <we:customFunctionIds>_xldudf_CBONDS_CBONDSOUTSTANDINGFACEVALUEINDEXED</we:customFunctionIds>
        <we:customFunctionIds>_xldudf_CBONDS_CBONDSCLEANPRICECALCYTM</we:customFunctionIds>
        <we:customFunctionIds>_xldudf_CBONDS_CBONDSCLEANPRICECALCYTP</we:customFunctionIds>
        <we:customFunctionIds>_xldudf_CBONDS_CBONDSCALCGSPREAD</we:customFunctionIds>
        <we:customFunctionIds>_xldudf_CBONDS_CBONDSCALCZSPREAD</we:customFunctionIds>
        <we:customFunctionIds>_xldudf_CBONDS_CBONDSCALCMODIFIEDDURATIONTOPUTCALL</we:customFunctionIds>
        <we:customFunctionIds>_xldudf_CBONDS_CBONDSCALCMODIFIEDDURATIONTOMATURITY</we:customFunctionIds>
        <we:customFunctionIds>_xldudf_CBONDS_CBONDSCALCPVBPTOMATURITY</we:customFunctionIds>
        <we:customFunctionIds>_xldudf_CBONDS_CBONDSCALCPVBPTOPUTCALL</we:customFunctionIds>
        <we:customFunctionIds>_xldudf_CBONDS_CBONDSCALCCONV</we:customFunctionIds>
        <we:customFunctionIds>_xldudf_CBONDS_CBONDSCALCCONVTOPUTCALL</we:customFunctionIds>
        <we:customFunctionIds>_xldudf_CBONDS_CBONDSACI</we:customFunctionIds>
        <we:customFunctionIds>_xldudf_CBONDS_CBONDSCALCCY</we:customFunctionIds>
        <we:customFunctionIds>_xldudf_CBONDS_CBONDSCALCYTM</we:customFunctionIds>
        <we:customFunctionIds>_xldudf_CBONDS_CBONDSCALCYTP</we:customFunctionIds>
        <we:customFunctionIds>_xldudf_CBONDS_CBONDSCALCDURATION</we:customFunctionIds>
        <we:customFunctionIds>_xldudf_CBONDS_CBONDSCALCDURATIONTOPUTCALL</we:customFunctionIds>
        <we:customFunctionIds>_xldudf_CBONDS_CBONDSCALCYTMNOM</we:customFunctionIds>
        <we:customFunctionIds>_xldudf_CBONDS_CBONDSCALCYTMSIMPLE</we:customFunctionIds>
        <we:customFunctionIds>_xldudf_CBONDS_CBONDSCALCYTPNOM</we:customFunctionIds>
        <we:customFunctionIds>_xldudf_CBONDS_CBONDSCALCYTPSIMPLE</we:customFunctionIds>
        <we:customFunctionIds>_xldudf_CBONDS_CBONDSETFNAV</we:customFunctionIds>
        <we:customFunctionIds>_xldudf_CBONDS_CBONDSETFNAVUSD</we:customFunctionIds>
        <we:customFunctionIds>_xldudf_CBONDS_CBONDSETFLASTPRICE</we:customFunctionIds>
        <we:customFunctionIds>_xldudf_CBONDS_CBONDSETFNAME</we:customFunctionIds>
        <we:customFunctionIds>_xldudf_CBONDS_CBONDSETFVOLUME</we:customFunctionIds>
        <we:customFunctionIds>_xldudf_CBONDS_CBONDSETFINVESTMENTCATEGORY</we:customFunctionIds>
        <we:customFunctionIds>_xldudf_CBONDS_CBONDSETFINVESTORLOCATIONS</we:customFunctionIds>
        <we:customFunctionIds>_xldudf_CBONDS_CBONDSETFPROVIDER</we:customFunctionIds>
        <we:customFunctionIds>_xldudf_CBONDS_CBONDSTRADINGFLOORNAME</we:customFunctionIds>
        <we:customFunctionIds>_xldudf_CBONDS_CBONDSONLINEASKYTM</we:customFunctionIds>
        <we:customFunctionIds>_xldudf_CBONDS_CBONDSONLINEASKYTP</we:customFunctionIds>
        <we:customFunctionIds>_xldudf_CBONDS_CBONDSONLINEBIDYTM</we:customFunctionIds>
        <we:customFunctionIds>_xldudf_CBONDS_CBONDSONLINEBIDYTP</we:customFunctionIds>
        <we:customFunctionIds>_xldudf_CBONDS_CBONDSONLINEINDICATIVEYIELD</we:customFunctionIds>
        <we:customFunctionIds>_xldudf_CBONDS_CBONDSONLINEASKPRICE</we:customFunctionIds>
        <we:customFunctionIds>_xldudf_CBONDS_CBONDSONLINEBIDPRICE</we:customFunctionIds>
        <we:customFunctionIds>_xldudf_CBONDS_CBONDSONLINEINDICATIVEPRICE</we:customFunctionIds>
        <we:customFunctionIds>_xldudf_CBONDS_CBONDSGSPREAD</we:customFunctionIds>
        <we:customFunctionIds>_xldudf_CBONDS_CBONDSSTOCKNAME</we:customFunctionIds>
        <we:customFunctionIds>_xldudf_CBONDS_CBONDSSTOCKCURRENCY</we:customFunctionIds>
        <we:customFunctionIds>_xldudf_CBONDS_CBONDSSTOCKLASTPRICE</we:customFunctionIds>
        <we:customFunctionIds>_xldudf_CBONDS_CBONDSSTOCKBIDPRICE</we:customFunctionIds>
        <we:customFunctionIds>_xldudf_CBONDS_CBONDSSTOCKASKPRICE</we:customFunctionIds>
        <we:customFunctionIds>_xldudf_CBONDS_CBONDSSTOCKAVGPRICE</we:customFunctionIds>
        <we:customFunctionIds>_xldudf_CBONDS_CBONDSSTOCKDEALSNUMBER</we:customFunctionIds>
        <we:customFunctionIds>_xldudf_CBONDS_CBONDSSTOCKTRADINGVOLUME</we:customFunctionIds>
        <we:customFunctionIds>_xldudf_CBONDS_CBONDSOUTSTANDINGFACEVALUE</we:customFunctionIds>
        <we:customFunctionIds>_xldudf_CBONDS_CBONDSINDEXVALUE</we:customFunctionIds>
        <we:customFunctionIds>_xldudf_CBONDS_CBONDSINDEXMEASURE</we:customFunctionIds>
        <we:customFunctionIds>_xldudf_CBONDS_CBONDSPREVIOUSINDEXVALUE</we:customFunctionIds>
        <we:customFunctionIds>_xldudf_CBONDS_CBONDSINDEXDATE</we:customFunctionIds>
        <we:customFunctionIds>_xldudf_CBONDS_CBONDSPREVIOUSINDEXDATE</we:customFunctionIds>
        <we:customFunctionIds>_xldudf_CBONDS_CBONDSMUTUALFUNDSHARE</we:customFunctionIds>
        <we:customFunctionIds>_xldudf_CBONDS_CBONDSMUTUALFUNDNAV</we:customFunctionIds>
        <we:customFunctionIds>_xldudf_CBONDS_CBONDSEMITENTTYPE</we:customFunctionIds>
        <we:customFunctionIds>_xldudf_CBONDS_CBONDSEMITENTTIN</we:customFunctionIds>
        <we:customFunctionIds>_xldudf_CBONDS_CBONDSEMITENTPSRN</we:customFunctionIds>
        <we:customFunctionIds>_xldudf_CBONDS_CBONDSEMITENTLEI</we:customFunctionIds>
        <we:customFunctionIds>_xldudf_CBONDS_CBONDSEMITENTINDUSTRY</we:customFunctionIds>
        <we:customFunctionIds>_xldudf_CBONDS_CBONDSEMITENTNAME</we:customFunctionIds>
        <we:customFunctionIds>_xldudf_CBONDS_CBONDSEMITENTCOUNTRY</we:customFunctionIds>
        <we:customFunctionIds>_xldudf_CBONDS_CBONDSRAS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6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CAEF3-9F78-4864-90E9-E54952922C00}">
  <sheetPr>
    <tabColor theme="9" tint="0.79998168889431442"/>
  </sheetPr>
  <dimension ref="A2:AF51"/>
  <sheetViews>
    <sheetView showGridLines="0" workbookViewId="0">
      <selection activeCell="G12" sqref="A12:XFD12"/>
    </sheetView>
  </sheetViews>
  <sheetFormatPr defaultRowHeight="15" x14ac:dyDescent="0.25"/>
  <cols>
    <col min="1" max="1" width="19" customWidth="1"/>
    <col min="2" max="4" width="16.140625" style="814" customWidth="1"/>
    <col min="5" max="7" width="16.140625" style="863" customWidth="1"/>
    <col min="8" max="10" width="11.85546875" style="863" customWidth="1"/>
    <col min="16" max="32" width="17.42578125" customWidth="1"/>
  </cols>
  <sheetData>
    <row r="2" spans="1:32" s="857" customFormat="1" ht="46.5" customHeight="1" x14ac:dyDescent="0.25">
      <c r="A2" s="884">
        <f>SUM(B3:D12)</f>
        <v>179395735.34626129</v>
      </c>
      <c r="B2" s="865" t="s">
        <v>2475</v>
      </c>
      <c r="C2" s="856" t="s">
        <v>2476</v>
      </c>
      <c r="D2" s="866" t="s">
        <v>2477</v>
      </c>
      <c r="E2" s="869" t="s">
        <v>2475</v>
      </c>
      <c r="F2" s="862" t="s">
        <v>2476</v>
      </c>
      <c r="G2" s="870" t="s">
        <v>2477</v>
      </c>
      <c r="H2" s="902" t="s">
        <v>2475</v>
      </c>
      <c r="I2" s="903" t="s">
        <v>2476</v>
      </c>
      <c r="J2" s="904" t="s">
        <v>2477</v>
      </c>
      <c r="P2" s="858" t="str">
        <f>Bonds!BP107</f>
        <v>Industry</v>
      </c>
      <c r="Q2" s="859" t="str">
        <f>Bonds!BQ107</f>
        <v>Market Value</v>
      </c>
      <c r="R2" s="860" t="str">
        <f>Bonds!BR107</f>
        <v>%</v>
      </c>
      <c r="S2" s="216"/>
      <c r="T2" s="858" t="str">
        <f>Bonds!BT107</f>
        <v>Country</v>
      </c>
      <c r="U2" s="859" t="str">
        <f>Bonds!BU107</f>
        <v>Market Value</v>
      </c>
      <c r="V2" s="860" t="str">
        <f>Bonds!BV107</f>
        <v>%</v>
      </c>
      <c r="W2" s="216"/>
      <c r="X2" s="858" t="str">
        <f>Bonds!BX107</f>
        <v>Country</v>
      </c>
      <c r="Y2" s="859" t="str">
        <f>Bonds!BY107</f>
        <v>Government</v>
      </c>
      <c r="Z2" s="859" t="str">
        <f>Bonds!BZ107</f>
        <v>AT1</v>
      </c>
      <c r="AA2" s="859" t="str">
        <f>Bonds!CA107</f>
        <v>Oil and Gas Extraction and Refining</v>
      </c>
      <c r="AB2" s="859" t="str">
        <f>Bonds!CB107</f>
        <v>Banks</v>
      </c>
      <c r="AC2" s="859" t="str">
        <f>Bonds!CC107</f>
        <v>Power</v>
      </c>
      <c r="AD2" s="859" t="str">
        <f>Bonds!CD107</f>
        <v>Chemical and petrochemical industry</v>
      </c>
      <c r="AE2" s="859" t="str">
        <f>Bonds!CE107</f>
        <v>Non-ferrous metals</v>
      </c>
      <c r="AF2" s="861" t="str">
        <f>Bonds!CF107</f>
        <v>Other</v>
      </c>
    </row>
    <row r="3" spans="1:32" x14ac:dyDescent="0.25">
      <c r="A3" s="888" t="s">
        <v>1</v>
      </c>
      <c r="B3" s="889">
        <v>34561291.080058888</v>
      </c>
      <c r="C3" s="890">
        <v>33032532.3338507</v>
      </c>
      <c r="D3" s="891">
        <v>4161889.2055555554</v>
      </c>
      <c r="E3" s="892">
        <f t="shared" ref="E3:E12" si="0">B3/$A$2</f>
        <v>0.19265391684674271</v>
      </c>
      <c r="F3" s="893">
        <f t="shared" ref="F3:F12" si="1">C3/$A$2</f>
        <v>0.18413220509446807</v>
      </c>
      <c r="G3" s="894">
        <f t="shared" ref="G3:G12" si="2">D3/$A$2</f>
        <v>2.3199487978476582E-2</v>
      </c>
      <c r="H3" s="924">
        <f>B3/SUM($B3:$D3)</f>
        <v>0.48165211964856802</v>
      </c>
      <c r="I3" s="925">
        <f t="shared" ref="I3:J3" si="3">C3/SUM($B3:$D3)</f>
        <v>0.4603470738145799</v>
      </c>
      <c r="J3" s="926">
        <f t="shared" si="3"/>
        <v>5.8000806536852113E-2</v>
      </c>
      <c r="P3" s="838" t="str">
        <f>Bonds!BP108</f>
        <v>Government</v>
      </c>
      <c r="Q3" s="839">
        <f ca="1">Bonds!BQ108</f>
        <v>16365970.291555554</v>
      </c>
      <c r="R3" s="840">
        <f ca="1">Bonds!BR108</f>
        <v>0.22814421531540088</v>
      </c>
      <c r="T3" s="44" t="str">
        <f>Bonds!BT108</f>
        <v>Brazil</v>
      </c>
      <c r="U3" s="819">
        <f ca="1">Bonds!BU108</f>
        <v>8799972.7941222228</v>
      </c>
      <c r="V3" s="844">
        <f ca="1">Bonds!BV108</f>
        <v>0.12267301309643679</v>
      </c>
      <c r="X3" s="44" t="str">
        <f>Bonds!BX108</f>
        <v>Brazil</v>
      </c>
      <c r="Y3" s="851">
        <f ca="1">Bonds!BY108</f>
        <v>2.5547866594884113E-2</v>
      </c>
      <c r="Z3" s="851">
        <f ca="1">Bonds!BZ108</f>
        <v>0</v>
      </c>
      <c r="AA3" s="851">
        <f ca="1">Bonds!CA108</f>
        <v>6.0261317747567912E-2</v>
      </c>
      <c r="AB3" s="851">
        <f ca="1">Bonds!CB108</f>
        <v>0</v>
      </c>
      <c r="AC3" s="851">
        <f ca="1">Bonds!CC108</f>
        <v>5.7604760928751378E-3</v>
      </c>
      <c r="AD3" s="851">
        <f ca="1">Bonds!CD108</f>
        <v>0</v>
      </c>
      <c r="AE3" s="851">
        <f ca="1">Bonds!CE108</f>
        <v>0</v>
      </c>
      <c r="AF3" s="852">
        <f ca="1">Bonds!CF108</f>
        <v>3.1103352661109626E-2</v>
      </c>
    </row>
    <row r="4" spans="1:32" x14ac:dyDescent="0.25">
      <c r="A4" s="886" t="s">
        <v>2507</v>
      </c>
      <c r="B4" s="867">
        <v>14063941.496800002</v>
      </c>
      <c r="C4" s="839">
        <v>14582344.265057996</v>
      </c>
      <c r="D4" s="868">
        <v>1000000.0149999999</v>
      </c>
      <c r="E4" s="871">
        <f t="shared" si="0"/>
        <v>7.8396186339961968E-2</v>
      </c>
      <c r="F4" s="851">
        <f t="shared" si="1"/>
        <v>8.1285902571272578E-2</v>
      </c>
      <c r="G4" s="852">
        <f t="shared" si="2"/>
        <v>5.5742686027058915E-3</v>
      </c>
      <c r="H4" s="927">
        <f t="shared" ref="H4:H8" si="4">B4/SUM($B4:$D4)</f>
        <v>0.47439134880695127</v>
      </c>
      <c r="I4" s="928">
        <f t="shared" ref="I4:I8" si="5">C4/SUM($B4:$D4)</f>
        <v>0.49187761242054234</v>
      </c>
      <c r="J4" s="929">
        <f t="shared" ref="J4:J8" si="6">D4/SUM($B4:$D4)</f>
        <v>3.3731038772506321E-2</v>
      </c>
      <c r="P4" s="838" t="str">
        <f>Bonds!BP109</f>
        <v>AT1</v>
      </c>
      <c r="Q4" s="839">
        <f ca="1">Bonds!BQ109</f>
        <v>10684224.046955556</v>
      </c>
      <c r="R4" s="840">
        <f ca="1">Bonds!BR109</f>
        <v>0.14893977369030945</v>
      </c>
      <c r="T4" s="44" t="str">
        <f>Bonds!BT109</f>
        <v>France</v>
      </c>
      <c r="U4" s="819">
        <f ca="1">Bonds!BU109</f>
        <v>6570154.9973750003</v>
      </c>
      <c r="V4" s="844">
        <f ca="1">Bonds!BV109</f>
        <v>9.1589000204289575E-2</v>
      </c>
      <c r="X4" s="44" t="str">
        <f>Bonds!BX109</f>
        <v>France</v>
      </c>
      <c r="Y4" s="851">
        <f ca="1">Bonds!BY109</f>
        <v>0</v>
      </c>
      <c r="Z4" s="851">
        <f ca="1">Bonds!BZ109</f>
        <v>3.7596984499221942E-2</v>
      </c>
      <c r="AA4" s="851">
        <f ca="1">Bonds!CA109</f>
        <v>0</v>
      </c>
      <c r="AB4" s="851">
        <f ca="1">Bonds!CB109</f>
        <v>0</v>
      </c>
      <c r="AC4" s="851">
        <f ca="1">Bonds!CC109</f>
        <v>2.3952789570560094E-2</v>
      </c>
      <c r="AD4" s="851">
        <f ca="1">Bonds!CD109</f>
        <v>0</v>
      </c>
      <c r="AE4" s="851">
        <f ca="1">Bonds!CE109</f>
        <v>0</v>
      </c>
      <c r="AF4" s="852">
        <f ca="1">Bonds!CF109</f>
        <v>3.0039226134507539E-2</v>
      </c>
    </row>
    <row r="5" spans="1:32" x14ac:dyDescent="0.25">
      <c r="A5" s="887" t="s">
        <v>2504</v>
      </c>
      <c r="B5" s="881">
        <f>9770768.704733-1484693</f>
        <v>8286075.7047329992</v>
      </c>
      <c r="C5" s="882"/>
      <c r="D5" s="883"/>
      <c r="E5" s="876">
        <f t="shared" si="0"/>
        <v>4.6188810947705092E-2</v>
      </c>
      <c r="F5" s="877">
        <f t="shared" si="1"/>
        <v>0</v>
      </c>
      <c r="G5" s="878">
        <f t="shared" si="2"/>
        <v>0</v>
      </c>
      <c r="H5" s="930">
        <f t="shared" si="4"/>
        <v>1</v>
      </c>
      <c r="I5" s="931">
        <f t="shared" si="5"/>
        <v>0</v>
      </c>
      <c r="J5" s="932">
        <f t="shared" si="6"/>
        <v>0</v>
      </c>
      <c r="P5" s="838" t="str">
        <f>Bonds!BP110</f>
        <v>Oil and Gas Extraction and Refining</v>
      </c>
      <c r="Q5" s="839">
        <f ca="1">Bonds!BQ110</f>
        <v>9318956.9089933094</v>
      </c>
      <c r="R5" s="840">
        <f ca="1">Bonds!BR110</f>
        <v>0.12990773377227202</v>
      </c>
      <c r="T5" s="44" t="str">
        <f>Bonds!BT110</f>
        <v>Mexico</v>
      </c>
      <c r="U5" s="819">
        <f ca="1">Bonds!BU110</f>
        <v>6454864.8842044193</v>
      </c>
      <c r="V5" s="844">
        <f ca="1">Bonds!BV110</f>
        <v>8.9981837785297683E-2</v>
      </c>
      <c r="X5" s="44" t="str">
        <f>Bonds!BX110</f>
        <v>Mexico</v>
      </c>
      <c r="Y5" s="851">
        <f ca="1">Bonds!BY110</f>
        <v>6.6445954600081528E-2</v>
      </c>
      <c r="Z5" s="851">
        <f ca="1">Bonds!BZ110</f>
        <v>0</v>
      </c>
      <c r="AA5" s="851">
        <f ca="1">Bonds!CA110</f>
        <v>1.2659013396063599E-2</v>
      </c>
      <c r="AB5" s="851">
        <f ca="1">Bonds!CB110</f>
        <v>0</v>
      </c>
      <c r="AC5" s="851">
        <f ca="1">Bonds!CC110</f>
        <v>1.0876869789152558E-2</v>
      </c>
      <c r="AD5" s="851">
        <f ca="1">Bonds!CD110</f>
        <v>0</v>
      </c>
      <c r="AE5" s="851">
        <f ca="1">Bonds!CE110</f>
        <v>0</v>
      </c>
      <c r="AF5" s="852">
        <f ca="1">Bonds!CF110</f>
        <v>0</v>
      </c>
    </row>
    <row r="6" spans="1:32" x14ac:dyDescent="0.25">
      <c r="A6" s="905" t="s">
        <v>195</v>
      </c>
      <c r="B6" s="906">
        <v>9121276.550836999</v>
      </c>
      <c r="C6" s="907">
        <v>1411825.5</v>
      </c>
      <c r="D6" s="908"/>
      <c r="E6" s="909">
        <f t="shared" si="0"/>
        <v>5.0844444731261505E-2</v>
      </c>
      <c r="F6" s="910">
        <f t="shared" si="1"/>
        <v>7.869894439101131E-3</v>
      </c>
      <c r="G6" s="911">
        <f t="shared" si="2"/>
        <v>0</v>
      </c>
      <c r="H6" s="933">
        <f t="shared" si="4"/>
        <v>0.86596299046700953</v>
      </c>
      <c r="I6" s="934">
        <f t="shared" si="5"/>
        <v>0.13403700953299044</v>
      </c>
      <c r="J6" s="935">
        <f t="shared" si="6"/>
        <v>0</v>
      </c>
      <c r="P6" s="838" t="str">
        <f>Bonds!BP111</f>
        <v>Banks</v>
      </c>
      <c r="Q6" s="839">
        <f ca="1">Bonds!BQ111</f>
        <v>8751754.5048611108</v>
      </c>
      <c r="R6" s="840">
        <f ca="1">Bonds!BR111</f>
        <v>0.12200084251495877</v>
      </c>
      <c r="T6" s="44" t="str">
        <f>Bonds!BT111</f>
        <v>USA</v>
      </c>
      <c r="U6" s="819">
        <f ca="1">Bonds!BU111</f>
        <v>7734545.9543911107</v>
      </c>
      <c r="V6" s="844">
        <f ca="1">Bonds!BV111</f>
        <v>0.10782079437697348</v>
      </c>
      <c r="X6" s="44" t="str">
        <f>Bonds!BX111</f>
        <v>USA</v>
      </c>
      <c r="Y6" s="851">
        <f ca="1">Bonds!BY111</f>
        <v>2.5083780334420467E-2</v>
      </c>
      <c r="Z6" s="851">
        <f ca="1">Bonds!BZ111</f>
        <v>0</v>
      </c>
      <c r="AA6" s="851">
        <f ca="1">Bonds!CA111</f>
        <v>0</v>
      </c>
      <c r="AB6" s="851">
        <f ca="1">Bonds!CB111</f>
        <v>2.731338693665044E-2</v>
      </c>
      <c r="AC6" s="851">
        <f ca="1">Bonds!CC111</f>
        <v>0</v>
      </c>
      <c r="AD6" s="851">
        <f ca="1">Bonds!CD111</f>
        <v>5.2281002112644645E-3</v>
      </c>
      <c r="AE6" s="851">
        <f ca="1">Bonds!CE111</f>
        <v>0</v>
      </c>
      <c r="AF6" s="852">
        <f ca="1">Bonds!CF111</f>
        <v>5.0195526894638104E-2</v>
      </c>
    </row>
    <row r="7" spans="1:32" x14ac:dyDescent="0.25">
      <c r="A7" s="885" t="s">
        <v>1191</v>
      </c>
      <c r="B7" s="879">
        <v>9194626.0053652562</v>
      </c>
      <c r="C7" s="872">
        <v>4072892.6034999993</v>
      </c>
      <c r="D7" s="880"/>
      <c r="E7" s="874">
        <f t="shared" si="0"/>
        <v>5.1253314286530932E-2</v>
      </c>
      <c r="F7" s="873">
        <f t="shared" si="1"/>
        <v>2.2703397021332148E-2</v>
      </c>
      <c r="G7" s="875">
        <f t="shared" si="2"/>
        <v>0</v>
      </c>
      <c r="H7" s="936">
        <f t="shared" si="4"/>
        <v>0.6930177583637589</v>
      </c>
      <c r="I7" s="937">
        <f t="shared" si="5"/>
        <v>0.3069822416362411</v>
      </c>
      <c r="J7" s="938">
        <f t="shared" si="6"/>
        <v>0</v>
      </c>
      <c r="P7" s="838" t="str">
        <f>Bonds!BP112</f>
        <v>Power</v>
      </c>
      <c r="Q7" s="839">
        <f ca="1">Bonds!BQ112</f>
        <v>3942420.5718888887</v>
      </c>
      <c r="R7" s="840">
        <f ca="1">Bonds!BR112</f>
        <v>5.4957966548489584E-2</v>
      </c>
      <c r="T7" s="44" t="str">
        <f>Bonds!BT112</f>
        <v>United Kingdom</v>
      </c>
      <c r="U7" s="819">
        <f ca="1">Bonds!BU112</f>
        <v>6054139.8516083341</v>
      </c>
      <c r="V7" s="844">
        <f ca="1">Bonds!BV112</f>
        <v>8.4395667427525231E-2</v>
      </c>
      <c r="X7" s="44" t="str">
        <f>Bonds!BX112</f>
        <v>United Kingdom</v>
      </c>
      <c r="Y7" s="851">
        <f ca="1">Bonds!BY112</f>
        <v>0</v>
      </c>
      <c r="Z7" s="851">
        <f ca="1">Bonds!BZ112</f>
        <v>7.1513245847767706E-2</v>
      </c>
      <c r="AA7" s="851">
        <f ca="1">Bonds!CA112</f>
        <v>0</v>
      </c>
      <c r="AB7" s="851">
        <f ca="1">Bonds!CB112</f>
        <v>1.2882421579757514E-2</v>
      </c>
      <c r="AC7" s="851">
        <f ca="1">Bonds!CC112</f>
        <v>0</v>
      </c>
      <c r="AD7" s="851">
        <f ca="1">Bonds!CD112</f>
        <v>0</v>
      </c>
      <c r="AE7" s="851">
        <f ca="1">Bonds!CE112</f>
        <v>0</v>
      </c>
      <c r="AF7" s="852">
        <f ca="1">Bonds!CF112</f>
        <v>0</v>
      </c>
    </row>
    <row r="8" spans="1:32" x14ac:dyDescent="0.25">
      <c r="A8" s="912" t="s">
        <v>2369</v>
      </c>
      <c r="B8" s="913">
        <v>333276</v>
      </c>
      <c r="C8" s="846">
        <v>0</v>
      </c>
      <c r="D8" s="914"/>
      <c r="E8" s="915">
        <f t="shared" si="0"/>
        <v>1.8577699149688602E-3</v>
      </c>
      <c r="F8" s="916">
        <f t="shared" si="1"/>
        <v>0</v>
      </c>
      <c r="G8" s="847">
        <f t="shared" si="2"/>
        <v>0</v>
      </c>
      <c r="H8" s="939">
        <f t="shared" si="4"/>
        <v>1</v>
      </c>
      <c r="I8" s="940">
        <f t="shared" si="5"/>
        <v>0</v>
      </c>
      <c r="J8" s="941">
        <f t="shared" si="6"/>
        <v>0</v>
      </c>
      <c r="P8" s="838" t="str">
        <f>Bonds!BP113</f>
        <v>Chemical and petrochemical industry</v>
      </c>
      <c r="Q8" s="839">
        <f ca="1">Bonds!BQ113</f>
        <v>4080698.2444444438</v>
      </c>
      <c r="R8" s="840">
        <f ca="1">Bonds!BR113</f>
        <v>5.6885579182438015E-2</v>
      </c>
      <c r="T8" s="44" t="str">
        <f>Bonds!BT113</f>
        <v>Turkey</v>
      </c>
      <c r="U8" s="819">
        <f ca="1">Bonds!BU113</f>
        <v>4337997.083333333</v>
      </c>
      <c r="V8" s="844">
        <f ca="1">Bonds!BV113</f>
        <v>6.0472365706800556E-2</v>
      </c>
      <c r="X8" s="44" t="str">
        <f>Bonds!BX113</f>
        <v>Turkey</v>
      </c>
      <c r="Y8" s="851">
        <f ca="1">Bonds!BY113</f>
        <v>3.967197682108544E-2</v>
      </c>
      <c r="Z8" s="851">
        <f ca="1">Bonds!BZ113</f>
        <v>0</v>
      </c>
      <c r="AA8" s="851">
        <f ca="1">Bonds!CA113</f>
        <v>0</v>
      </c>
      <c r="AB8" s="851">
        <f ca="1">Bonds!CB113</f>
        <v>0</v>
      </c>
      <c r="AC8" s="851">
        <f ca="1">Bonds!CC113</f>
        <v>0</v>
      </c>
      <c r="AD8" s="851">
        <f ca="1">Bonds!CD113</f>
        <v>0</v>
      </c>
      <c r="AE8" s="851">
        <f ca="1">Bonds!CE113</f>
        <v>0</v>
      </c>
      <c r="AF8" s="852">
        <f ca="1">Bonds!CF113</f>
        <v>2.0800388885715115E-2</v>
      </c>
    </row>
    <row r="9" spans="1:32" x14ac:dyDescent="0.25">
      <c r="A9" s="885" t="s">
        <v>2508</v>
      </c>
      <c r="B9" s="956">
        <f>'JPM - DP (3R)'!W5</f>
        <v>13293212.062253501</v>
      </c>
      <c r="C9" s="956"/>
      <c r="D9" s="956"/>
      <c r="E9" s="876">
        <f t="shared" si="0"/>
        <v>7.4099933516231939E-2</v>
      </c>
      <c r="F9" s="877">
        <f t="shared" si="1"/>
        <v>0</v>
      </c>
      <c r="G9" s="878">
        <f t="shared" si="2"/>
        <v>0</v>
      </c>
      <c r="H9" s="957"/>
      <c r="I9" s="957"/>
      <c r="J9" s="957"/>
      <c r="P9" s="838" t="str">
        <f>Bonds!BP114</f>
        <v>Non-ferrous metals</v>
      </c>
      <c r="Q9" s="839">
        <f ca="1">Bonds!BQ114</f>
        <v>3728370.0620012279</v>
      </c>
      <c r="R9" s="840">
        <f ca="1">Bonds!BR114</f>
        <v>5.1974068573226902E-2</v>
      </c>
      <c r="T9" s="44" t="str">
        <f>Bonds!BT114</f>
        <v>Netherlands</v>
      </c>
      <c r="U9" s="819">
        <f ca="1">Bonds!BU114</f>
        <v>3904314.1404166669</v>
      </c>
      <c r="V9" s="844">
        <f ca="1">Bonds!BV114</f>
        <v>5.4426756864503656E-2</v>
      </c>
      <c r="X9" s="44" t="str">
        <f>Bonds!BX114</f>
        <v>Netherlands</v>
      </c>
      <c r="Y9" s="851">
        <f ca="1">Bonds!BY114</f>
        <v>0</v>
      </c>
      <c r="Z9" s="851">
        <f ca="1">Bonds!BZ114</f>
        <v>0</v>
      </c>
      <c r="AA9" s="851">
        <f ca="1">Bonds!CA114</f>
        <v>0</v>
      </c>
      <c r="AB9" s="851">
        <f ca="1">Bonds!CB114</f>
        <v>5.4426756864503656E-2</v>
      </c>
      <c r="AC9" s="851">
        <f ca="1">Bonds!CC114</f>
        <v>0</v>
      </c>
      <c r="AD9" s="851">
        <f ca="1">Bonds!CD114</f>
        <v>0</v>
      </c>
      <c r="AE9" s="851">
        <f ca="1">Bonds!CE114</f>
        <v>0</v>
      </c>
      <c r="AF9" s="852">
        <f ca="1">Bonds!CF114</f>
        <v>0</v>
      </c>
    </row>
    <row r="10" spans="1:32" x14ac:dyDescent="0.25">
      <c r="A10" s="917" t="s">
        <v>2505</v>
      </c>
      <c r="B10" s="918">
        <f>'Alternative assets'!J20</f>
        <v>0</v>
      </c>
      <c r="C10" s="919">
        <f>'Alternative assets'!J21</f>
        <v>0</v>
      </c>
      <c r="D10" s="920"/>
      <c r="E10" s="921">
        <f t="shared" si="0"/>
        <v>0</v>
      </c>
      <c r="F10" s="922">
        <f t="shared" si="1"/>
        <v>0</v>
      </c>
      <c r="G10" s="923">
        <f t="shared" si="2"/>
        <v>0</v>
      </c>
      <c r="H10" s="945">
        <f>IFERROR(B10/SUM($B10:$D10),0)</f>
        <v>0</v>
      </c>
      <c r="I10" s="946">
        <f>IFERROR(C10/SUM($B10:$D10),0)</f>
        <v>0</v>
      </c>
      <c r="J10" s="947">
        <f>IFERROR(D10/SUM($B10:$D10),0)</f>
        <v>0</v>
      </c>
      <c r="P10" s="838" t="str">
        <f>Bonds!BP115</f>
        <v>Insurance and Reinsurance</v>
      </c>
      <c r="Q10" s="839">
        <f ca="1">Bonds!BQ115</f>
        <v>1870799.9228333333</v>
      </c>
      <c r="R10" s="840">
        <f ca="1">Bonds!BR115</f>
        <v>2.6079246925380779E-2</v>
      </c>
      <c r="T10" s="44" t="str">
        <f>Bonds!BT115</f>
        <v>India</v>
      </c>
      <c r="U10" s="819">
        <f ca="1">Bonds!BU115</f>
        <v>3817299.5064456724</v>
      </c>
      <c r="V10" s="844">
        <f ca="1">Bonds!BV115</f>
        <v>5.3213759099347474E-2</v>
      </c>
      <c r="X10" s="44" t="str">
        <f>Bonds!BX115</f>
        <v>India</v>
      </c>
      <c r="Y10" s="851">
        <f ca="1">Bonds!BY115</f>
        <v>0</v>
      </c>
      <c r="Z10" s="851">
        <f ca="1">Bonds!BZ115</f>
        <v>0</v>
      </c>
      <c r="AA10" s="851">
        <f ca="1">Bonds!CA115</f>
        <v>0</v>
      </c>
      <c r="AB10" s="851">
        <f ca="1">Bonds!CB115</f>
        <v>0</v>
      </c>
      <c r="AC10" s="851">
        <f ca="1">Bonds!CC115</f>
        <v>0</v>
      </c>
      <c r="AD10" s="851">
        <f ca="1">Bonds!CD115</f>
        <v>0</v>
      </c>
      <c r="AE10" s="851">
        <f ca="1">Bonds!CE115</f>
        <v>4.3237562313334289E-2</v>
      </c>
      <c r="AF10" s="852">
        <f ca="1">Bonds!CF115</f>
        <v>9.9761967860131848E-3</v>
      </c>
    </row>
    <row r="11" spans="1:32" x14ac:dyDescent="0.25">
      <c r="A11" s="895" t="s">
        <v>46</v>
      </c>
      <c r="B11" s="896">
        <v>10854064.439999999</v>
      </c>
      <c r="C11" s="897"/>
      <c r="D11" s="898"/>
      <c r="E11" s="899">
        <f t="shared" si="0"/>
        <v>6.0503469712086463E-2</v>
      </c>
      <c r="F11" s="900">
        <f t="shared" si="1"/>
        <v>0</v>
      </c>
      <c r="G11" s="901">
        <f t="shared" si="2"/>
        <v>0</v>
      </c>
      <c r="H11" s="942">
        <f t="shared" ref="H11:J12" si="7">B11/SUM($B11:$D11)</f>
        <v>1</v>
      </c>
      <c r="I11" s="943">
        <f t="shared" si="7"/>
        <v>0</v>
      </c>
      <c r="J11" s="944">
        <f t="shared" si="7"/>
        <v>0</v>
      </c>
      <c r="P11" s="838" t="str">
        <f>Bonds!BP116</f>
        <v>Food and Beverage Production</v>
      </c>
      <c r="Q11" s="839">
        <f ca="1">Bonds!BQ116</f>
        <v>1365730.5555555555</v>
      </c>
      <c r="R11" s="840">
        <f ca="1">Bonds!BR116</f>
        <v>1.9038500032610855E-2</v>
      </c>
      <c r="T11" s="44" t="str">
        <f>Bonds!BT116</f>
        <v>Colombia</v>
      </c>
      <c r="U11" s="819">
        <f ca="1">Bonds!BU116</f>
        <v>3641957.5</v>
      </c>
      <c r="V11" s="844">
        <f ca="1">Bonds!BV116</f>
        <v>5.0769463786590086E-2</v>
      </c>
      <c r="X11" s="44" t="str">
        <f>Bonds!BX116</f>
        <v>Colombia</v>
      </c>
      <c r="Y11" s="851">
        <f ca="1">Bonds!BY116</f>
        <v>2.1952752065109295E-2</v>
      </c>
      <c r="Z11" s="851">
        <f ca="1">Bonds!BZ116</f>
        <v>0</v>
      </c>
      <c r="AA11" s="851">
        <f ca="1">Bonds!CA116</f>
        <v>2.0430056965757989E-2</v>
      </c>
      <c r="AB11" s="851">
        <f ca="1">Bonds!CB116</f>
        <v>0</v>
      </c>
      <c r="AC11" s="851">
        <f ca="1">Bonds!CC116</f>
        <v>0</v>
      </c>
      <c r="AD11" s="851">
        <f ca="1">Bonds!CD116</f>
        <v>0</v>
      </c>
      <c r="AE11" s="851">
        <f ca="1">Bonds!CE116</f>
        <v>0</v>
      </c>
      <c r="AF11" s="852">
        <f ca="1">Bonds!CF116</f>
        <v>8.3866547557227972E-3</v>
      </c>
    </row>
    <row r="12" spans="1:32" x14ac:dyDescent="0.25">
      <c r="A12" s="917" t="s">
        <v>2509</v>
      </c>
      <c r="B12" s="918">
        <v>21426488.083249412</v>
      </c>
      <c r="C12" s="919"/>
      <c r="D12" s="920"/>
      <c r="E12" s="921">
        <f t="shared" si="0"/>
        <v>0.11943699799715418</v>
      </c>
      <c r="F12" s="922">
        <f t="shared" si="1"/>
        <v>0</v>
      </c>
      <c r="G12" s="923">
        <f t="shared" si="2"/>
        <v>0</v>
      </c>
      <c r="H12" s="945">
        <f t="shared" si="7"/>
        <v>1</v>
      </c>
      <c r="I12" s="946">
        <f t="shared" si="7"/>
        <v>0</v>
      </c>
      <c r="J12" s="947">
        <f t="shared" si="7"/>
        <v>0</v>
      </c>
      <c r="P12" s="838" t="str">
        <f>Bonds!BP117</f>
        <v>Other Financial Institutions</v>
      </c>
      <c r="Q12" s="839">
        <f ca="1">Bonds!BQ117</f>
        <v>1310781.7777777778</v>
      </c>
      <c r="R12" s="840">
        <f ca="1">Bonds!BR117</f>
        <v>1.8272505376301366E-2</v>
      </c>
      <c r="T12" s="44" t="str">
        <f>Bonds!BT117</f>
        <v>Israel</v>
      </c>
      <c r="U12" s="819">
        <f ca="1">Bonds!BU117</f>
        <v>3178434.444444444</v>
      </c>
      <c r="V12" s="844">
        <f ca="1">Bonds!BV117</f>
        <v>4.4307879052754677E-2</v>
      </c>
      <c r="X12" s="44" t="str">
        <f>Bonds!BX117</f>
        <v>Israel</v>
      </c>
      <c r="Y12" s="851">
        <f ca="1">Bonds!BY117</f>
        <v>8.4761738051029531E-3</v>
      </c>
      <c r="Z12" s="851">
        <f ca="1">Bonds!BZ117</f>
        <v>0</v>
      </c>
      <c r="AA12" s="851">
        <f ca="1">Bonds!CA117</f>
        <v>8.7005406516806969E-3</v>
      </c>
      <c r="AB12" s="851">
        <f ca="1">Bonds!CB117</f>
        <v>0</v>
      </c>
      <c r="AC12" s="851">
        <f ca="1">Bonds!CC117</f>
        <v>0</v>
      </c>
      <c r="AD12" s="851">
        <f ca="1">Bonds!CD117</f>
        <v>1.4751591598154156E-2</v>
      </c>
      <c r="AE12" s="851">
        <f ca="1">Bonds!CE117</f>
        <v>0</v>
      </c>
      <c r="AF12" s="852">
        <f ca="1">Bonds!CF117</f>
        <v>1.2379572997816869E-2</v>
      </c>
    </row>
    <row r="13" spans="1:32" ht="15.75" thickBot="1" x14ac:dyDescent="0.3">
      <c r="A13" s="948"/>
      <c r="B13" s="949"/>
      <c r="C13" s="949"/>
      <c r="D13" s="949"/>
      <c r="E13" s="950"/>
      <c r="F13" s="950"/>
      <c r="G13" s="950"/>
      <c r="H13"/>
      <c r="I13"/>
      <c r="J13"/>
      <c r="P13" s="838" t="str">
        <f>Bonds!BP118</f>
        <v>Ferrous metals</v>
      </c>
      <c r="Q13" s="839">
        <f ca="1">Bonds!BQ118</f>
        <v>1289932.0833333333</v>
      </c>
      <c r="R13" s="840">
        <f ca="1">Bonds!BR118</f>
        <v>1.7981857336872378E-2</v>
      </c>
      <c r="T13" s="44" t="str">
        <f>Bonds!BT118</f>
        <v>Japan</v>
      </c>
      <c r="U13" s="819">
        <f ca="1">Bonds!BU118</f>
        <v>2656651.111111111</v>
      </c>
      <c r="V13" s="844">
        <f ca="1">Bonds!BV118</f>
        <v>3.7034136828658727E-2</v>
      </c>
      <c r="X13" s="44" t="str">
        <f>Bonds!BX118</f>
        <v>Japan</v>
      </c>
      <c r="Y13" s="851">
        <f ca="1">Bonds!BY118</f>
        <v>0</v>
      </c>
      <c r="Z13" s="851">
        <f ca="1">Bonds!BZ118</f>
        <v>0</v>
      </c>
      <c r="AA13" s="851">
        <f ca="1">Bonds!CA118</f>
        <v>0</v>
      </c>
      <c r="AB13" s="851">
        <f ca="1">Bonds!CB118</f>
        <v>2.7378277134047134E-2</v>
      </c>
      <c r="AC13" s="851">
        <f ca="1">Bonds!CC118</f>
        <v>0</v>
      </c>
      <c r="AD13" s="851">
        <f ca="1">Bonds!CD118</f>
        <v>0</v>
      </c>
      <c r="AE13" s="851">
        <f ca="1">Bonds!CE118</f>
        <v>0</v>
      </c>
      <c r="AF13" s="852">
        <f ca="1">Bonds!CF118</f>
        <v>9.6558596946115932E-3</v>
      </c>
    </row>
    <row r="14" spans="1:32" ht="16.5" thickTop="1" thickBot="1" x14ac:dyDescent="0.3">
      <c r="A14" s="951" t="s">
        <v>913</v>
      </c>
      <c r="B14" s="952">
        <f t="shared" ref="B14:G14" si="8">SUM(B3:B12)</f>
        <v>121134251.42329705</v>
      </c>
      <c r="C14" s="952">
        <f t="shared" si="8"/>
        <v>53099594.702408694</v>
      </c>
      <c r="D14" s="952">
        <f t="shared" si="8"/>
        <v>5161889.2205555551</v>
      </c>
      <c r="E14" s="953">
        <f t="shared" si="8"/>
        <v>0.67523484429264369</v>
      </c>
      <c r="F14" s="954">
        <f t="shared" si="8"/>
        <v>0.29599139912617395</v>
      </c>
      <c r="G14" s="955">
        <f t="shared" si="8"/>
        <v>2.8773756581182475E-2</v>
      </c>
      <c r="H14"/>
      <c r="I14"/>
      <c r="J14"/>
      <c r="P14" s="838" t="str">
        <f>Bonds!BP119</f>
        <v>Communication Services</v>
      </c>
      <c r="Q14" s="839">
        <f ca="1">Bonds!BQ119</f>
        <v>1067662.5</v>
      </c>
      <c r="R14" s="840">
        <f ca="1">Bonds!BR119</f>
        <v>1.4883384177341513E-2</v>
      </c>
      <c r="T14" s="44" t="str">
        <f>Bonds!BT119</f>
        <v>Austria</v>
      </c>
      <c r="U14" s="819">
        <f ca="1">Bonds!BU119</f>
        <v>1810912.926666667</v>
      </c>
      <c r="V14" s="844">
        <f ca="1">Bonds!BV119</f>
        <v>2.5244412723397027E-2</v>
      </c>
      <c r="X14" s="44" t="str">
        <f>Bonds!BX119</f>
        <v>Austria</v>
      </c>
      <c r="Y14" s="851">
        <f ca="1">Bonds!BY119</f>
        <v>0</v>
      </c>
      <c r="Z14" s="851">
        <f ca="1">Bonds!BZ119</f>
        <v>2.5244412723397027E-2</v>
      </c>
      <c r="AA14" s="851">
        <f ca="1">Bonds!CA119</f>
        <v>0</v>
      </c>
      <c r="AB14" s="851">
        <f ca="1">Bonds!CB119</f>
        <v>0</v>
      </c>
      <c r="AC14" s="851">
        <f ca="1">Bonds!CC119</f>
        <v>0</v>
      </c>
      <c r="AD14" s="851">
        <f ca="1">Bonds!CD119</f>
        <v>0</v>
      </c>
      <c r="AE14" s="851">
        <f ca="1">Bonds!CE119</f>
        <v>0</v>
      </c>
      <c r="AF14" s="852">
        <f ca="1">Bonds!CF119</f>
        <v>0</v>
      </c>
    </row>
    <row r="15" spans="1:32" ht="15.75" thickTop="1" x14ac:dyDescent="0.25">
      <c r="P15" s="838" t="str">
        <f>Bonds!BP120</f>
        <v>Air Transportation</v>
      </c>
      <c r="Q15" s="839">
        <f ca="1">Bonds!BQ120</f>
        <v>707432.98611111101</v>
      </c>
      <c r="R15" s="840">
        <f ca="1">Bonds!BR120</f>
        <v>9.8617277576158822E-3</v>
      </c>
      <c r="T15" s="44" t="str">
        <f>Bonds!BT120</f>
        <v>South Africa</v>
      </c>
      <c r="U15" s="819">
        <f ca="1">Bonds!BU120</f>
        <v>2274733.8277777778</v>
      </c>
      <c r="V15" s="844">
        <f ca="1">Bonds!BV120</f>
        <v>3.1710149471402493E-2</v>
      </c>
      <c r="X15" s="44" t="str">
        <f>Bonds!BX120</f>
        <v>South Africa</v>
      </c>
      <c r="Y15" s="851">
        <f ca="1">Bonds!BY120</f>
        <v>9.0548994736754963E-3</v>
      </c>
      <c r="Z15" s="851">
        <f ca="1">Bonds!BZ120</f>
        <v>0</v>
      </c>
      <c r="AA15" s="851">
        <f ca="1">Bonds!CA120</f>
        <v>0</v>
      </c>
      <c r="AB15" s="851">
        <f ca="1">Bonds!CB120</f>
        <v>0</v>
      </c>
      <c r="AC15" s="851">
        <f ca="1">Bonds!CC120</f>
        <v>0</v>
      </c>
      <c r="AD15" s="851">
        <f ca="1">Bonds!CD120</f>
        <v>9.8287099120279373E-3</v>
      </c>
      <c r="AE15" s="851">
        <f ca="1">Bonds!CE120</f>
        <v>0</v>
      </c>
      <c r="AF15" s="852">
        <f ca="1">Bonds!CF120</f>
        <v>1.282654008569906E-2</v>
      </c>
    </row>
    <row r="16" spans="1:32" x14ac:dyDescent="0.25">
      <c r="P16" s="838" t="str">
        <f>Bonds!BP121</f>
        <v>Holding Companies</v>
      </c>
      <c r="Q16" s="839">
        <f ca="1">Bonds!BQ121</f>
        <v>920114.38333333319</v>
      </c>
      <c r="R16" s="840">
        <f ca="1">Bonds!BR121</f>
        <v>1.2826540085699062E-2</v>
      </c>
      <c r="T16" s="44" t="str">
        <f>Bonds!BT121</f>
        <v>Morocco</v>
      </c>
      <c r="U16" s="819">
        <f ca="1">Bonds!BU121</f>
        <v>1942386.6666666665</v>
      </c>
      <c r="V16" s="844">
        <f ca="1">Bonds!BV121</f>
        <v>2.7077177460991447E-2</v>
      </c>
      <c r="X16" s="44" t="str">
        <f>Bonds!BX121</f>
        <v>Morocco</v>
      </c>
      <c r="Y16" s="851">
        <f ca="1">Bonds!BY121</f>
        <v>0</v>
      </c>
      <c r="Z16" s="851">
        <f ca="1">Bonds!BZ121</f>
        <v>0</v>
      </c>
      <c r="AA16" s="851">
        <f ca="1">Bonds!CA121</f>
        <v>0</v>
      </c>
      <c r="AB16" s="851">
        <f ca="1">Bonds!CB121</f>
        <v>0</v>
      </c>
      <c r="AC16" s="851">
        <f ca="1">Bonds!CC121</f>
        <v>0</v>
      </c>
      <c r="AD16" s="851">
        <f ca="1">Bonds!CD121</f>
        <v>2.7077177460991447E-2</v>
      </c>
      <c r="AE16" s="851">
        <f ca="1">Bonds!CE121</f>
        <v>0</v>
      </c>
      <c r="AF16" s="852">
        <f ca="1">Bonds!CF121</f>
        <v>0</v>
      </c>
    </row>
    <row r="17" spans="1:32" x14ac:dyDescent="0.25">
      <c r="P17" s="838" t="str">
        <f>Bonds!BP122</f>
        <v>Media</v>
      </c>
      <c r="Q17" s="839">
        <f ca="1">Bonds!BQ122</f>
        <v>857284.39999999991</v>
      </c>
      <c r="R17" s="840">
        <f ca="1">Bonds!BR122</f>
        <v>1.1950680176967638E-2</v>
      </c>
      <c r="T17" s="44" t="str">
        <f>Bonds!BT122</f>
        <v>Chile</v>
      </c>
      <c r="U17" s="819">
        <f ca="1">Bonds!BU122</f>
        <v>1334147.986111111</v>
      </c>
      <c r="V17" s="844">
        <f ca="1">Bonds!BV122</f>
        <v>1.8598234017508482E-2</v>
      </c>
      <c r="X17" s="44" t="str">
        <f>Bonds!BX122</f>
        <v>Chile</v>
      </c>
      <c r="Y17" s="851">
        <f ca="1">Bonds!BY122</f>
        <v>0</v>
      </c>
      <c r="Z17" s="851">
        <f ca="1">Bonds!BZ122</f>
        <v>0</v>
      </c>
      <c r="AA17" s="851">
        <f ca="1">Bonds!CA122</f>
        <v>0</v>
      </c>
      <c r="AB17" s="851">
        <f ca="1">Bonds!CB122</f>
        <v>0</v>
      </c>
      <c r="AC17" s="851">
        <f ca="1">Bonds!CC122</f>
        <v>0</v>
      </c>
      <c r="AD17" s="851">
        <f ca="1">Bonds!CD122</f>
        <v>0</v>
      </c>
      <c r="AE17" s="851">
        <f ca="1">Bonds!CE122</f>
        <v>8.7365062598926003E-3</v>
      </c>
      <c r="AF17" s="852">
        <f ca="1">Bonds!CF122</f>
        <v>9.8617277576158822E-3</v>
      </c>
    </row>
    <row r="18" spans="1:32" x14ac:dyDescent="0.25">
      <c r="P18" s="838" t="str">
        <f>Bonds!BP123</f>
        <v>Transportation Support Activities</v>
      </c>
      <c r="Q18" s="839">
        <f ca="1">Bonds!BQ123</f>
        <v>715644.44444444461</v>
      </c>
      <c r="R18" s="840">
        <f ca="1">Bonds!BR123</f>
        <v>9.9761967860131865E-3</v>
      </c>
      <c r="T18" s="44" t="str">
        <f>Bonds!BT123</f>
        <v>Romania</v>
      </c>
      <c r="U18" s="819">
        <f ca="1">Bonds!BU123</f>
        <v>1442145.2777777778</v>
      </c>
      <c r="V18" s="844">
        <f ca="1">Bonds!BV123</f>
        <v>2.0103733350853432E-2</v>
      </c>
      <c r="X18" s="44" t="str">
        <f>Bonds!BX123</f>
        <v>Romania</v>
      </c>
      <c r="Y18" s="851">
        <f ca="1">Bonds!BY123</f>
        <v>2.0103733350853432E-2</v>
      </c>
      <c r="Z18" s="851">
        <f ca="1">Bonds!BZ123</f>
        <v>0</v>
      </c>
      <c r="AA18" s="851">
        <f ca="1">Bonds!CA123</f>
        <v>0</v>
      </c>
      <c r="AB18" s="851">
        <f ca="1">Bonds!CB123</f>
        <v>0</v>
      </c>
      <c r="AC18" s="851">
        <f ca="1">Bonds!CC123</f>
        <v>0</v>
      </c>
      <c r="AD18" s="851">
        <f ca="1">Bonds!CD123</f>
        <v>0</v>
      </c>
      <c r="AE18" s="851">
        <f ca="1">Bonds!CE123</f>
        <v>0</v>
      </c>
      <c r="AF18" s="852">
        <f ca="1">Bonds!CF123</f>
        <v>0</v>
      </c>
    </row>
    <row r="19" spans="1:32" x14ac:dyDescent="0.25">
      <c r="P19" s="838" t="str">
        <f>Bonds!BP124</f>
        <v>Online Retail</v>
      </c>
      <c r="Q19" s="839">
        <f ca="1">Bonds!BQ124</f>
        <v>692665</v>
      </c>
      <c r="R19" s="840">
        <f ca="1">Bonds!BR124</f>
        <v>9.6558596946116019E-3</v>
      </c>
      <c r="T19" s="44" t="str">
        <f>Bonds!BT124</f>
        <v>Kazakhstan</v>
      </c>
      <c r="U19" s="819">
        <f ca="1">Bonds!BU124</f>
        <v>1393365.625</v>
      </c>
      <c r="V19" s="844">
        <f ca="1">Bonds!BV124</f>
        <v>1.942373727313319E-2</v>
      </c>
      <c r="X19" s="44" t="str">
        <f>Bonds!BX124</f>
        <v>Kazakhstan</v>
      </c>
      <c r="Y19" s="851">
        <f ca="1">Bonds!BY124</f>
        <v>0</v>
      </c>
      <c r="Z19" s="851">
        <f ca="1">Bonds!BZ124</f>
        <v>0</v>
      </c>
      <c r="AA19" s="851">
        <f ca="1">Bonds!CA124</f>
        <v>1.942373727313319E-2</v>
      </c>
      <c r="AB19" s="851">
        <f ca="1">Bonds!CB124</f>
        <v>0</v>
      </c>
      <c r="AC19" s="851">
        <f ca="1">Bonds!CC124</f>
        <v>0</v>
      </c>
      <c r="AD19" s="851">
        <f ca="1">Bonds!CD124</f>
        <v>0</v>
      </c>
      <c r="AE19" s="851">
        <f ca="1">Bonds!CE124</f>
        <v>0</v>
      </c>
      <c r="AF19" s="852">
        <f ca="1">Bonds!CF124</f>
        <v>0</v>
      </c>
    </row>
    <row r="20" spans="1:32" x14ac:dyDescent="0.25">
      <c r="P20" s="838" t="str">
        <f>Bonds!BP125</f>
        <v>Motor Vehicle Production</v>
      </c>
      <c r="Q20" s="839">
        <f ca="1">Bonds!BQ125</f>
        <v>596426.66666666663</v>
      </c>
      <c r="R20" s="840">
        <f ca="1">Bonds!BR125</f>
        <v>8.314282100955318E-3</v>
      </c>
      <c r="T20" s="44" t="str">
        <f>Bonds!BT125</f>
        <v>Switzerland</v>
      </c>
      <c r="U20" s="819">
        <f ca="1">Bonds!BU125</f>
        <v>1046267.2222222222</v>
      </c>
      <c r="V20" s="844">
        <f ca="1">Bonds!BV125</f>
        <v>1.4585130619922752E-2</v>
      </c>
      <c r="X20" s="44" t="str">
        <f>Bonds!BX125</f>
        <v>Switzerland</v>
      </c>
      <c r="Y20" s="851">
        <f ca="1">Bonds!BY125</f>
        <v>0</v>
      </c>
      <c r="Z20" s="851">
        <f ca="1">Bonds!BZ125</f>
        <v>1.4585130619922752E-2</v>
      </c>
      <c r="AA20" s="851">
        <f ca="1">Bonds!CA125</f>
        <v>0</v>
      </c>
      <c r="AB20" s="851">
        <f ca="1">Bonds!CB125</f>
        <v>0</v>
      </c>
      <c r="AC20" s="851">
        <f ca="1">Bonds!CC125</f>
        <v>0</v>
      </c>
      <c r="AD20" s="851">
        <f ca="1">Bonds!CD125</f>
        <v>0</v>
      </c>
      <c r="AE20" s="851">
        <f ca="1">Bonds!CE125</f>
        <v>0</v>
      </c>
      <c r="AF20" s="852">
        <f ca="1">Bonds!CF125</f>
        <v>0</v>
      </c>
    </row>
    <row r="21" spans="1:32" x14ac:dyDescent="0.25">
      <c r="P21" s="838" t="str">
        <f>Bonds!BP126</f>
        <v>Leasing and Rental</v>
      </c>
      <c r="Q21" s="839">
        <f ca="1">Bonds!BQ126</f>
        <v>566155.56828000001</v>
      </c>
      <c r="R21" s="840">
        <f ca="1">Bonds!BR126</f>
        <v>7.8922981999015093E-3</v>
      </c>
      <c r="T21" s="44" t="str">
        <f>Bonds!BT126</f>
        <v>Panama</v>
      </c>
      <c r="U21" s="819">
        <f ca="1">Bonds!BU126</f>
        <v>846983.08888888883</v>
      </c>
      <c r="V21" s="844">
        <f ca="1">Bonds!BV126</f>
        <v>1.1807078270188122E-2</v>
      </c>
      <c r="X21" s="44" t="str">
        <f>Bonds!BX126</f>
        <v>Panama</v>
      </c>
      <c r="Y21" s="851">
        <f ca="1">Bonds!BY126</f>
        <v>1.1807078270188122E-2</v>
      </c>
      <c r="Z21" s="851">
        <f ca="1">Bonds!BZ126</f>
        <v>0</v>
      </c>
      <c r="AA21" s="851">
        <f ca="1">Bonds!CA126</f>
        <v>0</v>
      </c>
      <c r="AB21" s="851">
        <f ca="1">Bonds!CB126</f>
        <v>0</v>
      </c>
      <c r="AC21" s="851">
        <f ca="1">Bonds!CC126</f>
        <v>0</v>
      </c>
      <c r="AD21" s="851">
        <f ca="1">Bonds!CD126</f>
        <v>0</v>
      </c>
      <c r="AE21" s="851">
        <f ca="1">Bonds!CE126</f>
        <v>0</v>
      </c>
      <c r="AF21" s="852">
        <f ca="1">Bonds!CF126</f>
        <v>0</v>
      </c>
    </row>
    <row r="22" spans="1:32" x14ac:dyDescent="0.25">
      <c r="P22" s="838" t="str">
        <f>Bonds!BP127</f>
        <v>Energy</v>
      </c>
      <c r="Q22" s="839">
        <f ca="1">Bonds!BQ127</f>
        <v>601618.33333333337</v>
      </c>
      <c r="R22" s="840">
        <f ca="1">Bonds!BR127</f>
        <v>8.386654755722811E-3</v>
      </c>
      <c r="T22" s="44" t="str">
        <f>Bonds!BT127</f>
        <v>Italy</v>
      </c>
      <c r="U22" s="819">
        <f ca="1">Bonds!BU127</f>
        <v>542380.34100000001</v>
      </c>
      <c r="V22" s="844">
        <f ca="1">Bonds!BV127</f>
        <v>7.560867769862192E-3</v>
      </c>
      <c r="X22" s="44" t="str">
        <f>Bonds!BX127</f>
        <v>Italy</v>
      </c>
      <c r="Y22" s="851">
        <f ca="1">Bonds!BY127</f>
        <v>0</v>
      </c>
      <c r="Z22" s="851">
        <f ca="1">Bonds!BZ127</f>
        <v>0</v>
      </c>
      <c r="AA22" s="851">
        <f ca="1">Bonds!CA127</f>
        <v>0</v>
      </c>
      <c r="AB22" s="851">
        <f ca="1">Bonds!CB127</f>
        <v>0</v>
      </c>
      <c r="AC22" s="851">
        <f ca="1">Bonds!CC127</f>
        <v>7.560867769862192E-3</v>
      </c>
      <c r="AD22" s="851">
        <f ca="1">Bonds!CD127</f>
        <v>0</v>
      </c>
      <c r="AE22" s="851">
        <f ca="1">Bonds!CE127</f>
        <v>0</v>
      </c>
      <c r="AF22" s="852">
        <f ca="1">Bonds!CF127</f>
        <v>0</v>
      </c>
    </row>
    <row r="23" spans="1:32" x14ac:dyDescent="0.25">
      <c r="P23" s="838" t="str">
        <f>Bonds!BP128</f>
        <v>Fertilizers</v>
      </c>
      <c r="Q23" s="839">
        <f ca="1">Bonds!BQ128</f>
        <v>440108.73853591166</v>
      </c>
      <c r="R23" s="840">
        <f ca="1">Bonds!BR128</f>
        <v>6.1351854499292801E-3</v>
      </c>
      <c r="T23" s="44" t="str">
        <f>Bonds!BT128</f>
        <v>Denmark</v>
      </c>
      <c r="U23" s="819">
        <f ca="1">Bonds!BU128</f>
        <v>488298.85699999996</v>
      </c>
      <c r="V23" s="844">
        <f ca="1">Bonds!BV128</f>
        <v>6.8069633260395904E-3</v>
      </c>
      <c r="X23" s="44" t="str">
        <f>Bonds!BX128</f>
        <v>Denmark</v>
      </c>
      <c r="Y23" s="851">
        <f ca="1">Bonds!BY128</f>
        <v>0</v>
      </c>
      <c r="Z23" s="851">
        <f ca="1">Bonds!BZ128</f>
        <v>0</v>
      </c>
      <c r="AA23" s="851">
        <f ca="1">Bonds!CA128</f>
        <v>0</v>
      </c>
      <c r="AB23" s="851">
        <f ca="1">Bonds!CB128</f>
        <v>0</v>
      </c>
      <c r="AC23" s="851">
        <f ca="1">Bonds!CC128</f>
        <v>6.8069633260395904E-3</v>
      </c>
      <c r="AD23" s="851">
        <f ca="1">Bonds!CD128</f>
        <v>0</v>
      </c>
      <c r="AE23" s="851">
        <f ca="1">Bonds!CE128</f>
        <v>0</v>
      </c>
      <c r="AF23" s="852">
        <f ca="1">Bonds!CF128</f>
        <v>0</v>
      </c>
    </row>
    <row r="24" spans="1:32" x14ac:dyDescent="0.25">
      <c r="P24" s="838" t="str">
        <f>Bonds!BP129</f>
        <v>Mining: Other</v>
      </c>
      <c r="Q24" s="839">
        <f ca="1">Bonds!BQ129</f>
        <v>418186.66666666674</v>
      </c>
      <c r="R24" s="840">
        <f ca="1">Bonds!BR129</f>
        <v>5.8295882995252311E-3</v>
      </c>
      <c r="T24" s="44" t="str">
        <f>Bonds!BT129</f>
        <v>Hungary</v>
      </c>
      <c r="U24" s="819">
        <f ca="1">Bonds!BU129</f>
        <v>440108.73853591166</v>
      </c>
      <c r="V24" s="844">
        <f ca="1">Bonds!BV129</f>
        <v>6.1351854499292792E-3</v>
      </c>
      <c r="X24" s="44" t="str">
        <f>Bonds!BX129</f>
        <v>Hungary</v>
      </c>
      <c r="Y24" s="851">
        <f ca="1">Bonds!BY129</f>
        <v>0</v>
      </c>
      <c r="Z24" s="851">
        <f ca="1">Bonds!BZ129</f>
        <v>0</v>
      </c>
      <c r="AA24" s="851">
        <f ca="1">Bonds!CA129</f>
        <v>0</v>
      </c>
      <c r="AB24" s="851">
        <f ca="1">Bonds!CB129</f>
        <v>0</v>
      </c>
      <c r="AC24" s="851">
        <f ca="1">Bonds!CC129</f>
        <v>0</v>
      </c>
      <c r="AD24" s="851">
        <f ca="1">Bonds!CD129</f>
        <v>0</v>
      </c>
      <c r="AE24" s="851">
        <f ca="1">Bonds!CE129</f>
        <v>0</v>
      </c>
      <c r="AF24" s="852">
        <f ca="1">Bonds!CF129</f>
        <v>6.1351854499292792E-3</v>
      </c>
    </row>
    <row r="25" spans="1:32" x14ac:dyDescent="0.25">
      <c r="P25" s="838" t="str">
        <f>Bonds!BP130</f>
        <v>Technology</v>
      </c>
      <c r="Q25" s="839">
        <f ca="1">Bonds!BQ130</f>
        <v>801208.72222222225</v>
      </c>
      <c r="R25" s="840">
        <f ca="1">Bonds!BR130</f>
        <v>1.116897635635815E-2</v>
      </c>
      <c r="T25" s="44" t="str">
        <f>Bonds!BT130</f>
        <v>Canada</v>
      </c>
      <c r="U25" s="819">
        <f ca="1">Bonds!BU130</f>
        <v>218691.11111111107</v>
      </c>
      <c r="V25" s="844">
        <f ca="1">Bonds!BV130</f>
        <v>3.0485886905612441E-3</v>
      </c>
      <c r="X25" s="44" t="str">
        <f>Bonds!BX130</f>
        <v>Canada</v>
      </c>
      <c r="Y25" s="851">
        <f ca="1">Bonds!BY130</f>
        <v>0</v>
      </c>
      <c r="Z25" s="851">
        <f ca="1">Bonds!BZ130</f>
        <v>0</v>
      </c>
      <c r="AA25" s="851">
        <f ca="1">Bonds!CA130</f>
        <v>3.0485886905612441E-3</v>
      </c>
      <c r="AB25" s="851">
        <f ca="1">Bonds!CB130</f>
        <v>0</v>
      </c>
      <c r="AC25" s="851">
        <f ca="1">Bonds!CC130</f>
        <v>0</v>
      </c>
      <c r="AD25" s="851">
        <f ca="1">Bonds!CD130</f>
        <v>0</v>
      </c>
      <c r="AE25" s="851">
        <f ca="1">Bonds!CE130</f>
        <v>0</v>
      </c>
      <c r="AF25" s="852">
        <f ca="1">Bonds!CF130</f>
        <v>0</v>
      </c>
    </row>
    <row r="26" spans="1:32" x14ac:dyDescent="0.25">
      <c r="P26" s="838" t="str">
        <f>Bonds!BP131</f>
        <v>Semiconductors</v>
      </c>
      <c r="Q26" s="839">
        <f ca="1">Bonds!BQ131</f>
        <v>356980</v>
      </c>
      <c r="R26" s="840">
        <f ca="1">Bonds!BR131</f>
        <v>4.9763576819710099E-3</v>
      </c>
      <c r="T26" s="44" t="str">
        <f>Bonds!BT131</f>
        <v>Indonesia</v>
      </c>
      <c r="U26" s="819">
        <f ca="1">Bonds!BU131</f>
        <v>418186.66666666674</v>
      </c>
      <c r="V26" s="844">
        <f ca="1">Bonds!BV131</f>
        <v>5.8295882995252303E-3</v>
      </c>
      <c r="X26" s="44" t="str">
        <f>Bonds!BX131</f>
        <v>Indonesia</v>
      </c>
      <c r="Y26" s="851">
        <f ca="1">Bonds!BY131</f>
        <v>0</v>
      </c>
      <c r="Z26" s="851">
        <f ca="1">Bonds!BZ131</f>
        <v>0</v>
      </c>
      <c r="AA26" s="851">
        <f ca="1">Bonds!CA131</f>
        <v>0</v>
      </c>
      <c r="AB26" s="851">
        <f ca="1">Bonds!CB131</f>
        <v>0</v>
      </c>
      <c r="AC26" s="851">
        <f ca="1">Bonds!CC131</f>
        <v>0</v>
      </c>
      <c r="AD26" s="851">
        <f ca="1">Bonds!CD131</f>
        <v>0</v>
      </c>
      <c r="AE26" s="851">
        <f ca="1">Bonds!CE131</f>
        <v>0</v>
      </c>
      <c r="AF26" s="852">
        <f ca="1">Bonds!CF131</f>
        <v>5.8295882995252303E-3</v>
      </c>
    </row>
    <row r="27" spans="1:32" x14ac:dyDescent="0.25">
      <c r="A27" s="834"/>
      <c r="B27" s="855"/>
      <c r="C27" s="855"/>
      <c r="D27" s="855"/>
      <c r="E27" s="864"/>
      <c r="F27" s="864"/>
      <c r="G27" s="864"/>
      <c r="H27" s="864"/>
      <c r="I27" s="864"/>
      <c r="J27" s="864"/>
      <c r="P27" s="841" t="str">
        <f>Bonds!BP132</f>
        <v>Utilities</v>
      </c>
      <c r="Q27" s="842">
        <f ca="1">Bonds!BQ132</f>
        <v>284069.88974999997</v>
      </c>
      <c r="R27" s="843">
        <f ca="1">Bonds!BR132</f>
        <v>3.9599792091267582E-3</v>
      </c>
      <c r="T27" s="845" t="str">
        <f>Bonds!BT132</f>
        <v>Australia</v>
      </c>
      <c r="U27" s="846">
        <f ca="1">Bonds!BU132</f>
        <v>386256.66666666669</v>
      </c>
      <c r="V27" s="847">
        <f ca="1">Bonds!BV132</f>
        <v>5.3844790475073732E-3</v>
      </c>
      <c r="X27" s="845" t="str">
        <f>Bonds!BX132</f>
        <v>Australia</v>
      </c>
      <c r="Y27" s="853">
        <f ca="1">Bonds!BY132</f>
        <v>0</v>
      </c>
      <c r="Z27" s="853">
        <f ca="1">Bonds!BZ132</f>
        <v>0</v>
      </c>
      <c r="AA27" s="853">
        <f ca="1">Bonds!CA132</f>
        <v>5.3844790475073732E-3</v>
      </c>
      <c r="AB27" s="853">
        <f ca="1">Bonds!CB132</f>
        <v>0</v>
      </c>
      <c r="AC27" s="853">
        <f ca="1">Bonds!CC132</f>
        <v>0</v>
      </c>
      <c r="AD27" s="853">
        <f ca="1">Bonds!CD132</f>
        <v>0</v>
      </c>
      <c r="AE27" s="853">
        <f ca="1">Bonds!CE132</f>
        <v>0</v>
      </c>
      <c r="AF27" s="854">
        <f ca="1">Bonds!CF132</f>
        <v>0</v>
      </c>
    </row>
    <row r="33" spans="1:32" s="834" customFormat="1" ht="45" x14ac:dyDescent="0.25">
      <c r="A33"/>
      <c r="B33" s="814"/>
      <c r="C33" s="814"/>
      <c r="D33" s="814"/>
      <c r="E33" s="863"/>
      <c r="F33" s="863"/>
      <c r="G33" s="863"/>
      <c r="H33" s="863"/>
      <c r="I33" s="863"/>
      <c r="J33" s="863"/>
      <c r="T33" s="835" t="str">
        <f>Bonds!BT138</f>
        <v>Market</v>
      </c>
      <c r="U33" s="836" t="str">
        <f>Bonds!BU138</f>
        <v>Market Value</v>
      </c>
      <c r="V33" s="837" t="str">
        <f>Bonds!BV138</f>
        <v>%</v>
      </c>
      <c r="W33"/>
      <c r="X33" s="835" t="str">
        <f>Bonds!BX138</f>
        <v>Market</v>
      </c>
      <c r="Y33" s="836" t="str">
        <f>Bonds!BY138</f>
        <v>Government</v>
      </c>
      <c r="Z33" s="836" t="str">
        <f>Bonds!BZ138</f>
        <v>AT1</v>
      </c>
      <c r="AA33" s="836" t="str">
        <f>Bonds!CA138</f>
        <v>Oil and Gas Extraction and Refining</v>
      </c>
      <c r="AB33" s="836" t="str">
        <f>Bonds!CB138</f>
        <v>Banks</v>
      </c>
      <c r="AC33" s="836" t="str">
        <f>Bonds!CC138</f>
        <v>Power</v>
      </c>
      <c r="AD33" s="836" t="str">
        <f>Bonds!CD138</f>
        <v>Chemical and petrochemical industry</v>
      </c>
      <c r="AE33" s="836" t="str">
        <f>Bonds!CE138</f>
        <v>Non-ferrous metals</v>
      </c>
      <c r="AF33" s="850" t="str">
        <f>Bonds!CF138</f>
        <v>Other</v>
      </c>
    </row>
    <row r="34" spans="1:32" x14ac:dyDescent="0.25">
      <c r="T34" s="44" t="str">
        <f>Bonds!BT139</f>
        <v>Developed</v>
      </c>
      <c r="U34" s="819">
        <f ca="1">Bonds!BU139</f>
        <v>34591047.624013335</v>
      </c>
      <c r="V34" s="848">
        <f ca="1">Bonds!BV139</f>
        <v>0.48220467693199565</v>
      </c>
      <c r="X34" s="44" t="str">
        <f>Bonds!BX139</f>
        <v>Emerging Markets</v>
      </c>
      <c r="Y34" s="851">
        <f ca="1">Bonds!BY139</f>
        <v>0.18277718290568934</v>
      </c>
      <c r="Z34" s="851">
        <f ca="1">Bonds!BZ139</f>
        <v>0</v>
      </c>
      <c r="AA34" s="851">
        <f ca="1">Bonds!CA139</f>
        <v>9.3350388109389504E-2</v>
      </c>
      <c r="AB34" s="851">
        <f ca="1">Bonds!CB139</f>
        <v>0</v>
      </c>
      <c r="AC34" s="851">
        <f ca="1">Bonds!CC139</f>
        <v>1.6637345882027699E-2</v>
      </c>
      <c r="AD34" s="851">
        <f ca="1">Bonds!CD139</f>
        <v>9.828709912027939E-3</v>
      </c>
      <c r="AE34" s="851">
        <f ca="1">Bonds!CE139</f>
        <v>5.1974068573226902E-2</v>
      </c>
      <c r="AF34" s="852">
        <f ca="1">Bonds!CF139</f>
        <v>0.12763698154963427</v>
      </c>
    </row>
    <row r="35" spans="1:32" x14ac:dyDescent="0.25">
      <c r="T35" s="44" t="str">
        <f>Bonds!BT140</f>
        <v>Emerging Markets</v>
      </c>
      <c r="U35" s="819">
        <f ca="1">Bonds!BU140</f>
        <v>32961414.264974892</v>
      </c>
      <c r="V35" s="848">
        <f ca="1">Bonds!BV140</f>
        <v>0.45948733006369158</v>
      </c>
      <c r="X35" s="44" t="str">
        <f>Bonds!BX140</f>
        <v>Developed</v>
      </c>
      <c r="Y35" s="851">
        <f ca="1">Bonds!BY140</f>
        <v>3.355995413952343E-2</v>
      </c>
      <c r="Z35" s="851">
        <f ca="1">Bonds!BZ140</f>
        <v>0.14893977369030945</v>
      </c>
      <c r="AA35" s="851">
        <f ca="1">Bonds!CA140</f>
        <v>1.7133608389749314E-2</v>
      </c>
      <c r="AB35" s="851">
        <f ca="1">Bonds!CB140</f>
        <v>0.12200084251495877</v>
      </c>
      <c r="AC35" s="851">
        <f ca="1">Bonds!CC140</f>
        <v>3.8320620666461885E-2</v>
      </c>
      <c r="AD35" s="851">
        <f ca="1">Bonds!CD140</f>
        <v>1.9979691809418627E-2</v>
      </c>
      <c r="AE35" s="851">
        <f ca="1">Bonds!CE140</f>
        <v>0</v>
      </c>
      <c r="AF35" s="852">
        <f ca="1">Bonds!CF140</f>
        <v>7.9552838853270136E-2</v>
      </c>
    </row>
    <row r="36" spans="1:32" x14ac:dyDescent="0.25">
      <c r="T36" s="845" t="str">
        <f>Bonds!BT141</f>
        <v>Frontier Markets</v>
      </c>
      <c r="U36" s="846">
        <f ca="1">Bonds!BU141</f>
        <v>4182735.3805555552</v>
      </c>
      <c r="V36" s="849">
        <f ca="1">Bonds!BV141</f>
        <v>5.8307993004312768E-2</v>
      </c>
      <c r="X36" s="845" t="str">
        <f>Bonds!BX141</f>
        <v>Frontier Markets</v>
      </c>
      <c r="Y36" s="853">
        <f ca="1">Bonds!BY141</f>
        <v>1.1807078270188124E-2</v>
      </c>
      <c r="Z36" s="853">
        <f ca="1">Bonds!BZ141</f>
        <v>0</v>
      </c>
      <c r="AA36" s="853">
        <f ca="1">Bonds!CA141</f>
        <v>1.9423737273133193E-2</v>
      </c>
      <c r="AB36" s="853">
        <f ca="1">Bonds!CB141</f>
        <v>0</v>
      </c>
      <c r="AC36" s="853">
        <f ca="1">Bonds!CC141</f>
        <v>0</v>
      </c>
      <c r="AD36" s="853">
        <f ca="1">Bonds!CD141</f>
        <v>2.7077177460991454E-2</v>
      </c>
      <c r="AE36" s="853">
        <f ca="1">Bonds!CE141</f>
        <v>0</v>
      </c>
      <c r="AF36" s="854">
        <f ca="1">Bonds!CF141</f>
        <v>0</v>
      </c>
    </row>
    <row r="38" spans="1:32" x14ac:dyDescent="0.25">
      <c r="T38" s="835" t="str">
        <f>Bonds!BT143</f>
        <v>Market</v>
      </c>
      <c r="U38" s="836" t="str">
        <f>Bonds!BU143</f>
        <v>Market Value</v>
      </c>
      <c r="V38" s="837" t="str">
        <f>Bonds!BV143</f>
        <v>%</v>
      </c>
    </row>
    <row r="39" spans="1:32" x14ac:dyDescent="0.25">
      <c r="T39" s="44" t="str">
        <f>Bonds!BT144</f>
        <v>USA</v>
      </c>
      <c r="U39" s="822">
        <f ca="1">Bonds!BU144</f>
        <v>7734545.9543911107</v>
      </c>
      <c r="V39" s="848">
        <f ca="1">Bonds!BV144</f>
        <v>0.10782079437697349</v>
      </c>
    </row>
    <row r="40" spans="1:32" x14ac:dyDescent="0.25">
      <c r="T40" s="44" t="str">
        <f>Bonds!BT145</f>
        <v>United Kingdom</v>
      </c>
      <c r="U40" s="822">
        <f ca="1">Bonds!BU145</f>
        <v>6054139.8516083341</v>
      </c>
      <c r="V40" s="848">
        <f ca="1">Bonds!BV145</f>
        <v>8.4395667427525245E-2</v>
      </c>
    </row>
    <row r="41" spans="1:32" x14ac:dyDescent="0.25">
      <c r="T41" s="44" t="str">
        <f>Bonds!BT146</f>
        <v>Europe</v>
      </c>
      <c r="U41" s="822">
        <f ca="1">Bonds!BU146</f>
        <v>12732695.125642115</v>
      </c>
      <c r="V41" s="848">
        <f ca="1">Bonds!BV146</f>
        <v>0.17749578463971083</v>
      </c>
    </row>
    <row r="42" spans="1:32" x14ac:dyDescent="0.25">
      <c r="T42" s="44" t="str">
        <f>Bonds!BT147</f>
        <v>Japan</v>
      </c>
      <c r="U42" s="822">
        <f ca="1">Bonds!BU147</f>
        <v>2656651.111111111</v>
      </c>
      <c r="V42" s="848">
        <f ca="1">Bonds!BV147</f>
        <v>3.7034136828658734E-2</v>
      </c>
    </row>
    <row r="43" spans="1:32" x14ac:dyDescent="0.25">
      <c r="T43" s="44" t="str">
        <f>Bonds!BT148</f>
        <v>Israel</v>
      </c>
      <c r="U43" s="822">
        <f ca="1">Bonds!BU148</f>
        <v>3178434.444444444</v>
      </c>
      <c r="V43" s="848">
        <f ca="1">Bonds!BV148</f>
        <v>4.4307879052754684E-2</v>
      </c>
    </row>
    <row r="44" spans="1:32" x14ac:dyDescent="0.25">
      <c r="T44" s="845" t="str">
        <f>Bonds!BT149</f>
        <v>Other DM</v>
      </c>
      <c r="U44" s="824">
        <f ca="1">Bonds!BU149</f>
        <v>604947.77777777775</v>
      </c>
      <c r="V44" s="849">
        <f ca="1">Bonds!BV149</f>
        <v>8.4330677380686191E-3</v>
      </c>
    </row>
    <row r="45" spans="1:32" x14ac:dyDescent="0.25">
      <c r="T45" s="44" t="str">
        <f>Bonds!BT150</f>
        <v>Brazil</v>
      </c>
      <c r="U45" s="822">
        <f ca="1">Bonds!BU150</f>
        <v>8799972.7941222228</v>
      </c>
      <c r="V45" s="848">
        <f ca="1">Bonds!BV150</f>
        <v>0.12267301309643681</v>
      </c>
    </row>
    <row r="46" spans="1:32" x14ac:dyDescent="0.25">
      <c r="T46" s="44" t="str">
        <f>Bonds!BT151</f>
        <v>Mexico</v>
      </c>
      <c r="U46" s="822">
        <f ca="1">Bonds!BU151</f>
        <v>6454864.8842044193</v>
      </c>
      <c r="V46" s="848">
        <f ca="1">Bonds!BV151</f>
        <v>8.9981837785297697E-2</v>
      </c>
    </row>
    <row r="47" spans="1:32" x14ac:dyDescent="0.25">
      <c r="T47" s="44" t="str">
        <f>Bonds!BT152</f>
        <v>Turkey</v>
      </c>
      <c r="U47" s="822">
        <f ca="1">Bonds!BU152</f>
        <v>4337997.083333333</v>
      </c>
      <c r="V47" s="848">
        <f ca="1">Bonds!BV152</f>
        <v>6.047236570680057E-2</v>
      </c>
    </row>
    <row r="48" spans="1:32" x14ac:dyDescent="0.25">
      <c r="T48" s="44" t="str">
        <f>Bonds!BT153</f>
        <v>India</v>
      </c>
      <c r="U48" s="822">
        <f ca="1">Bonds!BU153</f>
        <v>3817299.5064456724</v>
      </c>
      <c r="V48" s="848">
        <f ca="1">Bonds!BV153</f>
        <v>5.3213759099347488E-2</v>
      </c>
    </row>
    <row r="49" spans="20:22" x14ac:dyDescent="0.25">
      <c r="T49" s="44" t="str">
        <f>Bonds!BT154</f>
        <v>Colombia</v>
      </c>
      <c r="U49" s="822">
        <f ca="1">Bonds!BU154</f>
        <v>3641957.5</v>
      </c>
      <c r="V49" s="848">
        <f ca="1">Bonds!BV154</f>
        <v>5.0769463786590099E-2</v>
      </c>
    </row>
    <row r="50" spans="20:22" x14ac:dyDescent="0.25">
      <c r="T50" s="845" t="str">
        <f>Bonds!BT155</f>
        <v>Other EM</v>
      </c>
      <c r="U50" s="824">
        <f ca="1">Bonds!BU155</f>
        <v>7538955.8559076861</v>
      </c>
      <c r="V50" s="849">
        <f ca="1">Bonds!BV155</f>
        <v>0.10509423745752294</v>
      </c>
    </row>
    <row r="51" spans="20:22" x14ac:dyDescent="0.25">
      <c r="T51" s="845" t="str">
        <f>Bonds!BT156</f>
        <v>Frontier Markets</v>
      </c>
      <c r="U51" s="824">
        <f ca="1">Bonds!BU156</f>
        <v>4182735.3805555552</v>
      </c>
      <c r="V51" s="849">
        <f ca="1">Bonds!BV156</f>
        <v>5.8307993004312768E-2</v>
      </c>
    </row>
  </sheetData>
  <conditionalFormatting sqref="E3:G12">
    <cfRule type="cellIs" dxfId="19" priority="1570" operator="notEqual">
      <formula>0</formula>
    </cfRule>
    <cfRule type="cellIs" dxfId="18" priority="1571" operator="equal">
      <formula>0</formula>
    </cfRule>
    <cfRule type="colorScale" priority="1572">
      <colorScale>
        <cfvo type="min"/>
        <cfvo type="max"/>
        <color rgb="FFFCFCFF"/>
        <color rgb="FF63BE7B"/>
      </colorScale>
    </cfRule>
  </conditionalFormatting>
  <conditionalFormatting sqref="E14:G14">
    <cfRule type="colorScale" priority="1">
      <colorScale>
        <cfvo type="min"/>
        <cfvo type="max"/>
        <color rgb="FFFCFCFF"/>
        <color rgb="FF63BE7B"/>
      </colorScale>
    </cfRule>
  </conditionalFormatting>
  <conditionalFormatting sqref="P2">
    <cfRule type="iconSet" priority="17">
      <iconSet iconSet="3Arrows">
        <cfvo type="percent" val="0"/>
        <cfvo type="percent" val="33"/>
        <cfvo type="percent" val="67"/>
      </iconSet>
    </cfRule>
  </conditionalFormatting>
  <conditionalFormatting sqref="T2">
    <cfRule type="iconSet" priority="16">
      <iconSet iconSet="3Arrows">
        <cfvo type="percent" val="0"/>
        <cfvo type="percent" val="33"/>
        <cfvo type="percent" val="67"/>
      </iconSet>
    </cfRule>
  </conditionalFormatting>
  <conditionalFormatting sqref="T33">
    <cfRule type="iconSet" priority="11">
      <iconSet iconSet="3Arrows">
        <cfvo type="percent" val="0"/>
        <cfvo type="percent" val="33"/>
        <cfvo type="percent" val="67"/>
      </iconSet>
    </cfRule>
  </conditionalFormatting>
  <conditionalFormatting sqref="T38">
    <cfRule type="iconSet" priority="6">
      <iconSet iconSet="3Arrows">
        <cfvo type="percent" val="0"/>
        <cfvo type="percent" val="33"/>
        <cfvo type="percent" val="67"/>
      </iconSet>
    </cfRule>
  </conditionalFormatting>
  <conditionalFormatting sqref="X2">
    <cfRule type="iconSet" priority="12">
      <iconSet iconSet="3Arrows">
        <cfvo type="percent" val="0"/>
        <cfvo type="percent" val="33"/>
        <cfvo type="percent" val="67"/>
      </iconSet>
    </cfRule>
  </conditionalFormatting>
  <conditionalFormatting sqref="X33">
    <cfRule type="iconSet" priority="10">
      <iconSet iconSet="3Arrows">
        <cfvo type="percent" val="0"/>
        <cfvo type="percent" val="33"/>
        <cfvo type="percent" val="67"/>
      </iconSet>
    </cfRule>
  </conditionalFormatting>
  <conditionalFormatting sqref="Y3:AF27">
    <cfRule type="cellIs" dxfId="17" priority="13" operator="notEqual">
      <formula>0</formula>
    </cfRule>
    <cfRule type="cellIs" dxfId="16" priority="14" operator="equal">
      <formula>0</formula>
    </cfRule>
    <cfRule type="colorScale" priority="15">
      <colorScale>
        <cfvo type="min"/>
        <cfvo type="max"/>
        <color rgb="FFFCFCFF"/>
        <color rgb="FF63BE7B"/>
      </colorScale>
    </cfRule>
  </conditionalFormatting>
  <conditionalFormatting sqref="Y34:AF36">
    <cfRule type="cellIs" dxfId="15" priority="7" operator="notEqual">
      <formula>0</formula>
    </cfRule>
    <cfRule type="cellIs" dxfId="14" priority="8" operator="equal">
      <formula>0</formula>
    </cfRule>
    <cfRule type="colorScale" priority="9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9" tint="0.79998168889431442"/>
  </sheetPr>
  <dimension ref="B1:AA73"/>
  <sheetViews>
    <sheetView showGridLines="0" topLeftCell="A3" zoomScale="80" zoomScaleNormal="80" workbookViewId="0">
      <selection activeCell="I16" sqref="I16"/>
    </sheetView>
  </sheetViews>
  <sheetFormatPr defaultColWidth="9.140625" defaultRowHeight="15" x14ac:dyDescent="0.25"/>
  <cols>
    <col min="1" max="1" width="3.5703125" style="118" customWidth="1"/>
    <col min="2" max="2" width="14" style="118" customWidth="1"/>
    <col min="3" max="3" width="17.140625" style="118" customWidth="1"/>
    <col min="4" max="4" width="18.42578125" style="118" bestFit="1" customWidth="1"/>
    <col min="5" max="5" width="22" style="118" customWidth="1"/>
    <col min="6" max="6" width="25.28515625" style="118" customWidth="1"/>
    <col min="7" max="7" width="22" style="118" bestFit="1" customWidth="1"/>
    <col min="8" max="8" width="24" style="118" customWidth="1"/>
    <col min="9" max="9" width="26" style="118" bestFit="1" customWidth="1"/>
    <col min="10" max="10" width="15.85546875" style="118" bestFit="1" customWidth="1"/>
    <col min="11" max="11" width="6.140625" style="118" customWidth="1"/>
    <col min="12" max="12" width="9.140625" style="118"/>
    <col min="13" max="13" width="9" style="118" customWidth="1"/>
    <col min="14" max="14" width="9.140625" style="134"/>
    <col min="15" max="16" width="9.140625" style="118"/>
    <col min="17" max="17" width="8.42578125" style="118" customWidth="1"/>
    <col min="18" max="18" width="5.7109375" style="118" customWidth="1"/>
    <col min="19" max="19" width="12.85546875" style="118" customWidth="1"/>
    <col min="20" max="20" width="22.42578125" style="118" customWidth="1"/>
    <col min="21" max="21" width="21.140625" style="118" customWidth="1"/>
    <col min="22" max="23" width="20" style="118" bestFit="1" customWidth="1"/>
    <col min="24" max="24" width="20" style="118" customWidth="1"/>
    <col min="25" max="25" width="18" style="118" bestFit="1" customWidth="1"/>
    <col min="26" max="28" width="13.85546875" style="118" customWidth="1"/>
    <col min="29" max="30" width="9.140625" style="118"/>
    <col min="31" max="33" width="9.140625" style="118" customWidth="1"/>
    <col min="34" max="16384" width="9.140625" style="118"/>
  </cols>
  <sheetData>
    <row r="1" spans="2:25" x14ac:dyDescent="0.25">
      <c r="J1" s="621"/>
    </row>
    <row r="2" spans="2:25" ht="15.75" x14ac:dyDescent="0.25">
      <c r="B2" s="1036" t="s">
        <v>0</v>
      </c>
      <c r="C2" s="1037"/>
      <c r="D2" s="1037"/>
      <c r="E2" s="1037"/>
      <c r="F2" s="1037"/>
      <c r="G2" s="1037"/>
      <c r="H2" s="1037"/>
      <c r="I2" s="1038"/>
      <c r="J2" s="621"/>
      <c r="S2" s="1036" t="s">
        <v>2244</v>
      </c>
      <c r="T2" s="1037"/>
      <c r="U2" s="1037"/>
      <c r="V2" s="1037"/>
      <c r="W2" s="1037"/>
      <c r="X2" s="1037"/>
      <c r="Y2" s="1038"/>
    </row>
    <row r="3" spans="2:25" ht="15" customHeight="1" thickBot="1" x14ac:dyDescent="0.3">
      <c r="B3" s="42" t="s">
        <v>2</v>
      </c>
      <c r="C3" s="93" t="s">
        <v>3</v>
      </c>
      <c r="D3" s="805" t="s">
        <v>4</v>
      </c>
      <c r="E3" s="806" t="s">
        <v>5</v>
      </c>
      <c r="F3" s="193" t="s">
        <v>6</v>
      </c>
      <c r="G3" s="92" t="s">
        <v>7</v>
      </c>
      <c r="H3" s="42" t="s">
        <v>8</v>
      </c>
      <c r="I3" s="42" t="s">
        <v>9</v>
      </c>
      <c r="J3" s="627"/>
      <c r="S3" s="11" t="s">
        <v>11</v>
      </c>
      <c r="T3" s="11" t="s">
        <v>12</v>
      </c>
      <c r="U3" s="11" t="s">
        <v>13</v>
      </c>
      <c r="V3" s="11" t="s">
        <v>14</v>
      </c>
      <c r="W3" s="42" t="s">
        <v>15</v>
      </c>
      <c r="X3" s="42" t="s">
        <v>16</v>
      </c>
      <c r="Y3" s="42" t="s">
        <v>17</v>
      </c>
    </row>
    <row r="4" spans="2:25" ht="15.75" thickTop="1" x14ac:dyDescent="0.25">
      <c r="B4" s="388" t="s">
        <v>18</v>
      </c>
      <c r="C4" s="712" t="e">
        <f t="shared" ref="C4:C10" ca="1" si="0">I4/$I$11</f>
        <v>#VALUE!</v>
      </c>
      <c r="D4" s="800" t="str">
        <f>IFERROR((
SUMIFS(T_Bonds[Coupon in Loc.Curr],T_Bonds[Risk CCY],Results!$B4)+
SUMIFS(T_bETFs[Coupon in CCY],T_bETFs[Risk CCY],$B4)+
SUMIFS(T_deposits[Coupon in Loc.Curr],T_deposits[Risk CCY],$B4)+
SUMIFS(T_Eq[Dividend in Loc.Curr],T_Eq[Risk CCY],B4))/
(SUMIFS(T_Bonds[Quantity],T_Bonds[Risk CCY],$B4)+
SUMIFS(T_bETFs[Market Value, CCY],T_bETFs[Risk CCY],B4)+
SUMIFS(T_deposits[Quantity],T_deposits[Risk CCY],B4)+
SUMIFS(T_Eq[Market value, CCY],T_Eq[Risk CCY],B4)),"")</f>
        <v/>
      </c>
      <c r="E4" s="801" t="str">
        <f>IFERROR((SUMIFS(T_Bonds[Coupon in Loc.Curr],T_Bonds[Risk CCY],Results!$B4)+
SUMIFS(T_bETFs[Coupon in CCY],T_bETFs[Risk CCY],$B4)+
SUMIFS(T_deposits[Coupon in Loc.Curr],T_deposits[Risk CCY],$B4)+
SUMIFS(T_Eq[Dividend in Loc.Curr],T_Eq[Risk CCY],B4))/
(SUMIFS(T_Bonds[Cost value],T_Bonds[Risk CCY],$B4)+
SUMIFS(T_bETFs[Market Value, CCY],T_bETFs[Risk CCY],$B4)+
SUMIFS(T_deposits[Quantity],T_deposits[Risk CCY],$B4)+
SUMIFS(T_Eq[Market value, CCY],T_Eq[Risk CCY],B4)),"")</f>
        <v/>
      </c>
      <c r="F4" s="713" t="str">
        <f>IFERROR(
SUMIFS(T_Bonds[Coupon in Loc.Curr],T_Bonds[Risk CCY],Results!$B4)+
SUMIFS(T_bETFs[Coupon in CCY],T_bETFs[Risk CCY],$B4)+
SUMIFS(T_deposits[Coupon in Loc.Curr],T_deposits[Risk CCY],$B4)+
SUMIFS(T_Eq[Dividend in Loc.Curr],T_Eq[Risk CCY],B4)+
SUMIFS('Real Estate'!X:X,'Real Estate'!D:D,B4),"")</f>
        <v/>
      </c>
      <c r="G4" s="714" t="str">
        <f>IFERROR(
SUMIFS(T_Bonds[Coupon in USD],T_Bonds[Risk CCY],Results!$B4)+
SUMIFS(T_bETFs[Coupon in USD],T_bETFs[Risk CCY],$B4)+
SUMIFS(T_deposits[Coupon in USD],T_deposits[Risk CCY],$B4)+
SUMIFS(T_Eq[Dividend in USD],T_Eq[Risk CCY],B4)+
SUMIFS('Real Estate'!Y:Y,'Real Estate'!D:D,B4),"")</f>
        <v/>
      </c>
      <c r="H4" s="713" t="str">
        <f ca="1">IFERROR((SUMIFS(T_Bonds[Full MV in CCY],T_Bonds[Risk CCY],Results!$B4)+
SUMIFS(T_bETFs[Market value in CCY],T_bETFs[Risk CCY],$B4)+
SUMIFS(T_deposits[Market value in USD],T_deposits[Risk CCY],$B4)+
SUMIFS(T_Eq[Market value, CCY],T_Eq[Risk CCY],$B4)+
SUMIFS(T_AI[Market value in CCY],T_AI[Risk CCY],$B4)+
SUMIFS(Cash!F:F,Cash!E:E,$B4))+
SUMIFS('Real Estate'!$G:$G,'Real Estate'!$D:$D,B4)+
SUMIFS('JPM - DP (3R)'!$F:$F,'JPM - DP (3R)'!$C:$C,B4),"")</f>
        <v/>
      </c>
      <c r="I4" s="713" t="str">
        <f ca="1">IFERROR((SUMIFS(T_Bonds[Full MV in USD],T_Bonds[Risk CCY],Results!$B4)+
SUMIFS(T_bETFs[Market value in USD],T_bETFs[Risk CCY],$B4)+
SUMIFS(T_deposits[Market value in USD],T_deposits[Risk CCY],$B4)+
SUMIFS(T_Eq[Market value, USD],T_Eq[Risk CCY],$B4)+
SUMIFS(T_AI[Market value in USD],T_AI[Risk CCY],$B4)+
SUMIFS(Cash!H:H,Cash!E:E,$B4)+
SUMIFS('Real Estate'!$F:$F,'Real Estate'!$D:$D,B4)+
SUMIFS('JPM - DP (3R)'!$J:$J,'JPM - DP (3R)'!$C:$C,Results!B4)),"")</f>
        <v/>
      </c>
      <c r="J4" s="110"/>
      <c r="K4" s="153"/>
      <c r="S4" s="149" t="s">
        <v>18</v>
      </c>
      <c r="T4" s="344" cm="1">
        <f t="array" ref="T4">IFERROR(SUMPRODUCT(Loans!D:D,Loans!F:F,IF(Loans!C:C=LTV!F5,1,0))/SUMIFS(Loans!D:D,Loans!C:C,LTV!F5),0)</f>
        <v>4.4834337165348348E-2</v>
      </c>
      <c r="U4" s="155">
        <f>-SUMIFS(Loans!D:D,Loans!C:C,LTV!F5)</f>
        <v>210492.39</v>
      </c>
      <c r="V4" s="156">
        <f>-SUMIFS(Loans!G:G,Loans!C:C,LTV!F5)</f>
        <v>210492.39</v>
      </c>
      <c r="W4" s="151">
        <f>U4*T4</f>
        <v>9437.2867839999999</v>
      </c>
      <c r="X4" s="151">
        <f>INDEX('Tech list'!$A$2:$C$8,MATCH(S4,'Tech list'!$A$2:$A$8,0),3)*W4</f>
        <v>9437.2867839999999</v>
      </c>
      <c r="Y4" s="155" t="str">
        <f>Results!F4</f>
        <v/>
      </c>
    </row>
    <row r="5" spans="2:25" x14ac:dyDescent="0.25">
      <c r="B5" s="388" t="s">
        <v>19</v>
      </c>
      <c r="C5" s="712">
        <f t="shared" ca="1" si="0"/>
        <v>0.91907903525373824</v>
      </c>
      <c r="D5" s="800">
        <f>IFERROR((SUMIFS(T_Bonds[Coupon in Loc.Curr],T_Bonds[Risk CCY],Results!$B5)+SUMIFS(T_bETFs[Coupon in CCY],T_bETFs[Risk CCY],$B5)+SUMIFS(T_deposits[Coupon in Loc.Curr],T_deposits[Risk CCY],$B5)+SUMIFS(T_Eq[Dividend in Loc.Curr],T_Eq[Risk CCY],B5))/(SUMIFS(T_Bonds[Quantity],T_Bonds[Risk CCY],$B5)+SUMIFS(T_bETFs[Market Value, CCY],T_bETFs[Risk CCY],B5)+SUMIFS(T_deposits[Quantity],T_deposits[Risk CCY],B5)+SUMIFS(T_Eq[Market value, CCY],T_Eq[Risk CCY],B5)),"")</f>
        <v>6.3007407754383835E-2</v>
      </c>
      <c r="E5" s="801">
        <f>IFERROR((SUMIFS(T_Bonds[Coupon in Loc.Curr],T_Bonds[Risk CCY],Results!$B5)+SUMIFS(T_bETFs[Coupon in CCY],T_bETFs[Risk CCY],$B5)+SUMIFS(T_deposits[Coupon in Loc.Curr],T_deposits[Risk CCY],$B5)+SUMIFS(T_Eq[Dividend in Loc.Curr],T_Eq[Risk CCY],B5))/
(SUMIFS(T_Bonds[Cost value],T_Bonds[Risk CCY],$B5)+SUMIFS(T_bETFs[Market Value, CCY],T_bETFs[Risk CCY],$B5)+SUMIFS(T_deposits[Quantity],T_deposits[Risk CCY],$B5)+SUMIFS(T_Eq[Market value, CCY],T_Eq[Risk CCY],B5)),"")</f>
        <v>6.9515964025457566E-2</v>
      </c>
      <c r="F5" s="713">
        <f>IFERROR(
SUMIFS(T_Bonds[Coupon in Loc.Curr],T_Bonds[Risk CCY],Results!$B5)+
SUMIFS(T_bETFs[Coupon in CCY],T_bETFs[Risk CCY],$B5)+
SUMIFS(T_deposits[Coupon in Loc.Curr],T_deposits[Risk CCY],$B5)+
SUMIFS(T_Eq[Dividend in Loc.Curr],T_Eq[Risk CCY],B5)+
SUMIFS('Real Estate'!X:X,'Real Estate'!D:D,B5),"")</f>
        <v>1898227.5136116906</v>
      </c>
      <c r="G5" s="714">
        <f ca="1">IFERROR(
SUMIFS(T_Bonds[Coupon in USD],T_Bonds[Risk CCY],Results!$B5)+
SUMIFS(T_bETFs[Coupon in USD],T_bETFs[Risk CCY],$B5)+
SUMIFS(T_deposits[Coupon in USD],T_deposits[Risk CCY],$B5)+
SUMIFS(T_Eq[Dividend in USD],T_Eq[Risk CCY],B5)+
SUMIFS('Real Estate'!Y:Y,'Real Estate'!D:D,B5),"")</f>
        <v>2538689.4767042752</v>
      </c>
      <c r="H5" s="713">
        <f ca="1">IFERROR((SUMIFS(T_Bonds[Full MV in CCY],T_Bonds[Risk CCY],Results!$B5)+
SUMIFS(T_bETFs[Market value in CCY],T_bETFs[Risk CCY],$B5)+
SUMIFS(T_deposits[Market value in USD],T_deposits[Risk CCY],$B5)+
SUMIFS(T_Eq[Market value, CCY],T_Eq[Risk CCY],$B5)+
SUMIFS(T_AI[Market value in CCY],T_AI[Risk CCY],$B5)+
SUMIFS(Cash!F:F,Cash!E:E,$B5))+
SUMIFS('Real Estate'!$G:$G,'Real Estate'!$D:$D,B5)+
SUMIFS('JPM - DP (3R)'!$F:$F,'JPM - DP (3R)'!$C:$C,B5),"")</f>
        <v>37611396.613445833</v>
      </c>
      <c r="I5" s="713">
        <f ca="1">IFERROR((SUMIFS(T_Bonds[Full MV in USD],T_Bonds[Risk CCY],Results!$B5)+
SUMIFS(T_bETFs[Market value in USD],T_bETFs[Risk CCY],$B5)+
SUMIFS(T_deposits[Market value in USD],T_deposits[Risk CCY],$B5)+
SUMIFS(T_Eq[Market value, USD],T_Eq[Risk CCY],$B5)+
SUMIFS(T_AI[Market value in USD],T_AI[Risk CCY],$B5)+
SUMIFS(Cash!H:H,Cash!E:E,$B5)+
SUMIFS('Real Estate'!$F:$F,'Real Estate'!$D:$D,B5)+
SUMIFS('JPM - DP (3R)'!$J:$J,'JPM - DP (3R)'!$C:$C,Results!B5)),"")</f>
        <v>50301481.830822453</v>
      </c>
      <c r="J5" s="110"/>
      <c r="K5" s="157"/>
      <c r="S5" s="149" t="s">
        <v>19</v>
      </c>
      <c r="T5" s="344" cm="1">
        <f t="array" ref="T5">IFERROR(SUMPRODUCT(Loans!D:D,Loans!F:F,IF(Loans!C:C=LTV!F6,1,0))/SUMIFS(Loans!D:D,Loans!C:C,LTV!F6),0)</f>
        <v>4.357219084999138E-2</v>
      </c>
      <c r="U5" s="155">
        <f>-SUMIFS(Loans!D:D,Loans!C:C,LTV!F6)</f>
        <v>1707086.4800000002</v>
      </c>
      <c r="V5" s="156">
        <f ca="1">-SUMIFS(Loans!G:G,Loans!C:C,LTV!F6)</f>
        <v>2283057.458352</v>
      </c>
      <c r="W5" s="151">
        <f>U5*T5</f>
        <v>74381.497904000003</v>
      </c>
      <c r="X5" s="151">
        <f ca="1">INDEX('Tech list'!$A$2:$C$8,MATCH(S5,'Tech list'!$A$2:$A$8,0),3)*W5</f>
        <v>99477.815296809596</v>
      </c>
      <c r="Y5" s="155">
        <f>Results!F5</f>
        <v>1898227.5136116906</v>
      </c>
    </row>
    <row r="6" spans="2:25" x14ac:dyDescent="0.25">
      <c r="B6" s="388" t="s">
        <v>21</v>
      </c>
      <c r="C6" s="712" t="e">
        <f t="shared" ca="1" si="0"/>
        <v>#VALUE!</v>
      </c>
      <c r="D6" s="800" t="str">
        <f>IFERROR((SUMIFS(T_Bonds[Coupon in Loc.Curr],T_Bonds[Risk CCY],Results!$B6)+SUMIFS(T_bETFs[Coupon in CCY],T_bETFs[Risk CCY],$B6)+SUMIFS(T_deposits[Coupon in Loc.Curr],T_deposits[Risk CCY],$B6)+SUMIFS(T_Eq[Dividend in Loc.Curr],T_Eq[Risk CCY],B6))/(SUMIFS(T_Bonds[Quantity],T_Bonds[Risk CCY],$B6)+SUMIFS(T_bETFs[Market Value, CCY],T_bETFs[Risk CCY],B6)+SUMIFS(T_deposits[Quantity],T_deposits[Risk CCY],B6)+SUMIFS(T_Eq[Market value, CCY],T_Eq[Risk CCY],B6)),"")</f>
        <v/>
      </c>
      <c r="E6" s="801" t="str">
        <f>IFERROR((SUMIFS(T_Bonds[Coupon in Loc.Curr],T_Bonds[Risk CCY],Results!$B6)+SUMIFS(T_bETFs[Coupon in CCY],T_bETFs[Risk CCY],$B6)+SUMIFS(T_deposits[Coupon in Loc.Curr],T_deposits[Risk CCY],$B6)+SUMIFS(T_Eq[Dividend in Loc.Curr],T_Eq[Risk CCY],B6))/
(SUMIFS(T_Bonds[Cost value],T_Bonds[Risk CCY],$B6)+SUMIFS(T_bETFs[Market Value, CCY],T_bETFs[Risk CCY],$B6)+SUMIFS(T_deposits[Quantity],T_deposits[Risk CCY],$B6)+SUMIFS(T_Eq[Market value, CCY],T_Eq[Risk CCY],B6)),"")</f>
        <v/>
      </c>
      <c r="F6" s="713" t="str">
        <f>IFERROR(
SUMIFS(T_Bonds[Coupon in Loc.Curr],T_Bonds[Risk CCY],Results!$B6)+
SUMIFS(T_bETFs[Coupon in CCY],T_bETFs[Risk CCY],$B6)+
SUMIFS(T_deposits[Coupon in Loc.Curr],T_deposits[Risk CCY],$B6)+
SUMIFS(T_Eq[Dividend in Loc.Curr],T_Eq[Risk CCY],B6)+
SUMIFS('Real Estate'!X:X,'Real Estate'!D:D,B6),"")</f>
        <v/>
      </c>
      <c r="G6" s="714" t="str">
        <f ca="1">IFERROR(
SUMIFS(T_Bonds[Coupon in USD],T_Bonds[Risk CCY],Results!$B6)+
SUMIFS(T_bETFs[Coupon in USD],T_bETFs[Risk CCY],$B6)+
SUMIFS(T_deposits[Coupon in USD],T_deposits[Risk CCY],$B6)+
SUMIFS(T_Eq[Dividend in USD],T_Eq[Risk CCY],B6)+
SUMIFS('Real Estate'!Y:Y,'Real Estate'!D:D,B6),"")</f>
        <v/>
      </c>
      <c r="H6" s="713" t="str">
        <f ca="1">IFERROR((SUMIFS(T_Bonds[Full MV in CCY],T_Bonds[Risk CCY],Results!$B6)+
SUMIFS(T_bETFs[Market value in CCY],T_bETFs[Risk CCY],$B6)+
SUMIFS(T_deposits[Market value in USD],T_deposits[Risk CCY],$B6)+
SUMIFS(T_Eq[Market value, CCY],T_Eq[Risk CCY],$B6)+
SUMIFS(T_AI[Market value in CCY],T_AI[Risk CCY],$B6)+
SUMIFS(Cash!F:F,Cash!E:E,$B6))+
SUMIFS('Real Estate'!$G:$G,'Real Estate'!$D:$D,B6)+
SUMIFS('JPM - DP (3R)'!$F:$F,'JPM - DP (3R)'!$C:$C,B6),"")</f>
        <v/>
      </c>
      <c r="I6" s="713" t="str">
        <f ca="1">IFERROR((SUMIFS(T_Bonds[Full MV in USD],T_Bonds[Risk CCY],Results!$B6)+
SUMIFS(T_bETFs[Market value in USD],T_bETFs[Risk CCY],$B6)+
SUMIFS(T_deposits[Market value in USD],T_deposits[Risk CCY],$B6)+
SUMIFS(T_Eq[Market value, USD],T_Eq[Risk CCY],$B6)+
SUMIFS(T_AI[Market value in USD],T_AI[Risk CCY],$B6)+
SUMIFS(Cash!H:H,Cash!E:E,$B6)+
SUMIFS('Real Estate'!$F:$F,'Real Estate'!$D:$D,B6)+
SUMIFS('JPM - DP (3R)'!$J:$J,'JPM - DP (3R)'!$C:$C,Results!B6)),"")</f>
        <v/>
      </c>
      <c r="J6" s="110"/>
      <c r="K6" s="157"/>
      <c r="S6" s="149" t="s">
        <v>21</v>
      </c>
      <c r="T6" s="344" cm="1">
        <f t="array" ref="T6">IFERROR(SUMPRODUCT(Loans!D:D,Loans!F:F,IF(Loans!C:C=LTV!F7,1,0))/SUMIFS(Loans!D:D,Loans!C:C,LTV!F7),0)</f>
        <v>2.523020197890612E-2</v>
      </c>
      <c r="U6" s="155">
        <f>-SUMIFS(Loans!D:D,Loans!C:C,LTV!F7)</f>
        <v>24672588.32</v>
      </c>
      <c r="V6" s="156">
        <f ca="1">-SUMIFS(Loans!G:G,Loans!C:C,LTV!F7)</f>
        <v>28548651.945071995</v>
      </c>
      <c r="W6" s="151">
        <f>U6*T6</f>
        <v>622494.38665600005</v>
      </c>
      <c r="X6" s="151">
        <f ca="1">INDEX('Tech list'!$A$2:$C$8,MATCH(S6,'Tech list'!$A$2:$A$8,0),3)*W6</f>
        <v>720288.25479965762</v>
      </c>
      <c r="Y6" s="155" t="str">
        <f>Results!F6</f>
        <v/>
      </c>
    </row>
    <row r="7" spans="2:25" x14ac:dyDescent="0.25">
      <c r="B7" s="388" t="s">
        <v>23</v>
      </c>
      <c r="C7" s="712">
        <f t="shared" ca="1" si="0"/>
        <v>9.128823837192648E-3</v>
      </c>
      <c r="D7" s="800">
        <f>IFERROR((SUMIFS(T_Bonds[Coupon in Loc.Curr],T_Bonds[Risk CCY],Results!$B7)+SUMIFS(T_bETFs[Coupon in CCY],T_bETFs[Risk CCY],$B7)+SUMIFS(T_deposits[Coupon in Loc.Curr],T_deposits[Risk CCY],$B7)+SUMIFS(T_Eq[Dividend in Loc.Curr],T_Eq[Risk CCY],B7))/(SUMIFS(T_Bonds[Quantity],T_Bonds[Risk CCY],$B7)+SUMIFS(T_bETFs[Market Value, CCY],T_bETFs[Risk CCY],B7)+SUMIFS(T_deposits[Quantity],T_deposits[Risk CCY],B7)+SUMIFS(T_Eq[Market value, CCY],T_Eq[Risk CCY],B7)),"")</f>
        <v>1.1969776314805119E-3</v>
      </c>
      <c r="E7" s="801">
        <f>IFERROR((SUMIFS(T_Bonds[Coupon in Loc.Curr],T_Bonds[Risk CCY],Results!$B7)+SUMIFS(T_bETFs[Coupon in CCY],T_bETFs[Risk CCY],$B7)+SUMIFS(T_deposits[Coupon in Loc.Curr],T_deposits[Risk CCY],$B7)+SUMIFS(T_Eq[Dividend in Loc.Curr],T_Eq[Risk CCY],B7))/
(SUMIFS(T_Bonds[Cost value],T_Bonds[Risk CCY],$B7)+SUMIFS(T_bETFs[Market Value, CCY],T_bETFs[Risk CCY],$B7)+SUMIFS(T_deposits[Quantity],T_deposits[Risk CCY],$B7)+SUMIFS(T_Eq[Market value, CCY],T_Eq[Risk CCY],B7)),"")</f>
        <v>1.1969776314805119E-3</v>
      </c>
      <c r="F7" s="713">
        <f>IFERROR(
SUMIFS(T_Bonds[Coupon in Loc.Curr],T_Bonds[Risk CCY],Results!$B7)+
SUMIFS(T_bETFs[Coupon in CCY],T_bETFs[Risk CCY],$B7)+
SUMIFS(T_deposits[Coupon in Loc.Curr],T_deposits[Risk CCY],$B7)+
SUMIFS(T_Eq[Dividend in Loc.Curr],T_Eq[Risk CCY],B7)+
SUMIFS('Real Estate'!X:X,'Real Estate'!D:D,B7),"")</f>
        <v>812</v>
      </c>
      <c r="G7" s="714">
        <f ca="1">IFERROR(
SUMIFS(T_Bonds[Coupon in USD],T_Bonds[Risk CCY],Results!$B7)+
SUMIFS(T_bETFs[Coupon in USD],T_bETFs[Risk CCY],$B7)+
SUMIFS(T_deposits[Coupon in USD],T_deposits[Risk CCY],$B7)+
SUMIFS(T_Eq[Dividend in USD],T_Eq[Risk CCY],B7)+
SUMIFS('Real Estate'!Y:Y,'Real Estate'!D:D,B7),"")</f>
        <v>598.03800000000001</v>
      </c>
      <c r="H7" s="713">
        <f>IFERROR((SUMIFS(T_Bonds[Full MV in CCY],T_Bonds[Risk CCY],Results!$B7)+
SUMIFS(T_bETFs[Market value in CCY],T_bETFs[Risk CCY],$B7)+
SUMIFS(T_deposits[Market value in USD],T_deposits[Risk CCY],$B7)+
SUMIFS(T_Eq[Market value, CCY],T_Eq[Risk CCY],$B7)+
SUMIFS(T_AI[Market value in CCY],T_AI[Risk CCY],$B7)+
SUMIFS(Cash!F:F,Cash!E:E,$B7))+
SUMIFS('Real Estate'!$G:$G,'Real Estate'!$D:$D,B7)+
SUMIFS('JPM - DP (3R)'!$F:$F,'JPM - DP (3R)'!$C:$C,B7),"")</f>
        <v>678375.24999999988</v>
      </c>
      <c r="I7" s="713">
        <f ca="1">IFERROR((SUMIFS(T_Bonds[Full MV in USD],T_Bonds[Risk CCY],Results!$B7)+
SUMIFS(T_bETFs[Market value in USD],T_bETFs[Risk CCY],$B7)+
SUMIFS(T_deposits[Market value in USD],T_deposits[Risk CCY],$B7)+
SUMIFS(T_Eq[Market value, USD],T_Eq[Risk CCY],$B7)+
SUMIFS(T_AI[Market value in USD],T_AI[Risk CCY],$B7)+
SUMIFS(Cash!H:H,Cash!E:E,$B7)+
SUMIFS('Real Estate'!$F:$F,'Real Estate'!$D:$D,B7)+
SUMIFS('JPM - DP (3R)'!$J:$J,'JPM - DP (3R)'!$C:$C,Results!B7)),"")</f>
        <v>499623.37162499997</v>
      </c>
      <c r="J7" s="715"/>
      <c r="K7" s="157"/>
      <c r="S7" s="149" t="s">
        <v>24</v>
      </c>
      <c r="T7" s="344" cm="1">
        <f t="array" ref="T7">IFERROR(SUMPRODUCT(Loans!D:D,Loans!F:F,IF(Loans!C:C=LTV!F8,1,0))/SUMIFS(Loans!D:D,Loans!C:C,LTV!F8),0)</f>
        <v>6.6570932546653689E-3</v>
      </c>
      <c r="U7" s="155">
        <f>-SUMIFS(Loans!D:D,Loans!C:C,LTV!F8)</f>
        <v>13640418.9</v>
      </c>
      <c r="V7" s="156">
        <f ca="1">-SUMIFS(Loans!G:G,Loans!C:C,LTV!F8)</f>
        <v>17503385.532479998</v>
      </c>
      <c r="W7" s="151">
        <f>U7*T7</f>
        <v>90805.54065000001</v>
      </c>
      <c r="X7" s="151">
        <f ca="1">INDEX('Tech list'!$A$2:$C$8,MATCH(S7,'Tech list'!$A$2:$A$8,0),3)*W7</f>
        <v>116521.66976208</v>
      </c>
      <c r="Y7" s="155">
        <v>0</v>
      </c>
    </row>
    <row r="8" spans="2:25" ht="15.75" thickBot="1" x14ac:dyDescent="0.3">
      <c r="B8" s="388" t="s">
        <v>458</v>
      </c>
      <c r="C8" s="712">
        <f t="shared" ca="1" si="0"/>
        <v>4.3523630768849707E-2</v>
      </c>
      <c r="D8" s="800">
        <f>IFERROR((SUMIFS(T_Bonds[Coupon in Loc.Curr],T_Bonds[Risk CCY],Results!$B8)+SUMIFS(T_bETFs[Coupon in CCY],T_bETFs[Risk CCY],$B8)+SUMIFS(T_deposits[Coupon in Loc.Curr],T_deposits[Risk CCY],$B8)+SUMIFS(T_Eq[Dividend in Loc.Curr],T_Eq[Risk CCY],B8))/(SUMIFS(T_Bonds[Quantity],T_Bonds[Risk CCY],$B8)+SUMIFS(T_bETFs[Market Value, CCY],T_bETFs[Risk CCY],B8)+SUMIFS(T_deposits[Quantity],T_deposits[Risk CCY],B8)+SUMIFS(T_Eq[Market value, CCY],T_Eq[Risk CCY],B8)),"")</f>
        <v>0.10374999999999994</v>
      </c>
      <c r="E8" s="801">
        <f>IFERROR((SUMIFS(T_Bonds[Coupon in Loc.Curr],T_Bonds[Risk CCY],Results!$B8)+SUMIFS(T_bETFs[Coupon in CCY],T_bETFs[Risk CCY],$B8)+SUMIFS(T_deposits[Coupon in Loc.Curr],T_deposits[Risk CCY],$B8)+SUMIFS(T_Eq[Dividend in Loc.Curr],T_Eq[Risk CCY],B8))/
(SUMIFS(T_Bonds[Cost value],T_Bonds[Risk CCY],$B8)+SUMIFS(T_bETFs[Market Value, CCY],T_bETFs[Risk CCY],$B8)+SUMIFS(T_deposits[Quantity],T_deposits[Risk CCY],$B8)+SUMIFS(T_Eq[Market value, CCY],T_Eq[Risk CCY],B8)),"")</f>
        <v>0.11026809406426401</v>
      </c>
      <c r="F8" s="713">
        <f>IFERROR(
SUMIFS(T_Bonds[Coupon in Loc.Curr],T_Bonds[Risk CCY],Results!$B8)+
SUMIFS(T_bETFs[Coupon in CCY],T_bETFs[Risk CCY],$B8)+
SUMIFS(T_deposits[Coupon in Loc.Curr],T_deposits[Risk CCY],$B8)+
SUMIFS(T_Eq[Dividend in Loc.Curr],T_Eq[Risk CCY],B8)+
SUMIFS('Real Estate'!X:X,'Real Estate'!D:D,B8),"")</f>
        <v>1244999.9999999993</v>
      </c>
      <c r="G8" s="714">
        <f ca="1">IFERROR(
SUMIFS(T_Bonds[Coupon in USD],T_Bonds[Risk CCY],Results!$B8)+
SUMIFS(T_bETFs[Coupon in USD],T_bETFs[Risk CCY],$B8)+
SUMIFS(T_deposits[Coupon in USD],T_deposits[Risk CCY],$B8)+
SUMIFS(T_Eq[Dividend in USD],T_Eq[Risk CCY],B8)+
SUMIFS('Real Estate'!Y:Y,'Real Estate'!D:D,B8),"")</f>
        <v>239039.99999999991</v>
      </c>
      <c r="H8" s="713">
        <f ca="1">IFERROR((SUMIFS(T_Bonds[Full MV in CCY],T_Bonds[Risk CCY],Results!$B8)+
SUMIFS(T_bETFs[Market value in CCY],T_bETFs[Risk CCY],$B8)+
SUMIFS(T_deposits[Market value in USD],T_deposits[Risk CCY],$B8)+
SUMIFS(T_Eq[Market value, CCY],T_Eq[Risk CCY],$B8)+
SUMIFS(T_AI[Market value in CCY],T_AI[Risk CCY],$B8)+
SUMIFS(Cash!F:F,Cash!E:E,$B8))+
SUMIFS('Real Estate'!$G:$G,'Real Estate'!$D:$D,B8)+
SUMIFS('JPM - DP (3R)'!$F:$F,'JPM - DP (3R)'!$C:$C,B8),"")</f>
        <v>12406572.222222222</v>
      </c>
      <c r="I8" s="713">
        <f ca="1">IFERROR((SUMIFS(T_Bonds[Full MV in USD],T_Bonds[Risk CCY],Results!$B8)+
SUMIFS(T_bETFs[Market value in USD],T_bETFs[Risk CCY],$B8)+
SUMIFS(T_deposits[Market value in USD],T_deposits[Risk CCY],$B8)+
SUMIFS(T_Eq[Market value, USD],T_Eq[Risk CCY],$B8)+
SUMIFS(T_AI[Market value in USD],T_AI[Risk CCY],$B8)+
SUMIFS(Cash!H:H,Cash!E:E,$B8)+
SUMIFS('Real Estate'!$F:$F,'Real Estate'!$D:$D,B8)+
SUMIFS('JPM - DP (3R)'!$J:$J,'JPM - DP (3R)'!$C:$C,Results!B8)),"")</f>
        <v>2382061.8666666662</v>
      </c>
      <c r="J8" s="110"/>
      <c r="S8" s="158" t="s">
        <v>25</v>
      </c>
      <c r="T8" s="345" cm="1">
        <f t="array" ref="T8">IFERROR(SUMPRODUCT(Loans!D:D,Loans!F:F,IF(Loans!C:C=LTV!F9,1,0))/SUMIFS(Loans!D:D,Loans!C:C,LTV!F9),0)</f>
        <v>1.4999999999999999E-2</v>
      </c>
      <c r="U8" s="165">
        <f>-SUMIFS(Loans!D:D,Loans!C:C,LTV!F9)</f>
        <v>148246000</v>
      </c>
      <c r="V8" s="166">
        <f ca="1">-SUMIFS(Loans!G:G,Loans!C:C,LTV!F9)</f>
        <v>935728.75199999998</v>
      </c>
      <c r="W8" s="167">
        <f>U8*T8</f>
        <v>2223690</v>
      </c>
      <c r="X8" s="167">
        <f ca="1">INDEX('Tech list'!$A$2:$C$8,MATCH(S8,'Tech list'!$A$2:$A$8,0),3)*W8</f>
        <v>14035.931279999999</v>
      </c>
      <c r="Y8" s="168">
        <v>0</v>
      </c>
    </row>
    <row r="9" spans="2:25" ht="15.75" thickTop="1" x14ac:dyDescent="0.25">
      <c r="B9" s="388" t="s">
        <v>976</v>
      </c>
      <c r="C9" s="716">
        <f t="shared" ca="1" si="0"/>
        <v>1.6885031879774578E-2</v>
      </c>
      <c r="D9" s="802">
        <f>IFERROR((SUMIFS(T_Bonds[Coupon in Loc.Curr],T_Bonds[Risk CCY],Results!$B9)+SUMIFS(T_bETFs[Coupon in CCY],T_bETFs[Risk CCY],$B9)+SUMIFS(T_deposits[Coupon in Loc.Curr],T_deposits[Risk CCY],$B9)+SUMIFS(T_Eq[Dividend in Loc.Curr],T_Eq[Risk CCY],B9))/(SUMIFS(T_Bonds[Quantity],T_Bonds[Risk CCY],$B9)+SUMIFS(T_bETFs[Market Value, CCY],T_bETFs[Risk CCY],B9)+SUMIFS(T_deposits[Quantity],T_deposits[Risk CCY],B9)+SUMIFS(T_Eq[Market value, CCY],T_Eq[Risk CCY],B9)),"")</f>
        <v>0.27499999999999991</v>
      </c>
      <c r="E9" s="801">
        <f>IFERROR((SUMIFS(T_Bonds[Coupon in Loc.Curr],T_Bonds[Risk CCY],Results!$B9)+SUMIFS(T_bETFs[Coupon in CCY],T_bETFs[Risk CCY],$B9)+SUMIFS(T_deposits[Coupon in Loc.Curr],T_deposits[Risk CCY],$B9)+SUMIFS(T_Eq[Dividend in Loc.Curr],T_Eq[Risk CCY],B9))/
(SUMIFS(T_Bonds[Cost value],T_Bonds[Risk CCY],$B9)+SUMIFS(T_bETFs[Market Value, CCY],T_bETFs[Risk CCY],$B9)+SUMIFS(T_deposits[Quantity],T_deposits[Risk CCY],$B9)+SUMIFS(T_Eq[Market value, CCY],T_Eq[Risk CCY],B9)),"")</f>
        <v>0.30082428956967239</v>
      </c>
      <c r="F9" s="713">
        <f>IFERROR(
SUMIFS(T_Bonds[Coupon in Loc.Curr],T_Bonds[Risk CCY],Results!$B9)+
SUMIFS(T_bETFs[Coupon in CCY],T_bETFs[Risk CCY],$B9)+
SUMIFS(T_deposits[Coupon in Loc.Curr],T_deposits[Risk CCY],$B9)+
SUMIFS(T_Eq[Dividend in Loc.Curr],T_Eq[Risk CCY],B9)+
SUMIFS('Real Estate'!X:X,'Real Estate'!D:D,B9),"")</f>
        <v>9019999.9999999963</v>
      </c>
      <c r="G9" s="714">
        <f ca="1">IFERROR(
SUMIFS(T_Bonds[Coupon in USD],T_Bonds[Risk CCY],Results!$B9)+
SUMIFS(T_bETFs[Coupon in USD],T_bETFs[Risk CCY],$B9)+
SUMIFS(T_deposits[Coupon in USD],T_deposits[Risk CCY],$B9)+
SUMIFS(T_Eq[Dividend in USD],T_Eq[Risk CCY],B9)+
SUMIFS('Real Estate'!Y:Y,'Real Estate'!D:D,B9),"")</f>
        <v>204753.99999999994</v>
      </c>
      <c r="H9" s="713">
        <f ca="1">IFERROR((SUMIFS(T_Bonds[Full MV in CCY],T_Bonds[Risk CCY],Results!$B9)+
SUMIFS(T_bETFs[Market value in CCY],T_bETFs[Risk CCY],$B9)+
SUMIFS(T_deposits[Market value in USD],T_deposits[Risk CCY],$B9)+
SUMIFS(T_Eq[Market value, CCY],T_Eq[Risk CCY],$B9)+
SUMIFS(T_AI[Market value in CCY],T_AI[Risk CCY],$B9)+
SUMIFS(Cash!F:F,Cash!E:E,$B9))+
SUMIFS('Real Estate'!$G:$G,'Real Estate'!$D:$D,B9)+
SUMIFS('JPM - DP (3R)'!$F:$F,'JPM - DP (3R)'!$C:$C,B9),"")</f>
        <v>40710266.666666664</v>
      </c>
      <c r="I9" s="713">
        <f ca="1">IFERROR((SUMIFS(T_Bonds[Full MV in USD],T_Bonds[Risk CCY],Results!$B9)+
SUMIFS(T_bETFs[Market value in USD],T_bETFs[Risk CCY],$B9)+
SUMIFS(T_deposits[Market value in USD],T_deposits[Risk CCY],$B9)+
SUMIFS(T_Eq[Market value, USD],T_Eq[Risk CCY],$B9)+
SUMIFS(T_AI[Market value in USD],T_AI[Risk CCY],$B9)+
SUMIFS(Cash!H:H,Cash!E:E,$B9)+
SUMIFS('Real Estate'!$F:$F,'Real Estate'!$D:$D,B9)+
SUMIFS('JPM - DP (3R)'!$J:$J,'JPM - DP (3R)'!$C:$C,Results!B9)),"")</f>
        <v>924123.05333333334</v>
      </c>
      <c r="J9" s="110"/>
      <c r="V9" s="119">
        <f ca="1">SUM(V4:V8)</f>
        <v>49481316.077903993</v>
      </c>
      <c r="W9" s="170"/>
      <c r="X9" s="119">
        <f ca="1">SUM(X4:X8)</f>
        <v>959760.95792254712</v>
      </c>
      <c r="Y9" s="170"/>
    </row>
    <row r="10" spans="2:25" ht="15.75" thickBot="1" x14ac:dyDescent="0.3">
      <c r="B10" s="717" t="s">
        <v>2248</v>
      </c>
      <c r="C10" s="718">
        <f t="shared" ca="1" si="0"/>
        <v>1.1918192163761705E-2</v>
      </c>
      <c r="D10" s="803"/>
      <c r="E10" s="804"/>
      <c r="F10" s="719">
        <f>IFERROR(
SUMIFS(T_Bonds[Coupon in Loc.Curr],T_Bonds[Risk CCY],Results!$B10)+
SUMIFS(T_bETFs[Coupon in CCY],T_bETFs[Risk CCY],$B10)+
SUMIFS(T_deposits[Coupon in Loc.Curr],T_deposits[Risk CCY],$B10)+
SUMIFS(T_Eq[Dividend in Loc.Curr],T_Eq[Risk CCY],B10)+
SUMIFS('Real Estate'!X:X,'Real Estate'!D:D,B10),"")</f>
        <v>0</v>
      </c>
      <c r="G10" s="720">
        <f>IFERROR(
SUMIFS(T_Bonds[Coupon in USD],T_Bonds[Risk CCY],Results!$B10)+
SUMIFS(T_bETFs[Coupon in USD],T_bETFs[Risk CCY],$B10)+
SUMIFS(T_deposits[Coupon in USD],T_deposits[Risk CCY],$B10)+
SUMIFS(T_Eq[Dividend in USD],T_Eq[Risk CCY],B10)+
SUMIFS('Real Estate'!Y:Y,'Real Estate'!D:D,B10),"")</f>
        <v>0</v>
      </c>
      <c r="H10" s="721">
        <f>IFERROR((SUMIFS(T_Bonds[Full MV in CCY],T_Bonds[Risk CCY],Results!$B10)+
SUMIFS(T_bETFs[Market value in CCY],T_bETFs[Risk CCY],$B10)+
SUMIFS(T_deposits[Market value in USD],T_deposits[Risk CCY],$B10)+
SUMIFS(T_Eq[Market value, CCY],T_Eq[Risk CCY],$B10)+
SUMIFS(T_AI[Market value in CCY],T_AI[Risk CCY],$B10)+
SUMIFS(Cash!F:F,Cash!E:E,$B10))+
SUMIFS('Real Estate'!$G:$G,'Real Estate'!$D:$D,B10)+
SUMIFS('JPM - DP (3R)'!$F:$F,'JPM - DP (3R)'!$C:$C,B10),"")</f>
        <v>0</v>
      </c>
      <c r="I10" s="721">
        <f>'JPM - DP (3R)'!$X$37</f>
        <v>652286.36883899756</v>
      </c>
      <c r="J10" s="110"/>
      <c r="V10" s="119"/>
      <c r="W10" s="170"/>
      <c r="X10" s="119"/>
      <c r="Y10" s="170"/>
    </row>
    <row r="11" spans="2:25" ht="15.75" thickTop="1" x14ac:dyDescent="0.25">
      <c r="B11" s="149"/>
      <c r="C11" s="150"/>
      <c r="D11" s="636" t="e">
        <f ca="1">SUMPRODUCT(C4:C9,D4:D9)</f>
        <v>#VALUE!</v>
      </c>
      <c r="E11" s="637" t="e">
        <f ca="1">SUMPRODUCT($C$4:$C$9,E4:E9)</f>
        <v>#VALUE!</v>
      </c>
      <c r="F11" s="160"/>
      <c r="G11" s="162">
        <f ca="1">SUM(G4:G10)</f>
        <v>2983081.5147042754</v>
      </c>
      <c r="H11" s="191"/>
      <c r="I11" s="696">
        <f ca="1">SUM(I4:I10)+I68+I70</f>
        <v>54730311.432830453</v>
      </c>
      <c r="J11" s="697"/>
      <c r="V11" s="119"/>
      <c r="W11" s="170"/>
      <c r="X11" s="119"/>
      <c r="Y11" s="170"/>
    </row>
    <row r="12" spans="2:25" x14ac:dyDescent="0.25">
      <c r="B12" s="149"/>
      <c r="C12" s="169"/>
      <c r="D12" s="169"/>
      <c r="E12" s="169"/>
      <c r="F12" s="169"/>
      <c r="G12" s="169"/>
      <c r="H12" s="169"/>
      <c r="J12" s="621"/>
    </row>
    <row r="13" spans="2:25" ht="15.75" x14ac:dyDescent="0.25">
      <c r="B13" s="1036" t="s">
        <v>1</v>
      </c>
      <c r="C13" s="1037"/>
      <c r="D13" s="1037"/>
      <c r="E13" s="1037"/>
      <c r="F13" s="1037"/>
      <c r="G13" s="1037"/>
      <c r="H13" s="1037"/>
      <c r="I13" s="1038"/>
      <c r="J13" s="317"/>
    </row>
    <row r="14" spans="2:25" ht="16.5" thickBot="1" x14ac:dyDescent="0.3">
      <c r="B14" s="11" t="s">
        <v>2</v>
      </c>
      <c r="C14" s="12" t="s">
        <v>3</v>
      </c>
      <c r="D14" s="11" t="s">
        <v>4</v>
      </c>
      <c r="E14" s="12" t="s">
        <v>5</v>
      </c>
      <c r="F14" s="13" t="s">
        <v>26</v>
      </c>
      <c r="G14" s="14" t="s">
        <v>27</v>
      </c>
      <c r="H14" s="11" t="s">
        <v>28</v>
      </c>
      <c r="I14" s="93" t="s">
        <v>9</v>
      </c>
      <c r="J14" s="11" t="s">
        <v>29</v>
      </c>
      <c r="K14" s="190"/>
      <c r="S14" s="1036" t="s">
        <v>2245</v>
      </c>
      <c r="T14" s="1037"/>
      <c r="U14" s="1037"/>
      <c r="V14" s="1038"/>
    </row>
    <row r="15" spans="2:25" ht="16.5" thickTop="1" thickBot="1" x14ac:dyDescent="0.3">
      <c r="B15" s="149" t="s">
        <v>18</v>
      </c>
      <c r="C15" s="169">
        <f ca="1">SUMIFS(T_Bonds[Market value in USD],T_Bonds[Risk CCY],Results!B4)/SUM(T_Bonds[Market value in USD])</f>
        <v>0.66087241797660212</v>
      </c>
      <c r="D15" s="355">
        <f>SUMIFS(T_Bonds[Coupon in Loc.Curr],T_Bonds[Risk CCY],Results!$B15)/SUMIFS(T_Bonds[Quantity],T_Bonds[Risk CCY],$B15)</f>
        <v>6.7320567595459221E-2</v>
      </c>
      <c r="E15" s="291">
        <f>SUMIFS(T_Bonds[Coupon in Loc.Curr],T_Bonds[Risk CCY],Results!$B15)/SUMIFS(T_Bonds[Cost value],T_Bonds[Risk CCY],$B15)</f>
        <v>7.3590258226777006E-2</v>
      </c>
      <c r="F15" s="151">
        <f>SUMIFS(T_Bonds[Coupon in Loc.Curr],T_Bonds[Risk CCY],Results!$B15)</f>
        <v>3261681.4999999995</v>
      </c>
      <c r="G15" s="171">
        <f>SUMIFS(T_Bonds[Coupon in USD],T_Bonds[Risk CCY],Results!$B15)</f>
        <v>3261681.4999999995</v>
      </c>
      <c r="H15" s="156">
        <f ca="1">SUMIFS(T_Bonds[Full MV in CCY],T_Bonds[Risk CCY],Results!$B15)</f>
        <v>47090795.332427874</v>
      </c>
      <c r="I15" s="172">
        <f ca="1">SUMIFS(T_Bonds[Full MV in USD],T_Bonds[Risk CCY],Results!$B15)</f>
        <v>47090795.332427874</v>
      </c>
      <c r="J15" s="169">
        <f>SUMIFS(T_Bonds[for WYTC],T_Bonds[Risk CCY],Results!B15)/
(SUMIFS(T_Bonds[Quantity],T_Bonds[Risk CCY],Results!B15)-
SUMIFS(T_Bonds[Quantity],T_Bonds[Risk CCY],Results!B15,T_Bonds[YTM/YTC],0))</f>
        <v>7.2490095601691104E-2</v>
      </c>
      <c r="K15" s="169"/>
      <c r="S15" s="11" t="s">
        <v>11</v>
      </c>
      <c r="T15" s="37" t="s">
        <v>90</v>
      </c>
      <c r="U15" s="11" t="s">
        <v>49</v>
      </c>
      <c r="V15" s="11" t="s">
        <v>51</v>
      </c>
    </row>
    <row r="16" spans="2:25" ht="15.75" thickTop="1" x14ac:dyDescent="0.25">
      <c r="B16" s="149" t="s">
        <v>19</v>
      </c>
      <c r="C16" s="169">
        <f ca="1">SUMIFS(T_Bonds[Market value in USD],T_Bonds[Risk CCY],Results!B5)/SUM(T_Bonds[Market value in USD])</f>
        <v>0.16705907517228041</v>
      </c>
      <c r="D16" s="356">
        <f>SUMIFS(T_Bonds[Coupon in Loc.Curr],T_Bonds[Risk CCY],Results!$B16)/SUMIFS(T_Bonds[Quantity],T_Bonds[Risk CCY],$B16)</f>
        <v>6.4311489361702084E-2</v>
      </c>
      <c r="E16" s="150">
        <f>SUMIFS(T_Bonds[Coupon in Loc.Curr],T_Bonds[Risk CCY],Results!$B16)/SUMIFS(T_Bonds[Cost value],T_Bonds[Risk CCY],$B16)</f>
        <v>7.2290702202991067E-2</v>
      </c>
      <c r="F16" s="151">
        <f>SUMIFS(T_Bonds[Coupon in Loc.Curr],T_Bonds[Risk CCY],Results!$B16)</f>
        <v>604527.99999999953</v>
      </c>
      <c r="G16" s="171">
        <f ca="1">SUMIFS(T_Bonds[Coupon in USD],T_Bonds[Risk CCY],Results!$B16)</f>
        <v>808495.7471999994</v>
      </c>
      <c r="H16" s="156">
        <f ca="1">SUMIFS(T_Bonds[Full MV in CCY],T_Bonds[Risk CCY],Results!$B16)</f>
        <v>9050996.3527777791</v>
      </c>
      <c r="I16" s="152">
        <f ca="1">SUMIFS(T_Bonds[Full MV in USD],T_Bonds[Risk CCY],Results!$B16)</f>
        <v>12104802.522204999</v>
      </c>
      <c r="J16" s="169">
        <f>SUMIFS(T_Bonds[for WYTC],T_Bonds[Risk CCY],Results!B16)/(SUMIFS(T_Bonds[Quantity],T_Bonds[Risk CCY],Results!B16)-SUMIFS(T_Bonds[Quantity],T_Bonds[Risk CCY],Results!B16,T_Bonds[YTM/YTC],0))</f>
        <v>7.0114951936523409E-2</v>
      </c>
      <c r="K16" s="169"/>
      <c r="S16" s="149" t="s">
        <v>18</v>
      </c>
      <c r="T16" s="156">
        <f>SUMIFS(Loans!$D:$D,Loans!$C:$C,Results!$S16,Loans!$A:$A,Results!T$15)/1000</f>
        <v>-210.49239</v>
      </c>
      <c r="U16" s="156">
        <f>SUMIFS(Loans!$D:$D,Loans!$C:$C,Results!$S16,Loans!$A:$A,Results!U$15)/1000</f>
        <v>0</v>
      </c>
      <c r="V16" s="156">
        <f>SUMIFS(Loans!$D:$D,Loans!$C:$C,Results!$S16,Loans!$A:$A,Results!V$15)/1000</f>
        <v>0</v>
      </c>
    </row>
    <row r="17" spans="2:22" x14ac:dyDescent="0.25">
      <c r="B17" s="149" t="s">
        <v>21</v>
      </c>
      <c r="C17" s="169">
        <f ca="1">SUMIFS(T_Bonds[Market value in USD],T_Bonds[Risk CCY],Results!B6)/SUM(T_Bonds[Market value in USD])</f>
        <v>0.13006061451352524</v>
      </c>
      <c r="D17" s="356">
        <f>SUMIFS(T_Bonds[Coupon in Loc.Curr],T_Bonds[Risk CCY],Results!$B17)/SUMIFS(T_Bonds[Quantity],T_Bonds[Risk CCY],$B17)</f>
        <v>6.6554054054054054E-2</v>
      </c>
      <c r="E17" s="150">
        <f>SUMIFS(T_Bonds[Coupon in Loc.Curr],T_Bonds[Risk CCY],Results!$B17)/SUMIFS(T_Bonds[Cost value],T_Bonds[Risk CCY],$B17)</f>
        <v>6.6466178131935061E-2</v>
      </c>
      <c r="F17" s="151">
        <f>SUMIFS(T_Bonds[Coupon in Loc.Curr],T_Bonds[Risk CCY],Results!$B17)</f>
        <v>492500</v>
      </c>
      <c r="G17" s="171">
        <f ca="1">SUMIFS(T_Bonds[Coupon in USD],T_Bonds[Risk CCY],Results!$B17)</f>
        <v>569871.75</v>
      </c>
      <c r="H17" s="156">
        <f ca="1">SUMIFS(T_Bonds[Full MV in CCY],T_Bonds[Risk CCY],Results!$B17)</f>
        <v>7979789.555709024</v>
      </c>
      <c r="I17" s="152">
        <f ca="1">SUMIFS(T_Bonds[Full MV in USD],T_Bonds[Risk CCY],Results!$B17)</f>
        <v>9233414.4949109107</v>
      </c>
      <c r="J17" s="169">
        <f>SUMIFS(T_Bonds[for WYTC],T_Bonds[Risk CCY],Results!B17)/(SUMIFS(T_Bonds[Quantity],T_Bonds[Risk CCY],Results!B17)-SUMIFS(T_Bonds[Quantity],T_Bonds[Risk CCY],Results!B17,T_Bonds[YTM/YTC],0))</f>
        <v>5.5439351202819377E-2</v>
      </c>
      <c r="K17" s="169"/>
      <c r="S17" s="149" t="s">
        <v>19</v>
      </c>
      <c r="T17" s="156">
        <f>SUMIFS(Loans!$D:$D,Loans!$C:$C,Results!$S17,Loans!$A:$A,Results!T$15)/1000</f>
        <v>-1467.0864800000002</v>
      </c>
      <c r="U17" s="156">
        <f>SUMIFS(Loans!$D:$D,Loans!$C:$C,Results!$S17,Loans!$A:$A,Results!U$15)/1000</f>
        <v>0</v>
      </c>
      <c r="V17" s="156">
        <f>SUMIFS(Loans!$D:$D,Loans!$C:$C,Results!$S17,Loans!$A:$A,Results!V$15)/1000</f>
        <v>-240</v>
      </c>
    </row>
    <row r="18" spans="2:22" x14ac:dyDescent="0.25">
      <c r="B18" s="149" t="s">
        <v>458</v>
      </c>
      <c r="C18" s="169">
        <f ca="1">SUMIFS(T_Bonds[Market value in USD],T_Bonds[Risk CCY],Results!B8)/SUM(T_Bonds[Market value in USD])</f>
        <v>3.1904403412575534E-2</v>
      </c>
      <c r="D18" s="356">
        <f>SUMIFS(T_Bonds[Coupon in Loc.Curr],T_Bonds[Risk CCY],Results!$B18)/SUMIFS(T_Bonds[Quantity],T_Bonds[Risk CCY],$B18)</f>
        <v>0.10374999999999994</v>
      </c>
      <c r="E18" s="150">
        <f>SUMIFS(T_Bonds[Coupon in Loc.Curr],T_Bonds[Risk CCY],Results!$B18)/SUMIFS(T_Bonds[Cost value],T_Bonds[Risk CCY],$B18)</f>
        <v>0.11026809406426401</v>
      </c>
      <c r="F18" s="151">
        <f>SUMIFS(T_Bonds[Coupon in Loc.Curr],T_Bonds[Risk CCY],Results!$B18)</f>
        <v>1244999.9999999993</v>
      </c>
      <c r="G18" s="171">
        <f ca="1">SUMIFS(T_Bonds[Coupon in USD],T_Bonds[Risk CCY],Results!$B18)</f>
        <v>239039.99999999991</v>
      </c>
      <c r="H18" s="156">
        <f ca="1">SUMIFS(T_Bonds[Full MV in CCY],T_Bonds[Risk CCY],Results!$B18)</f>
        <v>12406572.222222222</v>
      </c>
      <c r="I18" s="152">
        <f ca="1">SUMIFS(T_Bonds[Full MV in USD],T_Bonds[Risk CCY],Results!$B18)</f>
        <v>2382061.8666666662</v>
      </c>
      <c r="J18" s="169">
        <f>SUMIFS(T_Bonds[for WYTC],T_Bonds[Risk CCY],Results!B18)/(SUMIFS(T_Bonds[Quantity],T_Bonds[Risk CCY],Results!B18)-SUMIFS(T_Bonds[Quantity],T_Bonds[Risk CCY],Results!B18,T_Bonds[YTM/YTC],0))</f>
        <v>0.11900344572457415</v>
      </c>
      <c r="K18" s="160"/>
      <c r="S18" s="149" t="s">
        <v>21</v>
      </c>
      <c r="T18" s="156">
        <f>SUMIFS(Loans!$D:$D,Loans!$C:$C,Results!$S18,Loans!$A:$A,Results!T$15)/1000</f>
        <v>-5388.8953200000005</v>
      </c>
      <c r="U18" s="156">
        <f>SUMIFS(Loans!$D:$D,Loans!$C:$C,Results!$S18,Loans!$A:$A,Results!U$15)/1000</f>
        <v>-2265.6930000000002</v>
      </c>
      <c r="V18" s="156">
        <f>SUMIFS(Loans!$D:$D,Loans!$C:$C,Results!$S18,Loans!$A:$A,Results!V$15)/1000</f>
        <v>-17018</v>
      </c>
    </row>
    <row r="19" spans="2:22" ht="15.75" thickBot="1" x14ac:dyDescent="0.3">
      <c r="B19" s="158" t="s">
        <v>976</v>
      </c>
      <c r="C19" s="192">
        <f ca="1">SUMIFS(T_Bonds[Market value in USD],T_Bonds[Risk CCY],Results!B9)/SUM(T_Bonds[Market value in USD])</f>
        <v>1.0103488925016627E-2</v>
      </c>
      <c r="D19" s="347">
        <f>SUMIFS(T_Bonds[Coupon in Loc.Curr],T_Bonds[Risk CCY],Results!$B19)/SUMIFS(T_Bonds[Quantity],T_Bonds[Risk CCY],$B19)</f>
        <v>0.27499999999999991</v>
      </c>
      <c r="E19" s="159">
        <f>SUMIFS(T_Bonds[Coupon in Loc.Curr],T_Bonds[Risk CCY],Results!$B19)/SUMIFS(T_Bonds[Cost value],T_Bonds[Risk CCY],$B19)</f>
        <v>0.30082428956967239</v>
      </c>
      <c r="F19" s="167">
        <f>SUMIFS(T_Bonds[Coupon in Loc.Curr],T_Bonds[Risk CCY],Results!$B19)</f>
        <v>9019999.9999999963</v>
      </c>
      <c r="G19" s="173">
        <f ca="1">SUMIFS(T_Bonds[Coupon in USD],T_Bonds[Risk CCY],Results!$B19)</f>
        <v>204753.99999999994</v>
      </c>
      <c r="H19" s="346">
        <f ca="1">SUMIFS(T_Bonds[Full MV in CCY],T_Bonds[Risk CCY],Results!$B19)</f>
        <v>40710266.666666664</v>
      </c>
      <c r="I19" s="174">
        <f ca="1">SUMIFS(T_Bonds[Full MV in USD],T_Bonds[Risk CCY],Results!$B19)</f>
        <v>924123.05333333334</v>
      </c>
      <c r="J19" s="347">
        <f>SUMIFS(T_Bonds[for WYTC],T_Bonds[Risk CCY],Results!B19)/(SUMIFS(T_Bonds[Quantity],T_Bonds[Risk CCY],Results!B19)-SUMIFS(T_Bonds[Quantity],T_Bonds[Risk CCY],Results!B19,T_Bonds[YTM/YTC],0))</f>
        <v>0.31121345934569999</v>
      </c>
      <c r="S19" s="149" t="s">
        <v>24</v>
      </c>
      <c r="T19" s="156">
        <f>SUMIFS(Loans!$D:$D,Loans!$C:$C,Results!$S19,Loans!$A:$A,Results!T$15)/1000</f>
        <v>-25.768900000000002</v>
      </c>
      <c r="U19" s="156">
        <f>SUMIFS(Loans!$D:$D,Loans!$C:$C,Results!$S19,Loans!$A:$A,Results!U$15)/1000</f>
        <v>-2000</v>
      </c>
      <c r="V19" s="156">
        <f>SUMIFS(Loans!$D:$D,Loans!$C:$C,Results!$S19,Loans!$A:$A,Results!V$15)/1000</f>
        <v>-11614.65</v>
      </c>
    </row>
    <row r="20" spans="2:22" ht="16.5" thickTop="1" thickBot="1" x14ac:dyDescent="0.3">
      <c r="B20" s="149"/>
      <c r="C20" s="150"/>
      <c r="D20" s="160">
        <f ca="1">SUMPRODUCT($C$15:$C$19,D15:D19)</f>
        <v>6.9978726699157251E-2</v>
      </c>
      <c r="E20" s="161">
        <f ca="1">SUMPRODUCT($C$15:$C$19,E15:E19)</f>
        <v>7.5912634354249262E-2</v>
      </c>
      <c r="F20" s="160"/>
      <c r="G20" s="162">
        <f ca="1">SUM(G15:G19)</f>
        <v>5083842.9971999992</v>
      </c>
      <c r="I20" s="162">
        <f ca="1">SUM(I15:I19)</f>
        <v>71735197.269543767</v>
      </c>
      <c r="J20" s="160">
        <f ca="1">SUMPRODUCT($C$15:$C$19,J15:J19)</f>
        <v>7.3771595551277727E-2</v>
      </c>
      <c r="M20" s="118" t="s">
        <v>1</v>
      </c>
      <c r="N20" s="134">
        <f ca="1">I20/I11</f>
        <v>1.3107032536729324</v>
      </c>
      <c r="S20" s="158" t="s">
        <v>25</v>
      </c>
      <c r="T20" s="166">
        <f>SUMIFS(Loans!$D:$D,Loans!$C:$C,Results!$S20,Loans!$A:$A,Results!T$15)/1000</f>
        <v>0</v>
      </c>
      <c r="U20" s="166">
        <f>SUMIFS(Loans!$D:$D,Loans!$C:$C,Results!$S20,Loans!$A:$A,Results!U$15)/1000</f>
        <v>0</v>
      </c>
      <c r="V20" s="166">
        <f>SUMIFS(Loans!$D:$D,Loans!$C:$C,Results!$S20,Loans!$A:$A,Results!V$15)/1000</f>
        <v>-148246</v>
      </c>
    </row>
    <row r="21" spans="2:22" ht="15.75" thickTop="1" x14ac:dyDescent="0.25">
      <c r="B21" s="149"/>
      <c r="C21" s="169"/>
      <c r="D21" s="169"/>
      <c r="E21" s="169"/>
      <c r="F21" s="169"/>
      <c r="G21" s="169"/>
      <c r="H21" s="169"/>
      <c r="M21" s="118" t="s">
        <v>10</v>
      </c>
      <c r="N21" s="134">
        <f ca="1">I27/I11</f>
        <v>0.2365313690182031</v>
      </c>
      <c r="S21" s="118" t="s">
        <v>205</v>
      </c>
      <c r="T21" s="156">
        <f ca="1">SUMIFS(Loans!$G:$G,Loans!$A:$A,Results!T$15)/1000</f>
        <v>-8441.1312756040006</v>
      </c>
      <c r="U21" s="156">
        <f ca="1">SUMIFS(Loans!$G2:$G20,Loans!$A2:$A20,Results!U$15)/1000</f>
        <v>-5188.0333703000006</v>
      </c>
      <c r="V21" s="156">
        <f ca="1">SUMIFS(Loans!$G2:$G20,Loans!$A2:$A20,Results!V$15)/1000</f>
        <v>-35852.151432000006</v>
      </c>
    </row>
    <row r="22" spans="2:22" x14ac:dyDescent="0.25">
      <c r="B22" s="149"/>
      <c r="C22" s="169"/>
      <c r="D22" s="169"/>
      <c r="E22" s="169"/>
      <c r="F22" s="169"/>
      <c r="G22" s="169"/>
      <c r="H22" s="169"/>
      <c r="M22" s="118" t="s">
        <v>1189</v>
      </c>
      <c r="N22" s="134">
        <f ca="1">I34/I11</f>
        <v>0.67992149733546592</v>
      </c>
    </row>
    <row r="23" spans="2:22" ht="15.75" x14ac:dyDescent="0.25">
      <c r="B23" s="1039" t="s">
        <v>10</v>
      </c>
      <c r="C23" s="1039"/>
      <c r="D23" s="1039"/>
      <c r="E23" s="1039"/>
      <c r="F23" s="1039"/>
      <c r="G23" s="1039"/>
      <c r="H23" s="1039"/>
      <c r="I23" s="1039"/>
      <c r="M23" s="118" t="s">
        <v>1190</v>
      </c>
      <c r="N23" s="134" t="e">
        <f ca="1">I44/I11</f>
        <v>#N/A</v>
      </c>
    </row>
    <row r="24" spans="2:22" ht="16.5" thickBot="1" x14ac:dyDescent="0.3">
      <c r="B24" s="11" t="s">
        <v>2</v>
      </c>
      <c r="C24" s="14" t="s">
        <v>3</v>
      </c>
      <c r="D24" s="11" t="s">
        <v>30</v>
      </c>
      <c r="E24" s="12" t="s">
        <v>31</v>
      </c>
      <c r="F24" s="11" t="s">
        <v>32</v>
      </c>
      <c r="G24" s="93" t="s">
        <v>33</v>
      </c>
      <c r="H24" s="11" t="s">
        <v>8</v>
      </c>
      <c r="I24" s="11" t="s">
        <v>9</v>
      </c>
      <c r="J24" s="627"/>
      <c r="M24" s="118" t="s">
        <v>22</v>
      </c>
      <c r="N24" s="134">
        <f ca="1">I52/I11</f>
        <v>0.17406237111239578</v>
      </c>
      <c r="S24" s="412" t="str">
        <f>LTV!F25</f>
        <v>LTV by banks (Collateral assets)</v>
      </c>
      <c r="T24" s="370"/>
      <c r="U24" s="370"/>
      <c r="V24" s="406" t="str">
        <f>LTV!I25</f>
        <v>In tousands of USD</v>
      </c>
    </row>
    <row r="25" spans="2:22" ht="15.75" customHeight="1" thickTop="1" thickBot="1" x14ac:dyDescent="0.3">
      <c r="B25" s="149" t="s">
        <v>18</v>
      </c>
      <c r="C25" s="150">
        <f>SUMIFS(Deposits!U:U,Deposits!D:D,Results!B4)/SUM(Deposits!V:V)</f>
        <v>1</v>
      </c>
      <c r="D25" s="154">
        <f>IFERROR(SUMIFS(T_deposits[Coupon in Loc.Curr],T_deposits[Risk CCY],Results!$B25)/SUMIFS(T_deposits[Quantity],T_deposits[Risk CCY],Results!$B25),"")</f>
        <v>3.7294217795211096E-2</v>
      </c>
      <c r="E25" s="176" t="str">
        <f>IFERROR(SUMIFS(#REF!,T_deposits[Risk CCY],Results!$B25)/SUMIFS(T_deposits[Quantity],T_deposits[Risk CCY],Results!$B25),"")</f>
        <v/>
      </c>
      <c r="F25" s="177">
        <f>SUMIFS(T_deposits[Coupon in Loc.Curr],T_deposits[Risk CCY],Results!B25)</f>
        <v>379207.60654170642</v>
      </c>
      <c r="G25" s="171">
        <f>SUMIFS(T_deposits[Coupon in USD, real],T_deposits[Risk CCY],Results!B25)</f>
        <v>374581.66413254436</v>
      </c>
      <c r="H25" s="178">
        <f>SUMIFS(T_deposits[Market value in USD],T_deposits[Risk CCY],Results!B25)</f>
        <v>12945435.49</v>
      </c>
      <c r="I25" s="178">
        <f>SUMIFS(T_deposits[Market value in USD],T_deposits[Risk CCY],Results!B25)</f>
        <v>12945435.49</v>
      </c>
      <c r="J25" s="627"/>
      <c r="M25" s="118" t="s">
        <v>1162</v>
      </c>
      <c r="N25" s="134">
        <f ca="1">I60/I11</f>
        <v>1.3166054130827811</v>
      </c>
      <c r="S25" s="11" t="str">
        <f>LTV!F26</f>
        <v>Bank</v>
      </c>
      <c r="T25" s="11" t="str">
        <f>LTV!G26</f>
        <v>Collateral Market Value</v>
      </c>
      <c r="U25" s="11" t="str">
        <f>LTV!H26</f>
        <v>Loans</v>
      </c>
      <c r="V25" s="11" t="str">
        <f>LTV!I26</f>
        <v>LTV</v>
      </c>
    </row>
    <row r="26" spans="2:22" ht="16.5" thickTop="1" thickBot="1" x14ac:dyDescent="0.3">
      <c r="B26" s="158" t="s">
        <v>19</v>
      </c>
      <c r="C26" s="179">
        <f>SUMIFS(Deposits!U:U,Deposits!D:D,Results!B5)/SUM(Deposits!V:V)</f>
        <v>0</v>
      </c>
      <c r="D26" s="164" t="str">
        <f>IFERROR(SUMIFS(T_deposits[Coupon in Loc.Curr],T_deposits[Risk CCY],Results!$B26)/SUMIFS(T_deposits[Quantity],T_deposits[Risk CCY],Results!$B26),"")</f>
        <v/>
      </c>
      <c r="E26" s="180" t="str">
        <f>IFERROR(SUMIFS(#REF!,T_deposits[Risk CCY],Results!$B26)/SUMIFS(T_deposits[Quantity],T_deposits[Risk CCY],Results!$B26),"")</f>
        <v/>
      </c>
      <c r="F26" s="165">
        <f>SUMIFS(T_deposits[Coupon in Loc.Curr],T_deposits[Risk CCY],Results!B26)</f>
        <v>0</v>
      </c>
      <c r="G26" s="173">
        <f>SUMIFS(T_deposits[Coupon in USD],T_deposits[Risk CCY],Results!B26)</f>
        <v>0</v>
      </c>
      <c r="H26" s="166">
        <f>SUMIFS(T_deposits[Quantity],T_deposits[Risk CCY],Results!B26)</f>
        <v>0</v>
      </c>
      <c r="I26" s="166">
        <f>SUMIFS(T_deposits[Market value in USD],T_deposits[Risk CCY],Results!B26)</f>
        <v>0</v>
      </c>
      <c r="J26" s="627"/>
      <c r="M26" s="118" t="s">
        <v>46</v>
      </c>
      <c r="N26" s="134">
        <f ca="1">I73/I11</f>
        <v>-4.7473235272391161E-2</v>
      </c>
      <c r="S26" s="149" t="str">
        <f>LTV!F27</f>
        <v>Vontobel</v>
      </c>
      <c r="T26" s="156" t="e">
        <f ca="1">LTV!G27</f>
        <v>#VALUE!</v>
      </c>
      <c r="U26" s="156">
        <f ca="1">LTV!H27</f>
        <v>35852.151432000006</v>
      </c>
      <c r="V26" s="631" t="e">
        <f ca="1">LTV!I27</f>
        <v>#VALUE!</v>
      </c>
    </row>
    <row r="27" spans="2:22" ht="15.75" thickTop="1" x14ac:dyDescent="0.25">
      <c r="B27" s="149"/>
      <c r="C27" s="181"/>
      <c r="D27" s="182">
        <f>SUMPRODUCT(C25:C26,D25:D26)</f>
        <v>3.7294217795211096E-2</v>
      </c>
      <c r="E27" s="161">
        <f>SUMPRODUCT(C25:C26,E25:E26)</f>
        <v>0</v>
      </c>
      <c r="G27" s="162">
        <f>SUM(G24:G26)</f>
        <v>374581.66413254436</v>
      </c>
      <c r="H27" s="128"/>
      <c r="I27" s="163">
        <f>SUM(I24:I26)</f>
        <v>12945435.49</v>
      </c>
      <c r="J27" s="627"/>
      <c r="S27" s="149" t="str">
        <f>LTV!F28</f>
        <v>UBS</v>
      </c>
      <c r="T27" s="156">
        <f ca="1">LTV!G28</f>
        <v>20902.87076791135</v>
      </c>
      <c r="U27" s="156">
        <f ca="1">LTV!H28</f>
        <v>5188.0333703000006</v>
      </c>
      <c r="V27" s="631">
        <f ca="1">LTV!I28</f>
        <v>0.24819717003964414</v>
      </c>
    </row>
    <row r="28" spans="2:22" ht="15.75" thickBot="1" x14ac:dyDescent="0.3">
      <c r="B28" s="149"/>
      <c r="C28" s="149"/>
      <c r="D28" s="183"/>
      <c r="E28" s="183"/>
      <c r="F28" s="183"/>
      <c r="G28" s="183"/>
      <c r="H28" s="184"/>
      <c r="I28" s="184"/>
      <c r="J28" s="627"/>
      <c r="S28" s="158" t="str">
        <f>LTV!F29</f>
        <v>JPM</v>
      </c>
      <c r="T28" s="166">
        <f ca="1">LTV!G29</f>
        <v>25945.878007951051</v>
      </c>
      <c r="U28" s="166">
        <f ca="1">LTV!H29</f>
        <v>8441.1312756040006</v>
      </c>
      <c r="V28" s="632">
        <f ca="1">LTV!I29</f>
        <v>0.32533611978816968</v>
      </c>
    </row>
    <row r="29" spans="2:22" ht="15.75" thickTop="1" x14ac:dyDescent="0.25">
      <c r="B29" s="149"/>
      <c r="C29" s="149"/>
      <c r="D29" s="149"/>
      <c r="E29" s="149"/>
      <c r="F29" s="149"/>
      <c r="G29" s="149"/>
      <c r="H29" s="149"/>
      <c r="J29" s="627"/>
      <c r="S29" s="118" t="str">
        <f>LTV!F30</f>
        <v>Total in USD</v>
      </c>
      <c r="T29" s="156" t="e">
        <f ca="1">LTV!G30</f>
        <v>#VALUE!</v>
      </c>
      <c r="U29" s="156">
        <f ca="1">LTV!H30</f>
        <v>49481.316077904004</v>
      </c>
      <c r="V29" s="631" t="e">
        <f ca="1">LTV!I30</f>
        <v>#VALUE!</v>
      </c>
    </row>
    <row r="30" spans="2:22" ht="15.75" x14ac:dyDescent="0.25">
      <c r="B30" s="1036" t="s">
        <v>187</v>
      </c>
      <c r="C30" s="1037"/>
      <c r="D30" s="1037"/>
      <c r="E30" s="1037"/>
      <c r="F30" s="1037"/>
      <c r="G30" s="1037"/>
      <c r="H30" s="1037"/>
      <c r="I30" s="1038"/>
      <c r="V30" s="631"/>
    </row>
    <row r="31" spans="2:22" ht="15.75" thickBot="1" x14ac:dyDescent="0.3">
      <c r="B31" s="11" t="s">
        <v>2</v>
      </c>
      <c r="C31" s="14" t="s">
        <v>3</v>
      </c>
      <c r="D31" s="11" t="s">
        <v>34</v>
      </c>
      <c r="E31" s="11" t="s">
        <v>35</v>
      </c>
      <c r="F31" s="42" t="s">
        <v>36</v>
      </c>
      <c r="G31" s="42" t="s">
        <v>37</v>
      </c>
      <c r="H31" s="11" t="s">
        <v>38</v>
      </c>
      <c r="I31" s="11" t="s">
        <v>39</v>
      </c>
      <c r="V31" s="631"/>
    </row>
    <row r="32" spans="2:22" ht="16.5" thickTop="1" x14ac:dyDescent="0.25">
      <c r="B32" s="290" t="s">
        <v>18</v>
      </c>
      <c r="C32" s="150">
        <f>I32/$I$34</f>
        <v>1</v>
      </c>
      <c r="D32" s="169">
        <f>IFERROR(SUMIFS(T_bETFs[Coupon in CCY],T_bETFs[Risk CCY],Results!B32)/SUMIFS(T_bETFs[Market Value, CCY],T_bETFs[Risk CCY],Results!B32),"")</f>
        <v>6.6976205876989478E-2</v>
      </c>
      <c r="E32" s="291">
        <f>IFERROR(SUMIFS('Bonds ETFs'!R:R,'Bonds ETFs'!O:O,Results!B32)/SUMIFS('Bonds ETFs'!Z:Z,'Bonds ETFs'!O:O,Results!B32)-1,"")</f>
        <v>-5.0186671759765544E-2</v>
      </c>
      <c r="F32" s="177">
        <f>SUMIFS(T_bETFs[Coupon in CCY],T_bETFs[Risk CCY],Results!B32)</f>
        <v>2492339.6906283805</v>
      </c>
      <c r="G32" s="171">
        <f>SUMIFS(T_bETFs[Coupon in USD],T_bETFs[Risk CCY],Results!B32)</f>
        <v>2492339.6906283805</v>
      </c>
      <c r="H32" s="178">
        <f>SUMIFS(T_bETFs[Market Value, CCY],T_bETFs[Risk CCY],Results!B32)</f>
        <v>37212315.299046449</v>
      </c>
      <c r="I32" s="178">
        <f>SUMIFS(T_bETFs[Market Value, USD],T_bETFs[Risk CCY],Results!B32)</f>
        <v>37212315.299046449</v>
      </c>
      <c r="S32" s="412" t="str">
        <f>LTV!F34</f>
        <v>LTV by banks (All assets)</v>
      </c>
      <c r="T32" s="370"/>
      <c r="U32" s="370"/>
      <c r="V32" s="633" t="str">
        <f>LTV!I34</f>
        <v>In tousands of USD</v>
      </c>
    </row>
    <row r="33" spans="2:27" ht="15.75" thickBot="1" x14ac:dyDescent="0.3">
      <c r="B33" s="292" t="s">
        <v>21</v>
      </c>
      <c r="C33" s="159">
        <f>I33/$I$34</f>
        <v>0</v>
      </c>
      <c r="D33" s="192" t="str">
        <f>IFERROR(SUMIFS(T_bETFs[Coupon in CCY],T_bETFs[Risk CCY],Results!B33)/SUMIFS(T_bETFs[Market Value, CCY],T_bETFs[Risk CCY],Results!B33),"")</f>
        <v/>
      </c>
      <c r="E33" s="159" t="str">
        <f>IFERROR(SUMIFS('Bonds ETFs'!R:R,'Bonds ETFs'!O:O,Results!B33)/SUMIFS('Bonds ETFs'!Z:Z,'Bonds ETFs'!O:O,Results!B33)-1,"")</f>
        <v/>
      </c>
      <c r="F33" s="165">
        <f>SUMIFS(T_bETFs[Coupon in CCY],T_bETFs[Risk CCY],Results!B33)</f>
        <v>0</v>
      </c>
      <c r="G33" s="173">
        <f>SUMIFS(T_bETFs[Coupon in USD],T_bETFs[Risk CCY],Results!B33)</f>
        <v>0</v>
      </c>
      <c r="H33" s="166">
        <f>SUMIFS(T_bETFs[Market Value, CCY],T_bETFs[Risk CCY],Results!B33)</f>
        <v>0</v>
      </c>
      <c r="I33" s="166">
        <f>SUMIFS(T_bETFs[Market Value, USD],T_bETFs[Risk CCY],Results!B33)</f>
        <v>0</v>
      </c>
      <c r="S33" s="11" t="str">
        <f>LTV!F35</f>
        <v>Bank</v>
      </c>
      <c r="T33" s="11" t="str">
        <f>LTV!G35</f>
        <v>Market Value</v>
      </c>
      <c r="U33" s="11" t="str">
        <f>LTV!H35</f>
        <v>Loans</v>
      </c>
      <c r="V33" s="630" t="str">
        <f>LTV!I35</f>
        <v>LTV</v>
      </c>
    </row>
    <row r="34" spans="2:27" ht="15.75" thickTop="1" x14ac:dyDescent="0.25">
      <c r="B34" s="149"/>
      <c r="C34" s="181"/>
      <c r="D34" s="182"/>
      <c r="E34" s="161"/>
      <c r="G34" s="162">
        <f>SUM(G32:G33)</f>
        <v>2492339.6906283805</v>
      </c>
      <c r="H34" s="128"/>
      <c r="I34" s="163">
        <f>SUM(I32:I33)</f>
        <v>37212315.299046449</v>
      </c>
      <c r="S34" s="149" t="str">
        <f>LTV!F36</f>
        <v>Vontobel</v>
      </c>
      <c r="T34" s="156" t="e">
        <f ca="1">LTV!G36</f>
        <v>#VALUE!</v>
      </c>
      <c r="U34" s="156">
        <f ca="1">LTV!H36</f>
        <v>35852.151432000006</v>
      </c>
      <c r="V34" s="631" t="str">
        <f ca="1">LTV!I36</f>
        <v>-</v>
      </c>
    </row>
    <row r="35" spans="2:27" x14ac:dyDescent="0.25">
      <c r="M35" s="134"/>
      <c r="N35" s="118"/>
      <c r="S35" s="149" t="str">
        <f>LTV!F37</f>
        <v>UBS</v>
      </c>
      <c r="T35" s="156">
        <f ca="1">LTV!G37</f>
        <v>20902.87076791135</v>
      </c>
      <c r="U35" s="156">
        <f ca="1">LTV!H37</f>
        <v>5188.0333703000006</v>
      </c>
      <c r="V35" s="631">
        <f ca="1">LTV!I37</f>
        <v>0.24819717003964414</v>
      </c>
    </row>
    <row r="36" spans="2:27" x14ac:dyDescent="0.25">
      <c r="M36" s="134"/>
      <c r="N36" s="118"/>
      <c r="S36" s="149" t="str">
        <f>LTV!F38</f>
        <v>JPM</v>
      </c>
      <c r="T36" s="156">
        <f ca="1">LTV!G38</f>
        <v>35945.878007951047</v>
      </c>
      <c r="U36" s="156">
        <f ca="1">LTV!H38</f>
        <v>8441.1312756040006</v>
      </c>
      <c r="V36" s="631">
        <f ca="1">LTV!I38</f>
        <v>0.23482890788581837</v>
      </c>
    </row>
    <row r="37" spans="2:27" ht="16.5" thickBot="1" x14ac:dyDescent="0.3">
      <c r="B37" s="1036" t="s">
        <v>20</v>
      </c>
      <c r="C37" s="1037"/>
      <c r="D37" s="1037"/>
      <c r="E37" s="1037"/>
      <c r="F37" s="1037"/>
      <c r="G37" s="1037"/>
      <c r="H37" s="1037"/>
      <c r="I37" s="1038"/>
      <c r="M37" s="134"/>
      <c r="N37" s="118"/>
      <c r="S37" s="158" t="str">
        <f>LTV!F39</f>
        <v>Non-bank</v>
      </c>
      <c r="T37" s="166">
        <f ca="1">LTV!G39</f>
        <v>53636.191236239327</v>
      </c>
      <c r="U37" s="166">
        <f>LTV!H39</f>
        <v>0</v>
      </c>
      <c r="V37" s="632">
        <f ca="1">LTV!I39</f>
        <v>0</v>
      </c>
    </row>
    <row r="38" spans="2:27" ht="16.5" thickTop="1" thickBot="1" x14ac:dyDescent="0.3">
      <c r="B38" s="11" t="s">
        <v>11</v>
      </c>
      <c r="C38" s="14" t="s">
        <v>3</v>
      </c>
      <c r="D38" s="11" t="s">
        <v>40</v>
      </c>
      <c r="E38" s="11" t="s">
        <v>41</v>
      </c>
      <c r="F38" s="11" t="s">
        <v>42</v>
      </c>
      <c r="G38" s="11" t="s">
        <v>43</v>
      </c>
      <c r="H38" s="11" t="s">
        <v>28</v>
      </c>
      <c r="I38" s="11" t="s">
        <v>9</v>
      </c>
      <c r="M38" s="134"/>
      <c r="N38" s="118"/>
      <c r="S38" s="118" t="str">
        <f>LTV!F40</f>
        <v>Total in USD</v>
      </c>
      <c r="T38" s="156" t="e">
        <f ca="1">LTV!G40</f>
        <v>#VALUE!</v>
      </c>
      <c r="U38" s="156">
        <f ca="1">LTV!H40</f>
        <v>49481.316077904004</v>
      </c>
      <c r="V38" s="631" t="str">
        <f ca="1">LTV!I40</f>
        <v>-</v>
      </c>
    </row>
    <row r="39" spans="2:27" ht="15.75" thickTop="1" x14ac:dyDescent="0.25">
      <c r="B39" s="149" t="s">
        <v>18</v>
      </c>
      <c r="C39" s="150" t="e">
        <f>I39/$I$44</f>
        <v>#N/A</v>
      </c>
      <c r="D39" s="169" t="e">
        <f>SUMIFS(T_Eq[Dividend in Loc.Curr],T_Eq[Risk CCY],B39)/SUMIFS(T_Eq[Market value, CCY],T_Eq[Risk CCY],B39)</f>
        <v>#N/A</v>
      </c>
      <c r="E39" s="185" t="e">
        <f>SUMIFS(T_Eq[Market value, CCY],T_Eq[Risk CCY],B39)/SUMIFS(T_Eq[Cost value],T_Eq[Risk CCY],B39)-1</f>
        <v>#N/A</v>
      </c>
      <c r="F39" s="178" t="e">
        <f>SUMIFS(T_Eq[Dividend in Loc.Curr],T_Eq[Risk CCY],B39)</f>
        <v>#N/A</v>
      </c>
      <c r="G39" s="186" t="e">
        <f>SUMIFS(T_Eq[Dividend in USD],T_Eq[Risk CCY],B39)</f>
        <v>#N/A</v>
      </c>
      <c r="H39" s="156" t="e">
        <f>SUMIFS(T_Eq[Market value, CCY],T_Eq[Risk CCY],B39)</f>
        <v>#N/A</v>
      </c>
      <c r="I39" s="178" t="e">
        <f>SUMIFS(T_Eq[Market value, USD],T_Eq[Risk CCY],B39)</f>
        <v>#N/A</v>
      </c>
      <c r="M39" s="134"/>
      <c r="N39" s="118"/>
    </row>
    <row r="40" spans="2:27" x14ac:dyDescent="0.25">
      <c r="B40" s="149" t="s">
        <v>21</v>
      </c>
      <c r="C40" s="150" t="e">
        <f ca="1">I40/$I$44</f>
        <v>#N/A</v>
      </c>
      <c r="D40" s="169" t="e">
        <f>SUMIFS(T_Eq[Dividend in Loc.Curr],T_Eq[Risk CCY],B40)/SUMIFS(T_Eq[Market value, CCY],T_Eq[Risk CCY],B40)</f>
        <v>#N/A</v>
      </c>
      <c r="E40" s="293" t="e">
        <f>SUMIFS(T_Eq[Market value, CCY],T_Eq[Risk CCY],B40)/SUMIFS(T_Eq[Cost value],T_Eq[Risk CCY],B40)-1</f>
        <v>#N/A</v>
      </c>
      <c r="F40" s="178" t="e">
        <f>SUMIFS(T_Eq[Dividend in Loc.Curr],T_Eq[Risk CCY],B40)</f>
        <v>#N/A</v>
      </c>
      <c r="G40" s="187" t="e">
        <f ca="1">SUMIFS(T_Eq[Dividend in USD],T_Eq[Risk CCY],B40)</f>
        <v>#N/A</v>
      </c>
      <c r="H40" s="178" t="e">
        <f>SUMIFS(T_Eq[Market value, CCY],T_Eq[Risk CCY],B40)</f>
        <v>#N/A</v>
      </c>
      <c r="I40" s="178" t="e">
        <f ca="1">SUMIFS(T_Eq[Market value, USD],T_Eq[Risk CCY],B40)</f>
        <v>#N/A</v>
      </c>
      <c r="M40" s="134"/>
      <c r="N40" s="118"/>
    </row>
    <row r="41" spans="2:27" x14ac:dyDescent="0.25">
      <c r="B41" s="149" t="s">
        <v>19</v>
      </c>
      <c r="C41" s="150" t="e">
        <f ca="1">I41/$I$44</f>
        <v>#N/A</v>
      </c>
      <c r="D41" s="169">
        <f>SUMIFS(T_Eq[Dividend in Loc.Curr],T_Eq[Risk CCY],B41)/SUMIFS(T_Eq[Market value, CCY],T_Eq[Risk CCY],B41)</f>
        <v>5.5718021353158384E-2</v>
      </c>
      <c r="E41" s="293">
        <f>SUMIFS(T_Eq[Market value, CCY],T_Eq[Risk CCY],B41)/SUMIFS(T_Eq[Cost value],T_Eq[Risk CCY],B41)-1</f>
        <v>0.15332466032886916</v>
      </c>
      <c r="F41" s="178">
        <f>SUMIFS(T_Eq[Dividend in Loc.Curr],T_Eq[Risk CCY],B41)</f>
        <v>93699.513611691029</v>
      </c>
      <c r="G41" s="187">
        <f ca="1">SUMIFS(T_Eq[Dividend in USD],T_Eq[Risk CCY],B41)</f>
        <v>125313.72950427557</v>
      </c>
      <c r="H41" s="178">
        <f>SUMIFS(T_Eq[Market value, CCY],T_Eq[Risk CCY],B41)</f>
        <v>1681673.3856680584</v>
      </c>
      <c r="I41" s="178">
        <f ca="1">SUMIFS(T_Eq[Market value, USD],T_Eq[Risk CCY],B41)</f>
        <v>2249069.985992461</v>
      </c>
      <c r="M41" s="134"/>
      <c r="N41" s="118"/>
    </row>
    <row r="42" spans="2:27" ht="15.75" x14ac:dyDescent="0.25">
      <c r="B42" s="149" t="s">
        <v>23</v>
      </c>
      <c r="C42" s="150" t="e">
        <f ca="1">I42/$I$44</f>
        <v>#N/A</v>
      </c>
      <c r="D42" s="169">
        <f>SUMIFS(T_Eq[Dividend in Loc.Curr],T_Eq[Risk CCY],B42)/SUMIFS(T_Eq[Market value, CCY],T_Eq[Risk CCY],B42)</f>
        <v>1.1969776314805119E-3</v>
      </c>
      <c r="E42" s="293">
        <f>SUMIFS(T_Eq[Market value, CCY],T_Eq[Risk CCY],B42)/SUMIFS(T_Eq[Cost value],T_Eq[Risk CCY],B42)-1</f>
        <v>1.8361994109905311</v>
      </c>
      <c r="F42" s="178">
        <f>SUMIFS(T_Eq[Dividend in Loc.Curr],T_Eq[Risk CCY],B42)</f>
        <v>812</v>
      </c>
      <c r="G42" s="187">
        <f ca="1">SUMIFS(T_Eq[Dividend in USD],T_Eq[Risk CCY],B42)</f>
        <v>598.03800000000001</v>
      </c>
      <c r="H42" s="178">
        <f>SUMIFS(T_Eq[Market value, CCY],T_Eq[Risk CCY],B42)</f>
        <v>678375.24999999988</v>
      </c>
      <c r="I42" s="178">
        <f ca="1">SUMIFS(T_Eq[Market value, USD],T_Eq[Risk CCY],B42)</f>
        <v>499623.37162499997</v>
      </c>
      <c r="L42" s="134"/>
      <c r="N42" s="118"/>
      <c r="S42" s="1033" t="s">
        <v>2230</v>
      </c>
      <c r="T42" s="1034"/>
      <c r="U42" s="1034"/>
      <c r="V42" s="1034"/>
      <c r="W42" s="1034"/>
      <c r="X42" s="1034"/>
      <c r="Y42" s="1034"/>
      <c r="Z42" s="1034"/>
      <c r="AA42" s="1035"/>
    </row>
    <row r="43" spans="2:27" ht="15.75" thickBot="1" x14ac:dyDescent="0.3">
      <c r="B43" s="609" t="s">
        <v>2233</v>
      </c>
      <c r="C43" s="610" t="e">
        <f>I43/$I$44</f>
        <v>#N/A</v>
      </c>
      <c r="D43" s="611" t="s">
        <v>342</v>
      </c>
      <c r="E43" s="612">
        <f>W47</f>
        <v>0.21090312407719344</v>
      </c>
      <c r="F43" s="613">
        <f>SUMIFS(T_Eq[Dividend in Loc.Curr],T_Eq[Risk CCY],B43)</f>
        <v>0</v>
      </c>
      <c r="G43" s="614">
        <f>SUMIFS(T_Eq[Dividend in USD],T_Eq[Risk CCY],B43)</f>
        <v>0</v>
      </c>
      <c r="H43" s="613">
        <v>0</v>
      </c>
      <c r="I43" s="613">
        <f>T47</f>
        <v>13293212.062253501</v>
      </c>
      <c r="L43" s="134"/>
      <c r="N43" s="118"/>
      <c r="S43" s="11"/>
      <c r="T43" s="11" t="str">
        <f>'JPM - DP (3R)'!W1</f>
        <v>MV, USD at 24.02.2026</v>
      </c>
      <c r="U43" s="11" t="str">
        <f>'JPM - DP (3R)'!X1</f>
        <v>MV, USD at 09.02.2026</v>
      </c>
      <c r="V43" s="11" t="str">
        <f>'JPM - DP (3R)'!Z1</f>
        <v>CCY</v>
      </c>
      <c r="W43" s="37" t="str">
        <f>'JPM - DP (3R)'!AA1</f>
        <v xml:space="preserve"> P&amp;L % (USD)</v>
      </c>
      <c r="X43" s="11" t="str">
        <f>'JPM - DP (3R)'!AB1</f>
        <v>Unrealized P&amp;L</v>
      </c>
      <c r="Y43" s="11" t="str">
        <f>'JPM - DP (3R)'!AC1</f>
        <v>Annualized P&amp;L</v>
      </c>
      <c r="Z43" s="11" t="str">
        <f>'JPM - DP (3R)'!AD1</f>
        <v>Inception date</v>
      </c>
      <c r="AA43" s="11" t="str">
        <f>'JPM - DP (3R)'!AE1</f>
        <v>YTD P&amp;L</v>
      </c>
    </row>
    <row r="44" spans="2:27" ht="15.75" thickTop="1" x14ac:dyDescent="0.25">
      <c r="B44" s="184"/>
      <c r="C44" s="188"/>
      <c r="D44" s="169"/>
      <c r="E44" s="606"/>
      <c r="F44" s="178"/>
      <c r="G44" s="607" t="e">
        <f>SUM(G39:G43)</f>
        <v>#N/A</v>
      </c>
      <c r="H44" s="178"/>
      <c r="I44" s="191" t="e">
        <f>SUM(I39:I43)</f>
        <v>#N/A</v>
      </c>
      <c r="L44" s="134"/>
      <c r="N44" s="118"/>
      <c r="S44" s="546" t="str">
        <f>'JPM - DP (3R)'!U2</f>
        <v>Digital EVO</v>
      </c>
      <c r="T44" s="156">
        <f>'JPM - DP (3R)'!W2</f>
        <v>3794226.7083000005</v>
      </c>
      <c r="U44" s="156">
        <f>'JPM - DP (3R)'!X2</f>
        <v>3921967.7794000013</v>
      </c>
      <c r="V44" s="149" t="str">
        <f>'JPM - DP (3R)'!Z2</f>
        <v>USD</v>
      </c>
      <c r="W44" s="551">
        <f>'JPM - DP (3R)'!AA2</f>
        <v>0.47106793449741868</v>
      </c>
      <c r="X44" s="156">
        <f>'JPM - DP (3R)'!AB2</f>
        <v>1551226.7083000001</v>
      </c>
      <c r="Y44" s="551">
        <f ca="1">'JPM - DP (3R)'!AC2</f>
        <v>0.10800238447962175</v>
      </c>
      <c r="Z44" s="549">
        <f>'JPM - DP (3R)'!AD2</f>
        <v>44499</v>
      </c>
      <c r="AA44" s="553">
        <f>'JPM - DP (3R)'!AE2</f>
        <v>-7.10883408189662E-2</v>
      </c>
    </row>
    <row r="45" spans="2:27" x14ac:dyDescent="0.25">
      <c r="B45" s="184"/>
      <c r="C45" s="188"/>
      <c r="D45" s="169"/>
      <c r="E45" s="136"/>
      <c r="F45" s="178"/>
      <c r="G45" s="178"/>
      <c r="H45" s="178"/>
      <c r="I45" s="178"/>
      <c r="L45" s="134"/>
      <c r="N45" s="118"/>
      <c r="S45" s="546" t="str">
        <f>'JPM - DP (3R)'!U3</f>
        <v>US Equity income</v>
      </c>
      <c r="T45" s="156">
        <f>'JPM - DP (3R)'!W3</f>
        <v>2307577.6591000012</v>
      </c>
      <c r="U45" s="156">
        <f>'JPM - DP (3R)'!X3</f>
        <v>2462169.3149000001</v>
      </c>
      <c r="V45" s="149" t="str">
        <f>'JPM - DP (3R)'!Z3</f>
        <v>USD</v>
      </c>
      <c r="W45" s="551">
        <f>'JPM - DP (3R)'!AA3</f>
        <v>0.12022826378688545</v>
      </c>
      <c r="X45" s="156">
        <f>'JPM - DP (3R)'!AB3</f>
        <v>733392.40910000168</v>
      </c>
      <c r="Y45" s="551">
        <f ca="1">'JPM - DP (3R)'!AC3</f>
        <v>2.3914613777772854E-2</v>
      </c>
      <c r="Z45" s="549">
        <f>'JPM - DP (3R)'!AD3</f>
        <v>44256</v>
      </c>
      <c r="AA45" s="553">
        <f>'JPM - DP (3R)'!AE3</f>
        <v>-2.0683535064717207E-3</v>
      </c>
    </row>
    <row r="46" spans="2:27" ht="15.75" thickBot="1" x14ac:dyDescent="0.3">
      <c r="L46" s="134"/>
      <c r="N46" s="118"/>
      <c r="S46" s="547" t="str">
        <f>'JPM - DP (3R)'!U4</f>
        <v>GEM</v>
      </c>
      <c r="T46" s="166">
        <f>'JPM - DP (3R)'!W4</f>
        <v>7191407.6948535005</v>
      </c>
      <c r="U46" s="166">
        <f>'JPM - DP (3R)'!X4</f>
        <v>7525411.2154477006</v>
      </c>
      <c r="V46" s="158" t="str">
        <f>'JPM - DP (3R)'!Z4</f>
        <v>USD</v>
      </c>
      <c r="W46" s="552">
        <f>'JPM - DP (3R)'!AA4</f>
        <v>0.13989173095235685</v>
      </c>
      <c r="X46" s="166">
        <f>'JPM - DP (3R)'!AB4</f>
        <v>983803.21393850073</v>
      </c>
      <c r="Y46" s="552">
        <f ca="1">'JPM - DP (3R)'!AC4</f>
        <v>6.9375654616318269E-2</v>
      </c>
      <c r="Z46" s="550">
        <f>'JPM - DP (3R)'!AD4</f>
        <v>45355</v>
      </c>
      <c r="AA46" s="164">
        <f>'JPM - DP (3R)'!AE4</f>
        <v>-3.3877128270843215E-2</v>
      </c>
    </row>
    <row r="47" spans="2:27" ht="16.5" thickTop="1" x14ac:dyDescent="0.25">
      <c r="B47" s="1036" t="s">
        <v>44</v>
      </c>
      <c r="C47" s="1037"/>
      <c r="D47" s="1037"/>
      <c r="E47" s="1037"/>
      <c r="F47" s="1037"/>
      <c r="G47" s="1037"/>
      <c r="H47" s="1037"/>
      <c r="I47" s="1038"/>
      <c r="M47" s="134"/>
      <c r="N47" s="118"/>
      <c r="S47" s="118" t="str">
        <f>'JPM - DP (3R)'!U5</f>
        <v>Total in USD</v>
      </c>
      <c r="T47" s="156">
        <f>'JPM - DP (3R)'!W5</f>
        <v>13293212.062253501</v>
      </c>
      <c r="U47" s="156">
        <f>'JPM - DP (3R)'!X5</f>
        <v>13909548.309747703</v>
      </c>
      <c r="W47" s="551">
        <f>'JPM - DP (3R)'!AA5</f>
        <v>0.21090312407719344</v>
      </c>
      <c r="X47" s="156">
        <f>'JPM - DP (3R)'!AB5</f>
        <v>3268422.3313385025</v>
      </c>
      <c r="Y47" s="551">
        <f ca="1">'JPM - DP (3R)'!AC5</f>
        <v>7.0879492158088628E-2</v>
      </c>
      <c r="Z47" s="608"/>
      <c r="AA47" s="553">
        <f>'JPM - DP (3R)'!AE5</f>
        <v>-3.9544493531252667E-2</v>
      </c>
    </row>
    <row r="48" spans="2:27" ht="15.75" thickBot="1" x14ac:dyDescent="0.3">
      <c r="B48" s="11" t="s">
        <v>11</v>
      </c>
      <c r="C48" s="14" t="s">
        <v>3</v>
      </c>
      <c r="D48" s="94" t="s">
        <v>40</v>
      </c>
      <c r="E48" s="93" t="s">
        <v>45</v>
      </c>
      <c r="F48" s="622" t="s">
        <v>2240</v>
      </c>
      <c r="G48" s="622" t="s">
        <v>2241</v>
      </c>
      <c r="H48" s="11" t="s">
        <v>28</v>
      </c>
      <c r="I48" s="11" t="s">
        <v>9</v>
      </c>
      <c r="M48" s="134"/>
      <c r="N48" s="118"/>
    </row>
    <row r="49" spans="2:14" ht="15.75" thickTop="1" x14ac:dyDescent="0.25">
      <c r="B49" s="149" t="s">
        <v>18</v>
      </c>
      <c r="C49" s="175">
        <f ca="1">I49/$I$52</f>
        <v>0.91702196882224185</v>
      </c>
      <c r="D49" s="154">
        <v>0</v>
      </c>
      <c r="E49" s="176">
        <v>0</v>
      </c>
      <c r="F49" s="623">
        <v>0</v>
      </c>
      <c r="G49" s="624">
        <v>0</v>
      </c>
      <c r="H49" s="178">
        <f>SUMIFS(T_AI[Market value in CCY],T_AI[Risk CCY],B49)</f>
        <v>8735998.5797183327</v>
      </c>
      <c r="I49" s="178">
        <f>SUMIFS(T_AI[Market value in USD],T_AI[Risk CCY],$B49)</f>
        <v>8735998.5797183327</v>
      </c>
      <c r="M49" s="134"/>
      <c r="N49" s="118"/>
    </row>
    <row r="50" spans="2:14" x14ac:dyDescent="0.25">
      <c r="B50" s="149" t="s">
        <v>19</v>
      </c>
      <c r="C50" s="175">
        <f ca="1">I50/$I$52</f>
        <v>2.8077504132158614E-2</v>
      </c>
      <c r="D50" s="154">
        <v>0</v>
      </c>
      <c r="E50" s="189">
        <v>0</v>
      </c>
      <c r="F50" s="623">
        <v>0</v>
      </c>
      <c r="G50" s="624">
        <v>0</v>
      </c>
      <c r="H50" s="178">
        <f>SUMIFS(T_AI[Market value in CCY],T_AI[Risk CCY],B50)</f>
        <v>200000</v>
      </c>
      <c r="I50" s="178">
        <f ca="1">SUMIFS(T_AI[Market value in USD],T_AI[Risk CCY],$B50)</f>
        <v>267480</v>
      </c>
      <c r="M50" s="134"/>
      <c r="N50" s="118"/>
    </row>
    <row r="51" spans="2:14" ht="15.75" thickBot="1" x14ac:dyDescent="0.3">
      <c r="B51" s="158" t="s">
        <v>21</v>
      </c>
      <c r="C51" s="179">
        <f ca="1">I51/$I$52</f>
        <v>5.4900527045599556E-2</v>
      </c>
      <c r="D51" s="164">
        <v>0</v>
      </c>
      <c r="E51" s="180">
        <v>0</v>
      </c>
      <c r="F51" s="625">
        <v>0</v>
      </c>
      <c r="G51" s="626">
        <v>0</v>
      </c>
      <c r="H51" s="166">
        <f>SUMIFS(T_AI[Market value in CCY],T_AI[Risk CCY],B51)</f>
        <v>451999.99999999994</v>
      </c>
      <c r="I51" s="166">
        <f ca="1">SUMIFS(T_AI[Market value in USD],T_AI[Risk CCY],$B51)</f>
        <v>523009.19999999995</v>
      </c>
      <c r="M51" s="134"/>
      <c r="N51" s="118"/>
    </row>
    <row r="52" spans="2:14" ht="15.75" thickTop="1" x14ac:dyDescent="0.25">
      <c r="I52" s="129">
        <f ca="1">SUM(I49:I51)</f>
        <v>9526487.779718332</v>
      </c>
    </row>
    <row r="53" spans="2:14" x14ac:dyDescent="0.25">
      <c r="I53" s="129"/>
    </row>
    <row r="55" spans="2:14" ht="15.75" x14ac:dyDescent="0.25">
      <c r="B55" s="1036" t="s">
        <v>1162</v>
      </c>
      <c r="C55" s="1037"/>
      <c r="D55" s="1037"/>
      <c r="E55" s="1037"/>
      <c r="F55" s="1037"/>
      <c r="G55" s="1037"/>
      <c r="H55" s="1037"/>
      <c r="I55" s="1038"/>
    </row>
    <row r="56" spans="2:14" ht="15.75" thickBot="1" x14ac:dyDescent="0.3">
      <c r="B56" s="11" t="s">
        <v>11</v>
      </c>
      <c r="C56" s="14" t="s">
        <v>3</v>
      </c>
      <c r="D56" s="94" t="s">
        <v>40</v>
      </c>
      <c r="E56" s="93" t="s">
        <v>45</v>
      </c>
      <c r="F56" s="622" t="s">
        <v>2240</v>
      </c>
      <c r="G56" s="622" t="s">
        <v>2241</v>
      </c>
      <c r="H56" s="11" t="s">
        <v>28</v>
      </c>
      <c r="I56" s="11" t="s">
        <v>9</v>
      </c>
    </row>
    <row r="57" spans="2:14" ht="15.75" thickTop="1" x14ac:dyDescent="0.25">
      <c r="B57" s="149" t="s">
        <v>18</v>
      </c>
      <c r="C57" s="175">
        <f ca="1">I57/$I$60</f>
        <v>0.13811053627477837</v>
      </c>
      <c r="D57" s="154">
        <v>0</v>
      </c>
      <c r="E57" s="176">
        <v>0</v>
      </c>
      <c r="F57" s="623">
        <v>0</v>
      </c>
      <c r="G57" s="624">
        <v>0</v>
      </c>
      <c r="H57" s="178">
        <f>SUMIFS('Real Estate'!$G:$G,'Real Estate'!D:D,B57)</f>
        <v>9952000</v>
      </c>
      <c r="I57" s="178">
        <f>SUMIFS('Real Estate'!$F:$F,'Real Estate'!D:D,B57)</f>
        <v>9952000</v>
      </c>
    </row>
    <row r="58" spans="2:14" x14ac:dyDescent="0.25">
      <c r="B58" s="149" t="s">
        <v>21</v>
      </c>
      <c r="C58" s="175">
        <f ca="1">I58/$I$60</f>
        <v>0.36163881488377547</v>
      </c>
      <c r="D58" s="154">
        <v>0</v>
      </c>
      <c r="E58" s="189">
        <v>0</v>
      </c>
      <c r="F58" s="623">
        <v>0</v>
      </c>
      <c r="G58" s="624">
        <v>0</v>
      </c>
      <c r="H58" s="178">
        <f>SUMIFS('Real Estate'!$G:$G,'Real Estate'!D:D,B58)</f>
        <v>22521001.5</v>
      </c>
      <c r="I58" s="178">
        <f ca="1">SUMIFS('Real Estate'!$F:$F,'Real Estate'!D:D,B58)</f>
        <v>26059050.835650001</v>
      </c>
    </row>
    <row r="59" spans="2:14" ht="15.75" thickBot="1" x14ac:dyDescent="0.3">
      <c r="B59" s="158" t="s">
        <v>19</v>
      </c>
      <c r="C59" s="179">
        <f ca="1">I59/$I$60</f>
        <v>0.5002506488414461</v>
      </c>
      <c r="D59" s="164">
        <v>0</v>
      </c>
      <c r="E59" s="180">
        <v>0</v>
      </c>
      <c r="F59" s="625">
        <v>0</v>
      </c>
      <c r="G59" s="626">
        <v>0</v>
      </c>
      <c r="H59" s="166">
        <f>SUMIFS('Real Estate'!$G:$G,'Real Estate'!D:D,B59)</f>
        <v>26953172.914999999</v>
      </c>
      <c r="I59" s="166">
        <f ca="1">SUMIFS('Real Estate'!$F:$F,'Real Estate'!D:D,B59)</f>
        <v>36047173.456520997</v>
      </c>
    </row>
    <row r="60" spans="2:14" ht="15.75" thickTop="1" x14ac:dyDescent="0.25">
      <c r="I60" s="129">
        <f ca="1">SUM(I57:I59)</f>
        <v>72058224.292171001</v>
      </c>
    </row>
    <row r="61" spans="2:14" x14ac:dyDescent="0.25">
      <c r="I61" s="129"/>
    </row>
    <row r="63" spans="2:14" ht="15.75" x14ac:dyDescent="0.25">
      <c r="B63" s="1036" t="s">
        <v>46</v>
      </c>
      <c r="C63" s="1037"/>
      <c r="D63" s="1037"/>
      <c r="E63" s="1037"/>
      <c r="F63" s="1037"/>
      <c r="G63" s="1037"/>
      <c r="H63" s="1037"/>
      <c r="I63" s="1038"/>
    </row>
    <row r="64" spans="2:14" ht="15.75" thickBot="1" x14ac:dyDescent="0.3">
      <c r="B64" s="42" t="s">
        <v>11</v>
      </c>
      <c r="C64" s="92" t="s">
        <v>3</v>
      </c>
      <c r="D64" s="42"/>
      <c r="E64" s="42"/>
      <c r="F64" s="42"/>
      <c r="G64" s="93"/>
      <c r="H64" s="42" t="s">
        <v>28</v>
      </c>
      <c r="I64" s="42" t="s">
        <v>9</v>
      </c>
    </row>
    <row r="65" spans="2:9" ht="15.75" thickTop="1" x14ac:dyDescent="0.25">
      <c r="B65" s="118" t="s">
        <v>18</v>
      </c>
      <c r="C65" s="638">
        <f t="shared" ref="C65:C72" ca="1" si="1">I65/$I$73</f>
        <v>2.5310302701112619E-2</v>
      </c>
      <c r="G65" s="132"/>
      <c r="H65" s="156">
        <f>SUMIFS(Cash!F:F,Cash!E:E,Results!B65)</f>
        <v>-65761.859999999971</v>
      </c>
      <c r="I65" s="156">
        <f>SUMIFS(Cash!H:H,Cash!E:E,Results!B65)</f>
        <v>-65761.859999999971</v>
      </c>
    </row>
    <row r="66" spans="2:9" x14ac:dyDescent="0.25">
      <c r="B66" s="118" t="s">
        <v>19</v>
      </c>
      <c r="C66" s="638">
        <f t="shared" ca="1" si="1"/>
        <v>0.14126726545714302</v>
      </c>
      <c r="G66" s="132"/>
      <c r="H66" s="156">
        <f>SUMIFS(Cash!F:F,Cash!E:E,Results!B66)</f>
        <v>-274446.04000000004</v>
      </c>
      <c r="I66" s="156">
        <f ca="1">SUMIFS(Cash!H:H,Cash!E:E,Results!B66)</f>
        <v>-367044.13389600004</v>
      </c>
    </row>
    <row r="67" spans="2:9" x14ac:dyDescent="0.25">
      <c r="B67" s="118" t="s">
        <v>21</v>
      </c>
      <c r="C67" s="638">
        <f t="shared" ca="1" si="1"/>
        <v>0.82215895042429177</v>
      </c>
      <c r="G67" s="132"/>
      <c r="H67" s="156">
        <f>SUMIFS(Cash!F:F,Cash!E:E,Results!B67)</f>
        <v>-1846127.3</v>
      </c>
      <c r="I67" s="156">
        <f ca="1">SUMIFS(Cash!H:H,Cash!E:E,Results!B67)</f>
        <v>-2136153.8988299998</v>
      </c>
    </row>
    <row r="68" spans="2:9" x14ac:dyDescent="0.25">
      <c r="B68" s="118" t="s">
        <v>24</v>
      </c>
      <c r="C68" s="638">
        <f t="shared" ca="1" si="1"/>
        <v>1.2315169265634014E-2</v>
      </c>
      <c r="G68" s="132"/>
      <c r="H68" s="156">
        <f>SUMIFS(Cash!F:F,Cash!E:E,Results!B68)</f>
        <v>-24935.77</v>
      </c>
      <c r="I68" s="156">
        <f ca="1">SUMIFS(Cash!H:H,Cash!E:E,Results!B68)</f>
        <v>-31997.580064000002</v>
      </c>
    </row>
    <row r="69" spans="2:9" x14ac:dyDescent="0.25">
      <c r="B69" s="118" t="s">
        <v>458</v>
      </c>
      <c r="C69" s="638">
        <f t="shared" ca="1" si="1"/>
        <v>0</v>
      </c>
      <c r="G69" s="132"/>
      <c r="H69" s="156">
        <f>SUMIFS(Cash!F:F,Cash!E:E,Results!B69)</f>
        <v>0</v>
      </c>
      <c r="I69" s="156">
        <f ca="1">SUMIFS(Cash!H:H,Cash!E:E,Results!B69)</f>
        <v>0</v>
      </c>
    </row>
    <row r="70" spans="2:9" x14ac:dyDescent="0.25">
      <c r="B70" s="118" t="s">
        <v>25</v>
      </c>
      <c r="C70" s="638">
        <f t="shared" ca="1" si="1"/>
        <v>-1.051687848181469E-3</v>
      </c>
      <c r="G70" s="132"/>
      <c r="H70" s="156">
        <f>SUMIFS(Cash!F:F,Cash!E:E,Results!B70)</f>
        <v>432909</v>
      </c>
      <c r="I70" s="156">
        <f ca="1">SUMIFS(Cash!H:H,Cash!E:E,Results!B70)</f>
        <v>2732.5216079999996</v>
      </c>
    </row>
    <row r="71" spans="2:9" x14ac:dyDescent="0.25">
      <c r="B71" s="118" t="s">
        <v>976</v>
      </c>
      <c r="C71" s="638">
        <f ca="1">I71/$I$73</f>
        <v>0</v>
      </c>
      <c r="G71" s="132"/>
      <c r="H71" s="178">
        <f>SUMIFS(Cash!F:F,Cash!E:E,Results!B71)</f>
        <v>0</v>
      </c>
      <c r="I71" s="178">
        <f ca="1">SUMIFS(Cash!H:H,Cash!E:E,Results!B71)</f>
        <v>0</v>
      </c>
    </row>
    <row r="72" spans="2:9" ht="15.75" thickBot="1" x14ac:dyDescent="0.3">
      <c r="B72" s="137" t="s">
        <v>2247</v>
      </c>
      <c r="C72" s="639">
        <f t="shared" ca="1" si="1"/>
        <v>0</v>
      </c>
      <c r="D72" s="137"/>
      <c r="E72" s="137"/>
      <c r="F72" s="137"/>
      <c r="G72" s="194"/>
      <c r="H72" s="346">
        <f>SUMIFS(Cash!F:F,Cash!E:E,Results!B72)</f>
        <v>0</v>
      </c>
      <c r="I72" s="166">
        <f ca="1">SUM(Cash!H:H)-SUM(Results!I65:I71)</f>
        <v>0</v>
      </c>
    </row>
    <row r="73" spans="2:9" ht="15.75" thickTop="1" x14ac:dyDescent="0.25">
      <c r="I73" s="129">
        <f ca="1">SUM(I65:I72)</f>
        <v>-2598224.9511819999</v>
      </c>
    </row>
  </sheetData>
  <mergeCells count="11">
    <mergeCell ref="B63:I63"/>
    <mergeCell ref="B47:I47"/>
    <mergeCell ref="B2:I2"/>
    <mergeCell ref="B23:I23"/>
    <mergeCell ref="B37:I37"/>
    <mergeCell ref="S42:AA42"/>
    <mergeCell ref="B55:I55"/>
    <mergeCell ref="S2:Y2"/>
    <mergeCell ref="B30:I30"/>
    <mergeCell ref="S14:V14"/>
    <mergeCell ref="B13:I1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FC8C6-18BD-47C5-83AF-3DF51D434F0C}">
  <sheetPr codeName="Sheet2">
    <tabColor theme="9" tint="0.79998168889431442"/>
  </sheetPr>
  <dimension ref="B3:X60"/>
  <sheetViews>
    <sheetView showGridLines="0" topLeftCell="A6" zoomScaleNormal="100" workbookViewId="0">
      <selection activeCell="M27" sqref="M27"/>
    </sheetView>
  </sheetViews>
  <sheetFormatPr defaultColWidth="9.140625" defaultRowHeight="15" x14ac:dyDescent="0.25"/>
  <cols>
    <col min="1" max="1" width="3.5703125" style="118" customWidth="1"/>
    <col min="2" max="2" width="28.28515625" style="118" hidden="1" customWidth="1"/>
    <col min="3" max="3" width="19" style="118" hidden="1" customWidth="1"/>
    <col min="4" max="4" width="15.5703125" style="118" hidden="1" customWidth="1"/>
    <col min="5" max="5" width="14.7109375" hidden="1" customWidth="1"/>
    <col min="6" max="6" width="13.85546875" style="118" customWidth="1"/>
    <col min="7" max="7" width="23.140625" style="118" customWidth="1"/>
    <col min="8" max="8" width="16.28515625" style="118" customWidth="1"/>
    <col min="9" max="9" width="16.7109375" style="118" customWidth="1"/>
    <col min="10" max="10" width="13.7109375" style="118" customWidth="1"/>
    <col min="11" max="11" width="27.5703125" style="118" customWidth="1"/>
    <col min="12" max="12" width="20" style="118" customWidth="1"/>
    <col min="13" max="13" width="23" style="118" customWidth="1"/>
    <col min="14" max="15" width="18" style="118" hidden="1" customWidth="1"/>
    <col min="16" max="16" width="13.140625" style="118" bestFit="1" customWidth="1"/>
    <col min="17" max="17" width="13.140625" style="118" customWidth="1"/>
    <col min="18" max="18" width="13.5703125" style="118" customWidth="1"/>
    <col min="19" max="19" width="37.140625" style="118" customWidth="1"/>
    <col min="20" max="20" width="9.140625" style="118"/>
    <col min="25" max="16384" width="9.140625" style="118"/>
  </cols>
  <sheetData>
    <row r="3" spans="6:24" ht="15" customHeight="1" x14ac:dyDescent="0.25">
      <c r="F3" s="414" t="s">
        <v>1214</v>
      </c>
      <c r="G3" s="89"/>
      <c r="H3" s="89"/>
      <c r="I3" s="89"/>
      <c r="J3" s="89"/>
      <c r="K3" s="89"/>
      <c r="L3" s="90"/>
    </row>
    <row r="4" spans="6:24" ht="15.75" thickBot="1" x14ac:dyDescent="0.3">
      <c r="F4" s="11" t="s">
        <v>11</v>
      </c>
      <c r="G4" s="11" t="s">
        <v>12</v>
      </c>
      <c r="H4" s="11" t="s">
        <v>13</v>
      </c>
      <c r="I4" s="11" t="s">
        <v>14</v>
      </c>
      <c r="J4" s="42" t="s">
        <v>15</v>
      </c>
      <c r="K4" s="42" t="s">
        <v>16</v>
      </c>
      <c r="L4" s="42" t="s">
        <v>17</v>
      </c>
    </row>
    <row r="5" spans="6:24" ht="15.75" thickTop="1" x14ac:dyDescent="0.25">
      <c r="F5" s="149" t="s">
        <v>18</v>
      </c>
      <c r="G5" s="344" cm="1">
        <f t="array" ref="G5">IFERROR(SUMPRODUCT(Loans!D:D,Loans!F:F,IF(Loans!C:C=LTV!F5,1,0))/SUMIFS(Loans!D:D,Loans!C:C,LTV!F5),0)</f>
        <v>4.4834337165348348E-2</v>
      </c>
      <c r="H5" s="155">
        <f>-SUMIFS(Loans!D:D,Loans!C:C,LTV!F5)</f>
        <v>210492.39</v>
      </c>
      <c r="I5" s="156">
        <f>-SUMIFS(Loans!G:G,Loans!C:C,LTV!F5)</f>
        <v>210492.39</v>
      </c>
      <c r="J5" s="151">
        <f>H5*G5</f>
        <v>9437.2867839999999</v>
      </c>
      <c r="K5" s="151">
        <f>INDEX('Tech list'!$A$2:$C$8,MATCH(F5,'Tech list'!$A$2:$A$8,0),3)*J5</f>
        <v>9437.2867839999999</v>
      </c>
      <c r="L5" s="155" t="str">
        <f>IFERROR(VLOOKUP(F5,Results!$B$4:$F$9,5,0),"-")</f>
        <v/>
      </c>
    </row>
    <row r="6" spans="6:24" x14ac:dyDescent="0.25">
      <c r="F6" s="149" t="s">
        <v>19</v>
      </c>
      <c r="G6" s="344" cm="1">
        <f t="array" ref="G6">IFERROR(SUMPRODUCT(Loans!D:D,Loans!F:F,IF(Loans!C:C=LTV!F6,1,0))/SUMIFS(Loans!D:D,Loans!C:C,LTV!F6),0)</f>
        <v>4.357219084999138E-2</v>
      </c>
      <c r="H6" s="155">
        <f>-SUMIFS(Loans!D:D,Loans!C:C,LTV!F6)</f>
        <v>1707086.4800000002</v>
      </c>
      <c r="I6" s="156">
        <f ca="1">-SUMIFS(Loans!G:G,Loans!C:C,LTV!F6)</f>
        <v>2283057.458352</v>
      </c>
      <c r="J6" s="151">
        <f>H6*G6</f>
        <v>74381.497904000003</v>
      </c>
      <c r="K6" s="151">
        <f ca="1">INDEX('Tech list'!$A$2:$C$8,MATCH(F6,'Tech list'!$A$2:$A$8,0),3)*J6</f>
        <v>99477.815296809596</v>
      </c>
      <c r="L6" s="155">
        <f>IFERROR(VLOOKUP(F6,Results!$B$4:$F$9,5,0),"-")</f>
        <v>1898227.5136116906</v>
      </c>
    </row>
    <row r="7" spans="6:24" x14ac:dyDescent="0.25">
      <c r="F7" s="149" t="s">
        <v>21</v>
      </c>
      <c r="G7" s="344" cm="1">
        <f t="array" ref="G7">IFERROR(SUMPRODUCT(Loans!D:D,Loans!F:F,IF(Loans!C:C=LTV!F7,1,0))/SUMIFS(Loans!D:D,Loans!C:C,LTV!F7),0)</f>
        <v>2.523020197890612E-2</v>
      </c>
      <c r="H7" s="155">
        <f>-SUMIFS(Loans!D:D,Loans!C:C,LTV!F7)</f>
        <v>24672588.32</v>
      </c>
      <c r="I7" s="156">
        <f ca="1">-SUMIFS(Loans!G:G,Loans!C:C,LTV!F7)</f>
        <v>28548651.945071995</v>
      </c>
      <c r="J7" s="151">
        <f>H7*G7</f>
        <v>622494.38665600005</v>
      </c>
      <c r="K7" s="151">
        <f ca="1">INDEX('Tech list'!$A$2:$C$8,MATCH(F7,'Tech list'!$A$2:$A$8,0),3)*J7</f>
        <v>720288.25479965762</v>
      </c>
      <c r="L7" s="155" t="str">
        <f>IFERROR(VLOOKUP(F7,Results!$B$4:$F$9,5,0),"-")</f>
        <v/>
      </c>
    </row>
    <row r="8" spans="6:24" x14ac:dyDescent="0.25">
      <c r="F8" s="149" t="s">
        <v>24</v>
      </c>
      <c r="G8" s="344" cm="1">
        <f t="array" ref="G8">IFERROR(SUMPRODUCT(Loans!D:D,Loans!F:F,IF(Loans!C:C=LTV!F8,1,0))/SUMIFS(Loans!D:D,Loans!C:C,LTV!F8),0)</f>
        <v>6.6570932546653689E-3</v>
      </c>
      <c r="H8" s="155">
        <f>-SUMIFS(Loans!D:D,Loans!C:C,LTV!F8)</f>
        <v>13640418.9</v>
      </c>
      <c r="I8" s="156">
        <f ca="1">-SUMIFS(Loans!G:G,Loans!C:C,LTV!F8)</f>
        <v>17503385.532479998</v>
      </c>
      <c r="J8" s="151">
        <f>H8*G8</f>
        <v>90805.54065000001</v>
      </c>
      <c r="K8" s="151">
        <f ca="1">INDEX('Tech list'!$A$2:$C$8,MATCH(F8,'Tech list'!$A$2:$A$8,0),3)*J8</f>
        <v>116521.66976208</v>
      </c>
      <c r="L8" s="155" t="str">
        <f>IFERROR(VLOOKUP(F8,Results!$B$4:$F$9,5,0),"-")</f>
        <v>-</v>
      </c>
    </row>
    <row r="9" spans="6:24" ht="15.75" thickBot="1" x14ac:dyDescent="0.3">
      <c r="F9" s="158" t="s">
        <v>25</v>
      </c>
      <c r="G9" s="345" cm="1">
        <f t="array" ref="G9">IFERROR(SUMPRODUCT(Loans!D:D,Loans!F:F,IF(Loans!C:C=LTV!F9,1,0))/SUMIFS(Loans!D:D,Loans!C:C,LTV!F9),0)</f>
        <v>1.4999999999999999E-2</v>
      </c>
      <c r="H9" s="165">
        <f>-SUMIFS(Loans!D:D,Loans!C:C,LTV!F9)</f>
        <v>148246000</v>
      </c>
      <c r="I9" s="166">
        <f ca="1">-SUMIFS(Loans!G:G,Loans!C:C,LTV!F9)</f>
        <v>935728.75199999998</v>
      </c>
      <c r="J9" s="167">
        <f>H9*G9</f>
        <v>2223690</v>
      </c>
      <c r="K9" s="167">
        <f ca="1">INDEX('Tech list'!$A$2:$C$8,MATCH(F9,'Tech list'!$A$2:$A$8,0),3)*J9</f>
        <v>14035.931279999999</v>
      </c>
      <c r="L9" s="165" t="str">
        <f>IFERROR(VLOOKUP(F9,Results!$B$4:$F$9,5,0),"-")</f>
        <v>-</v>
      </c>
    </row>
    <row r="10" spans="6:24" ht="15.75" thickTop="1" x14ac:dyDescent="0.25">
      <c r="I10" s="119">
        <f ca="1">SUM(I5:I9)</f>
        <v>49481316.077903993</v>
      </c>
      <c r="J10" s="170"/>
      <c r="K10" s="119">
        <f ca="1">SUM(K5:K9)</f>
        <v>959760.95792254712</v>
      </c>
      <c r="L10" s="170"/>
    </row>
    <row r="11" spans="6:24" x14ac:dyDescent="0.25">
      <c r="I11" s="119"/>
      <c r="J11" s="170"/>
      <c r="K11" s="119"/>
      <c r="L11" s="170"/>
      <c r="T11"/>
      <c r="X11" s="118"/>
    </row>
    <row r="12" spans="6:24" ht="15.75" x14ac:dyDescent="0.25">
      <c r="F12" s="412" t="s">
        <v>1212</v>
      </c>
      <c r="G12" s="370"/>
      <c r="H12" s="370"/>
      <c r="I12" s="413"/>
      <c r="T12"/>
      <c r="X12" s="118"/>
    </row>
    <row r="13" spans="6:24" ht="15.75" thickBot="1" x14ac:dyDescent="0.3">
      <c r="F13" s="11" t="s">
        <v>11</v>
      </c>
      <c r="G13" s="37" t="s">
        <v>90</v>
      </c>
      <c r="H13" s="11" t="s">
        <v>49</v>
      </c>
      <c r="I13" s="11" t="s">
        <v>51</v>
      </c>
      <c r="T13"/>
      <c r="X13" s="118"/>
    </row>
    <row r="14" spans="6:24" ht="15.75" thickTop="1" x14ac:dyDescent="0.25">
      <c r="F14" s="149" t="s">
        <v>18</v>
      </c>
      <c r="G14" s="156">
        <f>SUMIFS(Loans!$D:$D,Loans!$C:$C,LTV!$F14,Loans!$A:$A,LTV!G$13)/1000</f>
        <v>-210.49239</v>
      </c>
      <c r="H14" s="156">
        <f>SUMIFS(Loans!$D:$D,Loans!$C:$C,LTV!$F14,Loans!$A:$A,LTV!H$13)/1000</f>
        <v>0</v>
      </c>
      <c r="I14" s="156">
        <f>SUMIFS(Loans!$D:$D,Loans!$C:$C,LTV!$F14,Loans!$A:$A,LTV!I$13)/1000</f>
        <v>0</v>
      </c>
      <c r="T14"/>
      <c r="X14" s="118"/>
    </row>
    <row r="15" spans="6:24" x14ac:dyDescent="0.25">
      <c r="F15" s="149" t="s">
        <v>19</v>
      </c>
      <c r="G15" s="156">
        <f>SUMIFS(Loans!$D:$D,Loans!$C:$C,LTV!$F15,Loans!$A:$A,LTV!G$13)/1000</f>
        <v>-1467.0864800000002</v>
      </c>
      <c r="H15" s="156">
        <f>SUMIFS(Loans!$D:$D,Loans!$C:$C,LTV!$F15,Loans!$A:$A,LTV!H$13)/1000</f>
        <v>0</v>
      </c>
      <c r="I15" s="156">
        <f>SUMIFS(Loans!$D:$D,Loans!$C:$C,LTV!$F15,Loans!$A:$A,LTV!I$13)/1000</f>
        <v>-240</v>
      </c>
      <c r="T15"/>
      <c r="X15" s="118"/>
    </row>
    <row r="16" spans="6:24" x14ac:dyDescent="0.25">
      <c r="F16" s="149" t="s">
        <v>21</v>
      </c>
      <c r="G16" s="156">
        <f>SUMIFS(Loans!$D:$D,Loans!$C:$C,LTV!$F16,Loans!$A:$A,LTV!G$13)/1000</f>
        <v>-5388.8953200000005</v>
      </c>
      <c r="H16" s="156">
        <f>SUMIFS(Loans!$D:$D,Loans!$C:$C,LTV!$F16,Loans!$A:$A,LTV!H$13)/1000</f>
        <v>-2265.6930000000002</v>
      </c>
      <c r="I16" s="156">
        <f>SUMIFS(Loans!$D:$D,Loans!$C:$C,LTV!$F16,Loans!$A:$A,LTV!I$13)/1000</f>
        <v>-17018</v>
      </c>
      <c r="T16"/>
      <c r="X16" s="118"/>
    </row>
    <row r="17" spans="2:24" x14ac:dyDescent="0.25">
      <c r="F17" s="149" t="s">
        <v>24</v>
      </c>
      <c r="G17" s="156">
        <f>SUMIFS(Loans!$D:$D,Loans!$C:$C,LTV!$F17,Loans!$A:$A,LTV!G$13)/1000</f>
        <v>-25.768900000000002</v>
      </c>
      <c r="H17" s="156">
        <f>SUMIFS(Loans!$D:$D,Loans!$C:$C,LTV!$F17,Loans!$A:$A,LTV!H$13)/1000</f>
        <v>-2000</v>
      </c>
      <c r="I17" s="156">
        <f>SUMIFS(Loans!$D:$D,Loans!$C:$C,LTV!$F17,Loans!$A:$A,LTV!I$13)/1000</f>
        <v>-11614.65</v>
      </c>
      <c r="T17"/>
      <c r="X17" s="118"/>
    </row>
    <row r="18" spans="2:24" ht="15.75" thickBot="1" x14ac:dyDescent="0.3">
      <c r="F18" s="158" t="s">
        <v>25</v>
      </c>
      <c r="G18" s="166">
        <f>SUMIFS(Loans!$D:$D,Loans!$C:$C,LTV!$F18,Loans!$A:$A,LTV!G$13)/1000</f>
        <v>0</v>
      </c>
      <c r="H18" s="166">
        <f>SUMIFS(Loans!$D:$D,Loans!$C:$C,LTV!$F18,Loans!$A:$A,LTV!H$13)/1000</f>
        <v>0</v>
      </c>
      <c r="I18" s="166">
        <f>SUMIFS(Loans!$D:$D,Loans!$C:$C,LTV!$F18,Loans!$A:$A,LTV!I$13)/1000</f>
        <v>-148246</v>
      </c>
      <c r="T18"/>
      <c r="X18" s="118"/>
    </row>
    <row r="19" spans="2:24" ht="15.75" thickTop="1" x14ac:dyDescent="0.25">
      <c r="F19" s="118" t="s">
        <v>205</v>
      </c>
      <c r="G19" s="156">
        <f ca="1">SUMIFS(Loans!$G:$G,Loans!$A:$A,LTV!G$13)/1000</f>
        <v>-8441.1312756040006</v>
      </c>
      <c r="H19" s="156">
        <f ca="1">SUMIFS(Loans!$G:$G,Loans!$A:$A,LTV!H$13)/1000</f>
        <v>-5188.0333703000006</v>
      </c>
      <c r="I19" s="156">
        <f ca="1">SUMIFS(Loans!$G:$G,Loans!$A:$A,LTV!I$13)/1000</f>
        <v>-35852.151432000006</v>
      </c>
    </row>
    <row r="20" spans="2:24" x14ac:dyDescent="0.25">
      <c r="G20" s="156"/>
      <c r="H20" s="156"/>
      <c r="I20" s="156"/>
    </row>
    <row r="21" spans="2:24" x14ac:dyDescent="0.25">
      <c r="G21" s="156"/>
      <c r="H21" s="156"/>
      <c r="I21" s="156"/>
    </row>
    <row r="22" spans="2:24" x14ac:dyDescent="0.25">
      <c r="G22" s="156"/>
      <c r="H22" s="156"/>
      <c r="I22" s="156"/>
    </row>
    <row r="23" spans="2:24" x14ac:dyDescent="0.25">
      <c r="G23" s="156"/>
      <c r="H23" s="156"/>
      <c r="I23" s="156"/>
    </row>
    <row r="25" spans="2:24" ht="15.75" x14ac:dyDescent="0.25">
      <c r="B25" s="1030" t="s">
        <v>1136</v>
      </c>
      <c r="C25" s="1031"/>
      <c r="D25" s="1032"/>
      <c r="F25" s="412" t="s">
        <v>1150</v>
      </c>
      <c r="G25" s="370"/>
      <c r="H25" s="370"/>
      <c r="I25" s="406" t="s">
        <v>1142</v>
      </c>
      <c r="K25" s="412" t="s">
        <v>1147</v>
      </c>
      <c r="L25" s="370"/>
      <c r="M25" s="370"/>
      <c r="N25" s="370"/>
      <c r="O25" s="370"/>
      <c r="P25" s="370"/>
      <c r="Q25" s="370"/>
      <c r="R25" s="370"/>
      <c r="S25" s="406" t="s">
        <v>1142</v>
      </c>
    </row>
    <row r="26" spans="2:24" ht="15.75" customHeight="1" thickBot="1" x14ac:dyDescent="0.3">
      <c r="B26" s="42"/>
      <c r="C26" s="42"/>
      <c r="D26" s="42"/>
      <c r="F26" s="11" t="s">
        <v>1104</v>
      </c>
      <c r="G26" s="11" t="s">
        <v>1149</v>
      </c>
      <c r="H26" s="11" t="s">
        <v>1140</v>
      </c>
      <c r="I26" s="11" t="s">
        <v>1097</v>
      </c>
      <c r="K26" s="11" t="s">
        <v>1104</v>
      </c>
      <c r="L26" s="11" t="s">
        <v>227</v>
      </c>
      <c r="M26" s="11" t="s">
        <v>1149</v>
      </c>
      <c r="N26" s="382" t="s">
        <v>1137</v>
      </c>
      <c r="O26" s="382" t="s">
        <v>1138</v>
      </c>
      <c r="P26" s="11" t="s">
        <v>1105</v>
      </c>
      <c r="Q26" s="383" t="s">
        <v>1139</v>
      </c>
      <c r="R26" s="11" t="s">
        <v>1097</v>
      </c>
      <c r="S26" s="11" t="s">
        <v>1127</v>
      </c>
    </row>
    <row r="27" spans="2:24" ht="16.5" thickTop="1" thickBot="1" x14ac:dyDescent="0.3">
      <c r="B27" s="405" t="s">
        <v>1129</v>
      </c>
      <c r="C27" s="385">
        <f>IF(D27="Including",1,0)</f>
        <v>1</v>
      </c>
      <c r="D27" s="392" t="s">
        <v>1130</v>
      </c>
      <c r="F27" s="371" t="s">
        <v>51</v>
      </c>
      <c r="G27" s="156" t="e">
        <f ca="1">SUMIFS($M$27:$M$30,$K$27:$K$30,F27)</f>
        <v>#VALUE!</v>
      </c>
      <c r="H27" s="156">
        <f ca="1">SUMIFS($P$27:$P$30,$K$27:$K$30,F27)</f>
        <v>35852.151432000006</v>
      </c>
      <c r="I27" s="134" t="e">
        <f ca="1">H27/G27</f>
        <v>#VALUE!</v>
      </c>
      <c r="K27" s="371" t="s">
        <v>51</v>
      </c>
      <c r="L27" s="371" t="s">
        <v>51</v>
      </c>
      <c r="M27" s="386" t="e">
        <f ca="1">IFERROR((SUMIFS(Bonds!AC:AC,Bonds!B:B,LTV!L27)+
SUMIFS('Bonds ETFs'!S:S,'Bonds ETFs'!A:A,LTV!L27)+
SUMIFS(Deposits!V:V,Deposits!A:A,LTV!L27)+
SUMIFS(Equities!L:L,Equities!A:A,LTV!L27)+
SUMIFS('Alternative assets'!Z:Z,'Alternative assets'!A:A,LTV!L27)+
SUMIFS(Cash!H:H,Cash!A:A,LTV!L27)+
SUMIFS('JPM - DP (3R)'!$J:$J,'JPM - DP (3R)'!$A:$A,LTV!L27)),"")/1000*$N27+$O27</f>
        <v>#VALUE!</v>
      </c>
      <c r="N27" s="386">
        <v>1</v>
      </c>
      <c r="O27" s="386"/>
      <c r="P27" s="387">
        <f ca="1">-(SUMIFS(Loans!G:G,Loans!A:A,L27)/1000+$Q27)</f>
        <v>35852.151432000006</v>
      </c>
      <c r="Q27" s="387"/>
      <c r="R27" s="391" t="e">
        <f ca="1">P27/M27</f>
        <v>#VALUE!</v>
      </c>
      <c r="S27" t="s">
        <v>2292</v>
      </c>
    </row>
    <row r="28" spans="2:24" ht="15.75" thickBot="1" x14ac:dyDescent="0.3">
      <c r="B28" s="377" t="s">
        <v>395</v>
      </c>
      <c r="C28" s="385">
        <f>IF(D28="Including",1,0)</f>
        <v>1</v>
      </c>
      <c r="D28" s="378" t="s">
        <v>1130</v>
      </c>
      <c r="F28" s="379" t="s">
        <v>49</v>
      </c>
      <c r="G28" s="205">
        <f ca="1">SUMIFS($M$27:$M$30,$K$27:$K$30,F28)</f>
        <v>20902.87076791135</v>
      </c>
      <c r="H28" s="205">
        <f ca="1">SUMIFS($P$27:$P$30,$K$27:$K$30,F28)</f>
        <v>5188.0333703000006</v>
      </c>
      <c r="I28" s="395">
        <f ca="1">H28/G28</f>
        <v>0.24819717003964414</v>
      </c>
      <c r="K28" s="379" t="s">
        <v>49</v>
      </c>
      <c r="L28" s="379" t="s">
        <v>49</v>
      </c>
      <c r="M28" s="380">
        <f ca="1">IFERROR((SUMIFS(Bonds!AC:AC,Bonds!B:B,LTV!L28)+
SUMIFS('Bonds ETFs'!S:S,'Bonds ETFs'!A:A,LTV!L28)+
SUMIFS(Deposits!V:V,Deposits!A:A,LTV!L28)+
SUMIFS(Equities!L:L,Equities!A:A,LTV!L28)+
SUMIFS('Alternative assets'!Z:Z,'Alternative assets'!A:A,LTV!L28)+
SUMIFS(Cash!H:H,Cash!A:A,LTV!L28)+
SUMIFS('JPM - DP (3R)'!$J:$J,'JPM - DP (3R)'!$A:$A,LTV!L28)),"")/1000*$N28+$O28</f>
        <v>20902.87076791135</v>
      </c>
      <c r="N28" s="380">
        <v>1</v>
      </c>
      <c r="O28" s="380"/>
      <c r="P28" s="381">
        <f ca="1">-(SUMIFS(Loans!G:G,Loans!A:A,L28)/1000+$Q28)</f>
        <v>5188.0333703000006</v>
      </c>
      <c r="Q28" s="381"/>
      <c r="R28" s="394">
        <f ca="1">P28/M28</f>
        <v>0.24819717003964414</v>
      </c>
      <c r="S28" s="203" t="s">
        <v>2293</v>
      </c>
    </row>
    <row r="29" spans="2:24" ht="15.75" thickBot="1" x14ac:dyDescent="0.3">
      <c r="B29" s="377" t="s">
        <v>1175</v>
      </c>
      <c r="C29" s="385">
        <f>IF(D29="Including",1,0)</f>
        <v>1</v>
      </c>
      <c r="D29" s="376" t="s">
        <v>1130</v>
      </c>
      <c r="F29" s="389" t="s">
        <v>90</v>
      </c>
      <c r="G29" s="166">
        <f ca="1">SUMIFS($M$27:$M$30,$K$27:$K$30,F29)</f>
        <v>25945.878007951051</v>
      </c>
      <c r="H29" s="166">
        <f ca="1">SUMIFS($P$27:$P$30,$K$27:$K$30,F29)</f>
        <v>8441.1312756040006</v>
      </c>
      <c r="I29" s="390">
        <f ca="1">H29/G29</f>
        <v>0.32533611978816968</v>
      </c>
      <c r="K29" s="388" t="s">
        <v>90</v>
      </c>
      <c r="L29" s="388" t="s">
        <v>1125</v>
      </c>
      <c r="M29" s="386">
        <f>IFERROR((SUMIFS(Bonds!AC:AC,Bonds!B:B,LTV!L29)+
SUMIFS('Bonds ETFs'!S:S,'Bonds ETFs'!A:A,LTV!L29)+
SUMIFS(Deposits!V:V,Deposits!A:A,LTV!L29)+
SUMIFS(Equities!L:L,Equities!A:A,LTV!L29)+
SUMIFS('Alternative assets'!Z:Z,'Alternative assets'!A:A,LTV!L29)+
SUMIFS(Cash!H:H,Cash!A:A,LTV!L29)+
SUMIFS('JPM - DP (3R)'!$J:$J,'JPM - DP (3R)'!$A:$A,LTV!L29)),"")/1000*$N29+$O29</f>
        <v>10000</v>
      </c>
      <c r="N29" s="386">
        <v>1</v>
      </c>
      <c r="O29" s="386">
        <f>Deposits!V2/1000</f>
        <v>10000</v>
      </c>
      <c r="P29" s="387">
        <f ca="1">-(SUMIFS(Loans!G:G,Loans!A:A,L29)/1000+$Q29)</f>
        <v>2735.1775322240001</v>
      </c>
      <c r="Q29" s="387">
        <f ca="1">SUMIFS(Loans!$G:$G,Loans!$B:$B,9867456)/1000</f>
        <v>-2735.1775322240001</v>
      </c>
      <c r="R29" s="391">
        <f ca="1">P29/M29</f>
        <v>0.27351775322240002</v>
      </c>
      <c r="S29" t="s">
        <v>2294</v>
      </c>
    </row>
    <row r="30" spans="2:24" ht="16.5" thickTop="1" thickBot="1" x14ac:dyDescent="0.3">
      <c r="B30" s="377" t="s">
        <v>1141</v>
      </c>
      <c r="C30" s="385">
        <f>IF(D30="Including",1,0)</f>
        <v>1</v>
      </c>
      <c r="D30" s="376" t="s">
        <v>1130</v>
      </c>
      <c r="F30" s="396" t="s">
        <v>205</v>
      </c>
      <c r="G30" s="397" t="e">
        <f ca="1">SUM(G27:G29)</f>
        <v>#VALUE!</v>
      </c>
      <c r="H30" s="397">
        <f ca="1">SUM(H27:H29)</f>
        <v>49481.316077904004</v>
      </c>
      <c r="I30" s="398" t="e">
        <f ca="1">H30/G30</f>
        <v>#VALUE!</v>
      </c>
      <c r="K30" s="388" t="s">
        <v>90</v>
      </c>
      <c r="L30" s="388" t="s">
        <v>90</v>
      </c>
      <c r="M30" s="386">
        <f ca="1">IFERROR((SUMIFS(Bonds!AC:AC,Bonds!B:B,LTV!L30)+
SUMIFS('Bonds ETFs'!S:S,'Bonds ETFs'!A:A,LTV!L30)+
SUMIFS(Deposits!V:V,Deposits!A:A,LTV!L30)+
SUMIFS(Equities!L:L,Equities!A:A,LTV!L30)+
SUMIFS('Alternative assets'!Z:Z,'Alternative assets'!A:A,LTV!L30)+
SUMIFS(Cash!H:H,Cash!A:A,LTV!L30)+
SUMIFS('JPM - DP (3R)'!$J:$J,'JPM - DP (3R)'!$A:$A,LTV!L30)),"")/1000*$N30+$O30</f>
        <v>15945.878007951051</v>
      </c>
      <c r="N30" s="386">
        <v>1</v>
      </c>
      <c r="O30" s="386">
        <f>-O29</f>
        <v>-10000</v>
      </c>
      <c r="P30" s="387">
        <f ca="1">-(SUMIFS(Loans!G:G,Loans!A:A,L30)/1000+$Q30)</f>
        <v>5705.9537433800006</v>
      </c>
      <c r="Q30" s="387">
        <f ca="1">-Q29</f>
        <v>2735.1775322240001</v>
      </c>
      <c r="R30" s="391">
        <f ca="1">P30/M30</f>
        <v>0.35783252201822041</v>
      </c>
      <c r="S30" t="s">
        <v>1126</v>
      </c>
    </row>
    <row r="31" spans="2:24" ht="16.5" thickTop="1" thickBot="1" x14ac:dyDescent="0.3">
      <c r="B31" s="374" t="s">
        <v>1213</v>
      </c>
      <c r="C31" s="411"/>
      <c r="D31" s="384">
        <v>0</v>
      </c>
      <c r="K31" s="399" t="s">
        <v>205</v>
      </c>
      <c r="L31" s="399"/>
      <c r="M31" s="400" t="e">
        <f ca="1">SUM(M27:M30)</f>
        <v>#VALUE!</v>
      </c>
      <c r="N31" s="400"/>
      <c r="O31" s="400"/>
      <c r="P31" s="400">
        <f ca="1">SUM(P27:P30)</f>
        <v>49481.316077904004</v>
      </c>
      <c r="Q31" s="400"/>
      <c r="R31" s="401" t="e">
        <f ca="1">P31/M31</f>
        <v>#VALUE!</v>
      </c>
      <c r="S31" s="402"/>
    </row>
    <row r="32" spans="2:24" ht="15.75" thickBot="1" x14ac:dyDescent="0.3">
      <c r="B32" s="377" t="s">
        <v>1128</v>
      </c>
      <c r="D32" s="375">
        <v>0</v>
      </c>
    </row>
    <row r="33" spans="2:19" ht="15.75" thickBot="1" x14ac:dyDescent="0.3">
      <c r="B33" s="377" t="s">
        <v>1132</v>
      </c>
      <c r="D33" s="376" t="s">
        <v>21</v>
      </c>
    </row>
    <row r="34" spans="2:19" ht="16.5" thickBot="1" x14ac:dyDescent="0.3">
      <c r="B34" s="372" t="s">
        <v>1133</v>
      </c>
      <c r="C34" s="373"/>
      <c r="D34" s="375">
        <v>6400</v>
      </c>
      <c r="F34" s="412" t="s">
        <v>1151</v>
      </c>
      <c r="G34" s="370"/>
      <c r="H34" s="370"/>
      <c r="I34" s="406" t="s">
        <v>1142</v>
      </c>
      <c r="K34" s="412" t="s">
        <v>1143</v>
      </c>
      <c r="L34" s="370"/>
      <c r="M34" s="370"/>
      <c r="N34" s="370"/>
      <c r="O34" s="370"/>
      <c r="P34" s="370"/>
      <c r="Q34" s="370"/>
      <c r="R34" s="370"/>
      <c r="S34" s="406" t="s">
        <v>1142</v>
      </c>
    </row>
    <row r="35" spans="2:19" ht="15.75" thickBot="1" x14ac:dyDescent="0.3">
      <c r="B35" s="377" t="s">
        <v>1134</v>
      </c>
      <c r="D35" s="375">
        <v>3200</v>
      </c>
      <c r="F35" s="11" t="s">
        <v>1104</v>
      </c>
      <c r="G35" s="11" t="s">
        <v>1148</v>
      </c>
      <c r="H35" s="11" t="s">
        <v>1140</v>
      </c>
      <c r="I35" s="11" t="s">
        <v>1097</v>
      </c>
      <c r="K35" s="11" t="s">
        <v>375</v>
      </c>
      <c r="L35" s="11" t="s">
        <v>1104</v>
      </c>
      <c r="M35" s="11" t="s">
        <v>1148</v>
      </c>
      <c r="N35" s="382" t="s">
        <v>1137</v>
      </c>
      <c r="O35" s="382" t="s">
        <v>1138</v>
      </c>
      <c r="P35" s="11" t="s">
        <v>1105</v>
      </c>
      <c r="Q35" s="383" t="s">
        <v>1139</v>
      </c>
      <c r="R35" s="11" t="s">
        <v>1097</v>
      </c>
      <c r="S35" s="11" t="s">
        <v>2235</v>
      </c>
    </row>
    <row r="36" spans="2:19" x14ac:dyDescent="0.25">
      <c r="B36" s="374" t="s">
        <v>1135</v>
      </c>
      <c r="C36" s="263"/>
      <c r="D36" s="407">
        <f>D34-D35</f>
        <v>3200</v>
      </c>
      <c r="F36" s="371" t="s">
        <v>51</v>
      </c>
      <c r="G36" s="156" t="e">
        <f ca="1">SUMIFS($M$36:$M$47,$L$36:$L$47,F36)</f>
        <v>#VALUE!</v>
      </c>
      <c r="H36" s="156">
        <f ca="1">SUMIFS($P$36:$P$47,$L$36:$L$47,F36)</f>
        <v>35852.151432000006</v>
      </c>
      <c r="I36" s="134" t="str">
        <f ca="1">IFERROR(H36/G36,"-")</f>
        <v>-</v>
      </c>
      <c r="J36" s="371"/>
      <c r="K36" s="404" t="s">
        <v>2246</v>
      </c>
      <c r="L36" s="381" t="s">
        <v>51</v>
      </c>
      <c r="M36" s="380">
        <f ca="1">IFERROR((SUMIFS(Bonds!AC:AC,Bonds!B:B,LTV!S36)+
SUMIFS('Bonds ETFs'!S:S,'Bonds ETFs'!A:A,LTV!S36)+
SUMIFS(Deposits!V:V,Deposits!A:A,LTV!S36)+
SUMIFS(Equities!L:L,Equities!A:A,LTV!S36)+
SUMIFS('Alternative assets'!Z:Z,'Alternative assets'!A:A,LTV!S36)+
SUMIFS(Cash!H:H,Cash!A:A,LTV!S36))+
SUMIFS('Real Estate'!F:F,'Real Estate'!A:A,S36,'Real Estate'!B:B,LTV!K36)+
SUMIFS('JPM - DP (3R)'!$J:$J,'JPM - DP (3R)'!$A:$A,LTV!S36),"")/1000*$N36+$O36</f>
        <v>8419.6916922224627</v>
      </c>
      <c r="N36" s="380">
        <v>1</v>
      </c>
      <c r="O36" s="380">
        <f>-O37</f>
        <v>-10000</v>
      </c>
      <c r="P36" s="381"/>
      <c r="Q36" s="381"/>
      <c r="R36" s="394"/>
      <c r="S36" s="404" t="s">
        <v>366</v>
      </c>
    </row>
    <row r="37" spans="2:19" x14ac:dyDescent="0.25">
      <c r="F37" s="379" t="s">
        <v>49</v>
      </c>
      <c r="G37" s="205">
        <f ca="1">SUMIFS($M$36:$M$47,$L$36:$L$47,F37)</f>
        <v>20902.87076791135</v>
      </c>
      <c r="H37" s="205">
        <f ca="1">SUMIFS($P$36:$P$47,$L$36:$L$47,F37)</f>
        <v>5188.0333703000006</v>
      </c>
      <c r="I37" s="395">
        <f ca="1">IFERROR(H37/G37,"-")</f>
        <v>0.24819717003964414</v>
      </c>
      <c r="J37" s="388"/>
      <c r="K37" s="371" t="s">
        <v>2246</v>
      </c>
      <c r="L37" s="387" t="s">
        <v>90</v>
      </c>
      <c r="M37" s="386">
        <f ca="1">IFERROR((SUMIFS(Bonds!AC:AC,Bonds!B:B,LTV!S37)+
SUMIFS('Bonds ETFs'!S:S,'Bonds ETFs'!A:A,LTV!S37)+
SUMIFS(Deposits!V:V,Deposits!A:A,LTV!S37)+
SUMIFS(Equities!L:L,Equities!A:A,LTV!S37)+
SUMIFS('Alternative assets'!Z:Z,'Alternative assets'!A:A,LTV!S37)+
SUMIFS(Cash!H:H,Cash!A:A,LTV!S37))+
SUMIFS('Real Estate'!F:F,'Real Estate'!A:A,S37,'Real Estate'!B:B,LTV!K37)+
SUMIFS('JPM - DP (3R)'!$J:$J,'JPM - DP (3R)'!$A:$A,LTV!S37),"")/1000*$N37+$O37</f>
        <v>10000</v>
      </c>
      <c r="N37" s="386"/>
      <c r="O37" s="386">
        <f>Deposits!F2/1000</f>
        <v>10000</v>
      </c>
      <c r="P37" s="387"/>
      <c r="Q37" s="387"/>
      <c r="R37" s="391"/>
      <c r="S37" s="371" t="s">
        <v>366</v>
      </c>
    </row>
    <row r="38" spans="2:19" x14ac:dyDescent="0.25">
      <c r="F38" s="388" t="s">
        <v>90</v>
      </c>
      <c r="G38" s="156">
        <f ca="1">SUMIFS($M$36:$M$47,$L$36:$L$47,F38)</f>
        <v>35945.878007951047</v>
      </c>
      <c r="H38" s="156">
        <f ca="1">SUMIFS($P$36:$P$47,$L$36:$L$47,F38)</f>
        <v>8441.1312756040006</v>
      </c>
      <c r="I38" s="134">
        <f ca="1">IFERROR(H38/G38,"-")</f>
        <v>0.23482890788581837</v>
      </c>
      <c r="J38" s="388"/>
      <c r="K38" s="404" t="s">
        <v>1145</v>
      </c>
      <c r="L38" s="381" t="s">
        <v>51</v>
      </c>
      <c r="M38" s="380" t="e">
        <f ca="1">IFERROR((SUMIFS(Bonds!AC:AC,Bonds!B:B,LTV!S38)+
SUMIFS('Bonds ETFs'!S:S,'Bonds ETFs'!A:A,LTV!S38)+
SUMIFS(Deposits!V:V,Deposits!A:A,LTV!S38)+
SUMIFS(Equities!L:L,Equities!A:A,LTV!S38)+
SUMIFS('Alternative assets'!Z:Z,'Alternative assets'!A:A,LTV!S38)+
SUMIFS(Cash!H:H,Cash!A:A,LTV!S38))+
SUMIFS('Real Estate'!F:F,'Real Estate'!A:A,S38,'Real Estate'!B:B,LTV!K38)+
SUMIFS('JPM - DP (3R)'!$J:$J,'JPM - DP (3R)'!$A:$A,LTV!S38),"")/1000*$N38+$O38</f>
        <v>#VALUE!</v>
      </c>
      <c r="N38" s="380">
        <v>1</v>
      </c>
      <c r="O38" s="380"/>
      <c r="P38" s="381">
        <f ca="1">-(SUMIFS(Loans!G:G,Loans!A:A,S38)/1000+$Q38)</f>
        <v>35852.151432000006</v>
      </c>
      <c r="Q38" s="381"/>
      <c r="R38" s="394" t="e">
        <f ca="1">P38/M38</f>
        <v>#VALUE!</v>
      </c>
      <c r="S38" s="404" t="s">
        <v>51</v>
      </c>
    </row>
    <row r="39" spans="2:19" ht="15.75" thickBot="1" x14ac:dyDescent="0.3">
      <c r="F39" s="381" t="s">
        <v>394</v>
      </c>
      <c r="G39" s="205">
        <f ca="1">SUMIFS($M$36:$M$47,$L$36:$L$47,F39)</f>
        <v>53636.191236239327</v>
      </c>
      <c r="H39" s="205">
        <f>SUMIFS($P$36:$P$47,$L$36:$L$47,F39)</f>
        <v>0</v>
      </c>
      <c r="I39" s="395">
        <f ca="1">IFERROR(H39/G39,"-")</f>
        <v>0</v>
      </c>
      <c r="J39" s="388"/>
      <c r="K39" s="371" t="s">
        <v>1145</v>
      </c>
      <c r="L39" s="387" t="s">
        <v>49</v>
      </c>
      <c r="M39" s="386">
        <f ca="1">IFERROR((SUMIFS(Bonds!AC:AC,Bonds!B:B,LTV!S39)+
SUMIFS('Bonds ETFs'!S:S,'Bonds ETFs'!A:A,LTV!S39)+
SUMIFS(Deposits!V:V,Deposits!A:A,LTV!S39)+
SUMIFS(Equities!L:L,Equities!A:A,LTV!S39)+
SUMIFS('Alternative assets'!Z:Z,'Alternative assets'!A:A,LTV!S39)+
SUMIFS(Cash!H:H,Cash!A:A,LTV!S39))+
SUMIFS('Real Estate'!F:F,'Real Estate'!A:A,S39,'Real Estate'!B:B,LTV!K39)+
SUMIFS('JPM - DP (3R)'!$J:$J,'JPM - DP (3R)'!$A:$A,LTV!S39),"")/1000*$N39+$O39</f>
        <v>20902.87076791135</v>
      </c>
      <c r="N39" s="386">
        <v>1</v>
      </c>
      <c r="O39" s="386"/>
      <c r="P39" s="387">
        <f ca="1">-(SUMIFS(Loans!G:G,Loans!A:A,S39)/1000+$Q39)</f>
        <v>5188.0333703000006</v>
      </c>
      <c r="Q39" s="387"/>
      <c r="R39" s="391">
        <f ca="1">P39/M39</f>
        <v>0.24819717003964414</v>
      </c>
      <c r="S39" s="388" t="s">
        <v>49</v>
      </c>
    </row>
    <row r="40" spans="2:19" ht="16.5" thickTop="1" thickBot="1" x14ac:dyDescent="0.3">
      <c r="F40" s="396" t="s">
        <v>205</v>
      </c>
      <c r="G40" s="397" t="e">
        <f ca="1">SUM(G36:G39)</f>
        <v>#VALUE!</v>
      </c>
      <c r="H40" s="397">
        <f ca="1">SUM(H36:H39)</f>
        <v>49481.316077904004</v>
      </c>
      <c r="I40" s="398" t="str">
        <f ca="1">IFERROR(H40/G40,"-")</f>
        <v>-</v>
      </c>
      <c r="J40" s="388"/>
      <c r="K40" s="404" t="s">
        <v>1145</v>
      </c>
      <c r="L40" s="381" t="s">
        <v>90</v>
      </c>
      <c r="M40" s="380">
        <f ca="1">IFERROR((SUMIFS(Bonds!AC:AC,Bonds!B:B,LTV!S40)+
SUMIFS('Bonds ETFs'!S:S,'Bonds ETFs'!A:A,LTV!S40)+
SUMIFS(Deposits!V:V,Deposits!A:A,LTV!S40)+
SUMIFS(Equities!L:L,Equities!A:A,LTV!S40)+
SUMIFS('Alternative assets'!Z:Z,'Alternative assets'!A:A,LTV!S40)+
SUMIFS(Cash!H:H,Cash!A:A,LTV!S40))+
SUMIFS('Real Estate'!F:F,'Real Estate'!A:A,S40,'Real Estate'!B:B,LTV!K40)+
SUMIFS('JPM - DP (3R)'!$J:$J,'JPM - DP (3R)'!$A:$A,LTV!S40),"")/1000*$N40+$O40</f>
        <v>12652.665945697556</v>
      </c>
      <c r="N40" s="380">
        <v>1</v>
      </c>
      <c r="O40" s="380">
        <f>-SUM('JPM - DP (3R)'!J:J)/1000</f>
        <v>-13293.212062253495</v>
      </c>
      <c r="P40" s="381">
        <f ca="1">-(SUMIFS(Loans!G:G,Loans!A:A,S40)/1000+$Q40)</f>
        <v>8441.1312756040006</v>
      </c>
      <c r="Q40" s="381"/>
      <c r="R40" s="394">
        <f ca="1">P40/M40</f>
        <v>0.66714250671214026</v>
      </c>
      <c r="S40" s="379" t="s">
        <v>90</v>
      </c>
    </row>
    <row r="41" spans="2:19" ht="15.75" thickTop="1" x14ac:dyDescent="0.25">
      <c r="D41" s="460"/>
      <c r="J41" s="403"/>
      <c r="K41" s="388" t="s">
        <v>2396</v>
      </c>
      <c r="L41" s="387" t="s">
        <v>90</v>
      </c>
      <c r="M41" s="386">
        <f ca="1">IFERROR((SUMIFS(Bonds!AC:AC,Bonds!B:B,LTV!S41)+
SUMIFS('Bonds ETFs'!S:S,'Bonds ETFs'!A:A,LTV!S41)+
SUMIFS(Deposits!V:V,Deposits!A:A,LTV!S41)+
SUMIFS(Equities!L:L,Equities!A:A,LTV!S41)+
SUMIFS('Alternative assets'!Z:Z,'Alternative assets'!A:A,LTV!S41)+
SUMIFS(Cash!H:H,Cash!A:A,LTV!S41))+
SUMIFS('Real Estate'!F:F,'Real Estate'!A:A,S41,'Real Estate'!B:B,LTV!K41)+
SUMIFS('JPM - DP (3R)'!$J:$J,'JPM - DP (3R)'!$A:$A,LTV!S41),"")/1000*$N41+$O41</f>
        <v>13293.212062253495</v>
      </c>
      <c r="N41" s="386">
        <v>0</v>
      </c>
      <c r="O41" s="386">
        <f>-O40</f>
        <v>13293.212062253495</v>
      </c>
      <c r="P41" s="387">
        <f ca="1">-(SUMIFS(Loans!G:G,Loans!A:A,S41)/1000+$Q41)</f>
        <v>0</v>
      </c>
      <c r="Q41" s="387">
        <f ca="1">P40</f>
        <v>8441.1312756040006</v>
      </c>
      <c r="R41" s="391"/>
      <c r="S41" s="388" t="s">
        <v>90</v>
      </c>
    </row>
    <row r="42" spans="2:19" x14ac:dyDescent="0.25">
      <c r="J42" s="403"/>
      <c r="K42" s="379" t="s">
        <v>395</v>
      </c>
      <c r="L42" s="381" t="s">
        <v>394</v>
      </c>
      <c r="M42" s="380">
        <f ca="1">IFERROR((SUMIFS(Bonds!AC:AC,Bonds!B:B,LTV!S42)+
SUMIFS('Bonds ETFs'!S:S,'Bonds ETFs'!A:A,LTV!S42)+
SUMIFS(Deposits!V:V,Deposits!A:A,LTV!S42)+
SUMIFS(Equities!L:L,Equities!A:A,LTV!S42)+
SUMIFS('Alternative assets'!Z:Z,'Alternative assets'!A:A,LTV!S42)+
SUMIFS(Cash!H:H,Cash!A:A,LTV!S42))+
SUMIFS('Real Estate'!F:F,'Real Estate'!A:A,S42,'Real Estate'!B:B,LTV!K42)+
SUMIFS('JPM - DP (3R)'!$J:$J,'JPM - DP (3R)'!$A:$A,LTV!S42),"")/1000*$N42+$O42</f>
        <v>7637.0177797183323</v>
      </c>
      <c r="N42" s="380">
        <v>1</v>
      </c>
      <c r="O42" s="380"/>
      <c r="P42" s="381">
        <f>-(SUMIFS(Loans!G:G,Loans!A:A,S42)/1000+$Q42)</f>
        <v>0</v>
      </c>
      <c r="Q42" s="381"/>
      <c r="R42" s="394"/>
      <c r="S42" s="379" t="s">
        <v>394</v>
      </c>
    </row>
    <row r="43" spans="2:19" x14ac:dyDescent="0.25">
      <c r="D43" s="461"/>
      <c r="K43" s="388" t="s">
        <v>1144</v>
      </c>
      <c r="L43" s="387" t="s">
        <v>51</v>
      </c>
      <c r="M43" s="386">
        <f ca="1">SUM('Real Estate'!F2:F4)/1000</f>
        <v>26059.050835649999</v>
      </c>
      <c r="N43" s="386">
        <v>1</v>
      </c>
      <c r="O43" s="386">
        <f ca="1">SUM('Real Estate'!F3:F4)/1000</f>
        <v>25121.799835649999</v>
      </c>
      <c r="P43" s="387">
        <f ca="1">-(SUMIFS(Loans!G:G,Loans!A:A,S43)/1000+$Q43)</f>
        <v>0</v>
      </c>
      <c r="Q43" s="387">
        <f ca="1">P38</f>
        <v>35852.151432000006</v>
      </c>
      <c r="R43" s="391"/>
      <c r="S43" s="371" t="s">
        <v>51</v>
      </c>
    </row>
    <row r="44" spans="2:19" x14ac:dyDescent="0.25">
      <c r="K44" s="379" t="s">
        <v>1162</v>
      </c>
      <c r="L44" s="404" t="s">
        <v>394</v>
      </c>
      <c r="M44" s="380">
        <f ca="1">IFERROR((SUMIFS(Bonds!AC:AC,Bonds!B:B,LTV!S44)+
SUMIFS('Bonds ETFs'!S:S,'Bonds ETFs'!A:A,LTV!S44)+
SUMIFS(Deposits!V:V,Deposits!A:A,LTV!S44)+
SUMIFS(Equities!L:L,Equities!A:A,LTV!S44)+
SUMIFS('Alternative assets'!Z:Z,'Alternative assets'!A:A,LTV!S44)+
SUMIFS(Cash!H:H,Cash!A:A,LTV!S44))+
SUMIFS('Real Estate'!F:F,'Real Estate'!A:A,S44,'Real Estate'!B:B,LTV!K44)+
SUMIFS('JPM - DP (3R)'!$J:$J,'JPM - DP (3R)'!$A:$A,LTV!S44),"")/1000*$N44+$O44</f>
        <v>24886.570456520996</v>
      </c>
      <c r="N44" s="203">
        <v>1</v>
      </c>
      <c r="O44" s="203"/>
      <c r="P44" s="381">
        <f>-(SUMIFS(Loans!G:G,Loans!A:A,S44)/1000+$Q44)</f>
        <v>0</v>
      </c>
      <c r="Q44" s="203"/>
      <c r="R44" s="203"/>
      <c r="S44" s="404" t="s">
        <v>1160</v>
      </c>
    </row>
    <row r="45" spans="2:19" x14ac:dyDescent="0.25">
      <c r="K45" s="388" t="s">
        <v>1162</v>
      </c>
      <c r="L45" s="387" t="s">
        <v>394</v>
      </c>
      <c r="M45" s="386">
        <f ca="1">IFERROR((SUMIFS(Bonds!AC:AC,Bonds!B:B,LTV!S45)+
SUMIFS('Bonds ETFs'!S:S,'Bonds ETFs'!A:A,LTV!S45)+
SUMIFS(Deposits!V:V,Deposits!A:A,LTV!S45)+
SUMIFS(Equities!L:L,Equities!A:A,LTV!S45)+
SUMIFS('Alternative assets'!Z:Z,'Alternative assets'!A:A,LTV!S45)+
SUMIFS(Cash!H:H,Cash!A:A,LTV!S45))+
SUMIFS('Real Estate'!F:F,'Real Estate'!A:A,S45,'Real Estate'!B:B,LTV!K45)+
SUMIFS('JPM - DP (3R)'!$J:$J,'JPM - DP (3R)'!$A:$A,LTV!S45),"")/1000*$N45+$O45</f>
        <v>193.923</v>
      </c>
      <c r="N45">
        <v>1</v>
      </c>
      <c r="O45" s="386"/>
      <c r="P45" s="387">
        <f>-(SUMIFS(Loans!G:G,Loans!A:A,S45)/1000+$Q45)</f>
        <v>0</v>
      </c>
      <c r="Q45" s="387"/>
      <c r="R45" s="391"/>
      <c r="S45" s="371" t="s">
        <v>1161</v>
      </c>
    </row>
    <row r="46" spans="2:19" x14ac:dyDescent="0.25">
      <c r="K46" s="379" t="s">
        <v>1162</v>
      </c>
      <c r="L46" s="404" t="s">
        <v>394</v>
      </c>
      <c r="M46" s="380">
        <f ca="1">IFERROR((SUMIFS(Bonds!AC:AC,Bonds!B:B,LTV!S46)+
SUMIFS('Bonds ETFs'!S:S,'Bonds ETFs'!A:A,LTV!S46)+
SUMIFS(Deposits!V:V,Deposits!A:A,LTV!S46)+
SUMIFS(Equities!L:L,Equities!A:A,LTV!S46)+
SUMIFS('Alternative assets'!Z:Z,'Alternative assets'!A:A,LTV!S46)+
SUMIFS(Cash!H:H,Cash!A:A,LTV!S46))+
SUMIFS('Real Estate'!F:F,'Real Estate'!A:A,S46,'Real Estate'!B:B,LTV!K46)+
SUMIFS('JPM - DP (3R)'!$J:$J,'JPM - DP (3R)'!$A:$A,LTV!S46),"")/1000*$N46+$O46</f>
        <v>10966.68</v>
      </c>
      <c r="N46" s="203">
        <v>1</v>
      </c>
      <c r="O46" s="203"/>
      <c r="P46" s="381">
        <f>-(SUMIFS(Loans!G:G,Loans!A:A,S46)/1000+$Q46)</f>
        <v>0</v>
      </c>
      <c r="Q46" s="203"/>
      <c r="R46" s="203"/>
      <c r="S46" s="404" t="s">
        <v>1171</v>
      </c>
    </row>
    <row r="47" spans="2:19" ht="15.75" thickBot="1" x14ac:dyDescent="0.3">
      <c r="K47" s="388" t="s">
        <v>1162</v>
      </c>
      <c r="L47" s="387" t="s">
        <v>394</v>
      </c>
      <c r="M47" s="386">
        <f>IFERROR((SUMIFS(Bonds!AC:AC,Bonds!B:B,LTV!S47)+
SUMIFS('Bonds ETFs'!S:S,'Bonds ETFs'!A:A,LTV!S47)+
SUMIFS(Deposits!V:V,Deposits!A:A,LTV!S47)+
SUMIFS(Equities!L:L,Equities!A:A,LTV!S47)+
SUMIFS('Alternative assets'!Z:Z,'Alternative assets'!A:A,LTV!S47)+
SUMIFS(Cash!H:H,Cash!A:A,LTV!S47))+
SUMIFS('Real Estate'!F:F,'Real Estate'!A:A,S47,'Real Estate'!B:B,LTV!K47)+
SUMIFS('JPM - DP (3R)'!$J:$J,'JPM - DP (3R)'!$A:$A,LTV!S47),"")/1000*$N47+$O47</f>
        <v>9952</v>
      </c>
      <c r="N47">
        <v>1</v>
      </c>
      <c r="O47"/>
      <c r="P47" s="387">
        <f>-(SUMIFS(Loans!G:G,Loans!A:A,S47)/1000+$Q47)</f>
        <v>0</v>
      </c>
      <c r="Q47"/>
      <c r="R47"/>
      <c r="S47" s="371" t="s">
        <v>1169</v>
      </c>
    </row>
    <row r="48" spans="2:19" ht="16.5" thickTop="1" thickBot="1" x14ac:dyDescent="0.3">
      <c r="K48" s="399" t="s">
        <v>205</v>
      </c>
      <c r="L48" s="710"/>
      <c r="M48" s="397" t="e">
        <f ca="1">SUM(M36:M47)</f>
        <v>#VALUE!</v>
      </c>
      <c r="N48" s="400"/>
      <c r="O48" s="400"/>
      <c r="P48" s="400">
        <f ca="1">SUM(P38:P47)</f>
        <v>49481.316077904004</v>
      </c>
      <c r="Q48" s="400"/>
      <c r="R48" s="401" t="e">
        <f ca="1">P48/M48</f>
        <v>#VALUE!</v>
      </c>
      <c r="S48" s="400"/>
    </row>
    <row r="49" spans="3:13" ht="15.75" thickTop="1" x14ac:dyDescent="0.25">
      <c r="M49" s="711" t="s">
        <v>2393</v>
      </c>
    </row>
    <row r="52" spans="3:13" x14ac:dyDescent="0.25">
      <c r="M52" s="695"/>
    </row>
    <row r="60" spans="3:13" x14ac:dyDescent="0.25">
      <c r="C60" s="131"/>
    </row>
  </sheetData>
  <mergeCells count="1">
    <mergeCell ref="B25:D25"/>
  </mergeCell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notEqual" id="{229525D1-40A6-4DDE-AD4F-3D8DD05574D3}">
            <xm:f>Results!$I$11/1000</xm:f>
            <x14:dxf>
              <font>
                <b val="0"/>
                <i val="0"/>
                <color rgb="FFC00000"/>
              </font>
              <fill>
                <patternFill>
                  <bgColor theme="5" tint="0.79998168889431442"/>
                </patternFill>
              </fill>
            </x14:dxf>
          </x14:cfRule>
          <x14:cfRule type="cellIs" priority="2" operator="equal" id="{34ED2750-FEE4-451B-BF64-F40DEA95DD32}">
            <xm:f>Results!$I$11/1000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M48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InputMessage="1" showErrorMessage="1" xr:uid="{D94B4014-69A1-47B0-8384-FD989B792B3E}">
          <x14:formula1>
            <xm:f>'Tech list'!$A$126:$A$226</xm:f>
          </x14:formula1>
          <xm:sqref>D31:D32 D34:D35</xm:sqref>
        </x14:dataValidation>
        <x14:dataValidation type="list" allowBlank="1" showInputMessage="1" showErrorMessage="1" xr:uid="{8213A43B-C432-4A49-BBCC-EA9F20BF9F08}">
          <x14:formula1>
            <xm:f>'Tech list'!$G$4:$G$8</xm:f>
          </x14:formula1>
          <xm:sqref>D33</xm:sqref>
        </x14:dataValidation>
        <x14:dataValidation type="list" allowBlank="1" showInputMessage="1" showErrorMessage="1" xr:uid="{FB70D3A5-86C8-49CA-B568-5947855766F6}">
          <x14:formula1>
            <xm:f>'Tech list'!$H$1:$H$2</xm:f>
          </x14:formula1>
          <xm:sqref>D27:D30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tabColor theme="9" tint="0.79998168889431442"/>
  </sheetPr>
  <dimension ref="B1:AN155"/>
  <sheetViews>
    <sheetView zoomScaleNormal="100" workbookViewId="0">
      <selection activeCell="M2" sqref="M2:P2"/>
    </sheetView>
  </sheetViews>
  <sheetFormatPr defaultColWidth="9.140625" defaultRowHeight="15" outlineLevelCol="1" x14ac:dyDescent="0.25"/>
  <cols>
    <col min="1" max="1" width="3.7109375" style="118" customWidth="1"/>
    <col min="2" max="2" width="10.140625" style="118" bestFit="1" customWidth="1"/>
    <col min="3" max="3" width="20.85546875" style="118" customWidth="1"/>
    <col min="4" max="5" width="9.140625" style="118"/>
    <col min="6" max="6" width="13.28515625" style="118" bestFit="1" customWidth="1"/>
    <col min="7" max="7" width="5.85546875" style="118" customWidth="1"/>
    <col min="8" max="8" width="35" style="118" customWidth="1"/>
    <col min="9" max="10" width="9.140625" style="118"/>
    <col min="11" max="11" width="13.7109375" style="118" bestFit="1" customWidth="1"/>
    <col min="12" max="12" width="7.28515625" style="118" customWidth="1"/>
    <col min="13" max="13" width="36.140625" style="118" bestFit="1" customWidth="1"/>
    <col min="14" max="14" width="13.28515625" style="118" bestFit="1" customWidth="1"/>
    <col min="15" max="15" width="11.7109375" style="118" customWidth="1"/>
    <col min="16" max="16" width="12.85546875" style="118" bestFit="1" customWidth="1"/>
    <col min="17" max="18" width="9.140625" style="118"/>
    <col min="19" max="19" width="32.85546875" style="118" hidden="1" customWidth="1" outlineLevel="1"/>
    <col min="20" max="20" width="15" style="118" hidden="1" customWidth="1" outlineLevel="1"/>
    <col min="21" max="30" width="9.140625" style="118" hidden="1" customWidth="1" outlineLevel="1"/>
    <col min="31" max="31" width="12.85546875" style="118" hidden="1" customWidth="1" outlineLevel="1"/>
    <col min="32" max="32" width="9.140625" style="118" hidden="1" customWidth="1" outlineLevel="1"/>
    <col min="33" max="35" width="10.140625" style="130" hidden="1" customWidth="1" outlineLevel="1"/>
    <col min="36" max="39" width="9.140625" style="118" hidden="1" customWidth="1" outlineLevel="1"/>
    <col min="40" max="40" width="9.140625" style="118" collapsed="1"/>
    <col min="41" max="16384" width="9.140625" style="118"/>
  </cols>
  <sheetData>
    <row r="1" spans="2:39" ht="9.75" customHeight="1" x14ac:dyDescent="0.25">
      <c r="B1" s="128"/>
      <c r="S1" s="118" t="s">
        <v>197</v>
      </c>
      <c r="T1" s="118" t="s">
        <v>198</v>
      </c>
      <c r="X1" s="118" t="s">
        <v>199</v>
      </c>
      <c r="Y1" s="118" t="s">
        <v>200</v>
      </c>
      <c r="AD1" s="118" t="s">
        <v>201</v>
      </c>
      <c r="AG1" s="130" t="s">
        <v>202</v>
      </c>
      <c r="AH1" s="130" t="s">
        <v>203</v>
      </c>
      <c r="AI1" s="130" t="s">
        <v>204</v>
      </c>
      <c r="AJ1" s="118" t="s">
        <v>18</v>
      </c>
      <c r="AK1" s="118" t="s">
        <v>21</v>
      </c>
      <c r="AL1" s="118" t="s">
        <v>19</v>
      </c>
      <c r="AM1" s="118" t="s">
        <v>205</v>
      </c>
    </row>
    <row r="2" spans="2:39" ht="15.75" x14ac:dyDescent="0.25">
      <c r="B2" s="1043" t="s">
        <v>206</v>
      </c>
      <c r="C2" s="1044"/>
      <c r="D2" s="1044"/>
      <c r="E2" s="1044"/>
      <c r="F2" s="1045"/>
      <c r="H2" s="1043" t="s">
        <v>207</v>
      </c>
      <c r="I2" s="1044"/>
      <c r="J2" s="1044"/>
      <c r="K2" s="1045"/>
      <c r="L2" s="128"/>
      <c r="M2" s="1043" t="s">
        <v>208</v>
      </c>
      <c r="N2" s="1044"/>
      <c r="O2" s="1044"/>
      <c r="P2" s="1045"/>
      <c r="S2" s="118" t="str" cm="1">
        <f t="array" ref="S2:S28">_xlfn.UNIQUE(T_Bonds[Sector marker])</f>
        <v>Fertilizers</v>
      </c>
      <c r="T2" s="133">
        <f ca="1">SUMIFS(T_Bonds[Market value in USD],T_Bonds[Sector marker],S2)</f>
        <v>408745.57500000001</v>
      </c>
      <c r="U2" s="134">
        <f ca="1">T2/Results!$I$20</f>
        <v>5.6979779879066279E-3</v>
      </c>
      <c r="V2" s="135">
        <f ca="1">T2/Results!$I$11</f>
        <v>7.4683582881059658E-3</v>
      </c>
      <c r="X2" s="118" t="str" cm="1">
        <f t="array" ref="X2:X29">_xlfn.UNIQUE(T_Bonds[Country])</f>
        <v>Hungary</v>
      </c>
      <c r="Y2" s="118" t="s">
        <v>209</v>
      </c>
      <c r="Z2" s="118">
        <f ca="1">SUMIFS(T_Bonds[Market value in USD],T_Bonds[Country],X2)</f>
        <v>408745.57500000001</v>
      </c>
      <c r="AA2" s="118" t="str" cm="1">
        <f t="array" ref="AA2:AA8">_xlfn.UNIQUE(Y2:Y29)</f>
        <v>Europe</v>
      </c>
      <c r="AB2" s="134">
        <f ca="1">SUMIFS(Z:Z,Y:Y,AA2)/Results!$I$20</f>
        <v>0.22849201152694129</v>
      </c>
      <c r="AD2" s="118" t="str" cm="1">
        <f t="array" ref="AD2:AD71">_xlfn.UNIQUE(T_Bonds[Issuer])</f>
        <v>Nitrogenmuvek</v>
      </c>
      <c r="AE2" s="131">
        <f ca="1">SUMIFS(T_Bonds[Market value in USD],T_Bonds[Issuer],AD2)</f>
        <v>408745.57500000001</v>
      </c>
      <c r="AG2" s="130" t="e" cm="1">
        <f t="array" ref="AG2">_xlfn.UNIQUE(#REF!,FALSE,FALSE)</f>
        <v>#REF!</v>
      </c>
      <c r="AH2" s="118" t="e">
        <f>_xlfn.ISOWEEKNUM(AG2)</f>
        <v>#REF!</v>
      </c>
      <c r="AI2" s="118" t="e">
        <f>YEAR(AG2)</f>
        <v>#REF!</v>
      </c>
      <c r="AJ2" s="118" t="e">
        <f>SUMIFS(#REF!,#REF!,$AG2,T_Bonds[Risk CCY],AJ$1)</f>
        <v>#REF!</v>
      </c>
      <c r="AK2" s="118" t="e">
        <f>SUMIFS(#REF!,#REF!,$AG2,T_Bonds[Risk CCY],AK$1)</f>
        <v>#REF!</v>
      </c>
      <c r="AL2" s="118" t="e">
        <f>SUMIFS(#REF!,#REF!,$AG2,T_Bonds[Risk CCY],AL$1)</f>
        <v>#REF!</v>
      </c>
    </row>
    <row r="3" spans="2:39" ht="30" x14ac:dyDescent="0.25">
      <c r="B3" s="1046" t="s">
        <v>47</v>
      </c>
      <c r="C3" s="1047"/>
      <c r="D3" s="88" t="s">
        <v>210</v>
      </c>
      <c r="E3" s="88" t="s">
        <v>211</v>
      </c>
      <c r="F3" s="68" t="s">
        <v>212</v>
      </c>
      <c r="H3" s="197" t="s">
        <v>47</v>
      </c>
      <c r="I3" s="88" t="s">
        <v>210</v>
      </c>
      <c r="J3" s="88" t="s">
        <v>211</v>
      </c>
      <c r="K3" s="68" t="s">
        <v>212</v>
      </c>
      <c r="L3" s="128"/>
      <c r="M3" s="197" t="s">
        <v>47</v>
      </c>
      <c r="N3" s="88" t="s">
        <v>210</v>
      </c>
      <c r="O3" s="88" t="s">
        <v>211</v>
      </c>
      <c r="P3" s="68" t="s">
        <v>212</v>
      </c>
      <c r="S3" s="118" t="str">
        <v>Power</v>
      </c>
      <c r="T3" s="133">
        <f ca="1">SUMIFS(T_Bonds[Market value in USD],T_Bonds[Sector marker],S3)</f>
        <v>3822868.9279999998</v>
      </c>
      <c r="U3" s="134">
        <f ca="1">T3/Results!$I$20</f>
        <v>5.3291397717017991E-2</v>
      </c>
      <c r="V3" s="135">
        <f ca="1">T3/Results!$I$11</f>
        <v>6.984920838047376E-2</v>
      </c>
      <c r="X3" s="118" t="str">
        <v>Italy</v>
      </c>
      <c r="Y3" s="118" t="s">
        <v>213</v>
      </c>
      <c r="Z3" s="118">
        <f ca="1">SUMIFS(T_Bonds[Market value in USD],T_Bonds[Country],X3)</f>
        <v>527256.576</v>
      </c>
      <c r="AA3" s="118" t="str">
        <v>US+Canada</v>
      </c>
      <c r="AB3" s="134">
        <f ca="1">SUMIFS(Z:Z,Y:Y,AA3)/Results!$I$20</f>
        <v>0.11099744693084666</v>
      </c>
      <c r="AD3" s="118" t="str">
        <v>Enel</v>
      </c>
      <c r="AE3" s="131">
        <f ca="1">SUMIFS(T_Bonds[Market value in USD],T_Bonds[Issuer],AD3)</f>
        <v>527256.576</v>
      </c>
      <c r="AH3" s="118">
        <f t="shared" ref="AH3:AH66" si="0">_xlfn.ISOWEEKNUM(AG3)</f>
        <v>52</v>
      </c>
      <c r="AI3" s="118">
        <f t="shared" ref="AI3:AI66" si="1">YEAR(AG3)</f>
        <v>1900</v>
      </c>
      <c r="AJ3" s="118" t="e">
        <f>SUMIFS(#REF!,#REF!,$AG3,T_Bonds[Risk CCY],AJ$1)</f>
        <v>#REF!</v>
      </c>
      <c r="AK3" s="118" t="e">
        <f>SUMIFS(#REF!,#REF!,$AG3,T_Bonds[Risk CCY],AK$1)</f>
        <v>#REF!</v>
      </c>
      <c r="AL3" s="118" t="e">
        <f>SUMIFS(#REF!,#REF!,$AG3,T_Bonds[Risk CCY],AL$1)</f>
        <v>#REF!</v>
      </c>
    </row>
    <row r="4" spans="2:39" x14ac:dyDescent="0.25">
      <c r="B4" s="53">
        <v>1</v>
      </c>
      <c r="C4" s="22" t="str">
        <f t="shared" ref="C4:C18" ca="1" si="2">INDEX(S:U,MATCH(D4,U:U,0),1)</f>
        <v>Government</v>
      </c>
      <c r="D4" s="60">
        <f ca="1">LARGE(U:U,B4)</f>
        <v>0.21920130123732223</v>
      </c>
      <c r="E4" s="60">
        <f ca="1">LARGE(V:V,B4)</f>
        <v>0.28730785874109888</v>
      </c>
      <c r="F4" s="140">
        <f t="shared" ref="F4:F18" ca="1" si="3">LARGE(T:T,B4)</f>
        <v>15724448.585999999</v>
      </c>
      <c r="H4" s="71" t="str">
        <f ca="1">INDEX(T_Bonds[[Description]:[Market value in USD]],MATCH(LARGE(T_Bonds[[#All],[Market value in USD]],B4),T_Bonds[Market value in USD],0),1)</f>
        <v>5.625% United Mex States 19.03.2114 Reg-S Senior</v>
      </c>
      <c r="I4" s="72">
        <f ca="1">LARGE(T_Bonds[[#All],[Market value in USD]],B4)/Results!$I$20</f>
        <v>6.2090351118209562E-2</v>
      </c>
      <c r="J4" s="72">
        <f ca="1">LARGE(T_Bonds[[#All],[Market value in USD]],B4)/Results!$I$11</f>
        <v>8.1382025232332067E-2</v>
      </c>
      <c r="K4" s="144">
        <f ca="1">LARGE(T_Bonds[[#All],[Market value in USD]],B4)</f>
        <v>4454063.5860000001</v>
      </c>
      <c r="M4" s="44" t="str">
        <f ca="1">INDEX(AD:AE,MATCH(P4,AE:AE,0),1)</f>
        <v>Mexico</v>
      </c>
      <c r="N4" s="60">
        <f ca="1">LARGE(AE:AE,B4)/Results!$I$20</f>
        <v>6.2090351118209562E-2</v>
      </c>
      <c r="O4" s="60">
        <f ca="1">LARGE(AE:AE,B4)/Results!$I$11</f>
        <v>8.1382025232332067E-2</v>
      </c>
      <c r="P4" s="140">
        <f ca="1">LARGE(AE:AE,B4)</f>
        <v>4454063.5860000001</v>
      </c>
      <c r="S4" s="118" t="str">
        <v>Oil and Gas Extraction and Refining</v>
      </c>
      <c r="T4" s="133">
        <f ca="1">SUMIFS(T_Bonds[Market value in USD],T_Bonds[Sector marker],S4)</f>
        <v>9150480.3543999996</v>
      </c>
      <c r="U4" s="134">
        <f ca="1">T4/Results!$I$20</f>
        <v>0.12755914394459986</v>
      </c>
      <c r="V4" s="135">
        <f ca="1">T4/Results!$I$11</f>
        <v>0.16719218500392097</v>
      </c>
      <c r="X4" s="118" t="str">
        <v>Brazil</v>
      </c>
      <c r="Y4" s="118" t="s">
        <v>214</v>
      </c>
      <c r="Z4" s="118">
        <f ca="1">SUMIFS(T_Bonds[Market value in USD],T_Bonds[Country],X4)</f>
        <v>8617695.3543999996</v>
      </c>
      <c r="AA4" s="118" t="str">
        <v>Latin America</v>
      </c>
      <c r="AB4" s="134">
        <f ca="1">SUMIFS(Z:Z,Y:Y,AA4)/Results!$I$20</f>
        <v>0.28287195407233118</v>
      </c>
      <c r="AD4" s="118" t="str">
        <v>Petrobras</v>
      </c>
      <c r="AE4" s="131">
        <f ca="1">SUMIFS(T_Bonds[Market value in USD],T_Bonds[Issuer],AD4)</f>
        <v>4244120.3543999996</v>
      </c>
      <c r="AH4" s="118">
        <f t="shared" si="0"/>
        <v>52</v>
      </c>
      <c r="AI4" s="118">
        <f t="shared" si="1"/>
        <v>1900</v>
      </c>
      <c r="AJ4" s="118" t="e">
        <f>SUMIFS(#REF!,#REF!,$AG4,T_Bonds[Risk CCY],AJ$1)</f>
        <v>#REF!</v>
      </c>
      <c r="AK4" s="118" t="e">
        <f>SUMIFS(#REF!,#REF!,$AG4,T_Bonds[Risk CCY],AK$1)</f>
        <v>#REF!</v>
      </c>
      <c r="AL4" s="118" t="e">
        <f>SUMIFS(#REF!,#REF!,$AG4,T_Bonds[Risk CCY],AL$1)</f>
        <v>#REF!</v>
      </c>
    </row>
    <row r="5" spans="2:39" ht="15.75" thickBot="1" x14ac:dyDescent="0.3">
      <c r="B5" s="54">
        <v>2</v>
      </c>
      <c r="C5" s="46" t="str">
        <f t="shared" ca="1" si="2"/>
        <v>AT1</v>
      </c>
      <c r="D5" s="64">
        <f t="shared" ref="D5:D18" ca="1" si="4">LARGE(U:U,B5)</f>
        <v>0.14577921905067215</v>
      </c>
      <c r="E5" s="64">
        <f t="shared" ref="E5:E18" ca="1" si="5">LARGE(V:V,B5)</f>
        <v>0.19107329672761514</v>
      </c>
      <c r="F5" s="141">
        <f t="shared" ca="1" si="3"/>
        <v>10457501.0364</v>
      </c>
      <c r="H5" s="44" t="str">
        <f ca="1">INDEX(T_Bonds[[Description]:[Market value in USD]],MATCH(LARGE(T_Bonds[[#All],[Market value in USD]],B5),T_Bonds[Market value in USD],0),1)</f>
        <v>6.625% Turkey 17.02.2045 Senior</v>
      </c>
      <c r="I5" s="60">
        <f ca="1">LARGE(T_Bonds[[#All],[Market value in USD]],B5)/Results!$I$20</f>
        <v>3.8094270372351899E-2</v>
      </c>
      <c r="J5" s="60">
        <f ca="1">LARGE(T_Bonds[[#All],[Market value in USD]],B5)/Results!$I$11</f>
        <v>4.9930284123338026E-2</v>
      </c>
      <c r="K5" s="140">
        <f ca="1">LARGE(T_Bonds[[#All],[Market value in USD]],B5)</f>
        <v>2732700</v>
      </c>
      <c r="M5" s="44" t="str">
        <f t="shared" ref="M5:M18" ca="1" si="6">INDEX(AD:AE,MATCH(P5,AE:AE,0),1)</f>
        <v>Petrobras</v>
      </c>
      <c r="N5" s="60">
        <f ca="1">LARGE(AE:AE,B5)/Results!$I$20</f>
        <v>5.9163709252137278E-2</v>
      </c>
      <c r="O5" s="60">
        <f ca="1">LARGE(AE:AE,B5)/Results!$I$11</f>
        <v>7.7546066216135703E-2</v>
      </c>
      <c r="P5" s="140">
        <f t="shared" ref="P5:P18" ca="1" si="7">LARGE(AE:AE,B5)</f>
        <v>4244120.3543999996</v>
      </c>
      <c r="S5" s="118" t="str">
        <v>Leasing and Rental</v>
      </c>
      <c r="T5" s="133">
        <f ca="1">SUMIFS(T_Bonds[Market value in USD],T_Bonds[Sector marker],S5)</f>
        <v>539293.17599999998</v>
      </c>
      <c r="U5" s="134">
        <f ca="1">T5/Results!$I$20</f>
        <v>7.5178322013057996E-3</v>
      </c>
      <c r="V5" s="135">
        <f ca="1">T5/Results!$I$11</f>
        <v>9.8536471268186546E-3</v>
      </c>
      <c r="X5" s="118" t="str">
        <v>USA</v>
      </c>
      <c r="Y5" s="118" t="s">
        <v>213</v>
      </c>
      <c r="Z5" s="118">
        <f ca="1">SUMIFS(T_Bonds[Market value in USD],T_Bonds[Country],X5)</f>
        <v>7435167.176</v>
      </c>
      <c r="AA5" s="118" t="str">
        <v>Australia &amp; Pacific</v>
      </c>
      <c r="AB5" s="134">
        <f ca="1">SUMIFS(Z:Z,Y:Y,AA5)/Results!$I$20</f>
        <v>6.9355654425896612E-2</v>
      </c>
      <c r="AD5" s="118" t="str">
        <v>Ford Motor Credit Company</v>
      </c>
      <c r="AE5" s="131">
        <f ca="1">SUMIFS(T_Bonds[Market value in USD],T_Bonds[Issuer],AD5)</f>
        <v>539293.17599999998</v>
      </c>
      <c r="AH5" s="118">
        <f t="shared" si="0"/>
        <v>52</v>
      </c>
      <c r="AI5" s="118">
        <f t="shared" si="1"/>
        <v>1900</v>
      </c>
      <c r="AJ5" s="118" t="e">
        <f>SUMIFS(#REF!,#REF!,$AG5,T_Bonds[Risk CCY],AJ$1)</f>
        <v>#REF!</v>
      </c>
      <c r="AK5" s="118" t="e">
        <f>SUMIFS(#REF!,#REF!,$AG5,T_Bonds[Risk CCY],AK$1)</f>
        <v>#REF!</v>
      </c>
      <c r="AL5" s="118" t="e">
        <f>SUMIFS(#REF!,#REF!,$AG5,T_Bonds[Risk CCY],AL$1)</f>
        <v>#REF!</v>
      </c>
    </row>
    <row r="6" spans="2:39" ht="15.75" thickTop="1" x14ac:dyDescent="0.25">
      <c r="B6" s="55">
        <v>3</v>
      </c>
      <c r="C6" s="24" t="str">
        <f t="shared" ca="1" si="2"/>
        <v>Oil and Gas Extraction and Refining</v>
      </c>
      <c r="D6" s="61">
        <f t="shared" ca="1" si="4"/>
        <v>0.12755914394459986</v>
      </c>
      <c r="E6" s="61">
        <f t="shared" ca="1" si="5"/>
        <v>0.16719218500392097</v>
      </c>
      <c r="F6" s="142">
        <f t="shared" ca="1" si="3"/>
        <v>9150480.3543999996</v>
      </c>
      <c r="H6" s="44" t="str">
        <f ca="1">INDEX(T_Bonds[[Description]:[Market value in USD]],MATCH(LARGE(T_Bonds[[#All],[Market value in USD]],B6),T_Bonds[Market value in USD],0),1)</f>
        <v>6.375% ABN AMRO Open End FRN Subordinated</v>
      </c>
      <c r="I6" s="60">
        <f ca="1">LARGE(T_Bonds[[#All],[Market value in USD]],B6)/Results!$I$20</f>
        <v>3.4573378681610943E-2</v>
      </c>
      <c r="J6" s="60">
        <f ca="1">LARGE(T_Bonds[[#All],[Market value in USD]],B6)/Results!$I$11</f>
        <v>4.5315439928453861E-2</v>
      </c>
      <c r="K6" s="140">
        <f ca="1">LARGE(T_Bonds[[#All],[Market value in USD]],B6)</f>
        <v>2480128.14</v>
      </c>
      <c r="M6" s="44" t="str">
        <f t="shared" ca="1" si="6"/>
        <v>Turkey</v>
      </c>
      <c r="N6" s="60">
        <f ca="1">LARGE(AE:AE,B6)/Results!$I$20</f>
        <v>3.8094270372351899E-2</v>
      </c>
      <c r="O6" s="60">
        <f ca="1">LARGE(AE:AE,B6)/Results!$I$11</f>
        <v>4.9930284123338026E-2</v>
      </c>
      <c r="P6" s="140">
        <f t="shared" ca="1" si="7"/>
        <v>2732700</v>
      </c>
      <c r="S6" s="118" t="str">
        <v>AT1</v>
      </c>
      <c r="T6" s="133">
        <f ca="1">SUMIFS(T_Bonds[Market value in USD],T_Bonds[Sector marker],S6)</f>
        <v>10457501.0364</v>
      </c>
      <c r="U6" s="134">
        <f ca="1">T6/Results!$I$20</f>
        <v>0.14577921905067215</v>
      </c>
      <c r="V6" s="135">
        <f ca="1">T6/Results!$I$11</f>
        <v>0.19107329672761514</v>
      </c>
      <c r="X6" s="118" t="str">
        <v>Denmark</v>
      </c>
      <c r="Y6" s="118" t="s">
        <v>215</v>
      </c>
      <c r="Z6" s="118">
        <f ca="1">SUMIFS(T_Bonds[Market value in USD],T_Bonds[Country],X6)</f>
        <v>474081.55199999997</v>
      </c>
      <c r="AA6" s="118" t="str">
        <v>Asia</v>
      </c>
      <c r="AB6" s="134">
        <f ca="1">SUMIFS(Z:Z,Y:Y,AA6)/Results!$I$20</f>
        <v>9.4701126623711676E-2</v>
      </c>
      <c r="AD6" s="118" t="str">
        <v>Orsted</v>
      </c>
      <c r="AE6" s="131">
        <f ca="1">SUMIFS(T_Bonds[Market value in USD],T_Bonds[Issuer],AD6)</f>
        <v>474081.55199999997</v>
      </c>
      <c r="AH6" s="118">
        <f t="shared" si="0"/>
        <v>52</v>
      </c>
      <c r="AI6" s="118">
        <f t="shared" si="1"/>
        <v>1900</v>
      </c>
      <c r="AJ6" s="118" t="e">
        <f>SUMIFS(#REF!,#REF!,$AG6,T_Bonds[Risk CCY],AJ$1)</f>
        <v>#REF!</v>
      </c>
      <c r="AK6" s="118" t="e">
        <f>SUMIFS(#REF!,#REF!,$AG6,T_Bonds[Risk CCY],AK$1)</f>
        <v>#REF!</v>
      </c>
      <c r="AL6" s="118" t="e">
        <f>SUMIFS(#REF!,#REF!,$AG6,T_Bonds[Risk CCY],AL$1)</f>
        <v>#REF!</v>
      </c>
    </row>
    <row r="7" spans="2:39" x14ac:dyDescent="0.25">
      <c r="B7" s="55">
        <v>4</v>
      </c>
      <c r="C7" s="24" t="str">
        <f t="shared" ca="1" si="2"/>
        <v>Banks</v>
      </c>
      <c r="D7" s="61">
        <f t="shared" ca="1" si="4"/>
        <v>0.11568944173690121</v>
      </c>
      <c r="E7" s="61">
        <f t="shared" ca="1" si="5"/>
        <v>0.15163452770016156</v>
      </c>
      <c r="F7" s="142">
        <f t="shared" ca="1" si="3"/>
        <v>8299004.9249999989</v>
      </c>
      <c r="H7" s="44" t="str">
        <f ca="1">INDEX(T_Bonds[[Description]:[Market value in USD]],MATCH(LARGE(T_Bonds[[#All],[Market value in USD]],B7),T_Bonds[Market value in USD],0),1)</f>
        <v>6.85% Petrobras Glob 05.06.2115 Senior</v>
      </c>
      <c r="I7" s="60">
        <f ca="1">LARGE(T_Bonds[[#All],[Market value in USD]],B7)/Results!$I$20</f>
        <v>2.6185193203581002E-2</v>
      </c>
      <c r="J7" s="60">
        <f ca="1">LARGE(T_Bonds[[#All],[Market value in USD]],B7)/Results!$I$11</f>
        <v>3.4321017929987978E-2</v>
      </c>
      <c r="K7" s="140">
        <f ca="1">LARGE(T_Bonds[[#All],[Market value in USD]],B7)</f>
        <v>1878400</v>
      </c>
      <c r="M7" s="44" t="str">
        <f t="shared" ca="1" si="6"/>
        <v>ABN AMRO</v>
      </c>
      <c r="N7" s="60">
        <f ca="1">LARGE(AE:AE,B7)/Results!$I$20</f>
        <v>3.4573378681610943E-2</v>
      </c>
      <c r="O7" s="60">
        <f ca="1">LARGE(AE:AE,B7)/Results!$I$11</f>
        <v>4.5315439928453861E-2</v>
      </c>
      <c r="P7" s="140">
        <f t="shared" ca="1" si="7"/>
        <v>2480128.14</v>
      </c>
      <c r="S7" s="118" t="str">
        <v>Utilities</v>
      </c>
      <c r="T7" s="133">
        <f ca="1">SUMIFS(T_Bonds[Market value in USD],T_Bonds[Sector marker],S7)</f>
        <v>279302.61599999998</v>
      </c>
      <c r="U7" s="134">
        <f ca="1">T7/Results!$I$20</f>
        <v>3.893522658765755E-3</v>
      </c>
      <c r="V7" s="135">
        <f ca="1">T7/Results!$I$11</f>
        <v>5.103252817093562E-3</v>
      </c>
      <c r="X7" s="118" t="str">
        <v>United Kingdom</v>
      </c>
      <c r="Y7" s="118" t="s">
        <v>209</v>
      </c>
      <c r="Z7" s="118">
        <f ca="1">SUMIFS(T_Bonds[Market value in USD],T_Bonds[Country],X7)</f>
        <v>5723683.9463999998</v>
      </c>
      <c r="AA7" s="118" t="str">
        <v>Mid.East &amp; Africa</v>
      </c>
      <c r="AB7" s="134">
        <f ca="1">SUMIFS(Z:Z,Y:Y,AA7)/Results!$I$20</f>
        <v>0.1683786157388624</v>
      </c>
      <c r="AD7" s="118" t="str">
        <v>Lloyds Banking Group</v>
      </c>
      <c r="AE7" s="131">
        <f ca="1">SUMIFS(T_Bonds[Market value in USD],T_Bonds[Issuer],AD7)</f>
        <v>842802.73199999996</v>
      </c>
      <c r="AH7" s="118">
        <f t="shared" si="0"/>
        <v>52</v>
      </c>
      <c r="AI7" s="118">
        <f t="shared" si="1"/>
        <v>1900</v>
      </c>
      <c r="AJ7" s="118" t="e">
        <f>SUMIFS(#REF!,#REF!,$AG7,T_Bonds[Risk CCY],AJ$1)</f>
        <v>#REF!</v>
      </c>
      <c r="AK7" s="118" t="e">
        <f>SUMIFS(#REF!,#REF!,$AG7,T_Bonds[Risk CCY],AK$1)</f>
        <v>#REF!</v>
      </c>
      <c r="AL7" s="118" t="e">
        <f>SUMIFS(#REF!,#REF!,$AG7,T_Bonds[Risk CCY],AL$1)</f>
        <v>#REF!</v>
      </c>
    </row>
    <row r="8" spans="2:39" ht="15.75" thickBot="1" x14ac:dyDescent="0.3">
      <c r="B8" s="56">
        <v>5</v>
      </c>
      <c r="C8" s="48" t="str">
        <f t="shared" ca="1" si="2"/>
        <v>Chemical and petrochemical industry</v>
      </c>
      <c r="D8" s="63">
        <f t="shared" ca="1" si="4"/>
        <v>5.5599816433394837E-2</v>
      </c>
      <c r="E8" s="63">
        <f t="shared" ca="1" si="5"/>
        <v>7.2874860302868383E-2</v>
      </c>
      <c r="F8" s="145">
        <f t="shared" ca="1" si="3"/>
        <v>3988463.8</v>
      </c>
      <c r="H8" s="44" t="str">
        <f ca="1">INDEX(T_Bonds[[Description]:[Market value in USD]],MATCH(LARGE(T_Bonds[[#All],[Market value in USD]],B8),T_Bonds[Market value in USD],0),1)</f>
        <v>7.125% Brazil 13.05.2054 Senior</v>
      </c>
      <c r="I8" s="60">
        <f ca="1">LARGE(T_Bonds[[#All],[Market value in USD]],B8)/Results!$I$20</f>
        <v>2.4966823375007229E-2</v>
      </c>
      <c r="J8" s="60">
        <f ca="1">LARGE(T_Bonds[[#All],[Market value in USD]],B8)/Results!$I$11</f>
        <v>3.2724096631499396E-2</v>
      </c>
      <c r="K8" s="140">
        <f ca="1">LARGE(T_Bonds[[#All],[Market value in USD]],B8)</f>
        <v>1791000</v>
      </c>
      <c r="M8" s="45" t="str">
        <f t="shared" ca="1" si="6"/>
        <v>Credit Agricole SA</v>
      </c>
      <c r="N8" s="64">
        <f ca="1">LARGE(AE:AE,B8)/Results!$I$20</f>
        <v>3.0836169191649436E-2</v>
      </c>
      <c r="O8" s="64">
        <f ca="1">LARGE(AE:AE,B8)/Results!$I$11</f>
        <v>4.0417067290303955E-2</v>
      </c>
      <c r="P8" s="141">
        <f t="shared" ca="1" si="7"/>
        <v>2212038.6800000002</v>
      </c>
      <c r="S8" s="118" t="str">
        <v>Media</v>
      </c>
      <c r="T8" s="133">
        <f>SUMIFS(T_Bonds[Market value in USD],T_Bonds[Sector marker],S8)</f>
        <v>820386</v>
      </c>
      <c r="U8" s="134">
        <f ca="1">T8/Results!$I$20</f>
        <v>1.1436310642841251E-2</v>
      </c>
      <c r="V8" s="135">
        <f ca="1">T8/Results!$I$11</f>
        <v>1.4989609569586412E-2</v>
      </c>
      <c r="X8" s="118" t="str">
        <v>France</v>
      </c>
      <c r="Y8" s="118" t="s">
        <v>214</v>
      </c>
      <c r="Z8" s="118">
        <f ca="1">SUMIFS(T_Bonds[Market value in USD],T_Bonds[Country],X8)</f>
        <v>6446876.568</v>
      </c>
      <c r="AA8" s="118" t="str">
        <v>Africa</v>
      </c>
      <c r="AB8" s="134">
        <f ca="1">SUMIFS(Z:Z,Y:Y,AA8)/Results!$I$20</f>
        <v>1.4201117983577535E-2</v>
      </c>
      <c r="AD8" s="118" t="str">
        <v>Electricité de France</v>
      </c>
      <c r="AE8" s="131">
        <f ca="1">SUMIFS(T_Bonds[Market value in USD],T_Bonds[Issuer],AD8)</f>
        <v>279302.61599999998</v>
      </c>
      <c r="AH8" s="118">
        <f t="shared" si="0"/>
        <v>52</v>
      </c>
      <c r="AI8" s="118">
        <f t="shared" si="1"/>
        <v>1900</v>
      </c>
      <c r="AJ8" s="118" t="e">
        <f>SUMIFS(#REF!,#REF!,$AG8,T_Bonds[Risk CCY],AJ$1)</f>
        <v>#REF!</v>
      </c>
      <c r="AK8" s="118" t="e">
        <f>SUMIFS(#REF!,#REF!,$AG8,T_Bonds[Risk CCY],AK$1)</f>
        <v>#REF!</v>
      </c>
      <c r="AL8" s="118" t="e">
        <f>SUMIFS(#REF!,#REF!,$AG8,T_Bonds[Risk CCY],AL$1)</f>
        <v>#REF!</v>
      </c>
    </row>
    <row r="9" spans="2:39" ht="15.75" thickTop="1" x14ac:dyDescent="0.25">
      <c r="B9" s="57">
        <v>6</v>
      </c>
      <c r="C9" s="50" t="str">
        <f t="shared" ca="1" si="2"/>
        <v>Power</v>
      </c>
      <c r="D9" s="62">
        <f t="shared" ca="1" si="4"/>
        <v>5.3291397717017991E-2</v>
      </c>
      <c r="E9" s="62">
        <f t="shared" ca="1" si="5"/>
        <v>6.984920838047376E-2</v>
      </c>
      <c r="F9" s="146">
        <f t="shared" ca="1" si="3"/>
        <v>3822868.9279999998</v>
      </c>
      <c r="H9" s="44" t="str">
        <f ca="1">INDEX(T_Bonds[[Description]:[Market value in USD]],MATCH(LARGE(T_Bonds[[#All],[Market value in USD]],B9),T_Bonds[Market value in USD],0),1)</f>
        <v>7% Erste Group Bk Open End FRN Subordinated</v>
      </c>
      <c r="I9" s="60">
        <f ca="1">LARGE(T_Bonds[[#All],[Market value in USD]],B9)/Results!$I$20</f>
        <v>2.4603328591518699E-2</v>
      </c>
      <c r="J9" s="60">
        <f ca="1">LARGE(T_Bonds[[#All],[Market value in USD]],B9)/Results!$I$11</f>
        <v>3.2247662836087848E-2</v>
      </c>
      <c r="K9" s="140">
        <f ca="1">LARGE(T_Bonds[[#All],[Market value in USD]],B9)</f>
        <v>1764924.6300000004</v>
      </c>
      <c r="M9" s="47" t="str">
        <f t="shared" ca="1" si="6"/>
        <v>Ecopetrol</v>
      </c>
      <c r="N9" s="61">
        <f ca="1">LARGE(AE:AE,B9)/Results!$I$20</f>
        <v>2.8484761703827341E-2</v>
      </c>
      <c r="O9" s="61">
        <f ca="1">LARGE(AE:AE,B9)/Results!$I$11</f>
        <v>3.7335069845304637E-2</v>
      </c>
      <c r="P9" s="142">
        <f t="shared" ca="1" si="7"/>
        <v>2043360</v>
      </c>
      <c r="S9" s="118" t="str">
        <v>Government</v>
      </c>
      <c r="T9" s="133">
        <f ca="1">SUMIFS(T_Bonds[Market value in USD],T_Bonds[Sector marker],S9)</f>
        <v>15724448.585999999</v>
      </c>
      <c r="U9" s="134">
        <f ca="1">T9/Results!$I$20</f>
        <v>0.21920130123732223</v>
      </c>
      <c r="V9" s="135">
        <f ca="1">T9/Results!$I$11</f>
        <v>0.28730785874109888</v>
      </c>
      <c r="X9" s="118" t="str">
        <v>Israel</v>
      </c>
      <c r="Y9" s="118" t="s">
        <v>216</v>
      </c>
      <c r="Z9" s="118">
        <f>SUMIFS(T_Bonds[Market value in USD],T_Bonds[Country],X9)</f>
        <v>3106640</v>
      </c>
      <c r="AD9" s="118" t="str">
        <v>Warnermedia Holdings</v>
      </c>
      <c r="AE9" s="131">
        <f>SUMIFS(T_Bonds[Market value in USD],T_Bonds[Issuer],AD9)</f>
        <v>820386</v>
      </c>
      <c r="AH9" s="118">
        <f t="shared" si="0"/>
        <v>52</v>
      </c>
      <c r="AI9" s="118">
        <f t="shared" si="1"/>
        <v>1900</v>
      </c>
      <c r="AJ9" s="118" t="e">
        <f>SUMIFS(#REF!,#REF!,$AG9,T_Bonds[Risk CCY],AJ$1)</f>
        <v>#REF!</v>
      </c>
      <c r="AK9" s="118" t="e">
        <f>SUMIFS(#REF!,#REF!,$AG9,T_Bonds[Risk CCY],AK$1)</f>
        <v>#REF!</v>
      </c>
      <c r="AL9" s="118" t="e">
        <f>SUMIFS(#REF!,#REF!,$AG9,T_Bonds[Risk CCY],AL$1)</f>
        <v>#REF!</v>
      </c>
    </row>
    <row r="10" spans="2:39" x14ac:dyDescent="0.25">
      <c r="B10" s="57">
        <v>7</v>
      </c>
      <c r="C10" s="50" t="str">
        <f t="shared" ca="1" si="2"/>
        <v>Non-ferrous metals</v>
      </c>
      <c r="D10" s="62">
        <f t="shared" ca="1" si="4"/>
        <v>5.0227282242795671E-2</v>
      </c>
      <c r="E10" s="62">
        <f t="shared" ca="1" si="5"/>
        <v>6.5833062258780981E-2</v>
      </c>
      <c r="F10" s="146">
        <f t="shared" ca="1" si="3"/>
        <v>3603064</v>
      </c>
      <c r="H10" s="44" t="str">
        <f ca="1">INDEX(T_Bonds[[Description]:[Market value in USD]],MATCH(LARGE(T_Bonds[[#All],[Market value in USD]],B10),T_Bonds[Market value in USD],0),1)</f>
        <v>7.375% EDF Open End FRN Reg-S Subordinated</v>
      </c>
      <c r="I10" s="60">
        <f ca="1">LARGE(T_Bonds[[#All],[Market value in USD]],B10)/Results!$I$20</f>
        <v>2.3155310966228058E-2</v>
      </c>
      <c r="J10" s="60">
        <f ca="1">LARGE(T_Bonds[[#All],[Market value in USD]],B10)/Results!$I$11</f>
        <v>3.0349741423243648E-2</v>
      </c>
      <c r="K10" s="140">
        <f ca="1">LARGE(T_Bonds[[#All],[Market value in USD]],B10)</f>
        <v>1661050.7999999998</v>
      </c>
      <c r="M10" s="47" t="str">
        <f t="shared" ca="1" si="6"/>
        <v>Vedanta Resources</v>
      </c>
      <c r="N10" s="61">
        <f ca="1">LARGE(AE:AE,B10)/Results!$I$20</f>
        <v>2.7239961335265284E-2</v>
      </c>
      <c r="O10" s="61">
        <f ca="1">LARGE(AE:AE,B10)/Results!$I$11</f>
        <v>3.5703505952057082E-2</v>
      </c>
      <c r="P10" s="142">
        <f t="shared" ca="1" si="7"/>
        <v>1954064</v>
      </c>
      <c r="S10" s="118" t="str">
        <v>Semiconductors</v>
      </c>
      <c r="T10" s="133">
        <f>SUMIFS(T_Bonds[Market value in USD],T_Bonds[Sector marker],S10)</f>
        <v>345780</v>
      </c>
      <c r="U10" s="134">
        <f ca="1">T10/Results!$I$20</f>
        <v>4.8202279098883303E-3</v>
      </c>
      <c r="V10" s="135">
        <f ca="1">T10/Results!$I$11</f>
        <v>6.3178884049357132E-3</v>
      </c>
      <c r="X10" s="118" t="str">
        <v>Australia</v>
      </c>
      <c r="Y10" s="118" t="s">
        <v>209</v>
      </c>
      <c r="Z10" s="118">
        <f>SUMIFS(T_Bonds[Market value in USD],T_Bonds[Country],X10)</f>
        <v>374920</v>
      </c>
      <c r="AD10" s="118" t="str">
        <v>Israel</v>
      </c>
      <c r="AE10" s="131">
        <f>SUMIFS(T_Bonds[Market value in USD],T_Bonds[Issuer],AD10)</f>
        <v>592240</v>
      </c>
      <c r="AH10" s="118">
        <f t="shared" si="0"/>
        <v>52</v>
      </c>
      <c r="AI10" s="118">
        <f t="shared" si="1"/>
        <v>1900</v>
      </c>
      <c r="AJ10" s="118" t="e">
        <f>SUMIFS(#REF!,#REF!,$AG10,T_Bonds[Risk CCY],AJ$1)</f>
        <v>#REF!</v>
      </c>
      <c r="AK10" s="118" t="e">
        <f>SUMIFS(#REF!,#REF!,$AG10,T_Bonds[Risk CCY],AK$1)</f>
        <v>#REF!</v>
      </c>
      <c r="AL10" s="118" t="e">
        <f>SUMIFS(#REF!,#REF!,$AG10,T_Bonds[Risk CCY],AL$1)</f>
        <v>#REF!</v>
      </c>
    </row>
    <row r="11" spans="2:39" ht="15.75" thickBot="1" x14ac:dyDescent="0.3">
      <c r="B11" s="57">
        <v>8</v>
      </c>
      <c r="C11" s="50" t="str">
        <f t="shared" ca="1" si="2"/>
        <v>Insurance and Reinsurance</v>
      </c>
      <c r="D11" s="62">
        <f t="shared" ca="1" si="4"/>
        <v>2.5845673289688741E-2</v>
      </c>
      <c r="E11" s="62">
        <f t="shared" ca="1" si="5"/>
        <v>3.3876008074162633E-2</v>
      </c>
      <c r="F11" s="146">
        <f t="shared" ca="1" si="3"/>
        <v>1854044.4720000001</v>
      </c>
      <c r="H11" s="45" t="str">
        <f ca="1">INDEX(T_Bonds[[Description]:[Market value in USD]],MATCH(LARGE(T_Bonds[[#All],[Market value in USD]],B11),T_Bonds[Market value in USD],0),1)</f>
        <v>6.375% KazMunayGaz 24.10.2048 Reg-S Senior</v>
      </c>
      <c r="I11" s="64">
        <f ca="1">LARGE(T_Bonds[[#All],[Market value in USD]],B11)/Results!$I$20</f>
        <v>1.8916446202847811E-2</v>
      </c>
      <c r="J11" s="64">
        <f ca="1">LARGE(T_Bonds[[#All],[Market value in USD]],B11)/Results!$I$11</f>
        <v>2.4793847586001616E-2</v>
      </c>
      <c r="K11" s="141">
        <f ca="1">LARGE(T_Bonds[[#All],[Market value in USD]],B11)</f>
        <v>1356975</v>
      </c>
      <c r="M11" s="47" t="str">
        <f t="shared" ca="1" si="6"/>
        <v>OCP SA</v>
      </c>
      <c r="N11" s="61">
        <f ca="1">LARGE(AE:AE,B11)/Results!$I$20</f>
        <v>2.6419666664869456E-2</v>
      </c>
      <c r="O11" s="61">
        <f ca="1">LARGE(AE:AE,B11)/Results!$I$11</f>
        <v>3.4628343058598708E-2</v>
      </c>
      <c r="P11" s="142">
        <f t="shared" ca="1" si="7"/>
        <v>1895220</v>
      </c>
      <c r="S11" s="118" t="str">
        <v>Chemical and petrochemical industry</v>
      </c>
      <c r="T11" s="133">
        <f>SUMIFS(T_Bonds[Market value in USD],T_Bonds[Sector marker],S11)</f>
        <v>3988463.8</v>
      </c>
      <c r="U11" s="134">
        <f ca="1">T11/Results!$I$20</f>
        <v>5.5599816433394837E-2</v>
      </c>
      <c r="V11" s="135">
        <f ca="1">T11/Results!$I$11</f>
        <v>7.2874860302868383E-2</v>
      </c>
      <c r="X11" s="118" t="str">
        <v>Mexico</v>
      </c>
      <c r="Y11" s="118" t="s">
        <v>217</v>
      </c>
      <c r="Z11" s="118">
        <f ca="1">SUMIFS(T_Bonds[Market value in USD],T_Bonds[Country],X11)</f>
        <v>6103828.5860000001</v>
      </c>
      <c r="AD11" s="118" t="str">
        <v>Intel</v>
      </c>
      <c r="AE11" s="131">
        <f>SUMIFS(T_Bonds[Market value in USD],T_Bonds[Issuer],AD11)</f>
        <v>345780</v>
      </c>
      <c r="AH11" s="118">
        <f t="shared" si="0"/>
        <v>52</v>
      </c>
      <c r="AI11" s="118">
        <f t="shared" si="1"/>
        <v>1900</v>
      </c>
      <c r="AJ11" s="118" t="e">
        <f>SUMIFS(#REF!,#REF!,$AG11,T_Bonds[Risk CCY],AJ$1)</f>
        <v>#REF!</v>
      </c>
      <c r="AK11" s="118" t="e">
        <f>SUMIFS(#REF!,#REF!,$AG11,T_Bonds[Risk CCY],AK$1)</f>
        <v>#REF!</v>
      </c>
      <c r="AL11" s="118" t="e">
        <f>SUMIFS(#REF!,#REF!,$AG11,T_Bonds[Risk CCY],AL$1)</f>
        <v>#REF!</v>
      </c>
    </row>
    <row r="12" spans="2:39" ht="15.75" thickTop="1" x14ac:dyDescent="0.25">
      <c r="B12" s="57">
        <v>9</v>
      </c>
      <c r="C12" s="50" t="str">
        <f t="shared" ca="1" si="2"/>
        <v>Food and Beverage Production</v>
      </c>
      <c r="D12" s="62">
        <f t="shared" ca="1" si="4"/>
        <v>1.8547729017884696E-2</v>
      </c>
      <c r="E12" s="62">
        <f t="shared" ca="1" si="5"/>
        <v>2.4310568771985334E-2</v>
      </c>
      <c r="F12" s="146">
        <f t="shared" ca="1" si="3"/>
        <v>1330525</v>
      </c>
      <c r="H12" s="47" t="str">
        <f ca="1">INDEX(T_Bonds[[Description]:[Market value in USD]],MATCH(LARGE(T_Bonds[[#All],[Market value in USD]],B12),T_Bonds[Market value in USD],0),1)</f>
        <v>6.5% Cooperatieve Rabobank Open End FRN Reg-S Junior Subordinated</v>
      </c>
      <c r="I12" s="61">
        <f ca="1">LARGE(T_Bonds[[#All],[Market value in USD]],B12)/Results!$I$20</f>
        <v>1.8681141420223809E-2</v>
      </c>
      <c r="J12" s="61">
        <f ca="1">LARGE(T_Bonds[[#All],[Market value in USD]],B12)/Results!$I$11</f>
        <v>2.4485432841811532E-2</v>
      </c>
      <c r="K12" s="142">
        <f ca="1">LARGE(T_Bonds[[#All],[Market value in USD]],B12)</f>
        <v>1340095.365</v>
      </c>
      <c r="M12" s="47" t="str">
        <f t="shared" ca="1" si="6"/>
        <v>IBRD</v>
      </c>
      <c r="N12" s="61">
        <f ca="1">LARGE(AE:AE,B12)/Results!$I$20</f>
        <v>2.5642575332834223E-2</v>
      </c>
      <c r="O12" s="61">
        <f ca="1">LARGE(AE:AE,B12)/Results!$I$11</f>
        <v>3.3609806921299099E-2</v>
      </c>
      <c r="P12" s="142">
        <f t="shared" ca="1" si="7"/>
        <v>1839475.2</v>
      </c>
      <c r="S12" s="118" t="str">
        <v>Non-ferrous metals</v>
      </c>
      <c r="T12" s="133">
        <f>SUMIFS(T_Bonds[Market value in USD],T_Bonds[Sector marker],S12)</f>
        <v>3603064</v>
      </c>
      <c r="U12" s="134">
        <f ca="1">T12/Results!$I$20</f>
        <v>5.0227282242795671E-2</v>
      </c>
      <c r="V12" s="135">
        <f ca="1">T12/Results!$I$11</f>
        <v>6.5833062258780981E-2</v>
      </c>
      <c r="X12" s="118" t="str">
        <v>India</v>
      </c>
      <c r="Y12" s="118" t="s">
        <v>216</v>
      </c>
      <c r="Z12" s="118">
        <f>SUMIFS(T_Bonds[Market value in USD],T_Bonds[Country],X12)</f>
        <v>3686764</v>
      </c>
      <c r="AD12" s="118" t="str">
        <v>Albemarle</v>
      </c>
      <c r="AE12" s="131">
        <f>SUMIFS(T_Bonds[Market value in USD],T_Bonds[Issuer],AD12)</f>
        <v>368823.8</v>
      </c>
      <c r="AH12" s="118">
        <f t="shared" si="0"/>
        <v>52</v>
      </c>
      <c r="AI12" s="118">
        <f t="shared" si="1"/>
        <v>1900</v>
      </c>
      <c r="AJ12" s="118" t="e">
        <f>SUMIFS(#REF!,#REF!,$AG12,T_Bonds[Risk CCY],AJ$1)</f>
        <v>#REF!</v>
      </c>
      <c r="AK12" s="118" t="e">
        <f>SUMIFS(#REF!,#REF!,$AG12,T_Bonds[Risk CCY],AK$1)</f>
        <v>#REF!</v>
      </c>
      <c r="AL12" s="118" t="e">
        <f>SUMIFS(#REF!,#REF!,$AG12,T_Bonds[Risk CCY],AL$1)</f>
        <v>#REF!</v>
      </c>
    </row>
    <row r="13" spans="2:39" x14ac:dyDescent="0.25">
      <c r="B13" s="57">
        <v>10</v>
      </c>
      <c r="C13" s="50" t="str">
        <f t="shared" ca="1" si="2"/>
        <v>Ferrous metals</v>
      </c>
      <c r="D13" s="62">
        <f t="shared" ca="1" si="4"/>
        <v>1.7594291896313719E-2</v>
      </c>
      <c r="E13" s="62">
        <f t="shared" ca="1" si="5"/>
        <v>2.30608956345697E-2</v>
      </c>
      <c r="F13" s="146">
        <f t="shared" ca="1" si="3"/>
        <v>1262130</v>
      </c>
      <c r="H13" s="47" t="str">
        <f ca="1">INDEX(T_Bonds[[Description]:[Market value in USD]],MATCH(LARGE(T_Bonds[[#All],[Market value in USD]],B13),T_Bonds[Market value in USD],0),1)</f>
        <v>6.875% OCP 25.04.2044 Reg-S Senior</v>
      </c>
      <c r="I13" s="61">
        <f ca="1">LARGE(T_Bonds[[#All],[Market value in USD]],B13)/Results!$I$20</f>
        <v>1.7337932386617246E-2</v>
      </c>
      <c r="J13" s="61">
        <f ca="1">LARGE(T_Bonds[[#All],[Market value in USD]],B13)/Results!$I$11</f>
        <v>2.2724884391100538E-2</v>
      </c>
      <c r="K13" s="142">
        <f ca="1">LARGE(T_Bonds[[#All],[Market value in USD]],B13)</f>
        <v>1243740</v>
      </c>
      <c r="M13" s="47" t="str">
        <f t="shared" ca="1" si="6"/>
        <v>Brazil</v>
      </c>
      <c r="N13" s="61">
        <f ca="1">LARGE(AE:AE,B13)/Results!$I$20</f>
        <v>2.4966823375007229E-2</v>
      </c>
      <c r="O13" s="61">
        <f ca="1">LARGE(AE:AE,B13)/Results!$I$11</f>
        <v>3.2724096631499396E-2</v>
      </c>
      <c r="P13" s="142">
        <f t="shared" ca="1" si="7"/>
        <v>1791000</v>
      </c>
      <c r="S13" s="118" t="str">
        <v>Other Financial Institutions</v>
      </c>
      <c r="T13" s="133">
        <f ca="1">SUMIFS(T_Bonds[Market value in USD],T_Bonds[Sector marker],S13)</f>
        <v>1235880</v>
      </c>
      <c r="U13" s="134">
        <f ca="1">T13/Results!$I$20</f>
        <v>1.7228362742994937E-2</v>
      </c>
      <c r="V13" s="135">
        <f ca="1">T13/Results!$I$11</f>
        <v>2.258127110270099E-2</v>
      </c>
      <c r="X13" s="118" t="str">
        <v>Kazakhstan</v>
      </c>
      <c r="Y13" s="118" t="s">
        <v>209</v>
      </c>
      <c r="Z13" s="118">
        <f>SUMIFS(T_Bonds[Market value in USD],T_Bonds[Country],X13)</f>
        <v>1356975</v>
      </c>
      <c r="AD13" s="118" t="str">
        <v>Woodside Energy</v>
      </c>
      <c r="AE13" s="131">
        <f>SUMIFS(T_Bonds[Market value in USD],T_Bonds[Issuer],AD13)</f>
        <v>374920</v>
      </c>
      <c r="AH13" s="118">
        <f t="shared" si="0"/>
        <v>52</v>
      </c>
      <c r="AI13" s="118">
        <f t="shared" si="1"/>
        <v>1900</v>
      </c>
      <c r="AJ13" s="118" t="e">
        <f>SUMIFS(#REF!,#REF!,$AG13,T_Bonds[Risk CCY],AJ$1)</f>
        <v>#REF!</v>
      </c>
      <c r="AK13" s="118" t="e">
        <f>SUMIFS(#REF!,#REF!,$AG13,T_Bonds[Risk CCY],AK$1)</f>
        <v>#REF!</v>
      </c>
      <c r="AL13" s="118" t="e">
        <f>SUMIFS(#REF!,#REF!,$AG13,T_Bonds[Risk CCY],AL$1)</f>
        <v>#REF!</v>
      </c>
    </row>
    <row r="14" spans="2:39" x14ac:dyDescent="0.25">
      <c r="B14" s="57">
        <v>11</v>
      </c>
      <c r="C14" s="50" t="str">
        <f t="shared" ca="1" si="2"/>
        <v>Other Financial Institutions</v>
      </c>
      <c r="D14" s="62">
        <f t="shared" ca="1" si="4"/>
        <v>1.7228362742994937E-2</v>
      </c>
      <c r="E14" s="62">
        <f t="shared" ca="1" si="5"/>
        <v>2.258127110270099E-2</v>
      </c>
      <c r="F14" s="146">
        <f t="shared" ca="1" si="3"/>
        <v>1235880</v>
      </c>
      <c r="H14" s="47" t="str">
        <f ca="1">INDEX(T_Bonds[[Description]:[Market value in USD]],MATCH(LARGE(T_Bonds[[#All],[Market value in USD]],B14),T_Bonds[Market value in USD],0),1)</f>
        <v>5.875% Credit Agricole Open End FRN Reg-S Junior Subordinated</v>
      </c>
      <c r="I14" s="61">
        <f ca="1">LARGE(T_Bonds[[#All],[Market value in USD]],B14)/Results!$I$20</f>
        <v>1.6626965916303329E-2</v>
      </c>
      <c r="J14" s="61">
        <f ca="1">LARGE(T_Bonds[[#All],[Market value in USD]],B14)/Results!$I$11</f>
        <v>2.1793018325207726E-2</v>
      </c>
      <c r="K14" s="142">
        <f ca="1">LARGE(T_Bonds[[#All],[Market value in USD]],B14)</f>
        <v>1192738.68</v>
      </c>
      <c r="M14" s="47" t="str">
        <f t="shared" ca="1" si="6"/>
        <v>Erste Group</v>
      </c>
      <c r="N14" s="61">
        <f ca="1">LARGE(AE:AE,B14)/Results!$I$20</f>
        <v>2.4603328591518699E-2</v>
      </c>
      <c r="O14" s="61">
        <f ca="1">LARGE(AE:AE,B14)/Results!$I$11</f>
        <v>3.2247662836087848E-2</v>
      </c>
      <c r="P14" s="142">
        <f t="shared" ca="1" si="7"/>
        <v>1764924.6300000004</v>
      </c>
      <c r="S14" s="118" t="str">
        <v>Precious Metal Mining</v>
      </c>
      <c r="T14" s="133">
        <f>SUMIFS(T_Bonds[Market value in USD],T_Bonds[Sector marker],S14)</f>
        <v>0</v>
      </c>
      <c r="U14" s="134">
        <f ca="1">T14/Results!$I$20</f>
        <v>0</v>
      </c>
      <c r="V14" s="135">
        <f ca="1">T14/Results!$I$11</f>
        <v>0</v>
      </c>
      <c r="X14" s="118" t="str">
        <v>Colombia</v>
      </c>
      <c r="Y14" s="118" t="s">
        <v>209</v>
      </c>
      <c r="Z14" s="118">
        <f>SUMIFS(T_Bonds[Market value in USD],T_Bonds[Country],X14)</f>
        <v>3564420</v>
      </c>
      <c r="AD14" s="118" t="str">
        <v>Pemex</v>
      </c>
      <c r="AE14" s="131">
        <f>SUMIFS(T_Bonds[Market value in USD],T_Bonds[Issuer],AD14)</f>
        <v>898324.99999999988</v>
      </c>
      <c r="AH14" s="118">
        <f t="shared" si="0"/>
        <v>52</v>
      </c>
      <c r="AI14" s="118">
        <f t="shared" si="1"/>
        <v>1900</v>
      </c>
      <c r="AJ14" s="118" t="e">
        <f>SUMIFS(#REF!,#REF!,$AG14,T_Bonds[Risk CCY],AJ$1)</f>
        <v>#REF!</v>
      </c>
      <c r="AK14" s="118" t="e">
        <f>SUMIFS(#REF!,#REF!,$AG14,T_Bonds[Risk CCY],AK$1)</f>
        <v>#REF!</v>
      </c>
      <c r="AL14" s="118" t="e">
        <f>SUMIFS(#REF!,#REF!,$AG14,T_Bonds[Risk CCY],AL$1)</f>
        <v>#REF!</v>
      </c>
    </row>
    <row r="15" spans="2:39" x14ac:dyDescent="0.25">
      <c r="B15" s="57">
        <v>12</v>
      </c>
      <c r="C15" s="50" t="str">
        <f t="shared" ca="1" si="2"/>
        <v>Communication Services</v>
      </c>
      <c r="D15" s="62">
        <f t="shared" ca="1" si="4"/>
        <v>1.4750081414346815E-2</v>
      </c>
      <c r="E15" s="62">
        <f t="shared" ca="1" si="5"/>
        <v>1.9332979701725022E-2</v>
      </c>
      <c r="F15" s="146">
        <f t="shared" ca="1" si="3"/>
        <v>1058100</v>
      </c>
      <c r="H15" s="47" t="str">
        <f ca="1">INDEX(T_Bonds[[Description]:[Market value in USD]],MATCH(LARGE(T_Bonds[[#All],[Market value in USD]],B15),T_Bonds[Market value in USD],0),1)</f>
        <v>7.75% Aviva Open End FRN Conv Subordinated</v>
      </c>
      <c r="I15" s="61">
        <f ca="1">LARGE(T_Bonds[[#All],[Market value in USD]],B15)/Results!$I$20</f>
        <v>1.5996181005655134E-2</v>
      </c>
      <c r="J15" s="61">
        <f ca="1">LARGE(T_Bonds[[#All],[Market value in USD]],B15)/Results!$I$11</f>
        <v>2.0966246490453342E-2</v>
      </c>
      <c r="K15" s="142">
        <f ca="1">LARGE(T_Bonds[[#All],[Market value in USD]],B15)</f>
        <v>1147489.2</v>
      </c>
      <c r="M15" s="47" t="str">
        <f t="shared" ca="1" si="6"/>
        <v>Electricite de France (EDF)</v>
      </c>
      <c r="N15" s="61">
        <f ca="1">LARGE(AE:AE,B15)/Results!$I$20</f>
        <v>2.3155310966228058E-2</v>
      </c>
      <c r="O15" s="61">
        <f ca="1">LARGE(AE:AE,B15)/Results!$I$11</f>
        <v>3.0349741423243648E-2</v>
      </c>
      <c r="P15" s="142">
        <f t="shared" ca="1" si="7"/>
        <v>1661050.7999999998</v>
      </c>
      <c r="S15" s="118" t="str">
        <v>Ferrous metals</v>
      </c>
      <c r="T15" s="133">
        <f>SUMIFS(T_Bonds[Market value in USD],T_Bonds[Sector marker],S15)</f>
        <v>1262130</v>
      </c>
      <c r="U15" s="134">
        <f ca="1">T15/Results!$I$20</f>
        <v>1.7594291896313719E-2</v>
      </c>
      <c r="V15" s="135">
        <f ca="1">T15/Results!$I$11</f>
        <v>2.30608956345697E-2</v>
      </c>
      <c r="X15" s="118" t="str">
        <v>South Africa</v>
      </c>
      <c r="Y15" s="118" t="s">
        <v>209</v>
      </c>
      <c r="Z15" s="118">
        <f>SUMIFS(T_Bonds[Market value in USD],T_Bonds[Country],X15)</f>
        <v>2221600</v>
      </c>
      <c r="AD15" s="118" t="str">
        <v>Vedanta Resources</v>
      </c>
      <c r="AE15" s="131">
        <f>SUMIFS(T_Bonds[Market value in USD],T_Bonds[Issuer],AD15)</f>
        <v>1954064</v>
      </c>
      <c r="AH15" s="118">
        <f t="shared" si="0"/>
        <v>52</v>
      </c>
      <c r="AI15" s="118">
        <f t="shared" si="1"/>
        <v>1900</v>
      </c>
      <c r="AJ15" s="118" t="e">
        <f>SUMIFS(#REF!,#REF!,$AG15,T_Bonds[Risk CCY],AJ$1)</f>
        <v>#REF!</v>
      </c>
      <c r="AK15" s="118" t="e">
        <f>SUMIFS(#REF!,#REF!,$AG15,T_Bonds[Risk CCY],AK$1)</f>
        <v>#REF!</v>
      </c>
      <c r="AL15" s="118" t="e">
        <f>SUMIFS(#REF!,#REF!,$AG15,T_Bonds[Risk CCY],AL$1)</f>
        <v>#REF!</v>
      </c>
    </row>
    <row r="16" spans="2:39" x14ac:dyDescent="0.25">
      <c r="B16" s="57">
        <v>13</v>
      </c>
      <c r="C16" s="50" t="str">
        <f t="shared" ca="1" si="2"/>
        <v>Holding Companies</v>
      </c>
      <c r="D16" s="62">
        <f t="shared" ca="1" si="4"/>
        <v>1.2563706998860419E-2</v>
      </c>
      <c r="E16" s="62">
        <f t="shared" ca="1" si="5"/>
        <v>1.6467291641599744E-2</v>
      </c>
      <c r="F16" s="146">
        <f t="shared" ca="1" si="3"/>
        <v>901259.99999999988</v>
      </c>
      <c r="H16" s="47" t="str">
        <f ca="1">INDEX(T_Bonds[[Description]:[Market value in USD]],MATCH(LARGE(T_Bonds[[#All],[Market value in USD]],B16),T_Bonds[Market value in USD],0),1)</f>
        <v>10.75% IBRD 09.10.2031 Reg-S Senior</v>
      </c>
      <c r="I16" s="61">
        <f ca="1">LARGE(T_Bonds[[#All],[Market value in USD]],B16)/Results!$I$20</f>
        <v>1.5363704875011482E-2</v>
      </c>
      <c r="J16" s="61">
        <f ca="1">LARGE(T_Bonds[[#All],[Market value in USD]],B16)/Results!$I$11</f>
        <v>2.0137257968148244E-2</v>
      </c>
      <c r="K16" s="142">
        <f ca="1">LARGE(T_Bonds[[#All],[Market value in USD]],B16)</f>
        <v>1102118.3999999999</v>
      </c>
      <c r="M16" s="47" t="str">
        <f t="shared" ca="1" si="6"/>
        <v>Colombia</v>
      </c>
      <c r="N16" s="61">
        <f ca="1">LARGE(AE:AE,B16)/Results!$I$20</f>
        <v>2.1203817064650191E-2</v>
      </c>
      <c r="O16" s="61">
        <f ca="1">LARGE(AE:AE,B16)/Results!$I$11</f>
        <v>2.7791912016922653E-2</v>
      </c>
      <c r="P16" s="142">
        <f t="shared" ca="1" si="7"/>
        <v>1521060</v>
      </c>
      <c r="S16" s="118" t="str">
        <v>Food and Beverage Production</v>
      </c>
      <c r="T16" s="133">
        <f>SUMIFS(T_Bonds[Market value in USD],T_Bonds[Sector marker],S16)</f>
        <v>1330525</v>
      </c>
      <c r="U16" s="134">
        <f ca="1">T16/Results!$I$20</f>
        <v>1.8547729017884696E-2</v>
      </c>
      <c r="V16" s="135">
        <f ca="1">T16/Results!$I$11</f>
        <v>2.4310568771985334E-2</v>
      </c>
      <c r="X16" s="118" t="str">
        <v>Turkey</v>
      </c>
      <c r="Y16" s="118" t="s">
        <v>217</v>
      </c>
      <c r="Z16" s="118">
        <f>SUMIFS(T_Bonds[Market value in USD],T_Bonds[Country],X16)</f>
        <v>4209920</v>
      </c>
      <c r="AD16" s="118" t="str">
        <v>Energean Israel Finance</v>
      </c>
      <c r="AE16" s="131">
        <f>SUMIFS(T_Bonds[Market value in USD],T_Bonds[Issuer],AD16)</f>
        <v>857640</v>
      </c>
      <c r="AH16" s="118">
        <f t="shared" si="0"/>
        <v>52</v>
      </c>
      <c r="AI16" s="118">
        <f t="shared" si="1"/>
        <v>1900</v>
      </c>
      <c r="AJ16" s="118" t="e">
        <f>SUMIFS(#REF!,#REF!,$AG16,T_Bonds[Risk CCY],AJ$1)</f>
        <v>#REF!</v>
      </c>
      <c r="AK16" s="118" t="e">
        <f>SUMIFS(#REF!,#REF!,$AG16,T_Bonds[Risk CCY],AK$1)</f>
        <v>#REF!</v>
      </c>
      <c r="AL16" s="118" t="e">
        <f>SUMIFS(#REF!,#REF!,$AG16,T_Bonds[Risk CCY],AL$1)</f>
        <v>#REF!</v>
      </c>
    </row>
    <row r="17" spans="2:38" ht="15.75" thickBot="1" x14ac:dyDescent="0.3">
      <c r="B17" s="58">
        <v>14</v>
      </c>
      <c r="C17" s="51" t="str">
        <f t="shared" ca="1" si="2"/>
        <v>Media</v>
      </c>
      <c r="D17" s="65">
        <f t="shared" ca="1" si="4"/>
        <v>1.1436310642841251E-2</v>
      </c>
      <c r="E17" s="65">
        <f t="shared" ca="1" si="5"/>
        <v>1.4989609569586412E-2</v>
      </c>
      <c r="F17" s="147">
        <f t="shared" ca="1" si="3"/>
        <v>820386</v>
      </c>
      <c r="H17" s="47" t="str">
        <f ca="1">INDEX(T_Bonds[[Description]:[Market value in USD]],MATCH(LARGE(T_Bonds[[#All],[Market value in USD]],B17),T_Bonds[Market value in USD],0),1)</f>
        <v>7.65% Turkcell Iletisim 24.01.2032 Reg-S Senior</v>
      </c>
      <c r="I17" s="61">
        <f ca="1">LARGE(T_Bonds[[#All],[Market value in USD]],B17)/Results!$I$20</f>
        <v>1.4750081414346815E-2</v>
      </c>
      <c r="J17" s="61">
        <f ca="1">LARGE(T_Bonds[[#All],[Market value in USD]],B17)/Results!$I$11</f>
        <v>1.9332979701725022E-2</v>
      </c>
      <c r="K17" s="142">
        <f ca="1">LARGE(T_Bonds[[#All],[Market value in USD]],B17)</f>
        <v>1058100</v>
      </c>
      <c r="M17" s="47" t="str">
        <f t="shared" ca="1" si="6"/>
        <v>Romania</v>
      </c>
      <c r="N17" s="61">
        <f ca="1">LARGE(AE:AE,B17)/Results!$I$20</f>
        <v>1.9614917830544483E-2</v>
      </c>
      <c r="O17" s="61">
        <f ca="1">LARGE(AE:AE,B17)/Results!$I$11</f>
        <v>2.5709336621021872E-2</v>
      </c>
      <c r="P17" s="142">
        <f t="shared" ca="1" si="7"/>
        <v>1407080</v>
      </c>
      <c r="S17" s="118" t="str">
        <v>Online Retail</v>
      </c>
      <c r="T17" s="133">
        <f>SUMIFS(T_Bonds[Market value in USD],T_Bonds[Sector marker],S17)</f>
        <v>668940</v>
      </c>
      <c r="U17" s="134">
        <f ca="1">T17/Results!$I$20</f>
        <v>9.3251294408025313E-3</v>
      </c>
      <c r="V17" s="135">
        <f ca="1">T17/Results!$I$11</f>
        <v>1.2222477498981131E-2</v>
      </c>
      <c r="X17" s="118" t="str">
        <v>Panama</v>
      </c>
      <c r="Y17" s="118" t="s">
        <v>209</v>
      </c>
      <c r="Z17" s="118">
        <f>SUMIFS(T_Bonds[Market value in USD],T_Bonds[Country],X17)</f>
        <v>822160</v>
      </c>
      <c r="AD17" s="118" t="str">
        <v>KazMunayGas</v>
      </c>
      <c r="AE17" s="131">
        <f>SUMIFS(T_Bonds[Market value in USD],T_Bonds[Issuer],AD17)</f>
        <v>1356975</v>
      </c>
      <c r="AH17" s="118">
        <f t="shared" si="0"/>
        <v>52</v>
      </c>
      <c r="AI17" s="118">
        <f t="shared" si="1"/>
        <v>1900</v>
      </c>
      <c r="AJ17" s="118" t="e">
        <f>SUMIFS(#REF!,#REF!,$AG17,T_Bonds[Risk CCY],AJ$1)</f>
        <v>#REF!</v>
      </c>
      <c r="AK17" s="118" t="e">
        <f>SUMIFS(#REF!,#REF!,$AG17,T_Bonds[Risk CCY],AK$1)</f>
        <v>#REF!</v>
      </c>
      <c r="AL17" s="118" t="e">
        <f>SUMIFS(#REF!,#REF!,$AG17,T_Bonds[Risk CCY],AL$1)</f>
        <v>#REF!</v>
      </c>
    </row>
    <row r="18" spans="2:38" ht="15.75" thickTop="1" x14ac:dyDescent="0.25">
      <c r="B18" s="59">
        <v>15</v>
      </c>
      <c r="C18" s="49" t="str">
        <f t="shared" ca="1" si="2"/>
        <v>Technology</v>
      </c>
      <c r="D18" s="66">
        <f t="shared" ca="1" si="4"/>
        <v>1.1080808727872276E-2</v>
      </c>
      <c r="E18" s="66">
        <f t="shared" ca="1" si="5"/>
        <v>1.4523652052949618E-2</v>
      </c>
      <c r="F18" s="148">
        <f t="shared" ca="1" si="3"/>
        <v>794884</v>
      </c>
      <c r="H18" s="52" t="str">
        <f ca="1">INDEX(T_Bonds[[Description]:[Market value in USD]],MATCH(LARGE(T_Bonds[[#All],[Market value in USD]],B18),T_Bonds[Market value in USD],0),1)</f>
        <v>9.125% Vedanta Resourc 15.10.2032 Senior</v>
      </c>
      <c r="I18" s="67">
        <f ca="1">LARGE(T_Bonds[[#All],[Market value in USD]],B18)/Results!$I$20</f>
        <v>1.4518674787867131E-2</v>
      </c>
      <c r="J18" s="67">
        <f ca="1">LARGE(T_Bonds[[#All],[Market value in USD]],B18)/Results!$I$11</f>
        <v>1.9029674283476621E-2</v>
      </c>
      <c r="K18" s="143">
        <f ca="1">LARGE(T_Bonds[[#All],[Market value in USD]],B18)</f>
        <v>1041500.0000000001</v>
      </c>
      <c r="M18" s="52" t="str">
        <f t="shared" ca="1" si="6"/>
        <v>KazMunayGas</v>
      </c>
      <c r="N18" s="67">
        <f ca="1">LARGE(AE:AE,B18)/Results!$I$20</f>
        <v>1.8916446202847811E-2</v>
      </c>
      <c r="O18" s="67">
        <f ca="1">LARGE(AE:AE,B18)/Results!$I$11</f>
        <v>2.4793847586001616E-2</v>
      </c>
      <c r="P18" s="143">
        <f t="shared" ca="1" si="7"/>
        <v>1356975</v>
      </c>
      <c r="S18" s="118" t="str">
        <v>Banks</v>
      </c>
      <c r="T18" s="133">
        <f ca="1">SUMIFS(T_Bonds[Market value in USD],T_Bonds[Sector marker],S18)</f>
        <v>8299004.9249999989</v>
      </c>
      <c r="U18" s="134">
        <f ca="1">T18/Results!$I$20</f>
        <v>0.11568944173690121</v>
      </c>
      <c r="V18" s="135">
        <f ca="1">T18/Results!$I$11</f>
        <v>0.15163452770016156</v>
      </c>
      <c r="X18" s="118" t="str">
        <v>Japan</v>
      </c>
      <c r="Y18" s="118" t="s">
        <v>215</v>
      </c>
      <c r="Z18" s="118">
        <f>SUMIFS(T_Bonds[Market value in USD],T_Bonds[Country],X18)</f>
        <v>2605940</v>
      </c>
      <c r="AD18" s="118" t="str">
        <v>Leviathan Bond</v>
      </c>
      <c r="AE18" s="131">
        <f>SUMIFS(T_Bonds[Market value in USD],T_Bonds[Issuer],AD18)</f>
        <v>616259.99999999988</v>
      </c>
      <c r="AH18" s="118">
        <f t="shared" si="0"/>
        <v>52</v>
      </c>
      <c r="AI18" s="118">
        <f t="shared" si="1"/>
        <v>1900</v>
      </c>
      <c r="AJ18" s="118" t="e">
        <f>SUMIFS(#REF!,#REF!,$AG18,T_Bonds[Risk CCY],AJ$1)</f>
        <v>#REF!</v>
      </c>
      <c r="AK18" s="118" t="e">
        <f>SUMIFS(#REF!,#REF!,$AG18,T_Bonds[Risk CCY],AK$1)</f>
        <v>#REF!</v>
      </c>
      <c r="AL18" s="118" t="e">
        <f>SUMIFS(#REF!,#REF!,$AG18,T_Bonds[Risk CCY],AL$1)</f>
        <v>#REF!</v>
      </c>
    </row>
    <row r="19" spans="2:38" x14ac:dyDescent="0.25">
      <c r="S19" s="118" t="str">
        <v>Transportation Support Activities</v>
      </c>
      <c r="T19" s="133">
        <f>SUMIFS(T_Bonds[Market value in USD],T_Bonds[Sector marker],S19)</f>
        <v>691200.00000000012</v>
      </c>
      <c r="U19" s="134">
        <f ca="1">T19/Results!$I$20</f>
        <v>9.6354373628168618E-3</v>
      </c>
      <c r="V19" s="135">
        <f ca="1">T19/Results!$I$11</f>
        <v>1.26291991020058E-2</v>
      </c>
      <c r="X19" s="118" t="str">
        <v>Morocco</v>
      </c>
      <c r="Y19" s="118" t="s">
        <v>215</v>
      </c>
      <c r="Z19" s="118">
        <f>SUMIFS(T_Bonds[Market value in USD],T_Bonds[Country],X19)</f>
        <v>1895220</v>
      </c>
      <c r="AD19" s="118" t="str">
        <v>Ecopetrol</v>
      </c>
      <c r="AE19" s="131">
        <f>SUMIFS(T_Bonds[Market value in USD],T_Bonds[Issuer],AD19)</f>
        <v>2043360</v>
      </c>
      <c r="AH19" s="118">
        <f t="shared" si="0"/>
        <v>52</v>
      </c>
      <c r="AI19" s="118">
        <f t="shared" si="1"/>
        <v>1900</v>
      </c>
      <c r="AJ19" s="118" t="e">
        <f>SUMIFS(#REF!,#REF!,$AG19,T_Bonds[Risk CCY],AJ$1)</f>
        <v>#REF!</v>
      </c>
      <c r="AK19" s="118" t="e">
        <f>SUMIFS(#REF!,#REF!,$AG19,T_Bonds[Risk CCY],AK$1)</f>
        <v>#REF!</v>
      </c>
      <c r="AL19" s="118" t="e">
        <f>SUMIFS(#REF!,#REF!,$AG19,T_Bonds[Risk CCY],AL$1)</f>
        <v>#REF!</v>
      </c>
    </row>
    <row r="20" spans="2:38" x14ac:dyDescent="0.25">
      <c r="B20" s="118" t="s">
        <v>218</v>
      </c>
      <c r="I20" s="1040" t="s">
        <v>219</v>
      </c>
      <c r="J20" s="1041"/>
      <c r="K20" s="1041"/>
      <c r="L20" s="1041"/>
      <c r="M20" s="1042"/>
      <c r="S20" s="118" t="str">
        <v>Holding Companies</v>
      </c>
      <c r="T20" s="133">
        <f>SUMIFS(T_Bonds[Market value in USD],T_Bonds[Sector marker],S20)</f>
        <v>901259.99999999988</v>
      </c>
      <c r="U20" s="134">
        <f ca="1">T20/Results!$I$20</f>
        <v>1.2563706998860419E-2</v>
      </c>
      <c r="V20" s="135">
        <f ca="1">T20/Results!$I$11</f>
        <v>1.6467291641599744E-2</v>
      </c>
      <c r="X20" s="118" t="str">
        <v>Canada</v>
      </c>
      <c r="Y20" s="118" t="s">
        <v>209</v>
      </c>
      <c r="Z20" s="118">
        <f>SUMIFS(T_Bonds[Market value in USD],T_Bonds[Country],X20)</f>
        <v>211479.99999999997</v>
      </c>
      <c r="AD20" s="118" t="str">
        <v>Sibanye Gold</v>
      </c>
      <c r="AE20" s="131">
        <f>SUMIFS(T_Bonds[Market value in USD],T_Bonds[Issuer],AD20)</f>
        <v>0</v>
      </c>
      <c r="AH20" s="118">
        <f t="shared" si="0"/>
        <v>52</v>
      </c>
      <c r="AI20" s="118">
        <f t="shared" si="1"/>
        <v>1900</v>
      </c>
      <c r="AJ20" s="118" t="e">
        <f>SUMIFS(#REF!,#REF!,$AG20,T_Bonds[Risk CCY],AJ$1)</f>
        <v>#REF!</v>
      </c>
      <c r="AK20" s="118" t="e">
        <f>SUMIFS(#REF!,#REF!,$AG20,T_Bonds[Risk CCY],AK$1)</f>
        <v>#REF!</v>
      </c>
      <c r="AL20" s="118" t="e">
        <f>SUMIFS(#REF!,#REF!,$AG20,T_Bonds[Risk CCY],AL$1)</f>
        <v>#REF!</v>
      </c>
    </row>
    <row r="21" spans="2:38" x14ac:dyDescent="0.25">
      <c r="B21" s="118" t="s">
        <v>220</v>
      </c>
      <c r="C21" s="134">
        <f ca="1">SUMIFS(T_Bonds[Market value in USD],T_Bonds[Duration],"&lt;1")/(Results!$I$20-SUMIFS(T_Bonds[Market value in USD],T_Bonds[Duration],""))</f>
        <v>2.5875735106934031E-2</v>
      </c>
      <c r="I21" s="138">
        <v>1</v>
      </c>
      <c r="J21" s="138"/>
      <c r="K21" s="138"/>
      <c r="L21" s="118" t="str">
        <f t="shared" ref="L21:L27" ca="1" si="8">INDEX(AA:AB,MATCH(M21,AB:AB,0),1)</f>
        <v>Latin America</v>
      </c>
      <c r="M21" s="134">
        <f t="shared" ref="M21:M27" ca="1" si="9">LARGE(AB:AB,B4)</f>
        <v>0.28287195407233118</v>
      </c>
      <c r="S21" s="118" t="str">
        <v>Aircraft Production and Defense</v>
      </c>
      <c r="T21" s="133">
        <f>SUMIFS(T_Bonds[Market value in USD],T_Bonds[Sector marker],S21)</f>
        <v>0</v>
      </c>
      <c r="U21" s="134">
        <f ca="1">T21/Results!$I$20</f>
        <v>0</v>
      </c>
      <c r="V21" s="135">
        <f ca="1">T21/Results!$I$11</f>
        <v>0</v>
      </c>
      <c r="X21" s="118" t="str">
        <v>Uzbekistan</v>
      </c>
      <c r="Y21" s="118" t="s">
        <v>209</v>
      </c>
      <c r="Z21" s="118">
        <f>SUMIFS(T_Bonds[Market value in USD],T_Bonds[Country],X21)</f>
        <v>0</v>
      </c>
      <c r="AD21" s="118" t="str">
        <v>Cia Siderurgica Nacional (CSN)</v>
      </c>
      <c r="AE21" s="131">
        <f>SUMIFS(T_Bonds[Market value in USD],T_Bonds[Issuer],AD21)</f>
        <v>579900</v>
      </c>
      <c r="AH21" s="118">
        <f t="shared" si="0"/>
        <v>52</v>
      </c>
      <c r="AI21" s="118">
        <f t="shared" si="1"/>
        <v>1900</v>
      </c>
      <c r="AJ21" s="118" t="e">
        <f>SUMIFS(#REF!,#REF!,$AG21,T_Bonds[Risk CCY],AJ$1)</f>
        <v>#REF!</v>
      </c>
      <c r="AK21" s="118" t="e">
        <f>SUMIFS(#REF!,#REF!,$AG21,T_Bonds[Risk CCY],AK$1)</f>
        <v>#REF!</v>
      </c>
      <c r="AL21" s="118" t="e">
        <f>SUMIFS(#REF!,#REF!,$AG21,T_Bonds[Risk CCY],AL$1)</f>
        <v>#REF!</v>
      </c>
    </row>
    <row r="22" spans="2:38" x14ac:dyDescent="0.25">
      <c r="B22" s="139" t="s">
        <v>221</v>
      </c>
      <c r="C22" s="134">
        <f ca="1">SUMIFS(T_Bonds[Market value in USD],T_Bonds[Duration],"&gt;=1",T_Bonds[Duration],"&lt;3")/(Results!$I$20-SUMIFS(T_Bonds[Market value in USD],T_Bonds[Duration],""))</f>
        <v>4.0062334893903435E-2</v>
      </c>
      <c r="I22" s="138">
        <v>2</v>
      </c>
      <c r="J22" s="138"/>
      <c r="K22" s="138"/>
      <c r="L22" s="118" t="str">
        <f t="shared" ca="1" si="8"/>
        <v>Europe</v>
      </c>
      <c r="M22" s="134">
        <f t="shared" ca="1" si="9"/>
        <v>0.22849201152694129</v>
      </c>
      <c r="S22" s="118" t="str">
        <v>Insurance and Reinsurance</v>
      </c>
      <c r="T22" s="133">
        <f ca="1">SUMIFS(T_Bonds[Market value in USD],T_Bonds[Sector marker],S22)</f>
        <v>1854044.4720000001</v>
      </c>
      <c r="U22" s="134">
        <f ca="1">T22/Results!$I$20</f>
        <v>2.5845673289688741E-2</v>
      </c>
      <c r="V22" s="135">
        <f ca="1">T22/Results!$I$11</f>
        <v>3.3876008074162633E-2</v>
      </c>
      <c r="X22" s="118" t="str">
        <v>Chile</v>
      </c>
      <c r="Y22" s="118" t="s">
        <v>209</v>
      </c>
      <c r="Z22" s="118">
        <f>SUMIFS(T_Bonds[Market value in USD],T_Bonds[Country],X22)</f>
        <v>1298875</v>
      </c>
      <c r="AD22" s="118" t="str">
        <v>Sasol</v>
      </c>
      <c r="AE22" s="131">
        <f>SUMIFS(T_Bonds[Market value in USD],T_Bonds[Issuer],AD22)</f>
        <v>683920.00000000012</v>
      </c>
      <c r="AH22" s="118">
        <f t="shared" si="0"/>
        <v>52</v>
      </c>
      <c r="AI22" s="118">
        <f t="shared" si="1"/>
        <v>1900</v>
      </c>
      <c r="AJ22" s="118" t="e">
        <f>SUMIFS(#REF!,#REF!,$AG22,T_Bonds[Risk CCY],AJ$1)</f>
        <v>#REF!</v>
      </c>
      <c r="AK22" s="118" t="e">
        <f>SUMIFS(#REF!,#REF!,$AG22,T_Bonds[Risk CCY],AK$1)</f>
        <v>#REF!</v>
      </c>
      <c r="AL22" s="118" t="e">
        <f>SUMIFS(#REF!,#REF!,$AG22,T_Bonds[Risk CCY],AL$1)</f>
        <v>#REF!</v>
      </c>
    </row>
    <row r="23" spans="2:38" x14ac:dyDescent="0.25">
      <c r="B23" s="118" t="s">
        <v>222</v>
      </c>
      <c r="C23" s="134">
        <f ca="1">SUMIFS(T_Bonds[Market value in USD],T_Bonds[Duration],"&gt;=3",T_Bonds[Duration],"&lt;5")/(Results!$I$20-SUMIFS(T_Bonds[Market value in USD],T_Bonds[Duration],""))</f>
        <v>0.14673202011391848</v>
      </c>
      <c r="I23" s="138">
        <v>3</v>
      </c>
      <c r="J23" s="138"/>
      <c r="K23" s="138"/>
      <c r="L23" s="118" t="str">
        <f t="shared" ca="1" si="8"/>
        <v>Mid.East &amp; Africa</v>
      </c>
      <c r="M23" s="134">
        <f t="shared" ca="1" si="9"/>
        <v>0.1683786157388624</v>
      </c>
      <c r="S23" s="118" t="str">
        <v>Motor Vehicle Production</v>
      </c>
      <c r="T23" s="133">
        <f>SUMIFS(T_Bonds[Market value in USD],T_Bonds[Sector marker],S23)</f>
        <v>580560</v>
      </c>
      <c r="U23" s="134">
        <f ca="1">T23/Results!$I$20</f>
        <v>8.0930982571715219E-3</v>
      </c>
      <c r="V23" s="135">
        <f ca="1">T23/Results!$I$11</f>
        <v>1.0607650217969453E-2</v>
      </c>
      <c r="X23" s="118" t="str">
        <v>Netherlands</v>
      </c>
      <c r="Y23" s="118" t="s">
        <v>214</v>
      </c>
      <c r="Z23" s="118">
        <f ca="1">SUMIFS(T_Bonds[Market value in USD],T_Bonds[Country],X23)</f>
        <v>3820223.5049999999</v>
      </c>
      <c r="AD23" s="118" t="str">
        <v>Turkey</v>
      </c>
      <c r="AE23" s="131">
        <f>SUMIFS(T_Bonds[Market value in USD],T_Bonds[Issuer],AD23)</f>
        <v>2732700</v>
      </c>
      <c r="AH23" s="118">
        <f t="shared" si="0"/>
        <v>52</v>
      </c>
      <c r="AI23" s="118">
        <f t="shared" si="1"/>
        <v>1900</v>
      </c>
      <c r="AJ23" s="118" t="e">
        <f>SUMIFS(#REF!,#REF!,$AG23,T_Bonds[Risk CCY],AJ$1)</f>
        <v>#REF!</v>
      </c>
      <c r="AK23" s="118" t="e">
        <f>SUMIFS(#REF!,#REF!,$AG23,T_Bonds[Risk CCY],AK$1)</f>
        <v>#REF!</v>
      </c>
      <c r="AL23" s="118" t="e">
        <f>SUMIFS(#REF!,#REF!,$AG23,T_Bonds[Risk CCY],AL$1)</f>
        <v>#REF!</v>
      </c>
    </row>
    <row r="24" spans="2:38" x14ac:dyDescent="0.25">
      <c r="B24" s="118" t="s">
        <v>223</v>
      </c>
      <c r="C24" s="134">
        <f ca="1">SUMIFS(T_Bonds[Market value in USD],T_Bonds[Duration],"&gt;=5",T_Bonds[Duration],"&lt;7")/(Results!$I$20-SUMIFS(T_Bonds[Market value in USD],T_Bonds[Duration],""))</f>
        <v>0.26693847463929066</v>
      </c>
      <c r="I24" s="138">
        <v>4</v>
      </c>
      <c r="J24" s="138"/>
      <c r="K24" s="138"/>
      <c r="L24" s="118" t="str">
        <f t="shared" ca="1" si="8"/>
        <v>US+Canada</v>
      </c>
      <c r="M24" s="134">
        <f t="shared" ca="1" si="9"/>
        <v>0.11099744693084666</v>
      </c>
      <c r="S24" s="118" t="str">
        <v>Mining: Other</v>
      </c>
      <c r="T24" s="133">
        <f>SUMIFS(T_Bonds[Market value in USD],T_Bonds[Sector marker],S24)</f>
        <v>408060.00000000006</v>
      </c>
      <c r="U24" s="134">
        <f ca="1">T24/Results!$I$20</f>
        <v>5.6884209639338082E-3</v>
      </c>
      <c r="V24" s="135">
        <f ca="1">T24/Results!$I$11</f>
        <v>7.4558318656893609E-3</v>
      </c>
      <c r="X24" s="118" t="str">
        <v>Indonesia</v>
      </c>
      <c r="Y24" s="118" t="s">
        <v>209</v>
      </c>
      <c r="Z24" s="118">
        <f>SUMIFS(T_Bonds[Market value in USD],T_Bonds[Country],X24)</f>
        <v>408060.00000000006</v>
      </c>
      <c r="AD24" s="118" t="str">
        <v>Colombia</v>
      </c>
      <c r="AE24" s="131">
        <f>SUMIFS(T_Bonds[Market value in USD],T_Bonds[Issuer],AD24)</f>
        <v>1521060</v>
      </c>
      <c r="AH24" s="118">
        <f t="shared" si="0"/>
        <v>52</v>
      </c>
      <c r="AI24" s="118">
        <f t="shared" si="1"/>
        <v>1900</v>
      </c>
      <c r="AJ24" s="118" t="e">
        <f>SUMIFS(#REF!,#REF!,$AG24,T_Bonds[Risk CCY],AJ$1)</f>
        <v>#REF!</v>
      </c>
      <c r="AK24" s="118" t="e">
        <f>SUMIFS(#REF!,#REF!,$AG24,T_Bonds[Risk CCY],AK$1)</f>
        <v>#REF!</v>
      </c>
      <c r="AL24" s="118" t="e">
        <f>SUMIFS(#REF!,#REF!,$AG24,T_Bonds[Risk CCY],AL$1)</f>
        <v>#REF!</v>
      </c>
    </row>
    <row r="25" spans="2:38" x14ac:dyDescent="0.25">
      <c r="B25" s="118" t="s">
        <v>224</v>
      </c>
      <c r="C25" s="134">
        <f ca="1">SUMIFS(T_Bonds[Market value in USD],T_Bonds[Duration],"&gt;=7",T_Bonds[Duration],"&lt;10")/(Results!$I$20-SUMIFS(T_Bonds[Market value in USD],T_Bonds[Duration],""))</f>
        <v>7.3003247258833906E-2</v>
      </c>
      <c r="I25" s="138">
        <v>5</v>
      </c>
      <c r="J25" s="138"/>
      <c r="K25" s="138"/>
      <c r="L25" s="118" t="str">
        <f t="shared" ca="1" si="8"/>
        <v>Asia</v>
      </c>
      <c r="M25" s="134">
        <f t="shared" ca="1" si="9"/>
        <v>9.4701126623711676E-2</v>
      </c>
      <c r="S25" s="118" t="str">
        <v>Air Transportation</v>
      </c>
      <c r="T25" s="133">
        <f>SUMIFS(T_Bonds[Market value in USD],T_Bonds[Sector marker],S25)</f>
        <v>691375</v>
      </c>
      <c r="U25" s="134">
        <f ca="1">T25/Results!$I$20</f>
        <v>9.6378768905056519E-3</v>
      </c>
      <c r="V25" s="135">
        <f ca="1">T25/Results!$I$11</f>
        <v>1.2632396598884923E-2</v>
      </c>
      <c r="X25" s="118" t="str">
        <v>Luxembourg</v>
      </c>
      <c r="Y25" s="118" t="s">
        <v>209</v>
      </c>
      <c r="Z25" s="118">
        <f>SUMIFS(T_Bonds[Market value in USD],T_Bonds[Country],X25)</f>
        <v>0</v>
      </c>
      <c r="AD25" s="118" t="str">
        <v>Panama</v>
      </c>
      <c r="AE25" s="131">
        <f>SUMIFS(T_Bonds[Market value in USD],T_Bonds[Issuer],AD25)</f>
        <v>822160</v>
      </c>
      <c r="AH25" s="118">
        <f t="shared" si="0"/>
        <v>52</v>
      </c>
      <c r="AI25" s="118">
        <f t="shared" si="1"/>
        <v>1900</v>
      </c>
      <c r="AJ25" s="118" t="e">
        <f>SUMIFS(#REF!,#REF!,$AG25,T_Bonds[Risk CCY],AJ$1)</f>
        <v>#REF!</v>
      </c>
      <c r="AK25" s="118" t="e">
        <f>SUMIFS(#REF!,#REF!,$AG25,T_Bonds[Risk CCY],AK$1)</f>
        <v>#REF!</v>
      </c>
      <c r="AL25" s="118" t="e">
        <f>SUMIFS(#REF!,#REF!,$AG25,T_Bonds[Risk CCY],AL$1)</f>
        <v>#REF!</v>
      </c>
    </row>
    <row r="26" spans="2:38" x14ac:dyDescent="0.25">
      <c r="B26" s="118" t="s">
        <v>225</v>
      </c>
      <c r="C26" s="134">
        <f ca="1">SUMIFS(T_Bonds[Market value in USD],T_Bonds[Duration],"&gt;=10")/(Results!$I$20-SUMIFS(T_Bonds[Market value in USD],T_Bonds[Duration],""))</f>
        <v>0.41478438605816553</v>
      </c>
      <c r="I26" s="138">
        <v>6</v>
      </c>
      <c r="J26" s="138"/>
      <c r="K26" s="138"/>
      <c r="L26" s="118" t="str">
        <f t="shared" ca="1" si="8"/>
        <v>Australia &amp; Pacific</v>
      </c>
      <c r="M26" s="134">
        <f t="shared" ca="1" si="9"/>
        <v>6.9355654425896612E-2</v>
      </c>
      <c r="S26" s="118" t="str">
        <v>Communication Services</v>
      </c>
      <c r="T26" s="133">
        <f>SUMIFS(T_Bonds[Market value in USD],T_Bonds[Sector marker],S26)</f>
        <v>1058100</v>
      </c>
      <c r="U26" s="134">
        <f ca="1">T26/Results!$I$20</f>
        <v>1.4750081414346815E-2</v>
      </c>
      <c r="V26" s="135">
        <f ca="1">T26/Results!$I$11</f>
        <v>1.9332979701725022E-2</v>
      </c>
      <c r="X26" s="118" t="str">
        <v>Austria</v>
      </c>
      <c r="Y26" s="118" t="s">
        <v>217</v>
      </c>
      <c r="Z26" s="118">
        <f ca="1">SUMIFS(T_Bonds[Market value in USD],T_Bonds[Country],X26)</f>
        <v>1764924.6300000004</v>
      </c>
      <c r="AD26" s="118" t="str">
        <v>Mexico</v>
      </c>
      <c r="AE26" s="131">
        <f ca="1">SUMIFS(T_Bonds[Market value in USD],T_Bonds[Issuer],AD26)</f>
        <v>4454063.5860000001</v>
      </c>
      <c r="AH26" s="118">
        <f t="shared" si="0"/>
        <v>52</v>
      </c>
      <c r="AI26" s="118">
        <f t="shared" si="1"/>
        <v>1900</v>
      </c>
      <c r="AJ26" s="118" t="e">
        <f>SUMIFS(#REF!,#REF!,$AG26,T_Bonds[Risk CCY],AJ$1)</f>
        <v>#REF!</v>
      </c>
      <c r="AK26" s="118" t="e">
        <f>SUMIFS(#REF!,#REF!,$AG26,T_Bonds[Risk CCY],AK$1)</f>
        <v>#REF!</v>
      </c>
      <c r="AL26" s="118" t="e">
        <f>SUMIFS(#REF!,#REF!,$AG26,T_Bonds[Risk CCY],AL$1)</f>
        <v>#REF!</v>
      </c>
    </row>
    <row r="27" spans="2:38" x14ac:dyDescent="0.25">
      <c r="B27" s="138"/>
      <c r="I27" s="138">
        <v>7</v>
      </c>
      <c r="J27" s="138"/>
      <c r="L27" s="118" t="str">
        <f t="shared" ca="1" si="8"/>
        <v>Africa</v>
      </c>
      <c r="M27" s="134">
        <f t="shared" ca="1" si="9"/>
        <v>1.4201117983577535E-2</v>
      </c>
      <c r="S27" s="118" t="str">
        <v>Energy</v>
      </c>
      <c r="T27" s="133">
        <f>SUMIFS(T_Bonds[Market value in USD],T_Bonds[Sector marker],S27)</f>
        <v>594960</v>
      </c>
      <c r="U27" s="134">
        <f ca="1">T27/Results!$I$20</f>
        <v>8.2938365355635403E-3</v>
      </c>
      <c r="V27" s="135">
        <f ca="1">T27/Results!$I$11</f>
        <v>1.0870758532594574E-2</v>
      </c>
      <c r="X27" s="118" t="str">
        <v>Romania</v>
      </c>
      <c r="Y27" s="118" t="s">
        <v>214</v>
      </c>
      <c r="Z27" s="118">
        <f>SUMIFS(T_Bonds[Market value in USD],T_Bonds[Country],X27)</f>
        <v>1407080</v>
      </c>
      <c r="AD27" s="118" t="str">
        <v>Ulker Biskuvi Sanayi</v>
      </c>
      <c r="AE27" s="131">
        <f>SUMIFS(T_Bonds[Market value in USD],T_Bonds[Issuer],AD27)</f>
        <v>419120</v>
      </c>
      <c r="AH27" s="118">
        <f t="shared" si="0"/>
        <v>52</v>
      </c>
      <c r="AI27" s="118">
        <f t="shared" si="1"/>
        <v>1900</v>
      </c>
      <c r="AJ27" s="118" t="e">
        <f>SUMIFS(#REF!,#REF!,$AG27,T_Bonds[Risk CCY],AJ$1)</f>
        <v>#REF!</v>
      </c>
      <c r="AK27" s="118" t="e">
        <f>SUMIFS(#REF!,#REF!,$AG27,T_Bonds[Risk CCY],AK$1)</f>
        <v>#REF!</v>
      </c>
      <c r="AL27" s="118" t="e">
        <f>SUMIFS(#REF!,#REF!,$AG27,T_Bonds[Risk CCY],AL$1)</f>
        <v>#REF!</v>
      </c>
    </row>
    <row r="28" spans="2:38" x14ac:dyDescent="0.25">
      <c r="I28" s="138">
        <v>8</v>
      </c>
      <c r="J28" s="138"/>
      <c r="L28" s="118" t="str">
        <f ca="1">_xlfn.IFNA(INDEX(AA:AB,MATCH(M28,AB:AB,0),1),"")</f>
        <v/>
      </c>
      <c r="M28" s="134" t="str">
        <f ca="1">IFERROR(LARGE(AB:AB,B11),"")</f>
        <v/>
      </c>
      <c r="S28" s="118" t="str">
        <v>Technology</v>
      </c>
      <c r="T28" s="133">
        <f>SUMIFS(T_Bonds[Market value in USD],T_Bonds[Sector marker],S28)</f>
        <v>794884</v>
      </c>
      <c r="U28" s="134">
        <f ca="1">T28/Results!$I$20</f>
        <v>1.1080808727872276E-2</v>
      </c>
      <c r="V28" s="135">
        <f ca="1">T28/Results!$I$11</f>
        <v>1.4523652052949618E-2</v>
      </c>
      <c r="X28" s="118" t="str">
        <v>Finland</v>
      </c>
      <c r="Y28" s="118" t="s">
        <v>209</v>
      </c>
      <c r="Z28" s="118">
        <f>SUMIFS(T_Bonds[Market value in USD],T_Bonds[Country],X28)</f>
        <v>0</v>
      </c>
      <c r="AD28" s="118" t="str">
        <v>Rakuten Group</v>
      </c>
      <c r="AE28" s="131">
        <f>SUMIFS(T_Bonds[Market value in USD],T_Bonds[Issuer],AD28)</f>
        <v>668940</v>
      </c>
      <c r="AH28" s="118">
        <f t="shared" si="0"/>
        <v>52</v>
      </c>
      <c r="AI28" s="118">
        <f t="shared" si="1"/>
        <v>1900</v>
      </c>
      <c r="AJ28" s="118" t="e">
        <f>SUMIFS(#REF!,#REF!,$AG28,T_Bonds[Risk CCY],AJ$1)</f>
        <v>#REF!</v>
      </c>
      <c r="AK28" s="118" t="e">
        <f>SUMIFS(#REF!,#REF!,$AG28,T_Bonds[Risk CCY],AK$1)</f>
        <v>#REF!</v>
      </c>
      <c r="AL28" s="118" t="e">
        <f>SUMIFS(#REF!,#REF!,$AG28,T_Bonds[Risk CCY],AL$1)</f>
        <v>#REF!</v>
      </c>
    </row>
    <row r="29" spans="2:38" x14ac:dyDescent="0.25">
      <c r="I29" s="138">
        <v>9</v>
      </c>
      <c r="J29" s="138"/>
      <c r="L29" s="118" t="str">
        <f ca="1">_xlfn.IFNA(INDEX(AA:AB,MATCH(M29,AB:AB,0),1),"")</f>
        <v/>
      </c>
      <c r="M29" s="134" t="str">
        <f ca="1">IFERROR(LARGE(AB:AB,B12),"")</f>
        <v/>
      </c>
      <c r="T29" s="133">
        <f>SUMIFS(T_Bonds[Market value in USD],T_Bonds[Sector marker],S29)</f>
        <v>0</v>
      </c>
      <c r="U29" s="134">
        <f ca="1">T29/Results!$I$20</f>
        <v>0</v>
      </c>
      <c r="V29" s="135">
        <f ca="1">T29/Results!$I$11</f>
        <v>0</v>
      </c>
      <c r="X29" s="118" t="str">
        <v>Switzerland</v>
      </c>
      <c r="Y29" s="118" t="s">
        <v>226</v>
      </c>
      <c r="Z29" s="118">
        <f>SUMIFS(T_Bonds[Market value in USD],T_Bonds[Country],X29)</f>
        <v>1018720</v>
      </c>
      <c r="AD29" s="118" t="str">
        <v>Comision Federal de Electricidad</v>
      </c>
      <c r="AE29" s="131">
        <f>SUMIFS(T_Bonds[Market value in USD],T_Bonds[Issuer],AD29)</f>
        <v>751440</v>
      </c>
      <c r="AH29" s="118">
        <f t="shared" si="0"/>
        <v>52</v>
      </c>
      <c r="AI29" s="118">
        <f t="shared" si="1"/>
        <v>1900</v>
      </c>
      <c r="AJ29" s="118" t="e">
        <f>SUMIFS(#REF!,#REF!,$AG29,T_Bonds[Risk CCY],AJ$1)</f>
        <v>#REF!</v>
      </c>
      <c r="AK29" s="118" t="e">
        <f>SUMIFS(#REF!,#REF!,$AG29,T_Bonds[Risk CCY],AK$1)</f>
        <v>#REF!</v>
      </c>
      <c r="AL29" s="118" t="e">
        <f>SUMIFS(#REF!,#REF!,$AG29,T_Bonds[Risk CCY],AL$1)</f>
        <v>#REF!</v>
      </c>
    </row>
    <row r="30" spans="2:38" x14ac:dyDescent="0.25">
      <c r="I30" s="138">
        <v>10</v>
      </c>
      <c r="J30" s="138"/>
      <c r="L30" s="118" t="str">
        <f ca="1">_xlfn.IFNA(INDEX(AA:AB,MATCH(M30,AB:AB,0),1),"")</f>
        <v/>
      </c>
      <c r="M30" s="134" t="str">
        <f ca="1">IFERROR(LARGE(AB:AB,B13),"")</f>
        <v/>
      </c>
      <c r="T30" s="133">
        <f>SUMIFS(T_Bonds[Market value in USD],T_Bonds[Sector marker],S30)</f>
        <v>0</v>
      </c>
      <c r="U30" s="134">
        <f ca="1">T30/Results!$I$20</f>
        <v>0</v>
      </c>
      <c r="V30" s="135">
        <f ca="1">T30/Results!$I$11</f>
        <v>0</v>
      </c>
      <c r="Z30" s="118">
        <f>SUMIFS(T_Bonds[Market value in USD],T_Bonds[Country],X30)</f>
        <v>0</v>
      </c>
      <c r="AD30" s="118" t="str">
        <v>OCP SA</v>
      </c>
      <c r="AE30" s="131">
        <f>SUMIFS(T_Bonds[Market value in USD],T_Bonds[Issuer],AD30)</f>
        <v>1895220</v>
      </c>
      <c r="AH30" s="118">
        <f t="shared" si="0"/>
        <v>52</v>
      </c>
      <c r="AI30" s="118">
        <f t="shared" si="1"/>
        <v>1900</v>
      </c>
      <c r="AJ30" s="118" t="e">
        <f>SUMIFS(#REF!,#REF!,$AG30,T_Bonds[Risk CCY],AJ$1)</f>
        <v>#REF!</v>
      </c>
      <c r="AK30" s="118" t="e">
        <f>SUMIFS(#REF!,#REF!,$AG30,T_Bonds[Risk CCY],AK$1)</f>
        <v>#REF!</v>
      </c>
      <c r="AL30" s="118" t="e">
        <f>SUMIFS(#REF!,#REF!,$AG30,T_Bonds[Risk CCY],AL$1)</f>
        <v>#REF!</v>
      </c>
    </row>
    <row r="31" spans="2:38" x14ac:dyDescent="0.25">
      <c r="T31" s="133">
        <f>SUMIFS(T_Bonds[Market value in USD],T_Bonds[Sector marker],S31)</f>
        <v>0</v>
      </c>
      <c r="U31" s="134">
        <f ca="1">T31/Results!$I$20</f>
        <v>0</v>
      </c>
      <c r="V31" s="135">
        <f ca="1">T31/Results!$I$11</f>
        <v>0</v>
      </c>
      <c r="Z31" s="118">
        <f>SUMIFS(T_Bonds[Market value in USD],T_Bonds[Country],X31)</f>
        <v>0</v>
      </c>
      <c r="AD31" s="118" t="str">
        <v>BRF</v>
      </c>
      <c r="AE31" s="131">
        <f>SUMIFS(T_Bonds[Market value in USD],T_Bonds[Issuer],AD31)</f>
        <v>911405</v>
      </c>
      <c r="AH31" s="118">
        <f t="shared" si="0"/>
        <v>52</v>
      </c>
      <c r="AI31" s="118">
        <f t="shared" si="1"/>
        <v>1900</v>
      </c>
      <c r="AJ31" s="118" t="e">
        <f>SUMIFS(#REF!,#REF!,$AG31,T_Bonds[Risk CCY],AJ$1)</f>
        <v>#REF!</v>
      </c>
      <c r="AK31" s="118" t="e">
        <f>SUMIFS(#REF!,#REF!,$AG31,T_Bonds[Risk CCY],AK$1)</f>
        <v>#REF!</v>
      </c>
      <c r="AL31" s="118" t="e">
        <f>SUMIFS(#REF!,#REF!,$AG31,T_Bonds[Risk CCY],AL$1)</f>
        <v>#REF!</v>
      </c>
    </row>
    <row r="32" spans="2:38" x14ac:dyDescent="0.25">
      <c r="T32" s="133">
        <f>SUMIFS(T_Bonds[Market value in USD],T_Bonds[Sector marker],S32)</f>
        <v>0</v>
      </c>
      <c r="U32" s="134">
        <f ca="1">T32/Results!$I$20</f>
        <v>0</v>
      </c>
      <c r="V32" s="135">
        <f ca="1">T32/Results!$I$11</f>
        <v>0</v>
      </c>
      <c r="Z32" s="118">
        <f>SUMIFS(T_Bonds[Market value in USD],T_Bonds[Country],X32)</f>
        <v>0</v>
      </c>
      <c r="AD32" s="118" t="str">
        <v>Electricite de France (EDF)</v>
      </c>
      <c r="AE32" s="131">
        <f ca="1">SUMIFS(T_Bonds[Market value in USD],T_Bonds[Issuer],AD32)</f>
        <v>1661050.7999999998</v>
      </c>
      <c r="AH32" s="118">
        <f t="shared" si="0"/>
        <v>52</v>
      </c>
      <c r="AI32" s="118">
        <f t="shared" si="1"/>
        <v>1900</v>
      </c>
      <c r="AJ32" s="118" t="e">
        <f>SUMIFS(#REF!,#REF!,$AG32,T_Bonds[Risk CCY],AJ$1)</f>
        <v>#REF!</v>
      </c>
      <c r="AK32" s="118" t="e">
        <f>SUMIFS(#REF!,#REF!,$AG32,T_Bonds[Risk CCY],AK$1)</f>
        <v>#REF!</v>
      </c>
      <c r="AL32" s="118" t="e">
        <f>SUMIFS(#REF!,#REF!,$AG32,T_Bonds[Risk CCY],AL$1)</f>
        <v>#REF!</v>
      </c>
    </row>
    <row r="33" spans="2:38" x14ac:dyDescent="0.25">
      <c r="T33" s="133">
        <f>SUMIFS(T_Bonds[Market value in USD],T_Bonds[Sector marker],S33)</f>
        <v>0</v>
      </c>
      <c r="U33" s="134">
        <f ca="1">T33/Results!$I$20</f>
        <v>0</v>
      </c>
      <c r="V33" s="135">
        <f ca="1">T33/Results!$I$11</f>
        <v>0</v>
      </c>
      <c r="Z33" s="118">
        <f>SUMIFS(T_Bonds[Market value in USD],T_Bonds[Country],X33)</f>
        <v>0</v>
      </c>
      <c r="AD33" s="118" t="str">
        <v>Enbridge</v>
      </c>
      <c r="AE33" s="131">
        <f>SUMIFS(T_Bonds[Market value in USD],T_Bonds[Issuer],AD33)</f>
        <v>211479.99999999997</v>
      </c>
      <c r="AH33" s="118">
        <f t="shared" si="0"/>
        <v>52</v>
      </c>
      <c r="AI33" s="118">
        <f t="shared" si="1"/>
        <v>1900</v>
      </c>
      <c r="AJ33" s="118" t="e">
        <f>SUMIFS(#REF!,#REF!,$AG33,T_Bonds[Risk CCY],AJ$1)</f>
        <v>#REF!</v>
      </c>
      <c r="AK33" s="118" t="e">
        <f>SUMIFS(#REF!,#REF!,$AG33,T_Bonds[Risk CCY],AK$1)</f>
        <v>#REF!</v>
      </c>
      <c r="AL33" s="118" t="e">
        <f>SUMIFS(#REF!,#REF!,$AG33,T_Bonds[Risk CCY],AL$1)</f>
        <v>#REF!</v>
      </c>
    </row>
    <row r="34" spans="2:38" x14ac:dyDescent="0.25">
      <c r="T34" s="133">
        <f>SUMIFS(T_Bonds[Market value in USD],T_Bonds[Sector marker],S34)</f>
        <v>0</v>
      </c>
      <c r="U34" s="134">
        <f ca="1">T34/Results!$I$20</f>
        <v>0</v>
      </c>
      <c r="V34" s="135">
        <f ca="1">T34/Results!$I$11</f>
        <v>0</v>
      </c>
      <c r="Z34" s="118">
        <f>SUMIFS(T_Bonds[Market value in USD],T_Bonds[Country],X34)</f>
        <v>0</v>
      </c>
      <c r="AD34" s="118" t="str">
        <v>Eletrobras</v>
      </c>
      <c r="AE34" s="131">
        <f>SUMIFS(T_Bonds[Market value in USD],T_Bonds[Issuer],AD34)</f>
        <v>409040</v>
      </c>
      <c r="AH34" s="118">
        <f t="shared" si="0"/>
        <v>52</v>
      </c>
      <c r="AI34" s="118">
        <f t="shared" si="1"/>
        <v>1900</v>
      </c>
      <c r="AJ34" s="118" t="e">
        <f>SUMIFS(#REF!,#REF!,$AG34,T_Bonds[Risk CCY],AJ$1)</f>
        <v>#REF!</v>
      </c>
      <c r="AK34" s="118" t="e">
        <f>SUMIFS(#REF!,#REF!,$AG34,T_Bonds[Risk CCY],AK$1)</f>
        <v>#REF!</v>
      </c>
      <c r="AL34" s="118" t="e">
        <f>SUMIFS(#REF!,#REF!,$AG34,T_Bonds[Risk CCY],AL$1)</f>
        <v>#REF!</v>
      </c>
    </row>
    <row r="35" spans="2:38" x14ac:dyDescent="0.25">
      <c r="B35" s="138"/>
      <c r="T35" s="133">
        <f>SUMIFS(T_Bonds[Market value in USD],T_Bonds[Sector marker],S35)</f>
        <v>0</v>
      </c>
      <c r="U35" s="134">
        <f ca="1">T35/Results!$I$20</f>
        <v>0</v>
      </c>
      <c r="V35" s="135">
        <f ca="1">T35/Results!$I$11</f>
        <v>0</v>
      </c>
      <c r="Z35" s="118">
        <f>SUMIFS(T_Bonds[Market value in USD],T_Bonds[Country],X35)</f>
        <v>0</v>
      </c>
      <c r="AD35" s="118" t="str">
        <v>Israel Chemicals</v>
      </c>
      <c r="AE35" s="131">
        <f>SUMIFS(T_Bonds[Market value in USD],T_Bonds[Issuer],AD35)</f>
        <v>1040500</v>
      </c>
      <c r="AH35" s="118">
        <f t="shared" si="0"/>
        <v>52</v>
      </c>
      <c r="AI35" s="118">
        <f t="shared" si="1"/>
        <v>1900</v>
      </c>
      <c r="AJ35" s="118" t="e">
        <f>SUMIFS(#REF!,#REF!,$AG35,T_Bonds[Risk CCY],AJ$1)</f>
        <v>#REF!</v>
      </c>
      <c r="AK35" s="118" t="e">
        <f>SUMIFS(#REF!,#REF!,$AG35,T_Bonds[Risk CCY],AK$1)</f>
        <v>#REF!</v>
      </c>
      <c r="AL35" s="118" t="e">
        <f>SUMIFS(#REF!,#REF!,$AG35,T_Bonds[Risk CCY],AL$1)</f>
        <v>#REF!</v>
      </c>
    </row>
    <row r="36" spans="2:38" x14ac:dyDescent="0.25">
      <c r="C36" s="130"/>
      <c r="T36" s="133">
        <f>SUMIFS(T_Bonds[Market value in USD],T_Bonds[Sector marker],S36)</f>
        <v>0</v>
      </c>
      <c r="U36" s="134">
        <f ca="1">T36/Results!$I$20</f>
        <v>0</v>
      </c>
      <c r="V36" s="135">
        <f ca="1">T36/Results!$I$11</f>
        <v>0</v>
      </c>
      <c r="Z36" s="118">
        <f>SUMIFS(T_Bonds[Market value in USD],T_Bonds[Country],X36)</f>
        <v>0</v>
      </c>
      <c r="AD36" s="118" t="str">
        <v>Toronto-Dominion Bank</v>
      </c>
      <c r="AE36" s="131">
        <f>SUMIFS(T_Bonds[Market value in USD],T_Bonds[Issuer],AD36)</f>
        <v>0</v>
      </c>
      <c r="AH36" s="118">
        <f t="shared" si="0"/>
        <v>52</v>
      </c>
      <c r="AI36" s="118">
        <f t="shared" si="1"/>
        <v>1900</v>
      </c>
      <c r="AJ36" s="118" t="e">
        <f>SUMIFS(#REF!,#REF!,$AG36,T_Bonds[Risk CCY],AJ$1)</f>
        <v>#REF!</v>
      </c>
      <c r="AK36" s="118" t="e">
        <f>SUMIFS(#REF!,#REF!,$AG36,T_Bonds[Risk CCY],AK$1)</f>
        <v>#REF!</v>
      </c>
      <c r="AL36" s="118" t="e">
        <f>SUMIFS(#REF!,#REF!,$AG36,T_Bonds[Risk CCY],AL$1)</f>
        <v>#REF!</v>
      </c>
    </row>
    <row r="37" spans="2:38" x14ac:dyDescent="0.25">
      <c r="C37" s="130"/>
      <c r="T37" s="133">
        <f>SUMIFS(T_Bonds[Market value in USD],T_Bonds[Sector marker],S37)</f>
        <v>0</v>
      </c>
      <c r="U37" s="134">
        <f ca="1">T37/Results!$I$20</f>
        <v>0</v>
      </c>
      <c r="V37" s="135">
        <f ca="1">T37/Results!$I$11</f>
        <v>0</v>
      </c>
      <c r="Z37" s="118">
        <f>SUMIFS(T_Bonds[Market value in USD],T_Bonds[Country],X37)</f>
        <v>0</v>
      </c>
      <c r="AD37" s="118" t="str">
        <v>Navoi Mining</v>
      </c>
      <c r="AE37" s="131">
        <f>SUMIFS(T_Bonds[Market value in USD],T_Bonds[Issuer],AD37)</f>
        <v>0</v>
      </c>
      <c r="AH37" s="118">
        <f t="shared" si="0"/>
        <v>52</v>
      </c>
      <c r="AI37" s="118">
        <f t="shared" si="1"/>
        <v>1900</v>
      </c>
      <c r="AJ37" s="118" t="e">
        <f>SUMIFS(#REF!,#REF!,$AG37,T_Bonds[Risk CCY],AJ$1)</f>
        <v>#REF!</v>
      </c>
      <c r="AK37" s="118" t="e">
        <f>SUMIFS(#REF!,#REF!,$AG37,T_Bonds[Risk CCY],AK$1)</f>
        <v>#REF!</v>
      </c>
      <c r="AL37" s="118" t="e">
        <f>SUMIFS(#REF!,#REF!,$AG37,T_Bonds[Risk CCY],AL$1)</f>
        <v>#REF!</v>
      </c>
    </row>
    <row r="38" spans="2:38" x14ac:dyDescent="0.25">
      <c r="C38" s="130"/>
      <c r="T38" s="133">
        <f>SUMIFS(T_Bonds[Market value in USD],T_Bonds[Sector marker],S38)</f>
        <v>0</v>
      </c>
      <c r="U38" s="134">
        <f ca="1">T38/Results!$I$20</f>
        <v>0</v>
      </c>
      <c r="V38" s="135">
        <f ca="1">T38/Results!$I$11</f>
        <v>0</v>
      </c>
      <c r="Z38" s="118">
        <f>SUMIFS(T_Bonds[Market value in USD],T_Bonds[Country],X38)</f>
        <v>0</v>
      </c>
      <c r="AD38" s="118" t="str">
        <v>Softbank</v>
      </c>
      <c r="AE38" s="131">
        <f>SUMIFS(T_Bonds[Market value in USD],T_Bonds[Issuer],AD38)</f>
        <v>1009200.0000000001</v>
      </c>
      <c r="AH38" s="118">
        <f t="shared" si="0"/>
        <v>52</v>
      </c>
      <c r="AI38" s="118">
        <f t="shared" si="1"/>
        <v>1900</v>
      </c>
      <c r="AJ38" s="118" t="e">
        <f>SUMIFS(#REF!,#REF!,$AG38,T_Bonds[Risk CCY],AJ$1)</f>
        <v>#REF!</v>
      </c>
      <c r="AK38" s="118" t="e">
        <f>SUMIFS(#REF!,#REF!,$AG38,T_Bonds[Risk CCY],AK$1)</f>
        <v>#REF!</v>
      </c>
      <c r="AL38" s="118" t="e">
        <f>SUMIFS(#REF!,#REF!,$AG38,T_Bonds[Risk CCY],AL$1)</f>
        <v>#REF!</v>
      </c>
    </row>
    <row r="39" spans="2:38" x14ac:dyDescent="0.25">
      <c r="C39" s="130"/>
      <c r="T39" s="133">
        <f>SUMIFS(T_Bonds[Market value in USD],T_Bonds[Sector marker],S39)</f>
        <v>0</v>
      </c>
      <c r="U39" s="134">
        <f ca="1">T39/Results!$I$20</f>
        <v>0</v>
      </c>
      <c r="V39" s="135">
        <f ca="1">T39/Results!$I$11</f>
        <v>0</v>
      </c>
      <c r="Z39" s="118">
        <f>SUMIFS(T_Bonds[Market value in USD],T_Bonds[Country],X39)</f>
        <v>0</v>
      </c>
      <c r="AD39" s="118" t="str">
        <v>Adani Ports and Special Economic Zone</v>
      </c>
      <c r="AE39" s="131">
        <f>SUMIFS(T_Bonds[Market value in USD],T_Bonds[Issuer],AD39)</f>
        <v>691200.00000000012</v>
      </c>
      <c r="AH39" s="118">
        <f t="shared" si="0"/>
        <v>52</v>
      </c>
      <c r="AI39" s="118">
        <f t="shared" si="1"/>
        <v>1900</v>
      </c>
      <c r="AJ39" s="118" t="e">
        <f>SUMIFS(#REF!,#REF!,$AG39,T_Bonds[Risk CCY],AJ$1)</f>
        <v>#REF!</v>
      </c>
      <c r="AK39" s="118" t="e">
        <f>SUMIFS(#REF!,#REF!,$AG39,T_Bonds[Risk CCY],AK$1)</f>
        <v>#REF!</v>
      </c>
      <c r="AL39" s="118" t="e">
        <f>SUMIFS(#REF!,#REF!,$AG39,T_Bonds[Risk CCY],AL$1)</f>
        <v>#REF!</v>
      </c>
    </row>
    <row r="40" spans="2:38" x14ac:dyDescent="0.25">
      <c r="C40" s="130"/>
      <c r="T40" s="133">
        <f>SUMIFS(T_Bonds[Market value in USD],T_Bonds[Sector marker],S40)</f>
        <v>0</v>
      </c>
      <c r="U40" s="134">
        <f ca="1">T40/Results!$I$20</f>
        <v>0</v>
      </c>
      <c r="V40" s="135">
        <f ca="1">T40/Results!$I$11</f>
        <v>0</v>
      </c>
      <c r="Z40" s="118">
        <f>SUMIFS(T_Bonds[Market value in USD],T_Bonds[Country],X40)</f>
        <v>0</v>
      </c>
      <c r="AD40" s="118" t="str">
        <v>Naspers</v>
      </c>
      <c r="AE40" s="131">
        <f>SUMIFS(T_Bonds[Market value in USD],T_Bonds[Issuer],AD40)</f>
        <v>901259.99999999988</v>
      </c>
      <c r="AH40" s="118">
        <f t="shared" si="0"/>
        <v>52</v>
      </c>
      <c r="AI40" s="118">
        <f t="shared" si="1"/>
        <v>1900</v>
      </c>
      <c r="AJ40" s="118" t="e">
        <f>SUMIFS(#REF!,#REF!,$AG40,T_Bonds[Risk CCY],AJ$1)</f>
        <v>#REF!</v>
      </c>
      <c r="AK40" s="118" t="e">
        <f>SUMIFS(#REF!,#REF!,$AG40,T_Bonds[Risk CCY],AK$1)</f>
        <v>#REF!</v>
      </c>
      <c r="AL40" s="118" t="e">
        <f>SUMIFS(#REF!,#REF!,$AG40,T_Bonds[Risk CCY],AL$1)</f>
        <v>#REF!</v>
      </c>
    </row>
    <row r="41" spans="2:38" x14ac:dyDescent="0.25">
      <c r="C41" s="130"/>
      <c r="T41" s="133">
        <f>SUMIFS(T_Bonds[Market value in USD],T_Bonds[Sector marker],S41)</f>
        <v>0</v>
      </c>
      <c r="U41" s="134">
        <f ca="1">T41/Results!$I$20</f>
        <v>0</v>
      </c>
      <c r="V41" s="135">
        <f ca="1">T41/Results!$I$11</f>
        <v>0</v>
      </c>
      <c r="Z41" s="118">
        <f>SUMIFS(T_Bonds[Market value in USD],T_Bonds[Country],X41)</f>
        <v>0</v>
      </c>
      <c r="AD41" s="118" t="str">
        <v>Codelco</v>
      </c>
      <c r="AE41" s="131">
        <f>SUMIFS(T_Bonds[Market value in USD],T_Bonds[Issuer],AD41)</f>
        <v>607500</v>
      </c>
      <c r="AH41" s="118">
        <f t="shared" si="0"/>
        <v>52</v>
      </c>
      <c r="AI41" s="118">
        <f t="shared" si="1"/>
        <v>1900</v>
      </c>
      <c r="AJ41" s="118" t="e">
        <f>SUMIFS(#REF!,#REF!,$AG41,T_Bonds[Risk CCY],AJ$1)</f>
        <v>#REF!</v>
      </c>
      <c r="AK41" s="118" t="e">
        <f>SUMIFS(#REF!,#REF!,$AG41,T_Bonds[Risk CCY],AK$1)</f>
        <v>#REF!</v>
      </c>
      <c r="AL41" s="118" t="e">
        <f>SUMIFS(#REF!,#REF!,$AG41,T_Bonds[Risk CCY],AL$1)</f>
        <v>#REF!</v>
      </c>
    </row>
    <row r="42" spans="2:38" x14ac:dyDescent="0.25">
      <c r="C42" s="130"/>
      <c r="T42" s="133">
        <f>SUMIFS(T_Bonds[Market value in USD],T_Bonds[Sector marker],S42)</f>
        <v>0</v>
      </c>
      <c r="U42" s="134">
        <f ca="1">T42/Results!$I$20</f>
        <v>0</v>
      </c>
      <c r="V42" s="135">
        <f ca="1">T42/Results!$I$11</f>
        <v>0</v>
      </c>
      <c r="Z42" s="118">
        <f>SUMIFS(T_Bonds[Market value in USD],T_Bonds[Country],X42)</f>
        <v>0</v>
      </c>
      <c r="AD42" s="118" t="str">
        <v>Boeing</v>
      </c>
      <c r="AE42" s="131">
        <f>SUMIFS(T_Bonds[Market value in USD],T_Bonds[Issuer],AD42)</f>
        <v>0</v>
      </c>
      <c r="AH42" s="118">
        <f t="shared" si="0"/>
        <v>52</v>
      </c>
      <c r="AI42" s="118">
        <f t="shared" si="1"/>
        <v>1900</v>
      </c>
      <c r="AJ42" s="118" t="e">
        <f>SUMIFS(#REF!,#REF!,$AG42,T_Bonds[Risk CCY],AJ$1)</f>
        <v>#REF!</v>
      </c>
      <c r="AK42" s="118" t="e">
        <f>SUMIFS(#REF!,#REF!,$AG42,T_Bonds[Risk CCY],AK$1)</f>
        <v>#REF!</v>
      </c>
      <c r="AL42" s="118" t="e">
        <f>SUMIFS(#REF!,#REF!,$AG42,T_Bonds[Risk CCY],AL$1)</f>
        <v>#REF!</v>
      </c>
    </row>
    <row r="43" spans="2:38" x14ac:dyDescent="0.25">
      <c r="C43" s="130"/>
      <c r="T43" s="133">
        <f>SUMIFS(T_Bonds[Market value in USD],T_Bonds[Sector marker],S43)</f>
        <v>0</v>
      </c>
      <c r="U43" s="134">
        <f ca="1">T43/Results!$I$20</f>
        <v>0</v>
      </c>
      <c r="V43" s="135">
        <f ca="1">T43/Results!$I$11</f>
        <v>0</v>
      </c>
      <c r="Z43" s="118">
        <f>SUMIFS(T_Bonds[Market value in USD],T_Bonds[Country],X43)</f>
        <v>0</v>
      </c>
      <c r="AD43" s="118" t="str">
        <v>Groupama Assurances Mutuelles</v>
      </c>
      <c r="AE43" s="131">
        <f ca="1">SUMIFS(T_Bonds[Market value in USD],T_Bonds[Issuer],AD43)</f>
        <v>985108.65600000008</v>
      </c>
      <c r="AH43" s="118">
        <f t="shared" si="0"/>
        <v>52</v>
      </c>
      <c r="AI43" s="118">
        <f t="shared" si="1"/>
        <v>1900</v>
      </c>
      <c r="AJ43" s="118" t="e">
        <f>SUMIFS(#REF!,#REF!,$AG43,T_Bonds[Risk CCY],AJ$1)</f>
        <v>#REF!</v>
      </c>
      <c r="AK43" s="118" t="e">
        <f>SUMIFS(#REF!,#REF!,$AG43,T_Bonds[Risk CCY],AK$1)</f>
        <v>#REF!</v>
      </c>
      <c r="AL43" s="118" t="e">
        <f>SUMIFS(#REF!,#REF!,$AG43,T_Bonds[Risk CCY],AL$1)</f>
        <v>#REF!</v>
      </c>
    </row>
    <row r="44" spans="2:38" x14ac:dyDescent="0.25">
      <c r="C44" s="130"/>
      <c r="T44" s="133">
        <f>SUMIFS(T_Bonds[Market value in USD],T_Bonds[Sector marker],S44)</f>
        <v>0</v>
      </c>
      <c r="U44" s="134">
        <f ca="1">T44/Results!$I$20</f>
        <v>0</v>
      </c>
      <c r="V44" s="135">
        <f ca="1">T44/Results!$I$11</f>
        <v>0</v>
      </c>
      <c r="Z44" s="118">
        <f>SUMIFS(T_Bonds[Market value in USD],T_Bonds[Country],X44)</f>
        <v>0</v>
      </c>
      <c r="AD44" s="118" t="str">
        <v>General Motors</v>
      </c>
      <c r="AE44" s="131">
        <f>SUMIFS(T_Bonds[Market value in USD],T_Bonds[Issuer],AD44)</f>
        <v>580560</v>
      </c>
      <c r="AH44" s="118">
        <f t="shared" si="0"/>
        <v>52</v>
      </c>
      <c r="AI44" s="118">
        <f t="shared" si="1"/>
        <v>1900</v>
      </c>
      <c r="AJ44" s="118" t="e">
        <f>SUMIFS(#REF!,#REF!,$AG44,T_Bonds[Risk CCY],AJ$1)</f>
        <v>#REF!</v>
      </c>
      <c r="AK44" s="118" t="e">
        <f>SUMIFS(#REF!,#REF!,$AG44,T_Bonds[Risk CCY],AK$1)</f>
        <v>#REF!</v>
      </c>
      <c r="AL44" s="118" t="e">
        <f>SUMIFS(#REF!,#REF!,$AG44,T_Bonds[Risk CCY],AL$1)</f>
        <v>#REF!</v>
      </c>
    </row>
    <row r="45" spans="2:38" x14ac:dyDescent="0.25">
      <c r="C45" s="130"/>
      <c r="T45" s="133">
        <f>SUMIFS(T_Bonds[Market value in USD],T_Bonds[Sector marker],S45)</f>
        <v>0</v>
      </c>
      <c r="U45" s="134">
        <f ca="1">T45/Results!$I$20</f>
        <v>0</v>
      </c>
      <c r="V45" s="135">
        <f ca="1">T45/Results!$I$11</f>
        <v>0</v>
      </c>
      <c r="Z45" s="118">
        <f>SUMIFS(T_Bonds[Market value in USD],T_Bonds[Country],X45)</f>
        <v>0</v>
      </c>
      <c r="AD45" s="118" t="str">
        <v>ABN AMRO</v>
      </c>
      <c r="AE45" s="131">
        <f ca="1">SUMIFS(T_Bonds[Market value in USD],T_Bonds[Issuer],AD45)</f>
        <v>2480128.14</v>
      </c>
      <c r="AH45" s="118">
        <f t="shared" si="0"/>
        <v>52</v>
      </c>
      <c r="AI45" s="118">
        <f t="shared" si="1"/>
        <v>1900</v>
      </c>
      <c r="AJ45" s="118" t="e">
        <f>SUMIFS(#REF!,#REF!,$AG45,T_Bonds[Risk CCY],AJ$1)</f>
        <v>#REF!</v>
      </c>
      <c r="AK45" s="118" t="e">
        <f>SUMIFS(#REF!,#REF!,$AG45,T_Bonds[Risk CCY],AK$1)</f>
        <v>#REF!</v>
      </c>
      <c r="AL45" s="118" t="e">
        <f>SUMIFS(#REF!,#REF!,$AG45,T_Bonds[Risk CCY],AL$1)</f>
        <v>#REF!</v>
      </c>
    </row>
    <row r="46" spans="2:38" x14ac:dyDescent="0.25">
      <c r="C46" s="130"/>
      <c r="T46" s="133">
        <f>SUMIFS(T_Bonds[Market value in USD],T_Bonds[Sector marker],S46)</f>
        <v>0</v>
      </c>
      <c r="U46" s="134">
        <f ca="1">T46/Results!$I$20</f>
        <v>0</v>
      </c>
      <c r="V46" s="135">
        <f ca="1">T46/Results!$I$11</f>
        <v>0</v>
      </c>
      <c r="Z46" s="118">
        <f>SUMIFS(T_Bonds[Market value in USD],T_Bonds[Country],X46)</f>
        <v>0</v>
      </c>
      <c r="AD46" s="118" t="str">
        <v>PT Freeport Indonesia</v>
      </c>
      <c r="AE46" s="131">
        <f>SUMIFS(T_Bonds[Market value in USD],T_Bonds[Issuer],AD46)</f>
        <v>408060.00000000006</v>
      </c>
      <c r="AH46" s="118">
        <f t="shared" si="0"/>
        <v>52</v>
      </c>
      <c r="AI46" s="118">
        <f t="shared" si="1"/>
        <v>1900</v>
      </c>
      <c r="AJ46" s="118" t="e">
        <f>SUMIFS(#REF!,#REF!,$AG46,T_Bonds[Risk CCY],AJ$1)</f>
        <v>#REF!</v>
      </c>
      <c r="AK46" s="118" t="e">
        <f>SUMIFS(#REF!,#REF!,$AG46,T_Bonds[Risk CCY],AK$1)</f>
        <v>#REF!</v>
      </c>
      <c r="AL46" s="118" t="e">
        <f>SUMIFS(#REF!,#REF!,$AG46,T_Bonds[Risk CCY],AL$1)</f>
        <v>#REF!</v>
      </c>
    </row>
    <row r="47" spans="2:38" x14ac:dyDescent="0.25">
      <c r="C47" s="130"/>
      <c r="T47" s="133">
        <f>SUMIFS(T_Bonds[Market value in USD],T_Bonds[Sector marker],S47)</f>
        <v>0</v>
      </c>
      <c r="U47" s="134">
        <f ca="1">T47/Results!$I$20</f>
        <v>0</v>
      </c>
      <c r="V47" s="135">
        <f ca="1">T47/Results!$I$11</f>
        <v>0</v>
      </c>
      <c r="Z47" s="118">
        <f>SUMIFS(T_Bonds[Market value in USD],T_Bonds[Country],X47)</f>
        <v>0</v>
      </c>
      <c r="AD47" s="118" t="str">
        <v>Vale</v>
      </c>
      <c r="AE47" s="131">
        <f>SUMIFS(T_Bonds[Market value in USD],T_Bonds[Issuer],AD47)</f>
        <v>682229.99999999988</v>
      </c>
      <c r="AH47" s="118">
        <f t="shared" si="0"/>
        <v>52</v>
      </c>
      <c r="AI47" s="118">
        <f t="shared" si="1"/>
        <v>1900</v>
      </c>
      <c r="AJ47" s="118" t="e">
        <f>SUMIFS(#REF!,#REF!,$AG47,T_Bonds[Risk CCY],AJ$1)</f>
        <v>#REF!</v>
      </c>
      <c r="AK47" s="118" t="e">
        <f>SUMIFS(#REF!,#REF!,$AG47,T_Bonds[Risk CCY],AK$1)</f>
        <v>#REF!</v>
      </c>
      <c r="AL47" s="118" t="e">
        <f>SUMIFS(#REF!,#REF!,$AG47,T_Bonds[Risk CCY],AL$1)</f>
        <v>#REF!</v>
      </c>
    </row>
    <row r="48" spans="2:38" x14ac:dyDescent="0.25">
      <c r="T48" s="133">
        <f>SUMIFS(T_Bonds[Market value in USD],T_Bonds[Sector marker],S48)</f>
        <v>0</v>
      </c>
      <c r="U48" s="134">
        <f ca="1">T48/Results!$I$20</f>
        <v>0</v>
      </c>
      <c r="V48" s="135">
        <f ca="1">T48/Results!$I$11</f>
        <v>0</v>
      </c>
      <c r="Z48" s="118">
        <f>SUMIFS(T_Bonds[Market value in USD],T_Bonds[Country],X48)</f>
        <v>0</v>
      </c>
      <c r="AD48" s="118" t="str">
        <v>Rabobank</v>
      </c>
      <c r="AE48" s="131">
        <f ca="1">SUMIFS(T_Bonds[Market value in USD],T_Bonds[Issuer],AD48)</f>
        <v>1340095.365</v>
      </c>
      <c r="AH48" s="118">
        <f t="shared" si="0"/>
        <v>52</v>
      </c>
      <c r="AI48" s="118">
        <f t="shared" si="1"/>
        <v>1900</v>
      </c>
      <c r="AJ48" s="118" t="e">
        <f>SUMIFS(#REF!,#REF!,$AG48,T_Bonds[Risk CCY],AJ$1)</f>
        <v>#REF!</v>
      </c>
      <c r="AK48" s="118" t="e">
        <f>SUMIFS(#REF!,#REF!,$AG48,T_Bonds[Risk CCY],AK$1)</f>
        <v>#REF!</v>
      </c>
      <c r="AL48" s="118" t="e">
        <f>SUMIFS(#REF!,#REF!,$AG48,T_Bonds[Risk CCY],AL$1)</f>
        <v>#REF!</v>
      </c>
    </row>
    <row r="49" spans="20:38" x14ac:dyDescent="0.25">
      <c r="T49" s="133">
        <f>SUMIFS(T_Bonds[Market value in USD],T_Bonds[Sector marker],S49)</f>
        <v>0</v>
      </c>
      <c r="U49" s="134">
        <f ca="1">T49/Results!$I$20</f>
        <v>0</v>
      </c>
      <c r="V49" s="135">
        <f ca="1">T49/Results!$I$11</f>
        <v>0</v>
      </c>
      <c r="Z49" s="118">
        <f>SUMIFS(T_Bonds[Market value in USD],T_Bonds[Country],X49)</f>
        <v>0</v>
      </c>
      <c r="AD49" s="118" t="str">
        <v>ArcelorMittal</v>
      </c>
      <c r="AE49" s="131">
        <f>SUMIFS(T_Bonds[Market value in USD],T_Bonds[Issuer],AD49)</f>
        <v>0</v>
      </c>
      <c r="AH49" s="118">
        <f t="shared" si="0"/>
        <v>52</v>
      </c>
      <c r="AI49" s="118">
        <f t="shared" si="1"/>
        <v>1900</v>
      </c>
      <c r="AJ49" s="118" t="e">
        <f>SUMIFS(#REF!,#REF!,$AG49,T_Bonds[Risk CCY],AJ$1)</f>
        <v>#REF!</v>
      </c>
      <c r="AK49" s="118" t="e">
        <f>SUMIFS(#REF!,#REF!,$AG49,T_Bonds[Risk CCY],AK$1)</f>
        <v>#REF!</v>
      </c>
      <c r="AL49" s="118" t="e">
        <f>SUMIFS(#REF!,#REF!,$AG49,T_Bonds[Risk CCY],AL$1)</f>
        <v>#REF!</v>
      </c>
    </row>
    <row r="50" spans="20:38" x14ac:dyDescent="0.25">
      <c r="T50" s="133">
        <f>SUMIFS(T_Bonds[Market value in USD],T_Bonds[Sector marker],S50)</f>
        <v>0</v>
      </c>
      <c r="U50" s="134">
        <f ca="1">T50/Results!$I$20</f>
        <v>0</v>
      </c>
      <c r="V50" s="135">
        <f ca="1">T50/Results!$I$11</f>
        <v>0</v>
      </c>
      <c r="Z50" s="118">
        <f>SUMIFS(T_Bonds[Market value in USD],T_Bonds[Country],X50)</f>
        <v>0</v>
      </c>
      <c r="AD50" s="118" t="str">
        <v>Erste Group</v>
      </c>
      <c r="AE50" s="131">
        <f ca="1">SUMIFS(T_Bonds[Market value in USD],T_Bonds[Issuer],AD50)</f>
        <v>1764924.6300000004</v>
      </c>
      <c r="AH50" s="118">
        <f t="shared" si="0"/>
        <v>52</v>
      </c>
      <c r="AI50" s="118">
        <f t="shared" si="1"/>
        <v>1900</v>
      </c>
      <c r="AJ50" s="118" t="e">
        <f>SUMIFS(#REF!,#REF!,$AG50,T_Bonds[Risk CCY],AJ$1)</f>
        <v>#REF!</v>
      </c>
      <c r="AK50" s="118" t="e">
        <f>SUMIFS(#REF!,#REF!,$AG50,T_Bonds[Risk CCY],AK$1)</f>
        <v>#REF!</v>
      </c>
      <c r="AL50" s="118" t="e">
        <f>SUMIFS(#REF!,#REF!,$AG50,T_Bonds[Risk CCY],AL$1)</f>
        <v>#REF!</v>
      </c>
    </row>
    <row r="51" spans="20:38" x14ac:dyDescent="0.25">
      <c r="T51" s="133">
        <f>SUMIFS(T_Bonds[Market value in USD],T_Bonds[Sector marker],S51)</f>
        <v>0</v>
      </c>
      <c r="U51" s="134">
        <f ca="1">T51/Results!$I$20</f>
        <v>0</v>
      </c>
      <c r="V51" s="135">
        <f ca="1">T51/Results!$I$11</f>
        <v>0</v>
      </c>
      <c r="Z51" s="118">
        <f>SUMIFS(T_Bonds[Market value in USD],T_Bonds[Country],X51)</f>
        <v>0</v>
      </c>
      <c r="AD51" s="118" t="str">
        <v>La Mondiale</v>
      </c>
      <c r="AE51" s="131">
        <f ca="1">SUMIFS(T_Bonds[Market value in USD],T_Bonds[Issuer],AD51)</f>
        <v>868935.81599999999</v>
      </c>
      <c r="AH51" s="118">
        <f t="shared" si="0"/>
        <v>52</v>
      </c>
      <c r="AI51" s="118">
        <f t="shared" si="1"/>
        <v>1900</v>
      </c>
      <c r="AJ51" s="118" t="e">
        <f>SUMIFS(#REF!,#REF!,$AG51,T_Bonds[Risk CCY],AJ$1)</f>
        <v>#REF!</v>
      </c>
      <c r="AK51" s="118" t="e">
        <f>SUMIFS(#REF!,#REF!,$AG51,T_Bonds[Risk CCY],AK$1)</f>
        <v>#REF!</v>
      </c>
      <c r="AL51" s="118" t="e">
        <f>SUMIFS(#REF!,#REF!,$AG51,T_Bonds[Risk CCY],AL$1)</f>
        <v>#REF!</v>
      </c>
    </row>
    <row r="52" spans="20:38" x14ac:dyDescent="0.25">
      <c r="T52" s="133">
        <f>SUMIFS(T_Bonds[Market value in USD],T_Bonds[Sector marker],S52)</f>
        <v>0</v>
      </c>
      <c r="U52" s="134">
        <f ca="1">T52/Results!$I$20</f>
        <v>0</v>
      </c>
      <c r="V52" s="135">
        <f ca="1">T52/Results!$I$11</f>
        <v>0</v>
      </c>
      <c r="Z52" s="118">
        <f>SUMIFS(T_Bonds[Market value in USD],T_Bonds[Country],X52)</f>
        <v>0</v>
      </c>
      <c r="AD52" s="118" t="str">
        <v>Romania</v>
      </c>
      <c r="AE52" s="131">
        <f>SUMIFS(T_Bonds[Market value in USD],T_Bonds[Issuer],AD52)</f>
        <v>1407080</v>
      </c>
      <c r="AH52" s="118">
        <f t="shared" si="0"/>
        <v>52</v>
      </c>
      <c r="AI52" s="118">
        <f t="shared" si="1"/>
        <v>1900</v>
      </c>
      <c r="AJ52" s="118" t="e">
        <f>SUMIFS(#REF!,#REF!,$AG52,T_Bonds[Risk CCY],AJ$1)</f>
        <v>#REF!</v>
      </c>
      <c r="AK52" s="118" t="e">
        <f>SUMIFS(#REF!,#REF!,$AG52,T_Bonds[Risk CCY],AK$1)</f>
        <v>#REF!</v>
      </c>
      <c r="AL52" s="118" t="e">
        <f>SUMIFS(#REF!,#REF!,$AG52,T_Bonds[Risk CCY],AL$1)</f>
        <v>#REF!</v>
      </c>
    </row>
    <row r="53" spans="20:38" x14ac:dyDescent="0.25">
      <c r="T53" s="133">
        <f>SUMIFS(T_Bonds[Market value in USD],T_Bonds[Sector marker],S53)</f>
        <v>0</v>
      </c>
      <c r="U53" s="134">
        <f ca="1">T53/Results!$I$20</f>
        <v>0</v>
      </c>
      <c r="V53" s="135">
        <f ca="1">T53/Results!$I$11</f>
        <v>0</v>
      </c>
      <c r="Z53" s="118">
        <f>SUMIFS(T_Bonds[Market value in USD],T_Bonds[Country],X53)</f>
        <v>0</v>
      </c>
      <c r="AD53" s="118" t="str">
        <v>Nordea Bank Abp</v>
      </c>
      <c r="AE53" s="131">
        <f>SUMIFS(T_Bonds[Market value in USD],T_Bonds[Issuer],AD53)</f>
        <v>0</v>
      </c>
      <c r="AH53" s="118">
        <f t="shared" si="0"/>
        <v>52</v>
      </c>
      <c r="AI53" s="118">
        <f t="shared" si="1"/>
        <v>1900</v>
      </c>
      <c r="AJ53" s="118" t="e">
        <f>SUMIFS(#REF!,#REF!,$AG53,T_Bonds[Risk CCY],AJ$1)</f>
        <v>#REF!</v>
      </c>
      <c r="AK53" s="118" t="e">
        <f>SUMIFS(#REF!,#REF!,$AG53,T_Bonds[Risk CCY],AK$1)</f>
        <v>#REF!</v>
      </c>
      <c r="AL53" s="118" t="e">
        <f>SUMIFS(#REF!,#REF!,$AG53,T_Bonds[Risk CCY],AL$1)</f>
        <v>#REF!</v>
      </c>
    </row>
    <row r="54" spans="20:38" x14ac:dyDescent="0.25">
      <c r="T54" s="133">
        <f>SUMIFS(T_Bonds[Market value in USD],T_Bonds[Sector marker],S54)</f>
        <v>0</v>
      </c>
      <c r="U54" s="134">
        <f ca="1">T54/Results!$I$20</f>
        <v>0</v>
      </c>
      <c r="V54" s="135">
        <f ca="1">T54/Results!$I$11</f>
        <v>0</v>
      </c>
      <c r="Z54" s="118">
        <f>SUMIFS(T_Bonds[Market value in USD],T_Bonds[Country],X54)</f>
        <v>0</v>
      </c>
      <c r="AD54" s="118" t="str">
        <v>Credit Agricole SA</v>
      </c>
      <c r="AE54" s="131">
        <f ca="1">SUMIFS(T_Bonds[Market value in USD],T_Bonds[Issuer],AD54)</f>
        <v>2212038.6800000002</v>
      </c>
      <c r="AH54" s="118">
        <f t="shared" si="0"/>
        <v>52</v>
      </c>
      <c r="AI54" s="118">
        <f t="shared" si="1"/>
        <v>1900</v>
      </c>
      <c r="AJ54" s="118" t="e">
        <f>SUMIFS(#REF!,#REF!,$AG54,T_Bonds[Risk CCY],AJ$1)</f>
        <v>#REF!</v>
      </c>
      <c r="AK54" s="118" t="e">
        <f>SUMIFS(#REF!,#REF!,$AG54,T_Bonds[Risk CCY],AK$1)</f>
        <v>#REF!</v>
      </c>
      <c r="AL54" s="118" t="e">
        <f>SUMIFS(#REF!,#REF!,$AG54,T_Bonds[Risk CCY],AL$1)</f>
        <v>#REF!</v>
      </c>
    </row>
    <row r="55" spans="20:38" x14ac:dyDescent="0.25">
      <c r="T55" s="133">
        <f>SUMIFS(T_Bonds[Market value in USD],T_Bonds[Sector marker],S55)</f>
        <v>0</v>
      </c>
      <c r="U55" s="134">
        <f ca="1">T55/Results!$I$20</f>
        <v>0</v>
      </c>
      <c r="V55" s="135">
        <f ca="1">T55/Results!$I$11</f>
        <v>0</v>
      </c>
      <c r="Z55" s="118">
        <f>SUMIFS(T_Bonds[Market value in USD],T_Bonds[Country],X55)</f>
        <v>0</v>
      </c>
      <c r="AD55" s="118" t="str">
        <v>Brazil</v>
      </c>
      <c r="AE55" s="131">
        <f>SUMIFS(T_Bonds[Market value in USD],T_Bonds[Issuer],AD55)</f>
        <v>1791000</v>
      </c>
      <c r="AH55" s="118">
        <f t="shared" si="0"/>
        <v>52</v>
      </c>
      <c r="AI55" s="118">
        <f t="shared" si="1"/>
        <v>1900</v>
      </c>
      <c r="AJ55" s="118" t="e">
        <f>SUMIFS(#REF!,#REF!,$AG55,T_Bonds[Risk CCY],AJ$1)</f>
        <v>#REF!</v>
      </c>
      <c r="AK55" s="118" t="e">
        <f>SUMIFS(#REF!,#REF!,$AG55,T_Bonds[Risk CCY],AK$1)</f>
        <v>#REF!</v>
      </c>
      <c r="AL55" s="118" t="e">
        <f>SUMIFS(#REF!,#REF!,$AG55,T_Bonds[Risk CCY],AL$1)</f>
        <v>#REF!</v>
      </c>
    </row>
    <row r="56" spans="20:38" x14ac:dyDescent="0.25">
      <c r="T56" s="133">
        <f>SUMIFS(T_Bonds[Market value in USD],T_Bonds[Sector marker],S56)</f>
        <v>0</v>
      </c>
      <c r="U56" s="134">
        <f ca="1">T56/Results!$I$20</f>
        <v>0</v>
      </c>
      <c r="V56" s="135">
        <f ca="1">T56/Results!$I$11</f>
        <v>0</v>
      </c>
      <c r="Z56" s="118">
        <f>SUMIFS(T_Bonds[Market value in USD],T_Bonds[Country],X56)</f>
        <v>0</v>
      </c>
      <c r="AD56" s="118" t="str">
        <v>SBL Holdings</v>
      </c>
      <c r="AE56" s="131">
        <f>SUMIFS(T_Bonds[Market value in USD],T_Bonds[Issuer],AD56)</f>
        <v>0</v>
      </c>
      <c r="AH56" s="118">
        <f t="shared" si="0"/>
        <v>52</v>
      </c>
      <c r="AI56" s="118">
        <f t="shared" si="1"/>
        <v>1900</v>
      </c>
      <c r="AJ56" s="118" t="e">
        <f>SUMIFS(#REF!,#REF!,$AG56,T_Bonds[Risk CCY],AJ$1)</f>
        <v>#REF!</v>
      </c>
      <c r="AK56" s="118" t="e">
        <f>SUMIFS(#REF!,#REF!,$AG56,T_Bonds[Risk CCY],AK$1)</f>
        <v>#REF!</v>
      </c>
      <c r="AL56" s="118" t="e">
        <f>SUMIFS(#REF!,#REF!,$AG56,T_Bonds[Risk CCY],AL$1)</f>
        <v>#REF!</v>
      </c>
    </row>
    <row r="57" spans="20:38" x14ac:dyDescent="0.25">
      <c r="T57" s="133">
        <f>SUMIFS(T_Bonds[Market value in USD],T_Bonds[Sector marker],S57)</f>
        <v>0</v>
      </c>
      <c r="U57" s="134">
        <f ca="1">T57/Results!$I$20</f>
        <v>0</v>
      </c>
      <c r="V57" s="135">
        <f ca="1">T57/Results!$I$11</f>
        <v>0</v>
      </c>
      <c r="AD57" s="118" t="str">
        <v>Latam Airlines</v>
      </c>
      <c r="AE57" s="131">
        <f>SUMIFS(T_Bonds[Market value in USD],T_Bonds[Issuer],AD57)</f>
        <v>691375</v>
      </c>
      <c r="AH57" s="118">
        <f t="shared" si="0"/>
        <v>52</v>
      </c>
      <c r="AI57" s="118">
        <f t="shared" si="1"/>
        <v>1900</v>
      </c>
      <c r="AJ57" s="118" t="e">
        <f>SUMIFS(#REF!,#REF!,$AG57,T_Bonds[Risk CCY],AJ$1)</f>
        <v>#REF!</v>
      </c>
      <c r="AK57" s="118" t="e">
        <f>SUMIFS(#REF!,#REF!,$AG57,T_Bonds[Risk CCY],AK$1)</f>
        <v>#REF!</v>
      </c>
      <c r="AL57" s="118" t="e">
        <f>SUMIFS(#REF!,#REF!,$AG57,T_Bonds[Risk CCY],AL$1)</f>
        <v>#REF!</v>
      </c>
    </row>
    <row r="58" spans="20:38" x14ac:dyDescent="0.25">
      <c r="T58" s="133">
        <f>SUMIFS(T_Bonds[Market value in USD],T_Bonds[Sector marker],S58)</f>
        <v>0</v>
      </c>
      <c r="U58" s="134">
        <f ca="1">T58/Results!$I$20</f>
        <v>0</v>
      </c>
      <c r="V58" s="135">
        <f ca="1">T58/Results!$I$11</f>
        <v>0</v>
      </c>
      <c r="AD58" s="118" t="str">
        <v>Turkcell Iletisim</v>
      </c>
      <c r="AE58" s="131">
        <f>SUMIFS(T_Bonds[Market value in USD],T_Bonds[Issuer],AD58)</f>
        <v>1058100</v>
      </c>
      <c r="AH58" s="118">
        <f t="shared" si="0"/>
        <v>52</v>
      </c>
      <c r="AI58" s="118">
        <f t="shared" si="1"/>
        <v>1900</v>
      </c>
      <c r="AJ58" s="118" t="e">
        <f>SUMIFS(#REF!,#REF!,$AG58,T_Bonds[Risk CCY],AJ$1)</f>
        <v>#REF!</v>
      </c>
      <c r="AK58" s="118" t="e">
        <f>SUMIFS(#REF!,#REF!,$AG58,T_Bonds[Risk CCY],AK$1)</f>
        <v>#REF!</v>
      </c>
      <c r="AL58" s="118" t="e">
        <f>SUMIFS(#REF!,#REF!,$AG58,T_Bonds[Risk CCY],AL$1)</f>
        <v>#REF!</v>
      </c>
    </row>
    <row r="59" spans="20:38" x14ac:dyDescent="0.25">
      <c r="T59" s="133">
        <f>SUMIFS(T_Bonds[Market value in USD],T_Bonds[Sector marker],S59)</f>
        <v>0</v>
      </c>
      <c r="U59" s="134">
        <f ca="1">T59/Results!$I$20</f>
        <v>0</v>
      </c>
      <c r="V59" s="135">
        <f ca="1">T59/Results!$I$11</f>
        <v>0</v>
      </c>
      <c r="AD59" s="118" t="str">
        <v>UBS Group</v>
      </c>
      <c r="AE59" s="131">
        <f>SUMIFS(T_Bonds[Market value in USD],T_Bonds[Issuer],AD59)</f>
        <v>1018720</v>
      </c>
      <c r="AH59" s="118">
        <f t="shared" si="0"/>
        <v>52</v>
      </c>
      <c r="AI59" s="118">
        <f t="shared" si="1"/>
        <v>1900</v>
      </c>
      <c r="AJ59" s="118" t="e">
        <f>SUMIFS(#REF!,#REF!,$AG59,T_Bonds[Risk CCY],AJ$1)</f>
        <v>#REF!</v>
      </c>
      <c r="AK59" s="118" t="e">
        <f>SUMIFS(#REF!,#REF!,$AG59,T_Bonds[Risk CCY],AK$1)</f>
        <v>#REF!</v>
      </c>
      <c r="AL59" s="118" t="e">
        <f>SUMIFS(#REF!,#REF!,$AG59,T_Bonds[Risk CCY],AL$1)</f>
        <v>#REF!</v>
      </c>
    </row>
    <row r="60" spans="20:38" x14ac:dyDescent="0.25">
      <c r="T60" s="133">
        <f>SUMIFS(T_Bonds[Market value in USD],T_Bonds[Sector marker],S60)</f>
        <v>0</v>
      </c>
      <c r="U60" s="134">
        <f ca="1">T60/Results!$I$20</f>
        <v>0</v>
      </c>
      <c r="V60" s="135">
        <f ca="1">T60/Results!$I$11</f>
        <v>0</v>
      </c>
      <c r="AD60" s="118" t="str">
        <v>Barclays</v>
      </c>
      <c r="AE60" s="131">
        <f ca="1">SUMIFS(T_Bonds[Market value in USD],T_Bonds[Issuer],AD60)</f>
        <v>1223064.1200000001</v>
      </c>
      <c r="AH60" s="118">
        <f t="shared" si="0"/>
        <v>52</v>
      </c>
      <c r="AI60" s="118">
        <f t="shared" si="1"/>
        <v>1900</v>
      </c>
      <c r="AJ60" s="118" t="e">
        <f>SUMIFS(#REF!,#REF!,$AG60,T_Bonds[Risk CCY],AJ$1)</f>
        <v>#REF!</v>
      </c>
      <c r="AK60" s="118" t="e">
        <f>SUMIFS(#REF!,#REF!,$AG60,T_Bonds[Risk CCY],AK$1)</f>
        <v>#REF!</v>
      </c>
      <c r="AL60" s="118" t="e">
        <f>SUMIFS(#REF!,#REF!,$AG60,T_Bonds[Risk CCY],AL$1)</f>
        <v>#REF!</v>
      </c>
    </row>
    <row r="61" spans="20:38" x14ac:dyDescent="0.25">
      <c r="T61" s="133">
        <f>SUMIFS(T_Bonds[Market value in USD],T_Bonds[Sector marker],S61)</f>
        <v>0</v>
      </c>
      <c r="U61" s="134">
        <f ca="1">T61/Results!$I$20</f>
        <v>0</v>
      </c>
      <c r="V61" s="135">
        <f ca="1">T61/Results!$I$11</f>
        <v>0</v>
      </c>
      <c r="AD61" s="118" t="str">
        <v>IFC</v>
      </c>
      <c r="AE61" s="131">
        <f ca="1">SUMIFS(T_Bonds[Market value in USD],T_Bonds[Issuer],AD61)</f>
        <v>378240</v>
      </c>
      <c r="AH61" s="118">
        <f t="shared" si="0"/>
        <v>52</v>
      </c>
      <c r="AI61" s="118">
        <f t="shared" si="1"/>
        <v>1900</v>
      </c>
      <c r="AJ61" s="118" t="e">
        <f>SUMIFS(#REF!,#REF!,$AG61,T_Bonds[Risk CCY],AJ$1)</f>
        <v>#REF!</v>
      </c>
      <c r="AK61" s="118" t="e">
        <f>SUMIFS(#REF!,#REF!,$AG61,T_Bonds[Risk CCY],AK$1)</f>
        <v>#REF!</v>
      </c>
      <c r="AL61" s="118" t="e">
        <f>SUMIFS(#REF!,#REF!,$AG61,T_Bonds[Risk CCY],AL$1)</f>
        <v>#REF!</v>
      </c>
    </row>
    <row r="62" spans="20:38" x14ac:dyDescent="0.25">
      <c r="T62" s="133">
        <f>SUMIFS(T_Bonds[Market value in USD],T_Bonds[Sector marker],S62)</f>
        <v>0</v>
      </c>
      <c r="U62" s="134">
        <f ca="1">T62/Results!$I$20</f>
        <v>0</v>
      </c>
      <c r="V62" s="135">
        <f ca="1">T62/Results!$I$11</f>
        <v>0</v>
      </c>
      <c r="AD62" s="118" t="str">
        <v>South Africa</v>
      </c>
      <c r="AE62" s="131">
        <f>SUMIFS(T_Bonds[Market value in USD],T_Bonds[Issuer],AD62)</f>
        <v>636420</v>
      </c>
      <c r="AH62" s="118">
        <f t="shared" si="0"/>
        <v>52</v>
      </c>
      <c r="AI62" s="118">
        <f t="shared" si="1"/>
        <v>1900</v>
      </c>
      <c r="AJ62" s="118" t="e">
        <f>SUMIFS(#REF!,#REF!,$AG62,T_Bonds[Risk CCY],AJ$1)</f>
        <v>#REF!</v>
      </c>
      <c r="AK62" s="118" t="e">
        <f>SUMIFS(#REF!,#REF!,$AG62,T_Bonds[Risk CCY],AK$1)</f>
        <v>#REF!</v>
      </c>
      <c r="AL62" s="118" t="e">
        <f>SUMIFS(#REF!,#REF!,$AG62,T_Bonds[Risk CCY],AL$1)</f>
        <v>#REF!</v>
      </c>
    </row>
    <row r="63" spans="20:38" x14ac:dyDescent="0.25">
      <c r="T63" s="133">
        <f>SUMIFS(T_Bonds[Market value in USD],T_Bonds[Sector marker],S63)</f>
        <v>0</v>
      </c>
      <c r="U63" s="134">
        <f ca="1">T63/Results!$I$20</f>
        <v>0</v>
      </c>
      <c r="V63" s="135">
        <f ca="1">T63/Results!$I$11</f>
        <v>0</v>
      </c>
      <c r="AD63" s="118" t="str">
        <v>IBRD</v>
      </c>
      <c r="AE63" s="131">
        <f ca="1">SUMIFS(T_Bonds[Market value in USD],T_Bonds[Issuer],AD63)</f>
        <v>1839475.2</v>
      </c>
      <c r="AH63" s="118">
        <f t="shared" si="0"/>
        <v>52</v>
      </c>
      <c r="AI63" s="118">
        <f t="shared" si="1"/>
        <v>1900</v>
      </c>
      <c r="AJ63" s="118" t="e">
        <f>SUMIFS(#REF!,#REF!,$AG63,T_Bonds[Risk CCY],AJ$1)</f>
        <v>#REF!</v>
      </c>
      <c r="AK63" s="118" t="e">
        <f>SUMIFS(#REF!,#REF!,$AG63,T_Bonds[Risk CCY],AK$1)</f>
        <v>#REF!</v>
      </c>
      <c r="AL63" s="118" t="e">
        <f>SUMIFS(#REF!,#REF!,$AG63,T_Bonds[Risk CCY],AL$1)</f>
        <v>#REF!</v>
      </c>
    </row>
    <row r="64" spans="20:38" x14ac:dyDescent="0.25">
      <c r="T64" s="133">
        <f>SUMIFS(T_Bonds[Market value in USD],T_Bonds[Sector marker],S64)</f>
        <v>0</v>
      </c>
      <c r="U64" s="134">
        <f ca="1">T64/Results!$I$20</f>
        <v>0</v>
      </c>
      <c r="V64" s="135">
        <f ca="1">T64/Results!$I$11</f>
        <v>0</v>
      </c>
      <c r="AD64" s="118" t="str">
        <v>Aviva</v>
      </c>
      <c r="AE64" s="131">
        <f ca="1">SUMIFS(T_Bonds[Market value in USD],T_Bonds[Issuer],AD64)</f>
        <v>1147489.2</v>
      </c>
      <c r="AH64" s="118">
        <f t="shared" si="0"/>
        <v>52</v>
      </c>
      <c r="AI64" s="118">
        <f t="shared" si="1"/>
        <v>1900</v>
      </c>
      <c r="AJ64" s="118" t="e">
        <f>SUMIFS(#REF!,#REF!,$AG64,T_Bonds[Risk CCY],AJ$1)</f>
        <v>#REF!</v>
      </c>
      <c r="AK64" s="118" t="e">
        <f>SUMIFS(#REF!,#REF!,$AG64,T_Bonds[Risk CCY],AK$1)</f>
        <v>#REF!</v>
      </c>
      <c r="AL64" s="118" t="e">
        <f>SUMIFS(#REF!,#REF!,$AG64,T_Bonds[Risk CCY],AL$1)</f>
        <v>#REF!</v>
      </c>
    </row>
    <row r="65" spans="20:38" x14ac:dyDescent="0.25">
      <c r="T65" s="133">
        <f>SUMIFS(T_Bonds[Market value in USD],T_Bonds[Sector marker],S65)</f>
        <v>0</v>
      </c>
      <c r="U65" s="134">
        <f ca="1">T65/Results!$I$20</f>
        <v>0</v>
      </c>
      <c r="V65" s="135">
        <f ca="1">T65/Results!$I$11</f>
        <v>0</v>
      </c>
      <c r="AD65" s="118" t="str">
        <v>Societe Generale</v>
      </c>
      <c r="AE65" s="131">
        <f>SUMIFS(T_Bonds[Market value in USD],T_Bonds[Issuer],AD65)</f>
        <v>440440</v>
      </c>
      <c r="AH65" s="118">
        <f t="shared" si="0"/>
        <v>52</v>
      </c>
      <c r="AI65" s="118">
        <f t="shared" si="1"/>
        <v>1900</v>
      </c>
      <c r="AJ65" s="118" t="e">
        <f>SUMIFS(#REF!,#REF!,$AG65,T_Bonds[Risk CCY],AJ$1)</f>
        <v>#REF!</v>
      </c>
      <c r="AK65" s="118" t="e">
        <f>SUMIFS(#REF!,#REF!,$AG65,T_Bonds[Risk CCY],AK$1)</f>
        <v>#REF!</v>
      </c>
      <c r="AL65" s="118" t="e">
        <f>SUMIFS(#REF!,#REF!,$AG65,T_Bonds[Risk CCY],AL$1)</f>
        <v>#REF!</v>
      </c>
    </row>
    <row r="66" spans="20:38" x14ac:dyDescent="0.25">
      <c r="T66" s="133">
        <f>SUMIFS(T_Bonds[Market value in USD],T_Bonds[Sector marker],S66)</f>
        <v>0</v>
      </c>
      <c r="U66" s="134">
        <f ca="1">T66/Results!$I$20</f>
        <v>0</v>
      </c>
      <c r="V66" s="135">
        <f ca="1">T66/Results!$I$11</f>
        <v>0</v>
      </c>
      <c r="AD66" s="118" t="str">
        <v>HSBC Holdings plc</v>
      </c>
      <c r="AE66" s="131">
        <f>SUMIFS(T_Bonds[Market value in USD],T_Bonds[Issuer],AD66)</f>
        <v>1246640</v>
      </c>
      <c r="AH66" s="118">
        <f t="shared" si="0"/>
        <v>52</v>
      </c>
      <c r="AI66" s="118">
        <f t="shared" si="1"/>
        <v>1900</v>
      </c>
      <c r="AJ66" s="118" t="e">
        <f>SUMIFS(#REF!,#REF!,$AG66,T_Bonds[Risk CCY],AJ$1)</f>
        <v>#REF!</v>
      </c>
      <c r="AK66" s="118" t="e">
        <f>SUMIFS(#REF!,#REF!,$AG66,T_Bonds[Risk CCY],AK$1)</f>
        <v>#REF!</v>
      </c>
      <c r="AL66" s="118" t="e">
        <f>SUMIFS(#REF!,#REF!,$AG66,T_Bonds[Risk CCY],AL$1)</f>
        <v>#REF!</v>
      </c>
    </row>
    <row r="67" spans="20:38" x14ac:dyDescent="0.25">
      <c r="T67" s="133">
        <f>SUMIFS(T_Bonds[Market value in USD],T_Bonds[Sector marker],S67)</f>
        <v>0</v>
      </c>
      <c r="U67" s="134">
        <f ca="1">T67/Results!$I$20</f>
        <v>0</v>
      </c>
      <c r="V67" s="135">
        <f ca="1">T67/Results!$I$11</f>
        <v>0</v>
      </c>
      <c r="AD67" s="118" t="str">
        <v>Softbank Group</v>
      </c>
      <c r="AE67" s="131">
        <f>SUMIFS(T_Bonds[Market value in USD],T_Bonds[Issuer],AD67)</f>
        <v>927800</v>
      </c>
      <c r="AH67" s="118">
        <f t="shared" ref="AH67:AH130" si="10">_xlfn.ISOWEEKNUM(AG67)</f>
        <v>52</v>
      </c>
      <c r="AI67" s="118">
        <f t="shared" ref="AI67:AI130" si="11">YEAR(AG67)</f>
        <v>1900</v>
      </c>
      <c r="AJ67" s="118" t="e">
        <f>SUMIFS(#REF!,#REF!,$AG67,T_Bonds[Risk CCY],AJ$1)</f>
        <v>#REF!</v>
      </c>
      <c r="AK67" s="118" t="e">
        <f>SUMIFS(#REF!,#REF!,$AG67,T_Bonds[Risk CCY],AK$1)</f>
        <v>#REF!</v>
      </c>
      <c r="AL67" s="118" t="e">
        <f>SUMIFS(#REF!,#REF!,$AG67,T_Bonds[Risk CCY],AL$1)</f>
        <v>#REF!</v>
      </c>
    </row>
    <row r="68" spans="20:38" x14ac:dyDescent="0.25">
      <c r="T68" s="133">
        <f>SUMIFS(T_Bonds[Market value in USD],T_Bonds[Sector marker],S68)</f>
        <v>0</v>
      </c>
      <c r="U68" s="134">
        <f ca="1">T68/Results!$I$20</f>
        <v>0</v>
      </c>
      <c r="V68" s="135">
        <f ca="1">T68/Results!$I$11</f>
        <v>0</v>
      </c>
      <c r="AD68" s="118" t="str">
        <v>EBRD</v>
      </c>
      <c r="AE68" s="131">
        <f ca="1">SUMIFS(T_Bonds[Market value in USD],T_Bonds[Issuer],AD68)</f>
        <v>702306.22000000009</v>
      </c>
      <c r="AH68" s="118">
        <f t="shared" si="10"/>
        <v>52</v>
      </c>
      <c r="AI68" s="118">
        <f t="shared" si="11"/>
        <v>1900</v>
      </c>
      <c r="AJ68" s="118" t="e">
        <f>SUMIFS(#REF!,#REF!,$AG68,T_Bonds[Risk CCY],AJ$1)</f>
        <v>#REF!</v>
      </c>
      <c r="AK68" s="118" t="e">
        <f>SUMIFS(#REF!,#REF!,$AG68,T_Bonds[Risk CCY],AK$1)</f>
        <v>#REF!</v>
      </c>
      <c r="AL68" s="118" t="e">
        <f>SUMIFS(#REF!,#REF!,$AG68,T_Bonds[Risk CCY],AL$1)</f>
        <v>#REF!</v>
      </c>
    </row>
    <row r="69" spans="20:38" x14ac:dyDescent="0.25">
      <c r="T69" s="133">
        <f>SUMIFS(T_Bonds[Market value in USD],T_Bonds[Sector marker],S69)</f>
        <v>0</v>
      </c>
      <c r="U69" s="134">
        <f ca="1">T69/Results!$I$20</f>
        <v>0</v>
      </c>
      <c r="V69" s="135">
        <f ca="1">T69/Results!$I$11</f>
        <v>0</v>
      </c>
      <c r="AD69" s="118" t="str">
        <v>Vedanta Resources Finance II Plc</v>
      </c>
      <c r="AE69" s="131">
        <f>SUMIFS(T_Bonds[Market value in USD],T_Bonds[Issuer],AD69)</f>
        <v>1041500.0000000001</v>
      </c>
      <c r="AH69" s="118">
        <f t="shared" si="10"/>
        <v>52</v>
      </c>
      <c r="AI69" s="118">
        <f t="shared" si="11"/>
        <v>1900</v>
      </c>
      <c r="AJ69" s="118" t="e">
        <f>SUMIFS(#REF!,#REF!,$AG69,T_Bonds[Risk CCY],AJ$1)</f>
        <v>#REF!</v>
      </c>
      <c r="AK69" s="118" t="e">
        <f>SUMIFS(#REF!,#REF!,$AG69,T_Bonds[Risk CCY],AK$1)</f>
        <v>#REF!</v>
      </c>
      <c r="AL69" s="118" t="e">
        <f>SUMIFS(#REF!,#REF!,$AG69,T_Bonds[Risk CCY],AL$1)</f>
        <v>#REF!</v>
      </c>
    </row>
    <row r="70" spans="20:38" x14ac:dyDescent="0.25">
      <c r="T70" s="133">
        <f>SUMIFS(T_Bonds[Market value in USD],T_Bonds[Sector marker],S70)</f>
        <v>0</v>
      </c>
      <c r="U70" s="134">
        <f ca="1">T70/Results!$I$20</f>
        <v>0</v>
      </c>
      <c r="V70" s="135">
        <f ca="1">T70/Results!$I$11</f>
        <v>0</v>
      </c>
      <c r="AD70" s="118">
        <v>0</v>
      </c>
      <c r="AE70" s="131">
        <f>SUMIFS(T_Bonds[Market value in USD],T_Bonds[Issuer],AD70)</f>
        <v>0</v>
      </c>
      <c r="AH70" s="118">
        <f t="shared" si="10"/>
        <v>52</v>
      </c>
      <c r="AI70" s="118">
        <f t="shared" si="11"/>
        <v>1900</v>
      </c>
      <c r="AJ70" s="118" t="e">
        <f>SUMIFS(#REF!,#REF!,$AG70,T_Bonds[Risk CCY],AJ$1)</f>
        <v>#REF!</v>
      </c>
      <c r="AK70" s="118" t="e">
        <f>SUMIFS(#REF!,#REF!,$AG70,T_Bonds[Risk CCY],AK$1)</f>
        <v>#REF!</v>
      </c>
      <c r="AL70" s="118" t="e">
        <f>SUMIFS(#REF!,#REF!,$AG70,T_Bonds[Risk CCY],AL$1)</f>
        <v>#REF!</v>
      </c>
    </row>
    <row r="71" spans="20:38" x14ac:dyDescent="0.25">
      <c r="T71" s="133">
        <f>SUMIFS(T_Bonds[Market value in USD],T_Bonds[Sector marker],S71)</f>
        <v>0</v>
      </c>
      <c r="U71" s="134">
        <f ca="1">T71/Results!$I$20</f>
        <v>0</v>
      </c>
      <c r="V71" s="135">
        <f ca="1">T71/Results!$I$11</f>
        <v>0</v>
      </c>
      <c r="AD71" s="118" t="str">
        <v xml:space="preserve">NATWEST GROUP </v>
      </c>
      <c r="AE71" s="131">
        <f ca="1">SUMIFS(T_Bonds[Market value in USD],T_Bonds[Issuer],AD71)</f>
        <v>561381.67440000002</v>
      </c>
      <c r="AH71" s="118">
        <f t="shared" si="10"/>
        <v>52</v>
      </c>
      <c r="AI71" s="118">
        <f t="shared" si="11"/>
        <v>1900</v>
      </c>
      <c r="AJ71" s="118" t="e">
        <f>SUMIFS(#REF!,#REF!,$AG71,T_Bonds[Risk CCY],AJ$1)</f>
        <v>#REF!</v>
      </c>
      <c r="AK71" s="118" t="e">
        <f>SUMIFS(#REF!,#REF!,$AG71,T_Bonds[Risk CCY],AK$1)</f>
        <v>#REF!</v>
      </c>
      <c r="AL71" s="118" t="e">
        <f>SUMIFS(#REF!,#REF!,$AG71,T_Bonds[Risk CCY],AL$1)</f>
        <v>#REF!</v>
      </c>
    </row>
    <row r="72" spans="20:38" x14ac:dyDescent="0.25">
      <c r="T72" s="133">
        <f>SUMIFS(T_Bonds[Market value in USD],T_Bonds[Sector marker],S72)</f>
        <v>0</v>
      </c>
      <c r="U72" s="134">
        <f ca="1">T72/Results!$I$20</f>
        <v>0</v>
      </c>
      <c r="V72" s="135">
        <f ca="1">T72/Results!$I$11</f>
        <v>0</v>
      </c>
      <c r="AE72" s="131">
        <f>SUMIFS(T_Bonds[Market value in USD],T_Bonds[Issuer],AD72)</f>
        <v>0</v>
      </c>
      <c r="AH72" s="118">
        <f t="shared" si="10"/>
        <v>52</v>
      </c>
      <c r="AI72" s="118">
        <f t="shared" si="11"/>
        <v>1900</v>
      </c>
      <c r="AJ72" s="118" t="e">
        <f>SUMIFS(#REF!,#REF!,$AG72,T_Bonds[Risk CCY],AJ$1)</f>
        <v>#REF!</v>
      </c>
      <c r="AK72" s="118" t="e">
        <f>SUMIFS(#REF!,#REF!,$AG72,T_Bonds[Risk CCY],AK$1)</f>
        <v>#REF!</v>
      </c>
      <c r="AL72" s="118" t="e">
        <f>SUMIFS(#REF!,#REF!,$AG72,T_Bonds[Risk CCY],AL$1)</f>
        <v>#REF!</v>
      </c>
    </row>
    <row r="73" spans="20:38" x14ac:dyDescent="0.25">
      <c r="AE73" s="131">
        <f>SUMIFS(T_Bonds[Market value in USD],T_Bonds[Issuer],AD73)</f>
        <v>0</v>
      </c>
      <c r="AH73" s="118">
        <f t="shared" si="10"/>
        <v>52</v>
      </c>
      <c r="AI73" s="118">
        <f t="shared" si="11"/>
        <v>1900</v>
      </c>
      <c r="AJ73" s="118" t="e">
        <f>SUMIFS(#REF!,#REF!,$AG73,T_Bonds[Risk CCY],AJ$1)</f>
        <v>#REF!</v>
      </c>
      <c r="AK73" s="118" t="e">
        <f>SUMIFS(#REF!,#REF!,$AG73,T_Bonds[Risk CCY],AK$1)</f>
        <v>#REF!</v>
      </c>
      <c r="AL73" s="118" t="e">
        <f>SUMIFS(#REF!,#REF!,$AG73,T_Bonds[Risk CCY],AL$1)</f>
        <v>#REF!</v>
      </c>
    </row>
    <row r="74" spans="20:38" x14ac:dyDescent="0.25">
      <c r="AE74" s="131">
        <f>SUMIFS(T_Bonds[Market value in USD],T_Bonds[Issuer],AD74)</f>
        <v>0</v>
      </c>
      <c r="AH74" s="118">
        <f t="shared" si="10"/>
        <v>52</v>
      </c>
      <c r="AI74" s="118">
        <f t="shared" si="11"/>
        <v>1900</v>
      </c>
      <c r="AJ74" s="118" t="e">
        <f>SUMIFS(#REF!,#REF!,$AG74,T_Bonds[Risk CCY],AJ$1)</f>
        <v>#REF!</v>
      </c>
      <c r="AK74" s="118" t="e">
        <f>SUMIFS(#REF!,#REF!,$AG74,T_Bonds[Risk CCY],AK$1)</f>
        <v>#REF!</v>
      </c>
      <c r="AL74" s="118" t="e">
        <f>SUMIFS(#REF!,#REF!,$AG74,T_Bonds[Risk CCY],AL$1)</f>
        <v>#REF!</v>
      </c>
    </row>
    <row r="75" spans="20:38" x14ac:dyDescent="0.25">
      <c r="AE75" s="131">
        <f>SUMIFS(T_Bonds[Market value in USD],T_Bonds[Issuer],AD75)</f>
        <v>0</v>
      </c>
      <c r="AH75" s="118">
        <f t="shared" si="10"/>
        <v>52</v>
      </c>
      <c r="AI75" s="118">
        <f t="shared" si="11"/>
        <v>1900</v>
      </c>
      <c r="AJ75" s="118" t="e">
        <f>SUMIFS(#REF!,#REF!,$AG75,T_Bonds[Risk CCY],AJ$1)</f>
        <v>#REF!</v>
      </c>
      <c r="AK75" s="118" t="e">
        <f>SUMIFS(#REF!,#REF!,$AG75,T_Bonds[Risk CCY],AK$1)</f>
        <v>#REF!</v>
      </c>
      <c r="AL75" s="118" t="e">
        <f>SUMIFS(#REF!,#REF!,$AG75,T_Bonds[Risk CCY],AL$1)</f>
        <v>#REF!</v>
      </c>
    </row>
    <row r="76" spans="20:38" x14ac:dyDescent="0.25">
      <c r="AE76" s="131">
        <f>SUMIFS(T_Bonds[Market value in USD],T_Bonds[Issuer],AD76)</f>
        <v>0</v>
      </c>
      <c r="AH76" s="118">
        <f t="shared" si="10"/>
        <v>52</v>
      </c>
      <c r="AI76" s="118">
        <f t="shared" si="11"/>
        <v>1900</v>
      </c>
      <c r="AJ76" s="118" t="e">
        <f>SUMIFS(#REF!,#REF!,$AG76,T_Bonds[Risk CCY],AJ$1)</f>
        <v>#REF!</v>
      </c>
      <c r="AK76" s="118" t="e">
        <f>SUMIFS(#REF!,#REF!,$AG76,T_Bonds[Risk CCY],AK$1)</f>
        <v>#REF!</v>
      </c>
      <c r="AL76" s="118" t="e">
        <f>SUMIFS(#REF!,#REF!,$AG76,T_Bonds[Risk CCY],AL$1)</f>
        <v>#REF!</v>
      </c>
    </row>
    <row r="77" spans="20:38" x14ac:dyDescent="0.25">
      <c r="AE77" s="131">
        <f>SUMIFS(T_Bonds[Market value in USD],T_Bonds[Issuer],AD77)</f>
        <v>0</v>
      </c>
      <c r="AH77" s="118">
        <f t="shared" si="10"/>
        <v>52</v>
      </c>
      <c r="AI77" s="118">
        <f t="shared" si="11"/>
        <v>1900</v>
      </c>
      <c r="AJ77" s="118" t="e">
        <f>SUMIFS(#REF!,#REF!,$AG77,T_Bonds[Risk CCY],AJ$1)</f>
        <v>#REF!</v>
      </c>
      <c r="AK77" s="118" t="e">
        <f>SUMIFS(#REF!,#REF!,$AG77,T_Bonds[Risk CCY],AK$1)</f>
        <v>#REF!</v>
      </c>
      <c r="AL77" s="118" t="e">
        <f>SUMIFS(#REF!,#REF!,$AG77,T_Bonds[Risk CCY],AL$1)</f>
        <v>#REF!</v>
      </c>
    </row>
    <row r="78" spans="20:38" x14ac:dyDescent="0.25">
      <c r="AE78" s="131">
        <f>SUMIFS(T_Bonds[Market value in USD],T_Bonds[Issuer],AD78)</f>
        <v>0</v>
      </c>
      <c r="AH78" s="118">
        <f t="shared" si="10"/>
        <v>52</v>
      </c>
      <c r="AI78" s="118">
        <f t="shared" si="11"/>
        <v>1900</v>
      </c>
      <c r="AJ78" s="118" t="e">
        <f>SUMIFS(#REF!,#REF!,$AG78,T_Bonds[Risk CCY],AJ$1)</f>
        <v>#REF!</v>
      </c>
      <c r="AK78" s="118" t="e">
        <f>SUMIFS(#REF!,#REF!,$AG78,T_Bonds[Risk CCY],AK$1)</f>
        <v>#REF!</v>
      </c>
      <c r="AL78" s="118" t="e">
        <f>SUMIFS(#REF!,#REF!,$AG78,T_Bonds[Risk CCY],AL$1)</f>
        <v>#REF!</v>
      </c>
    </row>
    <row r="79" spans="20:38" x14ac:dyDescent="0.25">
      <c r="AE79" s="131">
        <f>SUMIFS(T_Bonds[Market value in USD],T_Bonds[Issuer],AD79)</f>
        <v>0</v>
      </c>
      <c r="AH79" s="118">
        <f t="shared" si="10"/>
        <v>52</v>
      </c>
      <c r="AI79" s="118">
        <f t="shared" si="11"/>
        <v>1900</v>
      </c>
      <c r="AJ79" s="118" t="e">
        <f>SUMIFS(#REF!,#REF!,$AG79,T_Bonds[Risk CCY],AJ$1)</f>
        <v>#REF!</v>
      </c>
      <c r="AK79" s="118" t="e">
        <f>SUMIFS(#REF!,#REF!,$AG79,T_Bonds[Risk CCY],AK$1)</f>
        <v>#REF!</v>
      </c>
      <c r="AL79" s="118" t="e">
        <f>SUMIFS(#REF!,#REF!,$AG79,T_Bonds[Risk CCY],AL$1)</f>
        <v>#REF!</v>
      </c>
    </row>
    <row r="80" spans="20:38" x14ac:dyDescent="0.25">
      <c r="AE80" s="131">
        <f>SUMIFS(T_Bonds[Market value in USD],T_Bonds[Issuer],AD80)</f>
        <v>0</v>
      </c>
      <c r="AH80" s="118">
        <f t="shared" si="10"/>
        <v>52</v>
      </c>
      <c r="AI80" s="118">
        <f t="shared" si="11"/>
        <v>1900</v>
      </c>
      <c r="AJ80" s="118" t="e">
        <f>SUMIFS(#REF!,#REF!,$AG80,T_Bonds[Risk CCY],AJ$1)</f>
        <v>#REF!</v>
      </c>
      <c r="AK80" s="118" t="e">
        <f>SUMIFS(#REF!,#REF!,$AG80,T_Bonds[Risk CCY],AK$1)</f>
        <v>#REF!</v>
      </c>
      <c r="AL80" s="118" t="e">
        <f>SUMIFS(#REF!,#REF!,$AG80,T_Bonds[Risk CCY],AL$1)</f>
        <v>#REF!</v>
      </c>
    </row>
    <row r="81" spans="31:38" x14ac:dyDescent="0.25">
      <c r="AE81" s="131">
        <f>SUMIFS(T_Bonds[Market value in USD],T_Bonds[Issuer],AD81)</f>
        <v>0</v>
      </c>
      <c r="AH81" s="118">
        <f t="shared" si="10"/>
        <v>52</v>
      </c>
      <c r="AI81" s="118">
        <f t="shared" si="11"/>
        <v>1900</v>
      </c>
      <c r="AJ81" s="118" t="e">
        <f>SUMIFS(#REF!,#REF!,$AG81,T_Bonds[Risk CCY],AJ$1)</f>
        <v>#REF!</v>
      </c>
      <c r="AK81" s="118" t="e">
        <f>SUMIFS(#REF!,#REF!,$AG81,T_Bonds[Risk CCY],AK$1)</f>
        <v>#REF!</v>
      </c>
      <c r="AL81" s="118" t="e">
        <f>SUMIFS(#REF!,#REF!,$AG81,T_Bonds[Risk CCY],AL$1)</f>
        <v>#REF!</v>
      </c>
    </row>
    <row r="82" spans="31:38" x14ac:dyDescent="0.25">
      <c r="AE82" s="131">
        <f>SUMIFS(T_Bonds[Market value in USD],T_Bonds[Issuer],AD82)</f>
        <v>0</v>
      </c>
      <c r="AH82" s="118">
        <f t="shared" si="10"/>
        <v>52</v>
      </c>
      <c r="AI82" s="118">
        <f t="shared" si="11"/>
        <v>1900</v>
      </c>
      <c r="AJ82" s="118" t="e">
        <f>SUMIFS(#REF!,#REF!,$AG82,T_Bonds[Risk CCY],AJ$1)</f>
        <v>#REF!</v>
      </c>
      <c r="AK82" s="118" t="e">
        <f>SUMIFS(#REF!,#REF!,$AG82,T_Bonds[Risk CCY],AK$1)</f>
        <v>#REF!</v>
      </c>
      <c r="AL82" s="118" t="e">
        <f>SUMIFS(#REF!,#REF!,$AG82,T_Bonds[Risk CCY],AL$1)</f>
        <v>#REF!</v>
      </c>
    </row>
    <row r="83" spans="31:38" x14ac:dyDescent="0.25">
      <c r="AE83" s="131">
        <f>SUMIFS(T_Bonds[Market value in USD],T_Bonds[Issuer],AD83)</f>
        <v>0</v>
      </c>
      <c r="AH83" s="118">
        <f t="shared" si="10"/>
        <v>52</v>
      </c>
      <c r="AI83" s="118">
        <f t="shared" si="11"/>
        <v>1900</v>
      </c>
      <c r="AJ83" s="118" t="e">
        <f>SUMIFS(#REF!,#REF!,$AG83,T_Bonds[Risk CCY],AJ$1)</f>
        <v>#REF!</v>
      </c>
      <c r="AK83" s="118" t="e">
        <f>SUMIFS(#REF!,#REF!,$AG83,T_Bonds[Risk CCY],AK$1)</f>
        <v>#REF!</v>
      </c>
      <c r="AL83" s="118" t="e">
        <f>SUMIFS(#REF!,#REF!,$AG83,T_Bonds[Risk CCY],AL$1)</f>
        <v>#REF!</v>
      </c>
    </row>
    <row r="84" spans="31:38" x14ac:dyDescent="0.25">
      <c r="AE84" s="131">
        <f>SUMIFS(T_Bonds[Market value in USD],T_Bonds[Issuer],AD84)</f>
        <v>0</v>
      </c>
      <c r="AH84" s="118">
        <f t="shared" si="10"/>
        <v>52</v>
      </c>
      <c r="AI84" s="118">
        <f t="shared" si="11"/>
        <v>1900</v>
      </c>
      <c r="AJ84" s="118" t="e">
        <f>SUMIFS(#REF!,#REF!,$AG84,T_Bonds[Risk CCY],AJ$1)</f>
        <v>#REF!</v>
      </c>
      <c r="AK84" s="118" t="e">
        <f>SUMIFS(#REF!,#REF!,$AG84,T_Bonds[Risk CCY],AK$1)</f>
        <v>#REF!</v>
      </c>
      <c r="AL84" s="118" t="e">
        <f>SUMIFS(#REF!,#REF!,$AG84,T_Bonds[Risk CCY],AL$1)</f>
        <v>#REF!</v>
      </c>
    </row>
    <row r="85" spans="31:38" x14ac:dyDescent="0.25">
      <c r="AE85" s="131">
        <f>SUMIFS(T_Bonds[Market value in USD],T_Bonds[Issuer],AD85)</f>
        <v>0</v>
      </c>
      <c r="AH85" s="118">
        <f t="shared" si="10"/>
        <v>52</v>
      </c>
      <c r="AI85" s="118">
        <f t="shared" si="11"/>
        <v>1900</v>
      </c>
      <c r="AJ85" s="118" t="e">
        <f>SUMIFS(#REF!,#REF!,$AG85,T_Bonds[Risk CCY],AJ$1)</f>
        <v>#REF!</v>
      </c>
      <c r="AK85" s="118" t="e">
        <f>SUMIFS(#REF!,#REF!,$AG85,T_Bonds[Risk CCY],AK$1)</f>
        <v>#REF!</v>
      </c>
      <c r="AL85" s="118" t="e">
        <f>SUMIFS(#REF!,#REF!,$AG85,T_Bonds[Risk CCY],AL$1)</f>
        <v>#REF!</v>
      </c>
    </row>
    <row r="86" spans="31:38" x14ac:dyDescent="0.25">
      <c r="AE86" s="131">
        <f>SUMIFS(T_Bonds[Market value in USD],T_Bonds[Issuer],AD86)</f>
        <v>0</v>
      </c>
      <c r="AH86" s="118">
        <f t="shared" si="10"/>
        <v>52</v>
      </c>
      <c r="AI86" s="118">
        <f t="shared" si="11"/>
        <v>1900</v>
      </c>
      <c r="AJ86" s="118" t="e">
        <f>SUMIFS(#REF!,#REF!,$AG86,T_Bonds[Risk CCY],AJ$1)</f>
        <v>#REF!</v>
      </c>
      <c r="AK86" s="118" t="e">
        <f>SUMIFS(#REF!,#REF!,$AG86,T_Bonds[Risk CCY],AK$1)</f>
        <v>#REF!</v>
      </c>
      <c r="AL86" s="118" t="e">
        <f>SUMIFS(#REF!,#REF!,$AG86,T_Bonds[Risk CCY],AL$1)</f>
        <v>#REF!</v>
      </c>
    </row>
    <row r="87" spans="31:38" x14ac:dyDescent="0.25">
      <c r="AE87" s="131">
        <f>SUMIFS(T_Bonds[Market value in USD],T_Bonds[Issuer],AD87)</f>
        <v>0</v>
      </c>
      <c r="AH87" s="118">
        <f t="shared" si="10"/>
        <v>52</v>
      </c>
      <c r="AI87" s="118">
        <f t="shared" si="11"/>
        <v>1900</v>
      </c>
      <c r="AJ87" s="118" t="e">
        <f>SUMIFS(#REF!,#REF!,$AG87,T_Bonds[Risk CCY],AJ$1)</f>
        <v>#REF!</v>
      </c>
      <c r="AK87" s="118" t="e">
        <f>SUMIFS(#REF!,#REF!,$AG87,T_Bonds[Risk CCY],AK$1)</f>
        <v>#REF!</v>
      </c>
      <c r="AL87" s="118" t="e">
        <f>SUMIFS(#REF!,#REF!,$AG87,T_Bonds[Risk CCY],AL$1)</f>
        <v>#REF!</v>
      </c>
    </row>
    <row r="88" spans="31:38" x14ac:dyDescent="0.25">
      <c r="AE88" s="131">
        <f>SUMIFS(T_Bonds[Market value in USD],T_Bonds[Issuer],AD88)</f>
        <v>0</v>
      </c>
      <c r="AH88" s="118">
        <f t="shared" si="10"/>
        <v>52</v>
      </c>
      <c r="AI88" s="118">
        <f t="shared" si="11"/>
        <v>1900</v>
      </c>
      <c r="AJ88" s="118" t="e">
        <f>SUMIFS(#REF!,#REF!,$AG88,T_Bonds[Risk CCY],AJ$1)</f>
        <v>#REF!</v>
      </c>
      <c r="AK88" s="118" t="e">
        <f>SUMIFS(#REF!,#REF!,$AG88,T_Bonds[Risk CCY],AK$1)</f>
        <v>#REF!</v>
      </c>
      <c r="AL88" s="118" t="e">
        <f>SUMIFS(#REF!,#REF!,$AG88,T_Bonds[Risk CCY],AL$1)</f>
        <v>#REF!</v>
      </c>
    </row>
    <row r="89" spans="31:38" x14ac:dyDescent="0.25">
      <c r="AE89" s="131">
        <f>SUMIFS(T_Bonds[Market value in USD],T_Bonds[Issuer],AD89)</f>
        <v>0</v>
      </c>
      <c r="AH89" s="118">
        <f t="shared" si="10"/>
        <v>52</v>
      </c>
      <c r="AI89" s="118">
        <f t="shared" si="11"/>
        <v>1900</v>
      </c>
      <c r="AJ89" s="118" t="e">
        <f>SUMIFS(#REF!,#REF!,$AG89,T_Bonds[Risk CCY],AJ$1)</f>
        <v>#REF!</v>
      </c>
      <c r="AK89" s="118" t="e">
        <f>SUMIFS(#REF!,#REF!,$AG89,T_Bonds[Risk CCY],AK$1)</f>
        <v>#REF!</v>
      </c>
      <c r="AL89" s="118" t="e">
        <f>SUMIFS(#REF!,#REF!,$AG89,T_Bonds[Risk CCY],AL$1)</f>
        <v>#REF!</v>
      </c>
    </row>
    <row r="90" spans="31:38" x14ac:dyDescent="0.25">
      <c r="AE90" s="131">
        <f>SUMIFS(T_Bonds[Market value in USD],T_Bonds[Issuer],AD90)</f>
        <v>0</v>
      </c>
      <c r="AH90" s="118">
        <f t="shared" si="10"/>
        <v>52</v>
      </c>
      <c r="AI90" s="118">
        <f t="shared" si="11"/>
        <v>1900</v>
      </c>
      <c r="AJ90" s="118" t="e">
        <f>SUMIFS(#REF!,#REF!,$AG90,T_Bonds[Risk CCY],AJ$1)</f>
        <v>#REF!</v>
      </c>
      <c r="AK90" s="118" t="e">
        <f>SUMIFS(#REF!,#REF!,$AG90,T_Bonds[Risk CCY],AK$1)</f>
        <v>#REF!</v>
      </c>
      <c r="AL90" s="118" t="e">
        <f>SUMIFS(#REF!,#REF!,$AG90,T_Bonds[Risk CCY],AL$1)</f>
        <v>#REF!</v>
      </c>
    </row>
    <row r="91" spans="31:38" x14ac:dyDescent="0.25">
      <c r="AE91" s="131">
        <f>SUMIFS(T_Bonds[Market value in USD],T_Bonds[Issuer],AD91)</f>
        <v>0</v>
      </c>
      <c r="AH91" s="118">
        <f t="shared" si="10"/>
        <v>52</v>
      </c>
      <c r="AI91" s="118">
        <f t="shared" si="11"/>
        <v>1900</v>
      </c>
      <c r="AJ91" s="118" t="e">
        <f>SUMIFS(#REF!,#REF!,$AG91,T_Bonds[Risk CCY],AJ$1)</f>
        <v>#REF!</v>
      </c>
      <c r="AK91" s="118" t="e">
        <f>SUMIFS(#REF!,#REF!,$AG91,T_Bonds[Risk CCY],AK$1)</f>
        <v>#REF!</v>
      </c>
      <c r="AL91" s="118" t="e">
        <f>SUMIFS(#REF!,#REF!,$AG91,T_Bonds[Risk CCY],AL$1)</f>
        <v>#REF!</v>
      </c>
    </row>
    <row r="92" spans="31:38" x14ac:dyDescent="0.25">
      <c r="AE92" s="131">
        <f>SUMIFS(T_Bonds[Market value in USD],T_Bonds[Issuer],AD92)</f>
        <v>0</v>
      </c>
      <c r="AH92" s="118">
        <f t="shared" si="10"/>
        <v>52</v>
      </c>
      <c r="AI92" s="118">
        <f t="shared" si="11"/>
        <v>1900</v>
      </c>
      <c r="AJ92" s="118" t="e">
        <f>SUMIFS(#REF!,#REF!,$AG92,T_Bonds[Risk CCY],AJ$1)</f>
        <v>#REF!</v>
      </c>
      <c r="AK92" s="118" t="e">
        <f>SUMIFS(#REF!,#REF!,$AG92,T_Bonds[Risk CCY],AK$1)</f>
        <v>#REF!</v>
      </c>
      <c r="AL92" s="118" t="e">
        <f>SUMIFS(#REF!,#REF!,$AG92,T_Bonds[Risk CCY],AL$1)</f>
        <v>#REF!</v>
      </c>
    </row>
    <row r="93" spans="31:38" x14ac:dyDescent="0.25">
      <c r="AE93" s="131">
        <f>SUMIFS(T_Bonds[Market value in USD],T_Bonds[Issuer],AD93)</f>
        <v>0</v>
      </c>
      <c r="AH93" s="118">
        <f t="shared" si="10"/>
        <v>52</v>
      </c>
      <c r="AI93" s="118">
        <f t="shared" si="11"/>
        <v>1900</v>
      </c>
      <c r="AJ93" s="118" t="e">
        <f>SUMIFS(#REF!,#REF!,$AG93,T_Bonds[Risk CCY],AJ$1)</f>
        <v>#REF!</v>
      </c>
      <c r="AK93" s="118" t="e">
        <f>SUMIFS(#REF!,#REF!,$AG93,T_Bonds[Risk CCY],AK$1)</f>
        <v>#REF!</v>
      </c>
      <c r="AL93" s="118" t="e">
        <f>SUMIFS(#REF!,#REF!,$AG93,T_Bonds[Risk CCY],AL$1)</f>
        <v>#REF!</v>
      </c>
    </row>
    <row r="94" spans="31:38" x14ac:dyDescent="0.25">
      <c r="AE94" s="131">
        <f>SUMIFS(T_Bonds[Market value in USD],T_Bonds[Issuer],AD94)</f>
        <v>0</v>
      </c>
      <c r="AH94" s="118">
        <f t="shared" si="10"/>
        <v>52</v>
      </c>
      <c r="AI94" s="118">
        <f t="shared" si="11"/>
        <v>1900</v>
      </c>
      <c r="AJ94" s="118" t="e">
        <f>SUMIFS(#REF!,#REF!,$AG94,T_Bonds[Risk CCY],AJ$1)</f>
        <v>#REF!</v>
      </c>
      <c r="AK94" s="118" t="e">
        <f>SUMIFS(#REF!,#REF!,$AG94,T_Bonds[Risk CCY],AK$1)</f>
        <v>#REF!</v>
      </c>
      <c r="AL94" s="118" t="e">
        <f>SUMIFS(#REF!,#REF!,$AG94,T_Bonds[Risk CCY],AL$1)</f>
        <v>#REF!</v>
      </c>
    </row>
    <row r="95" spans="31:38" x14ac:dyDescent="0.25">
      <c r="AE95" s="131">
        <f>SUMIFS(T_Bonds[Market value in USD],T_Bonds[Issuer],AD95)</f>
        <v>0</v>
      </c>
      <c r="AH95" s="118">
        <f t="shared" si="10"/>
        <v>52</v>
      </c>
      <c r="AI95" s="118">
        <f t="shared" si="11"/>
        <v>1900</v>
      </c>
      <c r="AJ95" s="118" t="e">
        <f>SUMIFS(#REF!,#REF!,$AG95,T_Bonds[Risk CCY],AJ$1)</f>
        <v>#REF!</v>
      </c>
      <c r="AK95" s="118" t="e">
        <f>SUMIFS(#REF!,#REF!,$AG95,T_Bonds[Risk CCY],AK$1)</f>
        <v>#REF!</v>
      </c>
      <c r="AL95" s="118" t="e">
        <f>SUMIFS(#REF!,#REF!,$AG95,T_Bonds[Risk CCY],AL$1)</f>
        <v>#REF!</v>
      </c>
    </row>
    <row r="96" spans="31:38" x14ac:dyDescent="0.25">
      <c r="AE96" s="131">
        <f>SUMIFS(T_Bonds[Market value in USD],T_Bonds[Issuer],AD96)</f>
        <v>0</v>
      </c>
      <c r="AH96" s="118">
        <f t="shared" si="10"/>
        <v>52</v>
      </c>
      <c r="AI96" s="118">
        <f t="shared" si="11"/>
        <v>1900</v>
      </c>
      <c r="AJ96" s="118" t="e">
        <f>SUMIFS(#REF!,#REF!,$AG96,T_Bonds[Risk CCY],AJ$1)</f>
        <v>#REF!</v>
      </c>
      <c r="AK96" s="118" t="e">
        <f>SUMIFS(#REF!,#REF!,$AG96,T_Bonds[Risk CCY],AK$1)</f>
        <v>#REF!</v>
      </c>
      <c r="AL96" s="118" t="e">
        <f>SUMIFS(#REF!,#REF!,$AG96,T_Bonds[Risk CCY],AL$1)</f>
        <v>#REF!</v>
      </c>
    </row>
    <row r="97" spans="31:38" x14ac:dyDescent="0.25">
      <c r="AE97" s="131">
        <f>SUMIFS(T_Bonds[Market value in USD],T_Bonds[Issuer],AD97)</f>
        <v>0</v>
      </c>
      <c r="AH97" s="118">
        <f t="shared" si="10"/>
        <v>52</v>
      </c>
      <c r="AI97" s="118">
        <f t="shared" si="11"/>
        <v>1900</v>
      </c>
      <c r="AJ97" s="118" t="e">
        <f>SUMIFS(#REF!,#REF!,$AG97,T_Bonds[Risk CCY],AJ$1)</f>
        <v>#REF!</v>
      </c>
      <c r="AK97" s="118" t="e">
        <f>SUMIFS(#REF!,#REF!,$AG97,T_Bonds[Risk CCY],AK$1)</f>
        <v>#REF!</v>
      </c>
      <c r="AL97" s="118" t="e">
        <f>SUMIFS(#REF!,#REF!,$AG97,T_Bonds[Risk CCY],AL$1)</f>
        <v>#REF!</v>
      </c>
    </row>
    <row r="98" spans="31:38" x14ac:dyDescent="0.25">
      <c r="AE98" s="131">
        <f>SUMIFS(T_Bonds[Market value in USD],T_Bonds[Issuer],AD98)</f>
        <v>0</v>
      </c>
      <c r="AH98" s="118">
        <f t="shared" si="10"/>
        <v>52</v>
      </c>
      <c r="AI98" s="118">
        <f t="shared" si="11"/>
        <v>1900</v>
      </c>
      <c r="AJ98" s="118" t="e">
        <f>SUMIFS(#REF!,#REF!,$AG98,T_Bonds[Risk CCY],AJ$1)</f>
        <v>#REF!</v>
      </c>
      <c r="AK98" s="118" t="e">
        <f>SUMIFS(#REF!,#REF!,$AG98,T_Bonds[Risk CCY],AK$1)</f>
        <v>#REF!</v>
      </c>
      <c r="AL98" s="118" t="e">
        <f>SUMIFS(#REF!,#REF!,$AG98,T_Bonds[Risk CCY],AL$1)</f>
        <v>#REF!</v>
      </c>
    </row>
    <row r="99" spans="31:38" x14ac:dyDescent="0.25">
      <c r="AE99" s="131">
        <f>SUMIFS(T_Bonds[Market value in USD],T_Bonds[Issuer],AD99)</f>
        <v>0</v>
      </c>
      <c r="AH99" s="118">
        <f t="shared" si="10"/>
        <v>52</v>
      </c>
      <c r="AI99" s="118">
        <f t="shared" si="11"/>
        <v>1900</v>
      </c>
      <c r="AJ99" s="118" t="e">
        <f>SUMIFS(#REF!,#REF!,$AG99,T_Bonds[Risk CCY],AJ$1)</f>
        <v>#REF!</v>
      </c>
      <c r="AK99" s="118" t="e">
        <f>SUMIFS(#REF!,#REF!,$AG99,T_Bonds[Risk CCY],AK$1)</f>
        <v>#REF!</v>
      </c>
      <c r="AL99" s="118" t="e">
        <f>SUMIFS(#REF!,#REF!,$AG99,T_Bonds[Risk CCY],AL$1)</f>
        <v>#REF!</v>
      </c>
    </row>
    <row r="100" spans="31:38" x14ac:dyDescent="0.25">
      <c r="AE100" s="131">
        <f>SUMIFS(T_Bonds[Market value in USD],T_Bonds[Issuer],AD100)</f>
        <v>0</v>
      </c>
      <c r="AH100" s="118">
        <f t="shared" si="10"/>
        <v>52</v>
      </c>
      <c r="AI100" s="118">
        <f t="shared" si="11"/>
        <v>1900</v>
      </c>
      <c r="AJ100" s="118" t="e">
        <f>SUMIFS(#REF!,#REF!,$AG100,T_Bonds[Risk CCY],AJ$1)</f>
        <v>#REF!</v>
      </c>
      <c r="AK100" s="118" t="e">
        <f>SUMIFS(#REF!,#REF!,$AG100,T_Bonds[Risk CCY],AK$1)</f>
        <v>#REF!</v>
      </c>
      <c r="AL100" s="118" t="e">
        <f>SUMIFS(#REF!,#REF!,$AG100,T_Bonds[Risk CCY],AL$1)</f>
        <v>#REF!</v>
      </c>
    </row>
    <row r="101" spans="31:38" x14ac:dyDescent="0.25">
      <c r="AE101" s="131">
        <f>SUMIFS(T_Bonds[Market value in USD],T_Bonds[Issuer],AD101)</f>
        <v>0</v>
      </c>
      <c r="AH101" s="118">
        <f t="shared" si="10"/>
        <v>52</v>
      </c>
      <c r="AI101" s="118">
        <f t="shared" si="11"/>
        <v>1900</v>
      </c>
      <c r="AJ101" s="118" t="e">
        <f>SUMIFS(#REF!,#REF!,$AG101,T_Bonds[Risk CCY],AJ$1)</f>
        <v>#REF!</v>
      </c>
      <c r="AK101" s="118" t="e">
        <f>SUMIFS(#REF!,#REF!,$AG101,T_Bonds[Risk CCY],AK$1)</f>
        <v>#REF!</v>
      </c>
      <c r="AL101" s="118" t="e">
        <f>SUMIFS(#REF!,#REF!,$AG101,T_Bonds[Risk CCY],AL$1)</f>
        <v>#REF!</v>
      </c>
    </row>
    <row r="102" spans="31:38" x14ac:dyDescent="0.25">
      <c r="AE102" s="131">
        <f>SUMIFS(T_Bonds[Market value in USD],T_Bonds[Issuer],AD102)</f>
        <v>0</v>
      </c>
      <c r="AH102" s="118">
        <f t="shared" si="10"/>
        <v>52</v>
      </c>
      <c r="AI102" s="118">
        <f t="shared" si="11"/>
        <v>1900</v>
      </c>
      <c r="AJ102" s="118" t="e">
        <f>SUMIFS(#REF!,#REF!,$AG102,T_Bonds[Risk CCY],AJ$1)</f>
        <v>#REF!</v>
      </c>
      <c r="AK102" s="118" t="e">
        <f>SUMIFS(#REF!,#REF!,$AG102,T_Bonds[Risk CCY],AK$1)</f>
        <v>#REF!</v>
      </c>
      <c r="AL102" s="118" t="e">
        <f>SUMIFS(#REF!,#REF!,$AG102,T_Bonds[Risk CCY],AL$1)</f>
        <v>#REF!</v>
      </c>
    </row>
    <row r="103" spans="31:38" x14ac:dyDescent="0.25">
      <c r="AE103" s="131">
        <f>SUMIFS(T_Bonds[Market value in USD],T_Bonds[Issuer],AD103)</f>
        <v>0</v>
      </c>
      <c r="AH103" s="118">
        <f t="shared" si="10"/>
        <v>52</v>
      </c>
      <c r="AI103" s="118">
        <f t="shared" si="11"/>
        <v>1900</v>
      </c>
      <c r="AJ103" s="118" t="e">
        <f>SUMIFS(#REF!,#REF!,$AG103,T_Bonds[Risk CCY],AJ$1)</f>
        <v>#REF!</v>
      </c>
      <c r="AK103" s="118" t="e">
        <f>SUMIFS(#REF!,#REF!,$AG103,T_Bonds[Risk CCY],AK$1)</f>
        <v>#REF!</v>
      </c>
      <c r="AL103" s="118" t="e">
        <f>SUMIFS(#REF!,#REF!,$AG103,T_Bonds[Risk CCY],AL$1)</f>
        <v>#REF!</v>
      </c>
    </row>
    <row r="104" spans="31:38" x14ac:dyDescent="0.25">
      <c r="AE104" s="131">
        <f>SUMIFS(T_Bonds[Market value in USD],T_Bonds[Issuer],AD104)</f>
        <v>0</v>
      </c>
      <c r="AH104" s="118">
        <f t="shared" si="10"/>
        <v>52</v>
      </c>
      <c r="AI104" s="118">
        <f t="shared" si="11"/>
        <v>1900</v>
      </c>
      <c r="AJ104" s="118" t="e">
        <f>SUMIFS(#REF!,#REF!,$AG104,T_Bonds[Risk CCY],AJ$1)</f>
        <v>#REF!</v>
      </c>
      <c r="AK104" s="118" t="e">
        <f>SUMIFS(#REF!,#REF!,$AG104,T_Bonds[Risk CCY],AK$1)</f>
        <v>#REF!</v>
      </c>
      <c r="AL104" s="118" t="e">
        <f>SUMIFS(#REF!,#REF!,$AG104,T_Bonds[Risk CCY],AL$1)</f>
        <v>#REF!</v>
      </c>
    </row>
    <row r="105" spans="31:38" x14ac:dyDescent="0.25">
      <c r="AE105" s="131">
        <f>SUMIFS(T_Bonds[Market value in USD],T_Bonds[Issuer],AD105)</f>
        <v>0</v>
      </c>
      <c r="AH105" s="118">
        <f t="shared" si="10"/>
        <v>52</v>
      </c>
      <c r="AI105" s="118">
        <f t="shared" si="11"/>
        <v>1900</v>
      </c>
      <c r="AJ105" s="118" t="e">
        <f>SUMIFS(#REF!,#REF!,$AG105,T_Bonds[Risk CCY],AJ$1)</f>
        <v>#REF!</v>
      </c>
      <c r="AK105" s="118" t="e">
        <f>SUMIFS(#REF!,#REF!,$AG105,T_Bonds[Risk CCY],AK$1)</f>
        <v>#REF!</v>
      </c>
      <c r="AL105" s="118" t="e">
        <f>SUMIFS(#REF!,#REF!,$AG105,T_Bonds[Risk CCY],AL$1)</f>
        <v>#REF!</v>
      </c>
    </row>
    <row r="106" spans="31:38" x14ac:dyDescent="0.25">
      <c r="AE106" s="131">
        <f>SUMIFS(T_Bonds[Market value in USD],T_Bonds[Issuer],AD106)</f>
        <v>0</v>
      </c>
      <c r="AH106" s="118">
        <f t="shared" si="10"/>
        <v>52</v>
      </c>
      <c r="AI106" s="118">
        <f t="shared" si="11"/>
        <v>1900</v>
      </c>
      <c r="AJ106" s="118" t="e">
        <f>SUMIFS(#REF!,#REF!,$AG106,T_Bonds[Risk CCY],AJ$1)</f>
        <v>#REF!</v>
      </c>
      <c r="AK106" s="118" t="e">
        <f>SUMIFS(#REF!,#REF!,$AG106,T_Bonds[Risk CCY],AK$1)</f>
        <v>#REF!</v>
      </c>
      <c r="AL106" s="118" t="e">
        <f>SUMIFS(#REF!,#REF!,$AG106,T_Bonds[Risk CCY],AL$1)</f>
        <v>#REF!</v>
      </c>
    </row>
    <row r="107" spans="31:38" x14ac:dyDescent="0.25">
      <c r="AE107" s="131">
        <f>SUMIFS(T_Bonds[Market value in USD],T_Bonds[Issuer],AD107)</f>
        <v>0</v>
      </c>
      <c r="AH107" s="118">
        <f t="shared" si="10"/>
        <v>52</v>
      </c>
      <c r="AI107" s="118">
        <f t="shared" si="11"/>
        <v>1900</v>
      </c>
      <c r="AJ107" s="118" t="e">
        <f>SUMIFS(#REF!,#REF!,$AG107,T_Bonds[Risk CCY],AJ$1)</f>
        <v>#REF!</v>
      </c>
      <c r="AK107" s="118" t="e">
        <f>SUMIFS(#REF!,#REF!,$AG107,T_Bonds[Risk CCY],AK$1)</f>
        <v>#REF!</v>
      </c>
      <c r="AL107" s="118" t="e">
        <f>SUMIFS(#REF!,#REF!,$AG107,T_Bonds[Risk CCY],AL$1)</f>
        <v>#REF!</v>
      </c>
    </row>
    <row r="108" spans="31:38" x14ac:dyDescent="0.25">
      <c r="AE108" s="131">
        <f>SUMIFS(T_Bonds[Market value in USD],T_Bonds[Issuer],AD108)</f>
        <v>0</v>
      </c>
      <c r="AH108" s="118">
        <f t="shared" si="10"/>
        <v>52</v>
      </c>
      <c r="AI108" s="118">
        <f t="shared" si="11"/>
        <v>1900</v>
      </c>
      <c r="AJ108" s="118" t="e">
        <f>SUMIFS(#REF!,#REF!,$AG108,T_Bonds[Risk CCY],AJ$1)</f>
        <v>#REF!</v>
      </c>
      <c r="AK108" s="118" t="e">
        <f>SUMIFS(#REF!,#REF!,$AG108,T_Bonds[Risk CCY],AK$1)</f>
        <v>#REF!</v>
      </c>
      <c r="AL108" s="118" t="e">
        <f>SUMIFS(#REF!,#REF!,$AG108,T_Bonds[Risk CCY],AL$1)</f>
        <v>#REF!</v>
      </c>
    </row>
    <row r="109" spans="31:38" x14ac:dyDescent="0.25">
      <c r="AE109" s="131">
        <f>SUMIFS(T_Bonds[Market value in USD],T_Bonds[Issuer],AD109)</f>
        <v>0</v>
      </c>
      <c r="AH109" s="118">
        <f t="shared" si="10"/>
        <v>52</v>
      </c>
      <c r="AI109" s="118">
        <f t="shared" si="11"/>
        <v>1900</v>
      </c>
      <c r="AJ109" s="118" t="e">
        <f>SUMIFS(#REF!,#REF!,$AG109,T_Bonds[Risk CCY],AJ$1)</f>
        <v>#REF!</v>
      </c>
      <c r="AK109" s="118" t="e">
        <f>SUMIFS(#REF!,#REF!,$AG109,T_Bonds[Risk CCY],AK$1)</f>
        <v>#REF!</v>
      </c>
      <c r="AL109" s="118" t="e">
        <f>SUMIFS(#REF!,#REF!,$AG109,T_Bonds[Risk CCY],AL$1)</f>
        <v>#REF!</v>
      </c>
    </row>
    <row r="110" spans="31:38" x14ac:dyDescent="0.25">
      <c r="AE110" s="131">
        <f>SUMIFS(T_Bonds[Market value in USD],T_Bonds[Issuer],AD110)</f>
        <v>0</v>
      </c>
      <c r="AH110" s="118">
        <f t="shared" si="10"/>
        <v>52</v>
      </c>
      <c r="AI110" s="118">
        <f t="shared" si="11"/>
        <v>1900</v>
      </c>
      <c r="AJ110" s="118" t="e">
        <f>SUMIFS(#REF!,#REF!,$AG110,T_Bonds[Risk CCY],AJ$1)</f>
        <v>#REF!</v>
      </c>
      <c r="AK110" s="118" t="e">
        <f>SUMIFS(#REF!,#REF!,$AG110,T_Bonds[Risk CCY],AK$1)</f>
        <v>#REF!</v>
      </c>
      <c r="AL110" s="118" t="e">
        <f>SUMIFS(#REF!,#REF!,$AG110,T_Bonds[Risk CCY],AL$1)</f>
        <v>#REF!</v>
      </c>
    </row>
    <row r="111" spans="31:38" x14ac:dyDescent="0.25">
      <c r="AE111" s="131">
        <f>SUMIFS(T_Bonds[Market value in USD],T_Bonds[Issuer],AD111)</f>
        <v>0</v>
      </c>
      <c r="AH111" s="118">
        <f t="shared" si="10"/>
        <v>52</v>
      </c>
      <c r="AI111" s="118">
        <f t="shared" si="11"/>
        <v>1900</v>
      </c>
      <c r="AJ111" s="118" t="e">
        <f>SUMIFS(#REF!,#REF!,$AG111,T_Bonds[Risk CCY],AJ$1)</f>
        <v>#REF!</v>
      </c>
      <c r="AK111" s="118" t="e">
        <f>SUMIFS(#REF!,#REF!,$AG111,T_Bonds[Risk CCY],AK$1)</f>
        <v>#REF!</v>
      </c>
      <c r="AL111" s="118" t="e">
        <f>SUMIFS(#REF!,#REF!,$AG111,T_Bonds[Risk CCY],AL$1)</f>
        <v>#REF!</v>
      </c>
    </row>
    <row r="112" spans="31:38" x14ac:dyDescent="0.25">
      <c r="AE112" s="131">
        <f>SUMIFS(T_Bonds[Market value in USD],T_Bonds[Issuer],AD112)</f>
        <v>0</v>
      </c>
      <c r="AH112" s="118">
        <f t="shared" si="10"/>
        <v>52</v>
      </c>
      <c r="AI112" s="118">
        <f t="shared" si="11"/>
        <v>1900</v>
      </c>
      <c r="AJ112" s="118" t="e">
        <f>SUMIFS(#REF!,#REF!,$AG112,T_Bonds[Risk CCY],AJ$1)</f>
        <v>#REF!</v>
      </c>
      <c r="AK112" s="118" t="e">
        <f>SUMIFS(#REF!,#REF!,$AG112,T_Bonds[Risk CCY],AK$1)</f>
        <v>#REF!</v>
      </c>
      <c r="AL112" s="118" t="e">
        <f>SUMIFS(#REF!,#REF!,$AG112,T_Bonds[Risk CCY],AL$1)</f>
        <v>#REF!</v>
      </c>
    </row>
    <row r="113" spans="31:38" x14ac:dyDescent="0.25">
      <c r="AE113" s="131">
        <f>SUMIFS(T_Bonds[Market value in USD],T_Bonds[Issuer],AD113)</f>
        <v>0</v>
      </c>
      <c r="AH113" s="118">
        <f t="shared" si="10"/>
        <v>52</v>
      </c>
      <c r="AI113" s="118">
        <f t="shared" si="11"/>
        <v>1900</v>
      </c>
      <c r="AJ113" s="118" t="e">
        <f>SUMIFS(#REF!,#REF!,$AG113,T_Bonds[Risk CCY],AJ$1)</f>
        <v>#REF!</v>
      </c>
      <c r="AK113" s="118" t="e">
        <f>SUMIFS(#REF!,#REF!,$AG113,T_Bonds[Risk CCY],AK$1)</f>
        <v>#REF!</v>
      </c>
      <c r="AL113" s="118" t="e">
        <f>SUMIFS(#REF!,#REF!,$AG113,T_Bonds[Risk CCY],AL$1)</f>
        <v>#REF!</v>
      </c>
    </row>
    <row r="114" spans="31:38" x14ac:dyDescent="0.25">
      <c r="AE114" s="131">
        <f>SUMIFS(T_Bonds[Market value in USD],T_Bonds[Issuer],AD114)</f>
        <v>0</v>
      </c>
      <c r="AH114" s="118">
        <f t="shared" si="10"/>
        <v>52</v>
      </c>
      <c r="AI114" s="118">
        <f t="shared" si="11"/>
        <v>1900</v>
      </c>
      <c r="AJ114" s="118" t="e">
        <f>SUMIFS(#REF!,#REF!,$AG114,T_Bonds[Risk CCY],AJ$1)</f>
        <v>#REF!</v>
      </c>
      <c r="AK114" s="118" t="e">
        <f>SUMIFS(#REF!,#REF!,$AG114,T_Bonds[Risk CCY],AK$1)</f>
        <v>#REF!</v>
      </c>
      <c r="AL114" s="118" t="e">
        <f>SUMIFS(#REF!,#REF!,$AG114,T_Bonds[Risk CCY],AL$1)</f>
        <v>#REF!</v>
      </c>
    </row>
    <row r="115" spans="31:38" x14ac:dyDescent="0.25">
      <c r="AE115" s="131">
        <f>SUMIFS(T_Bonds[Market value in USD],T_Bonds[Issuer],AD115)</f>
        <v>0</v>
      </c>
      <c r="AH115" s="118">
        <f t="shared" si="10"/>
        <v>52</v>
      </c>
      <c r="AI115" s="118">
        <f t="shared" si="11"/>
        <v>1900</v>
      </c>
      <c r="AJ115" s="118" t="e">
        <f>SUMIFS(#REF!,#REF!,$AG115,T_Bonds[Risk CCY],AJ$1)</f>
        <v>#REF!</v>
      </c>
      <c r="AK115" s="118" t="e">
        <f>SUMIFS(#REF!,#REF!,$AG115,T_Bonds[Risk CCY],AK$1)</f>
        <v>#REF!</v>
      </c>
      <c r="AL115" s="118" t="e">
        <f>SUMIFS(#REF!,#REF!,$AG115,T_Bonds[Risk CCY],AL$1)</f>
        <v>#REF!</v>
      </c>
    </row>
    <row r="116" spans="31:38" x14ac:dyDescent="0.25">
      <c r="AE116" s="131">
        <f>SUMIFS(T_Bonds[Market value in USD],T_Bonds[Issuer],AD116)</f>
        <v>0</v>
      </c>
      <c r="AH116" s="118">
        <f t="shared" si="10"/>
        <v>52</v>
      </c>
      <c r="AI116" s="118">
        <f t="shared" si="11"/>
        <v>1900</v>
      </c>
      <c r="AJ116" s="118" t="e">
        <f>SUMIFS(#REF!,#REF!,$AG116,T_Bonds[Risk CCY],AJ$1)</f>
        <v>#REF!</v>
      </c>
      <c r="AK116" s="118" t="e">
        <f>SUMIFS(#REF!,#REF!,$AG116,T_Bonds[Risk CCY],AK$1)</f>
        <v>#REF!</v>
      </c>
      <c r="AL116" s="118" t="e">
        <f>SUMIFS(#REF!,#REF!,$AG116,T_Bonds[Risk CCY],AL$1)</f>
        <v>#REF!</v>
      </c>
    </row>
    <row r="117" spans="31:38" x14ac:dyDescent="0.25">
      <c r="AE117" s="131">
        <f>SUMIFS(T_Bonds[Market value in USD],T_Bonds[Issuer],AD117)</f>
        <v>0</v>
      </c>
      <c r="AH117" s="118">
        <f t="shared" si="10"/>
        <v>52</v>
      </c>
      <c r="AI117" s="118">
        <f t="shared" si="11"/>
        <v>1900</v>
      </c>
      <c r="AJ117" s="118" t="e">
        <f>SUMIFS(#REF!,#REF!,$AG117,T_Bonds[Risk CCY],AJ$1)</f>
        <v>#REF!</v>
      </c>
      <c r="AK117" s="118" t="e">
        <f>SUMIFS(#REF!,#REF!,$AG117,T_Bonds[Risk CCY],AK$1)</f>
        <v>#REF!</v>
      </c>
      <c r="AL117" s="118" t="e">
        <f>SUMIFS(#REF!,#REF!,$AG117,T_Bonds[Risk CCY],AL$1)</f>
        <v>#REF!</v>
      </c>
    </row>
    <row r="118" spans="31:38" x14ac:dyDescent="0.25">
      <c r="AE118" s="131">
        <f>SUMIFS(T_Bonds[Market value in USD],T_Bonds[Issuer],AD118)</f>
        <v>0</v>
      </c>
      <c r="AH118" s="118">
        <f t="shared" si="10"/>
        <v>52</v>
      </c>
      <c r="AI118" s="118">
        <f t="shared" si="11"/>
        <v>1900</v>
      </c>
      <c r="AJ118" s="118" t="e">
        <f>SUMIFS(#REF!,#REF!,$AG118,T_Bonds[Risk CCY],AJ$1)</f>
        <v>#REF!</v>
      </c>
      <c r="AK118" s="118" t="e">
        <f>SUMIFS(#REF!,#REF!,$AG118,T_Bonds[Risk CCY],AK$1)</f>
        <v>#REF!</v>
      </c>
      <c r="AL118" s="118" t="e">
        <f>SUMIFS(#REF!,#REF!,$AG118,T_Bonds[Risk CCY],AL$1)</f>
        <v>#REF!</v>
      </c>
    </row>
    <row r="119" spans="31:38" x14ac:dyDescent="0.25">
      <c r="AE119" s="131">
        <f>SUMIFS(T_Bonds[Market value in USD],T_Bonds[Issuer],AD119)</f>
        <v>0</v>
      </c>
      <c r="AH119" s="118">
        <f t="shared" si="10"/>
        <v>52</v>
      </c>
      <c r="AI119" s="118">
        <f t="shared" si="11"/>
        <v>1900</v>
      </c>
      <c r="AJ119" s="118" t="e">
        <f>SUMIFS(#REF!,#REF!,$AG119,T_Bonds[Risk CCY],AJ$1)</f>
        <v>#REF!</v>
      </c>
      <c r="AK119" s="118" t="e">
        <f>SUMIFS(#REF!,#REF!,$AG119,T_Bonds[Risk CCY],AK$1)</f>
        <v>#REF!</v>
      </c>
      <c r="AL119" s="118" t="e">
        <f>SUMIFS(#REF!,#REF!,$AG119,T_Bonds[Risk CCY],AL$1)</f>
        <v>#REF!</v>
      </c>
    </row>
    <row r="120" spans="31:38" x14ac:dyDescent="0.25">
      <c r="AE120" s="131">
        <f>SUMIFS(T_Bonds[Market value in USD],T_Bonds[Issuer],AD120)</f>
        <v>0</v>
      </c>
      <c r="AH120" s="118">
        <f t="shared" si="10"/>
        <v>52</v>
      </c>
      <c r="AI120" s="118">
        <f t="shared" si="11"/>
        <v>1900</v>
      </c>
      <c r="AJ120" s="118" t="e">
        <f>SUMIFS(#REF!,#REF!,$AG120,T_Bonds[Risk CCY],AJ$1)</f>
        <v>#REF!</v>
      </c>
      <c r="AK120" s="118" t="e">
        <f>SUMIFS(#REF!,#REF!,$AG120,T_Bonds[Risk CCY],AK$1)</f>
        <v>#REF!</v>
      </c>
      <c r="AL120" s="118" t="e">
        <f>SUMIFS(#REF!,#REF!,$AG120,T_Bonds[Risk CCY],AL$1)</f>
        <v>#REF!</v>
      </c>
    </row>
    <row r="121" spans="31:38" x14ac:dyDescent="0.25">
      <c r="AE121" s="131">
        <f>SUMIFS(T_Bonds[Market value in USD],T_Bonds[Issuer],AD121)</f>
        <v>0</v>
      </c>
      <c r="AH121" s="118">
        <f t="shared" si="10"/>
        <v>52</v>
      </c>
      <c r="AI121" s="118">
        <f t="shared" si="11"/>
        <v>1900</v>
      </c>
      <c r="AJ121" s="118" t="e">
        <f>SUMIFS(#REF!,#REF!,$AG121,T_Bonds[Risk CCY],AJ$1)</f>
        <v>#REF!</v>
      </c>
      <c r="AK121" s="118" t="e">
        <f>SUMIFS(#REF!,#REF!,$AG121,T_Bonds[Risk CCY],AK$1)</f>
        <v>#REF!</v>
      </c>
      <c r="AL121" s="118" t="e">
        <f>SUMIFS(#REF!,#REF!,$AG121,T_Bonds[Risk CCY],AL$1)</f>
        <v>#REF!</v>
      </c>
    </row>
    <row r="122" spans="31:38" x14ac:dyDescent="0.25">
      <c r="AE122" s="131">
        <f>SUMIFS(T_Bonds[Market value in USD],T_Bonds[Issuer],AD122)</f>
        <v>0</v>
      </c>
      <c r="AH122" s="118">
        <f t="shared" si="10"/>
        <v>52</v>
      </c>
      <c r="AI122" s="118">
        <f t="shared" si="11"/>
        <v>1900</v>
      </c>
      <c r="AJ122" s="118" t="e">
        <f>SUMIFS(#REF!,#REF!,$AG122,T_Bonds[Risk CCY],AJ$1)</f>
        <v>#REF!</v>
      </c>
      <c r="AK122" s="118" t="e">
        <f>SUMIFS(#REF!,#REF!,$AG122,T_Bonds[Risk CCY],AK$1)</f>
        <v>#REF!</v>
      </c>
      <c r="AL122" s="118" t="e">
        <f>SUMIFS(#REF!,#REF!,$AG122,T_Bonds[Risk CCY],AL$1)</f>
        <v>#REF!</v>
      </c>
    </row>
    <row r="123" spans="31:38" x14ac:dyDescent="0.25">
      <c r="AE123" s="131">
        <f>SUMIFS(T_Bonds[Market value in USD],T_Bonds[Issuer],AD123)</f>
        <v>0</v>
      </c>
      <c r="AH123" s="118">
        <f t="shared" si="10"/>
        <v>52</v>
      </c>
      <c r="AI123" s="118">
        <f t="shared" si="11"/>
        <v>1900</v>
      </c>
      <c r="AJ123" s="118" t="e">
        <f>SUMIFS(#REF!,#REF!,$AG123,T_Bonds[Risk CCY],AJ$1)</f>
        <v>#REF!</v>
      </c>
      <c r="AK123" s="118" t="e">
        <f>SUMIFS(#REF!,#REF!,$AG123,T_Bonds[Risk CCY],AK$1)</f>
        <v>#REF!</v>
      </c>
      <c r="AL123" s="118" t="e">
        <f>SUMIFS(#REF!,#REF!,$AG123,T_Bonds[Risk CCY],AL$1)</f>
        <v>#REF!</v>
      </c>
    </row>
    <row r="124" spans="31:38" x14ac:dyDescent="0.25">
      <c r="AE124" s="131">
        <f>SUMIFS(T_Bonds[Market value in USD],T_Bonds[Issuer],AD124)</f>
        <v>0</v>
      </c>
      <c r="AH124" s="118">
        <f t="shared" si="10"/>
        <v>52</v>
      </c>
      <c r="AI124" s="118">
        <f t="shared" si="11"/>
        <v>1900</v>
      </c>
      <c r="AJ124" s="118" t="e">
        <f>SUMIFS(#REF!,#REF!,$AG124,T_Bonds[Risk CCY],AJ$1)</f>
        <v>#REF!</v>
      </c>
      <c r="AK124" s="118" t="e">
        <f>SUMIFS(#REF!,#REF!,$AG124,T_Bonds[Risk CCY],AK$1)</f>
        <v>#REF!</v>
      </c>
      <c r="AL124" s="118" t="e">
        <f>SUMIFS(#REF!,#REF!,$AG124,T_Bonds[Risk CCY],AL$1)</f>
        <v>#REF!</v>
      </c>
    </row>
    <row r="125" spans="31:38" x14ac:dyDescent="0.25">
      <c r="AE125" s="131">
        <f>SUMIFS(T_Bonds[Market value in USD],T_Bonds[Issuer],AD125)</f>
        <v>0</v>
      </c>
      <c r="AH125" s="118">
        <f t="shared" si="10"/>
        <v>52</v>
      </c>
      <c r="AI125" s="118">
        <f t="shared" si="11"/>
        <v>1900</v>
      </c>
      <c r="AJ125" s="118" t="e">
        <f>SUMIFS(#REF!,#REF!,$AG125,T_Bonds[Risk CCY],AJ$1)</f>
        <v>#REF!</v>
      </c>
      <c r="AK125" s="118" t="e">
        <f>SUMIFS(#REF!,#REF!,$AG125,T_Bonds[Risk CCY],AK$1)</f>
        <v>#REF!</v>
      </c>
      <c r="AL125" s="118" t="e">
        <f>SUMIFS(#REF!,#REF!,$AG125,T_Bonds[Risk CCY],AL$1)</f>
        <v>#REF!</v>
      </c>
    </row>
    <row r="126" spans="31:38" x14ac:dyDescent="0.25">
      <c r="AE126" s="131">
        <f>SUMIFS(T_Bonds[Market value in USD],T_Bonds[Issuer],AD126)</f>
        <v>0</v>
      </c>
      <c r="AH126" s="118">
        <f t="shared" si="10"/>
        <v>52</v>
      </c>
      <c r="AI126" s="118">
        <f t="shared" si="11"/>
        <v>1900</v>
      </c>
      <c r="AJ126" s="118" t="e">
        <f>SUMIFS(#REF!,#REF!,$AG126,T_Bonds[Risk CCY],AJ$1)</f>
        <v>#REF!</v>
      </c>
      <c r="AK126" s="118" t="e">
        <f>SUMIFS(#REF!,#REF!,$AG126,T_Bonds[Risk CCY],AK$1)</f>
        <v>#REF!</v>
      </c>
      <c r="AL126" s="118" t="e">
        <f>SUMIFS(#REF!,#REF!,$AG126,T_Bonds[Risk CCY],AL$1)</f>
        <v>#REF!</v>
      </c>
    </row>
    <row r="127" spans="31:38" x14ac:dyDescent="0.25">
      <c r="AE127" s="131">
        <f>SUMIFS(T_Bonds[Market value in USD],T_Bonds[Issuer],AD127)</f>
        <v>0</v>
      </c>
      <c r="AH127" s="118">
        <f t="shared" si="10"/>
        <v>52</v>
      </c>
      <c r="AI127" s="118">
        <f t="shared" si="11"/>
        <v>1900</v>
      </c>
      <c r="AJ127" s="118" t="e">
        <f>SUMIFS(#REF!,#REF!,$AG127,T_Bonds[Risk CCY],AJ$1)</f>
        <v>#REF!</v>
      </c>
      <c r="AK127" s="118" t="e">
        <f>SUMIFS(#REF!,#REF!,$AG127,T_Bonds[Risk CCY],AK$1)</f>
        <v>#REF!</v>
      </c>
      <c r="AL127" s="118" t="e">
        <f>SUMIFS(#REF!,#REF!,$AG127,T_Bonds[Risk CCY],AL$1)</f>
        <v>#REF!</v>
      </c>
    </row>
    <row r="128" spans="31:38" x14ac:dyDescent="0.25">
      <c r="AE128" s="131">
        <f>SUMIFS(T_Bonds[Market value in USD],T_Bonds[Issuer],AD128)</f>
        <v>0</v>
      </c>
      <c r="AH128" s="118">
        <f t="shared" si="10"/>
        <v>52</v>
      </c>
      <c r="AI128" s="118">
        <f t="shared" si="11"/>
        <v>1900</v>
      </c>
      <c r="AJ128" s="118" t="e">
        <f>SUMIFS(#REF!,#REF!,$AG128,T_Bonds[Risk CCY],AJ$1)</f>
        <v>#REF!</v>
      </c>
      <c r="AK128" s="118" t="e">
        <f>SUMIFS(#REF!,#REF!,$AG128,T_Bonds[Risk CCY],AK$1)</f>
        <v>#REF!</v>
      </c>
      <c r="AL128" s="118" t="e">
        <f>SUMIFS(#REF!,#REF!,$AG128,T_Bonds[Risk CCY],AL$1)</f>
        <v>#REF!</v>
      </c>
    </row>
    <row r="129" spans="31:38" x14ac:dyDescent="0.25">
      <c r="AE129" s="131">
        <f>SUMIFS(T_Bonds[Market value in USD],T_Bonds[Issuer],AD129)</f>
        <v>0</v>
      </c>
      <c r="AH129" s="118">
        <f t="shared" si="10"/>
        <v>52</v>
      </c>
      <c r="AI129" s="118">
        <f t="shared" si="11"/>
        <v>1900</v>
      </c>
      <c r="AJ129" s="118" t="e">
        <f>SUMIFS(#REF!,#REF!,$AG129,T_Bonds[Risk CCY],AJ$1)</f>
        <v>#REF!</v>
      </c>
      <c r="AK129" s="118" t="e">
        <f>SUMIFS(#REF!,#REF!,$AG129,T_Bonds[Risk CCY],AK$1)</f>
        <v>#REF!</v>
      </c>
      <c r="AL129" s="118" t="e">
        <f>SUMIFS(#REF!,#REF!,$AG129,T_Bonds[Risk CCY],AL$1)</f>
        <v>#REF!</v>
      </c>
    </row>
    <row r="130" spans="31:38" x14ac:dyDescent="0.25">
      <c r="AE130" s="131">
        <f>SUMIFS(T_Bonds[Market value in USD],T_Bonds[Issuer],AD130)</f>
        <v>0</v>
      </c>
      <c r="AH130" s="118">
        <f t="shared" si="10"/>
        <v>52</v>
      </c>
      <c r="AI130" s="118">
        <f t="shared" si="11"/>
        <v>1900</v>
      </c>
      <c r="AJ130" s="118" t="e">
        <f>SUMIFS(#REF!,#REF!,$AG130,T_Bonds[Risk CCY],AJ$1)</f>
        <v>#REF!</v>
      </c>
      <c r="AK130" s="118" t="e">
        <f>SUMIFS(#REF!,#REF!,$AG130,T_Bonds[Risk CCY],AK$1)</f>
        <v>#REF!</v>
      </c>
      <c r="AL130" s="118" t="e">
        <f>SUMIFS(#REF!,#REF!,$AG130,T_Bonds[Risk CCY],AL$1)</f>
        <v>#REF!</v>
      </c>
    </row>
    <row r="131" spans="31:38" x14ac:dyDescent="0.25">
      <c r="AE131" s="131">
        <f>SUMIFS(T_Bonds[Market value in USD],T_Bonds[Issuer],AD131)</f>
        <v>0</v>
      </c>
      <c r="AH131" s="118">
        <f t="shared" ref="AH131:AH151" si="12">_xlfn.ISOWEEKNUM(AG131)</f>
        <v>52</v>
      </c>
      <c r="AI131" s="118">
        <f t="shared" ref="AI131:AI151" si="13">YEAR(AG131)</f>
        <v>1900</v>
      </c>
      <c r="AJ131" s="118" t="e">
        <f>SUMIFS(#REF!,#REF!,$AG131,T_Bonds[Risk CCY],AJ$1)</f>
        <v>#REF!</v>
      </c>
      <c r="AK131" s="118" t="e">
        <f>SUMIFS(#REF!,#REF!,$AG131,T_Bonds[Risk CCY],AK$1)</f>
        <v>#REF!</v>
      </c>
      <c r="AL131" s="118" t="e">
        <f>SUMIFS(#REF!,#REF!,$AG131,T_Bonds[Risk CCY],AL$1)</f>
        <v>#REF!</v>
      </c>
    </row>
    <row r="132" spans="31:38" x14ac:dyDescent="0.25">
      <c r="AE132" s="131">
        <f>SUMIFS(T_Bonds[Market value in USD],T_Bonds[Issuer],AD132)</f>
        <v>0</v>
      </c>
      <c r="AH132" s="118">
        <f t="shared" si="12"/>
        <v>52</v>
      </c>
      <c r="AI132" s="118">
        <f t="shared" si="13"/>
        <v>1900</v>
      </c>
      <c r="AJ132" s="118" t="e">
        <f>SUMIFS(#REF!,#REF!,$AG132,T_Bonds[Risk CCY],AJ$1)</f>
        <v>#REF!</v>
      </c>
      <c r="AK132" s="118" t="e">
        <f>SUMIFS(#REF!,#REF!,$AG132,T_Bonds[Risk CCY],AK$1)</f>
        <v>#REF!</v>
      </c>
      <c r="AL132" s="118" t="e">
        <f>SUMIFS(#REF!,#REF!,$AG132,T_Bonds[Risk CCY],AL$1)</f>
        <v>#REF!</v>
      </c>
    </row>
    <row r="133" spans="31:38" x14ac:dyDescent="0.25">
      <c r="AE133" s="131">
        <f>SUMIFS(T_Bonds[Market value in USD],T_Bonds[Issuer],AD133)</f>
        <v>0</v>
      </c>
      <c r="AH133" s="118">
        <f t="shared" si="12"/>
        <v>52</v>
      </c>
      <c r="AI133" s="118">
        <f t="shared" si="13"/>
        <v>1900</v>
      </c>
      <c r="AJ133" s="118" t="e">
        <f>SUMIFS(#REF!,#REF!,$AG133,T_Bonds[Risk CCY],AJ$1)</f>
        <v>#REF!</v>
      </c>
      <c r="AK133" s="118" t="e">
        <f>SUMIFS(#REF!,#REF!,$AG133,T_Bonds[Risk CCY],AK$1)</f>
        <v>#REF!</v>
      </c>
      <c r="AL133" s="118" t="e">
        <f>SUMIFS(#REF!,#REF!,$AG133,T_Bonds[Risk CCY],AL$1)</f>
        <v>#REF!</v>
      </c>
    </row>
    <row r="134" spans="31:38" x14ac:dyDescent="0.25">
      <c r="AE134" s="131">
        <f>SUMIFS(T_Bonds[Market value in USD],T_Bonds[Issuer],AD134)</f>
        <v>0</v>
      </c>
      <c r="AH134" s="118">
        <f t="shared" si="12"/>
        <v>52</v>
      </c>
      <c r="AI134" s="118">
        <f t="shared" si="13"/>
        <v>1900</v>
      </c>
      <c r="AJ134" s="118" t="e">
        <f>SUMIFS(#REF!,#REF!,$AG134,T_Bonds[Risk CCY],AJ$1)</f>
        <v>#REF!</v>
      </c>
      <c r="AK134" s="118" t="e">
        <f>SUMIFS(#REF!,#REF!,$AG134,T_Bonds[Risk CCY],AK$1)</f>
        <v>#REF!</v>
      </c>
      <c r="AL134" s="118" t="e">
        <f>SUMIFS(#REF!,#REF!,$AG134,T_Bonds[Risk CCY],AL$1)</f>
        <v>#REF!</v>
      </c>
    </row>
    <row r="135" spans="31:38" x14ac:dyDescent="0.25">
      <c r="AE135" s="131">
        <f>SUMIFS(T_Bonds[Market value in USD],T_Bonds[Issuer],AD135)</f>
        <v>0</v>
      </c>
      <c r="AH135" s="118">
        <f t="shared" si="12"/>
        <v>52</v>
      </c>
      <c r="AI135" s="118">
        <f t="shared" si="13"/>
        <v>1900</v>
      </c>
      <c r="AJ135" s="118" t="e">
        <f>SUMIFS(#REF!,#REF!,$AG135,T_Bonds[Risk CCY],AJ$1)</f>
        <v>#REF!</v>
      </c>
      <c r="AK135" s="118" t="e">
        <f>SUMIFS(#REF!,#REF!,$AG135,T_Bonds[Risk CCY],AK$1)</f>
        <v>#REF!</v>
      </c>
      <c r="AL135" s="118" t="e">
        <f>SUMIFS(#REF!,#REF!,$AG135,T_Bonds[Risk CCY],AL$1)</f>
        <v>#REF!</v>
      </c>
    </row>
    <row r="136" spans="31:38" x14ac:dyDescent="0.25">
      <c r="AE136" s="131">
        <f>SUMIFS(T_Bonds[Market value in USD],T_Bonds[Issuer],AD136)</f>
        <v>0</v>
      </c>
      <c r="AH136" s="118">
        <f t="shared" si="12"/>
        <v>52</v>
      </c>
      <c r="AI136" s="118">
        <f t="shared" si="13"/>
        <v>1900</v>
      </c>
      <c r="AJ136" s="118" t="e">
        <f>SUMIFS(#REF!,#REF!,$AG136,T_Bonds[Risk CCY],AJ$1)</f>
        <v>#REF!</v>
      </c>
      <c r="AK136" s="118" t="e">
        <f>SUMIFS(#REF!,#REF!,$AG136,T_Bonds[Risk CCY],AK$1)</f>
        <v>#REF!</v>
      </c>
      <c r="AL136" s="118" t="e">
        <f>SUMIFS(#REF!,#REF!,$AG136,T_Bonds[Risk CCY],AL$1)</f>
        <v>#REF!</v>
      </c>
    </row>
    <row r="137" spans="31:38" x14ac:dyDescent="0.25">
      <c r="AE137" s="131">
        <f>SUMIFS(T_Bonds[Market value in USD],T_Bonds[Issuer],AD137)</f>
        <v>0</v>
      </c>
      <c r="AH137" s="118">
        <f t="shared" si="12"/>
        <v>52</v>
      </c>
      <c r="AI137" s="118">
        <f t="shared" si="13"/>
        <v>1900</v>
      </c>
      <c r="AJ137" s="118" t="e">
        <f>SUMIFS(#REF!,#REF!,$AG137,T_Bonds[Risk CCY],AJ$1)</f>
        <v>#REF!</v>
      </c>
      <c r="AK137" s="118" t="e">
        <f>SUMIFS(#REF!,#REF!,$AG137,T_Bonds[Risk CCY],AK$1)</f>
        <v>#REF!</v>
      </c>
      <c r="AL137" s="118" t="e">
        <f>SUMIFS(#REF!,#REF!,$AG137,T_Bonds[Risk CCY],AL$1)</f>
        <v>#REF!</v>
      </c>
    </row>
    <row r="138" spans="31:38" x14ac:dyDescent="0.25">
      <c r="AE138" s="131">
        <f>SUMIFS(T_Bonds[Market value in USD],T_Bonds[Issuer],AD138)</f>
        <v>0</v>
      </c>
      <c r="AH138" s="118">
        <f t="shared" si="12"/>
        <v>52</v>
      </c>
      <c r="AI138" s="118">
        <f t="shared" si="13"/>
        <v>1900</v>
      </c>
      <c r="AJ138" s="118" t="e">
        <f>SUMIFS(#REF!,#REF!,$AG138,T_Bonds[Risk CCY],AJ$1)</f>
        <v>#REF!</v>
      </c>
      <c r="AK138" s="118" t="e">
        <f>SUMIFS(#REF!,#REF!,$AG138,T_Bonds[Risk CCY],AK$1)</f>
        <v>#REF!</v>
      </c>
      <c r="AL138" s="118" t="e">
        <f>SUMIFS(#REF!,#REF!,$AG138,T_Bonds[Risk CCY],AL$1)</f>
        <v>#REF!</v>
      </c>
    </row>
    <row r="139" spans="31:38" x14ac:dyDescent="0.25">
      <c r="AE139" s="131">
        <f>SUMIFS(T_Bonds[Market value in USD],T_Bonds[Issuer],AD139)</f>
        <v>0</v>
      </c>
      <c r="AH139" s="118">
        <f t="shared" si="12"/>
        <v>52</v>
      </c>
      <c r="AI139" s="118">
        <f t="shared" si="13"/>
        <v>1900</v>
      </c>
      <c r="AJ139" s="118" t="e">
        <f>SUMIFS(#REF!,#REF!,$AG139,T_Bonds[Risk CCY],AJ$1)</f>
        <v>#REF!</v>
      </c>
      <c r="AK139" s="118" t="e">
        <f>SUMIFS(#REF!,#REF!,$AG139,T_Bonds[Risk CCY],AK$1)</f>
        <v>#REF!</v>
      </c>
      <c r="AL139" s="118" t="e">
        <f>SUMIFS(#REF!,#REF!,$AG139,T_Bonds[Risk CCY],AL$1)</f>
        <v>#REF!</v>
      </c>
    </row>
    <row r="140" spans="31:38" x14ac:dyDescent="0.25">
      <c r="AE140" s="131">
        <f>SUMIFS(T_Bonds[Market value in USD],T_Bonds[Issuer],AD140)</f>
        <v>0</v>
      </c>
      <c r="AH140" s="118">
        <f t="shared" si="12"/>
        <v>52</v>
      </c>
      <c r="AI140" s="118">
        <f t="shared" si="13"/>
        <v>1900</v>
      </c>
      <c r="AJ140" s="118" t="e">
        <f>SUMIFS(#REF!,#REF!,$AG140,T_Bonds[Risk CCY],AJ$1)</f>
        <v>#REF!</v>
      </c>
      <c r="AK140" s="118" t="e">
        <f>SUMIFS(#REF!,#REF!,$AG140,T_Bonds[Risk CCY],AK$1)</f>
        <v>#REF!</v>
      </c>
      <c r="AL140" s="118" t="e">
        <f>SUMIFS(#REF!,#REF!,$AG140,T_Bonds[Risk CCY],AL$1)</f>
        <v>#REF!</v>
      </c>
    </row>
    <row r="141" spans="31:38" x14ac:dyDescent="0.25">
      <c r="AE141" s="131">
        <f>SUMIFS(T_Bonds[Market value in USD],T_Bonds[Issuer],AD141)</f>
        <v>0</v>
      </c>
      <c r="AH141" s="118">
        <f t="shared" si="12"/>
        <v>52</v>
      </c>
      <c r="AI141" s="118">
        <f t="shared" si="13"/>
        <v>1900</v>
      </c>
      <c r="AJ141" s="118" t="e">
        <f>SUMIFS(#REF!,#REF!,$AG141,T_Bonds[Risk CCY],AJ$1)</f>
        <v>#REF!</v>
      </c>
      <c r="AK141" s="118" t="e">
        <f>SUMIFS(#REF!,#REF!,$AG141,T_Bonds[Risk CCY],AK$1)</f>
        <v>#REF!</v>
      </c>
      <c r="AL141" s="118" t="e">
        <f>SUMIFS(#REF!,#REF!,$AG141,T_Bonds[Risk CCY],AL$1)</f>
        <v>#REF!</v>
      </c>
    </row>
    <row r="142" spans="31:38" x14ac:dyDescent="0.25">
      <c r="AE142" s="131">
        <f>SUMIFS(T_Bonds[Market value in USD],T_Bonds[Issuer],AD142)</f>
        <v>0</v>
      </c>
      <c r="AH142" s="118">
        <f t="shared" si="12"/>
        <v>52</v>
      </c>
      <c r="AI142" s="118">
        <f t="shared" si="13"/>
        <v>1900</v>
      </c>
      <c r="AJ142" s="118" t="e">
        <f>SUMIFS(#REF!,#REF!,$AG142,T_Bonds[Risk CCY],AJ$1)</f>
        <v>#REF!</v>
      </c>
      <c r="AK142" s="118" t="e">
        <f>SUMIFS(#REF!,#REF!,$AG142,T_Bonds[Risk CCY],AK$1)</f>
        <v>#REF!</v>
      </c>
      <c r="AL142" s="118" t="e">
        <f>SUMIFS(#REF!,#REF!,$AG142,T_Bonds[Risk CCY],AL$1)</f>
        <v>#REF!</v>
      </c>
    </row>
    <row r="143" spans="31:38" x14ac:dyDescent="0.25">
      <c r="AE143" s="131">
        <f>SUMIFS(T_Bonds[Market value in USD],T_Bonds[Issuer],AD143)</f>
        <v>0</v>
      </c>
      <c r="AH143" s="118">
        <f t="shared" si="12"/>
        <v>52</v>
      </c>
      <c r="AI143" s="118">
        <f t="shared" si="13"/>
        <v>1900</v>
      </c>
      <c r="AJ143" s="118" t="e">
        <f>SUMIFS(#REF!,#REF!,$AG143,T_Bonds[Risk CCY],AJ$1)</f>
        <v>#REF!</v>
      </c>
      <c r="AK143" s="118" t="e">
        <f>SUMIFS(#REF!,#REF!,$AG143,T_Bonds[Risk CCY],AK$1)</f>
        <v>#REF!</v>
      </c>
      <c r="AL143" s="118" t="e">
        <f>SUMIFS(#REF!,#REF!,$AG143,T_Bonds[Risk CCY],AL$1)</f>
        <v>#REF!</v>
      </c>
    </row>
    <row r="144" spans="31:38" x14ac:dyDescent="0.25">
      <c r="AE144" s="131">
        <f>SUMIFS(T_Bonds[Market value in USD],T_Bonds[Issuer],AD144)</f>
        <v>0</v>
      </c>
      <c r="AH144" s="118">
        <f t="shared" si="12"/>
        <v>52</v>
      </c>
      <c r="AI144" s="118">
        <f t="shared" si="13"/>
        <v>1900</v>
      </c>
      <c r="AJ144" s="118" t="e">
        <f>SUMIFS(#REF!,#REF!,$AG144,T_Bonds[Risk CCY],AJ$1)</f>
        <v>#REF!</v>
      </c>
      <c r="AK144" s="118" t="e">
        <f>SUMIFS(#REF!,#REF!,$AG144,T_Bonds[Risk CCY],AK$1)</f>
        <v>#REF!</v>
      </c>
      <c r="AL144" s="118" t="e">
        <f>SUMIFS(#REF!,#REF!,$AG144,T_Bonds[Risk CCY],AL$1)</f>
        <v>#REF!</v>
      </c>
    </row>
    <row r="145" spans="31:38" x14ac:dyDescent="0.25">
      <c r="AE145" s="131">
        <f>SUMIFS(T_Bonds[Market value in USD],T_Bonds[Issuer],AD145)</f>
        <v>0</v>
      </c>
      <c r="AH145" s="118">
        <f t="shared" si="12"/>
        <v>52</v>
      </c>
      <c r="AI145" s="118">
        <f t="shared" si="13"/>
        <v>1900</v>
      </c>
      <c r="AJ145" s="118" t="e">
        <f>SUMIFS(#REF!,#REF!,$AG145,T_Bonds[Risk CCY],AJ$1)</f>
        <v>#REF!</v>
      </c>
      <c r="AK145" s="118" t="e">
        <f>SUMIFS(#REF!,#REF!,$AG145,T_Bonds[Risk CCY],AK$1)</f>
        <v>#REF!</v>
      </c>
      <c r="AL145" s="118" t="e">
        <f>SUMIFS(#REF!,#REF!,$AG145,T_Bonds[Risk CCY],AL$1)</f>
        <v>#REF!</v>
      </c>
    </row>
    <row r="146" spans="31:38" x14ac:dyDescent="0.25">
      <c r="AE146" s="131">
        <f>SUMIFS(T_Bonds[Market value in USD],T_Bonds[Issuer],AD146)</f>
        <v>0</v>
      </c>
      <c r="AH146" s="118">
        <f t="shared" si="12"/>
        <v>52</v>
      </c>
      <c r="AI146" s="118">
        <f t="shared" si="13"/>
        <v>1900</v>
      </c>
      <c r="AJ146" s="118" t="e">
        <f>SUMIFS(#REF!,#REF!,$AG146,T_Bonds[Risk CCY],AJ$1)</f>
        <v>#REF!</v>
      </c>
      <c r="AK146" s="118" t="e">
        <f>SUMIFS(#REF!,#REF!,$AG146,T_Bonds[Risk CCY],AK$1)</f>
        <v>#REF!</v>
      </c>
      <c r="AL146" s="118" t="e">
        <f>SUMIFS(#REF!,#REF!,$AG146,T_Bonds[Risk CCY],AL$1)</f>
        <v>#REF!</v>
      </c>
    </row>
    <row r="147" spans="31:38" x14ac:dyDescent="0.25">
      <c r="AE147" s="131">
        <f>SUMIFS(T_Bonds[Market value in USD],T_Bonds[Issuer],AD147)</f>
        <v>0</v>
      </c>
      <c r="AH147" s="118">
        <f t="shared" si="12"/>
        <v>52</v>
      </c>
      <c r="AI147" s="118">
        <f t="shared" si="13"/>
        <v>1900</v>
      </c>
      <c r="AJ147" s="118" t="e">
        <f>SUMIFS(#REF!,#REF!,$AG147,T_Bonds[Risk CCY],AJ$1)</f>
        <v>#REF!</v>
      </c>
      <c r="AK147" s="118" t="e">
        <f>SUMIFS(#REF!,#REF!,$AG147,T_Bonds[Risk CCY],AK$1)</f>
        <v>#REF!</v>
      </c>
      <c r="AL147" s="118" t="e">
        <f>SUMIFS(#REF!,#REF!,$AG147,T_Bonds[Risk CCY],AL$1)</f>
        <v>#REF!</v>
      </c>
    </row>
    <row r="148" spans="31:38" x14ac:dyDescent="0.25">
      <c r="AE148" s="131">
        <f>SUMIFS(T_Bonds[Market value in USD],T_Bonds[Issuer],AD148)</f>
        <v>0</v>
      </c>
      <c r="AH148" s="118">
        <f t="shared" si="12"/>
        <v>52</v>
      </c>
      <c r="AI148" s="118">
        <f t="shared" si="13"/>
        <v>1900</v>
      </c>
      <c r="AJ148" s="118" t="e">
        <f>SUMIFS(#REF!,#REF!,$AG148,T_Bonds[Risk CCY],AJ$1)</f>
        <v>#REF!</v>
      </c>
      <c r="AK148" s="118" t="e">
        <f>SUMIFS(#REF!,#REF!,$AG148,T_Bonds[Risk CCY],AK$1)</f>
        <v>#REF!</v>
      </c>
      <c r="AL148" s="118" t="e">
        <f>SUMIFS(#REF!,#REF!,$AG148,T_Bonds[Risk CCY],AL$1)</f>
        <v>#REF!</v>
      </c>
    </row>
    <row r="149" spans="31:38" x14ac:dyDescent="0.25">
      <c r="AE149" s="131">
        <f>SUMIFS(T_Bonds[Market value in USD],T_Bonds[Issuer],AD149)</f>
        <v>0</v>
      </c>
      <c r="AH149" s="118">
        <f t="shared" si="12"/>
        <v>52</v>
      </c>
      <c r="AI149" s="118">
        <f t="shared" si="13"/>
        <v>1900</v>
      </c>
      <c r="AJ149" s="118" t="e">
        <f>SUMIFS(#REF!,#REF!,$AG149,T_Bonds[Risk CCY],AJ$1)</f>
        <v>#REF!</v>
      </c>
      <c r="AK149" s="118" t="e">
        <f>SUMIFS(#REF!,#REF!,$AG149,T_Bonds[Risk CCY],AK$1)</f>
        <v>#REF!</v>
      </c>
      <c r="AL149" s="118" t="e">
        <f>SUMIFS(#REF!,#REF!,$AG149,T_Bonds[Risk CCY],AL$1)</f>
        <v>#REF!</v>
      </c>
    </row>
    <row r="150" spans="31:38" x14ac:dyDescent="0.25">
      <c r="AE150" s="131">
        <f>SUMIFS(T_Bonds[Market value in USD],T_Bonds[Issuer],AD150)</f>
        <v>0</v>
      </c>
      <c r="AH150" s="118">
        <f t="shared" si="12"/>
        <v>52</v>
      </c>
      <c r="AI150" s="118">
        <f t="shared" si="13"/>
        <v>1900</v>
      </c>
      <c r="AJ150" s="118" t="e">
        <f>SUMIFS(#REF!,#REF!,$AG150,T_Bonds[Risk CCY],AJ$1)</f>
        <v>#REF!</v>
      </c>
      <c r="AK150" s="118" t="e">
        <f>SUMIFS(#REF!,#REF!,$AG150,T_Bonds[Risk CCY],AK$1)</f>
        <v>#REF!</v>
      </c>
      <c r="AL150" s="118" t="e">
        <f>SUMIFS(#REF!,#REF!,$AG150,T_Bonds[Risk CCY],AL$1)</f>
        <v>#REF!</v>
      </c>
    </row>
    <row r="151" spans="31:38" x14ac:dyDescent="0.25">
      <c r="AE151" s="131">
        <f>SUMIFS(T_Bonds[Market value in USD],T_Bonds[Issuer],AD151)</f>
        <v>0</v>
      </c>
      <c r="AH151" s="118">
        <f t="shared" si="12"/>
        <v>52</v>
      </c>
      <c r="AI151" s="118">
        <f t="shared" si="13"/>
        <v>1900</v>
      </c>
      <c r="AJ151" s="118" t="e">
        <f>SUMIFS(#REF!,#REF!,$AG151,T_Bonds[Risk CCY],AJ$1)</f>
        <v>#REF!</v>
      </c>
      <c r="AK151" s="118" t="e">
        <f>SUMIFS(#REF!,#REF!,$AG151,T_Bonds[Risk CCY],AK$1)</f>
        <v>#REF!</v>
      </c>
      <c r="AL151" s="118" t="e">
        <f>SUMIFS(#REF!,#REF!,$AG151,T_Bonds[Risk CCY],AL$1)</f>
        <v>#REF!</v>
      </c>
    </row>
    <row r="152" spans="31:38" x14ac:dyDescent="0.25">
      <c r="AE152" s="131">
        <f>SUMIFS(T_Bonds[Market value in USD],T_Bonds[Issuer],AD152)</f>
        <v>0</v>
      </c>
    </row>
    <row r="153" spans="31:38" x14ac:dyDescent="0.25">
      <c r="AE153" s="131">
        <f>SUMIFS(T_Bonds[Market value in USD],T_Bonds[Issuer],AD153)</f>
        <v>0</v>
      </c>
    </row>
    <row r="154" spans="31:38" x14ac:dyDescent="0.25">
      <c r="AE154" s="131">
        <f>SUMIFS(T_Bonds[Market value in USD],T_Bonds[Issuer],AD154)</f>
        <v>0</v>
      </c>
    </row>
    <row r="155" spans="31:38" x14ac:dyDescent="0.25">
      <c r="AE155" s="131">
        <f>SUMIFS(T_Bonds[Market value in USD],T_Bonds[Issuer],AD155)</f>
        <v>0</v>
      </c>
    </row>
  </sheetData>
  <mergeCells count="5">
    <mergeCell ref="I20:M20"/>
    <mergeCell ref="B2:F2"/>
    <mergeCell ref="H2:K2"/>
    <mergeCell ref="M2:P2"/>
    <mergeCell ref="B3:C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D4791-FC78-42BC-8278-3D072885B9A5}">
  <sheetPr codeName="Sheet5">
    <tabColor theme="9" tint="0.79998168889431442"/>
  </sheetPr>
  <dimension ref="A1:AB82"/>
  <sheetViews>
    <sheetView zoomScaleNormal="100" workbookViewId="0">
      <pane ySplit="1" topLeftCell="A3" activePane="bottomLeft" state="frozen"/>
      <selection pane="bottomLeft" activeCell="A8" sqref="A8"/>
    </sheetView>
  </sheetViews>
  <sheetFormatPr defaultColWidth="14.140625" defaultRowHeight="15" x14ac:dyDescent="0.25"/>
  <cols>
    <col min="1" max="1" width="22" style="118" bestFit="1" customWidth="1"/>
    <col min="2" max="2" width="19.140625" style="118" customWidth="1"/>
    <col min="3" max="14" width="11.28515625" style="118" hidden="1" customWidth="1"/>
    <col min="15" max="26" width="11.28515625" style="118" customWidth="1"/>
    <col min="27" max="16384" width="14.140625" style="118"/>
  </cols>
  <sheetData>
    <row r="1" spans="1:26" s="248" customFormat="1" ht="15.75" thickBot="1" x14ac:dyDescent="0.3">
      <c r="A1" s="235" t="s">
        <v>885</v>
      </c>
      <c r="B1" s="235">
        <v>45658</v>
      </c>
      <c r="C1" s="236">
        <f>DATE(YEAR($B$1),MONTH($B$1),DAY(1))</f>
        <v>45658</v>
      </c>
      <c r="D1" s="236">
        <f>EDATE(C1,1)</f>
        <v>45689</v>
      </c>
      <c r="E1" s="236">
        <f t="shared" ref="E1:Z1" si="0">EDATE(D1,1)</f>
        <v>45717</v>
      </c>
      <c r="F1" s="236">
        <f t="shared" si="0"/>
        <v>45748</v>
      </c>
      <c r="G1" s="236">
        <f t="shared" si="0"/>
        <v>45778</v>
      </c>
      <c r="H1" s="236">
        <f>EDATE(G1,1)</f>
        <v>45809</v>
      </c>
      <c r="I1" s="236">
        <f t="shared" si="0"/>
        <v>45839</v>
      </c>
      <c r="J1" s="236">
        <f t="shared" si="0"/>
        <v>45870</v>
      </c>
      <c r="K1" s="236">
        <f t="shared" si="0"/>
        <v>45901</v>
      </c>
      <c r="L1" s="236">
        <f t="shared" si="0"/>
        <v>45931</v>
      </c>
      <c r="M1" s="236">
        <f t="shared" si="0"/>
        <v>45962</v>
      </c>
      <c r="N1" s="236">
        <f t="shared" si="0"/>
        <v>45992</v>
      </c>
      <c r="O1" s="236">
        <f t="shared" si="0"/>
        <v>46023</v>
      </c>
      <c r="P1" s="236">
        <f t="shared" si="0"/>
        <v>46054</v>
      </c>
      <c r="Q1" s="236">
        <f t="shared" si="0"/>
        <v>46082</v>
      </c>
      <c r="R1" s="236">
        <f t="shared" si="0"/>
        <v>46113</v>
      </c>
      <c r="S1" s="236">
        <f t="shared" si="0"/>
        <v>46143</v>
      </c>
      <c r="T1" s="236">
        <f t="shared" si="0"/>
        <v>46174</v>
      </c>
      <c r="U1" s="236">
        <f t="shared" si="0"/>
        <v>46204</v>
      </c>
      <c r="V1" s="236">
        <f t="shared" si="0"/>
        <v>46235</v>
      </c>
      <c r="W1" s="236">
        <f t="shared" si="0"/>
        <v>46266</v>
      </c>
      <c r="X1" s="236">
        <f t="shared" si="0"/>
        <v>46296</v>
      </c>
      <c r="Y1" s="236">
        <f t="shared" si="0"/>
        <v>46327</v>
      </c>
      <c r="Z1" s="236">
        <f t="shared" si="0"/>
        <v>46357</v>
      </c>
    </row>
    <row r="2" spans="1:26" s="249" customFormat="1" ht="15.75" hidden="1" thickTop="1" x14ac:dyDescent="0.25">
      <c r="A2" s="249" t="s">
        <v>874</v>
      </c>
      <c r="C2" s="249">
        <f>EOMONTH(C1,0)</f>
        <v>45688</v>
      </c>
      <c r="D2" s="249">
        <f t="shared" ref="D2:Z2" si="1">EOMONTH(D1,0)</f>
        <v>45716</v>
      </c>
      <c r="E2" s="249">
        <f t="shared" si="1"/>
        <v>45747</v>
      </c>
      <c r="F2" s="249">
        <f t="shared" si="1"/>
        <v>45777</v>
      </c>
      <c r="G2" s="249">
        <f t="shared" si="1"/>
        <v>45808</v>
      </c>
      <c r="H2" s="249">
        <f t="shared" si="1"/>
        <v>45838</v>
      </c>
      <c r="I2" s="249">
        <f t="shared" si="1"/>
        <v>45869</v>
      </c>
      <c r="J2" s="249">
        <f t="shared" si="1"/>
        <v>45900</v>
      </c>
      <c r="K2" s="249">
        <f t="shared" si="1"/>
        <v>45930</v>
      </c>
      <c r="L2" s="249">
        <f t="shared" si="1"/>
        <v>45961</v>
      </c>
      <c r="M2" s="249">
        <f t="shared" si="1"/>
        <v>45991</v>
      </c>
      <c r="N2" s="249">
        <f t="shared" si="1"/>
        <v>46022</v>
      </c>
      <c r="O2" s="249">
        <f t="shared" si="1"/>
        <v>46053</v>
      </c>
      <c r="P2" s="249">
        <f t="shared" si="1"/>
        <v>46081</v>
      </c>
      <c r="Q2" s="249">
        <f t="shared" si="1"/>
        <v>46112</v>
      </c>
      <c r="R2" s="249">
        <f t="shared" si="1"/>
        <v>46142</v>
      </c>
      <c r="S2" s="249">
        <f t="shared" si="1"/>
        <v>46173</v>
      </c>
      <c r="T2" s="249">
        <f t="shared" si="1"/>
        <v>46203</v>
      </c>
      <c r="U2" s="249">
        <f t="shared" si="1"/>
        <v>46234</v>
      </c>
      <c r="V2" s="249">
        <f t="shared" si="1"/>
        <v>46265</v>
      </c>
      <c r="W2" s="249">
        <f t="shared" si="1"/>
        <v>46295</v>
      </c>
      <c r="X2" s="249">
        <f t="shared" si="1"/>
        <v>46326</v>
      </c>
      <c r="Y2" s="249">
        <f t="shared" si="1"/>
        <v>46356</v>
      </c>
      <c r="Z2" s="249">
        <f t="shared" si="1"/>
        <v>46387</v>
      </c>
    </row>
    <row r="3" spans="1:26" s="249" customFormat="1" ht="15.75" thickTop="1" x14ac:dyDescent="0.25"/>
    <row r="4" spans="1:26" s="249" customFormat="1" x14ac:dyDescent="0.25"/>
    <row r="5" spans="1:26" s="249" customFormat="1" x14ac:dyDescent="0.25"/>
    <row r="6" spans="1:26" s="249" customFormat="1" x14ac:dyDescent="0.25"/>
    <row r="7" spans="1:26" s="249" customFormat="1" ht="15.75" thickBot="1" x14ac:dyDescent="0.3">
      <c r="A7" s="275" t="s">
        <v>931</v>
      </c>
    </row>
    <row r="8" spans="1:26" s="249" customFormat="1" ht="15.75" thickBot="1" x14ac:dyDescent="0.3">
      <c r="A8" s="250" t="s">
        <v>927</v>
      </c>
      <c r="B8" s="251"/>
    </row>
    <row r="9" spans="1:26" s="249" customFormat="1" x14ac:dyDescent="0.25">
      <c r="A9" s="251"/>
      <c r="B9" s="251"/>
    </row>
    <row r="10" spans="1:26" s="249" customFormat="1" x14ac:dyDescent="0.25">
      <c r="A10" s="251"/>
      <c r="B10" s="251"/>
    </row>
    <row r="11" spans="1:26" s="249" customFormat="1" x14ac:dyDescent="0.25">
      <c r="A11" s="251"/>
      <c r="B11" s="251"/>
    </row>
    <row r="12" spans="1:26" s="249" customFormat="1" x14ac:dyDescent="0.25">
      <c r="A12" s="251"/>
      <c r="B12" s="251"/>
    </row>
    <row r="13" spans="1:26" s="249" customFormat="1" x14ac:dyDescent="0.25">
      <c r="A13" s="251"/>
      <c r="B13" s="251"/>
    </row>
    <row r="14" spans="1:26" s="249" customFormat="1" x14ac:dyDescent="0.25">
      <c r="A14" s="251"/>
      <c r="B14" s="251"/>
    </row>
    <row r="15" spans="1:26" s="249" customFormat="1" x14ac:dyDescent="0.25">
      <c r="A15" s="251"/>
      <c r="B15" s="251"/>
    </row>
    <row r="16" spans="1:26" s="249" customFormat="1" x14ac:dyDescent="0.25">
      <c r="A16" s="251"/>
      <c r="B16" s="251"/>
    </row>
    <row r="17" spans="1:2" s="249" customFormat="1" x14ac:dyDescent="0.25">
      <c r="A17" s="251"/>
      <c r="B17" s="251"/>
    </row>
    <row r="18" spans="1:2" s="249" customFormat="1" x14ac:dyDescent="0.25">
      <c r="A18" s="251"/>
      <c r="B18" s="251"/>
    </row>
    <row r="19" spans="1:2" s="249" customFormat="1" x14ac:dyDescent="0.25">
      <c r="A19" s="251"/>
      <c r="B19" s="251"/>
    </row>
    <row r="20" spans="1:2" s="249" customFormat="1" x14ac:dyDescent="0.25">
      <c r="A20" s="251"/>
      <c r="B20" s="251"/>
    </row>
    <row r="21" spans="1:2" s="249" customFormat="1" x14ac:dyDescent="0.25"/>
    <row r="22" spans="1:2" s="249" customFormat="1" x14ac:dyDescent="0.25"/>
    <row r="23" spans="1:2" s="249" customFormat="1" x14ac:dyDescent="0.25"/>
    <row r="24" spans="1:2" s="249" customFormat="1" x14ac:dyDescent="0.25"/>
    <row r="25" spans="1:2" s="249" customFormat="1" x14ac:dyDescent="0.25"/>
    <row r="26" spans="1:2" s="249" customFormat="1" x14ac:dyDescent="0.25"/>
    <row r="27" spans="1:2" s="249" customFormat="1" x14ac:dyDescent="0.25"/>
    <row r="28" spans="1:2" s="249" customFormat="1" x14ac:dyDescent="0.25"/>
    <row r="29" spans="1:2" s="249" customFormat="1" x14ac:dyDescent="0.25"/>
    <row r="30" spans="1:2" s="249" customFormat="1" x14ac:dyDescent="0.25"/>
    <row r="31" spans="1:2" s="249" customFormat="1" x14ac:dyDescent="0.25"/>
    <row r="32" spans="1:2" s="249" customFormat="1" x14ac:dyDescent="0.25"/>
    <row r="33" spans="1:28" s="249" customFormat="1" x14ac:dyDescent="0.25"/>
    <row r="34" spans="1:28" s="249" customFormat="1" x14ac:dyDescent="0.25"/>
    <row r="35" spans="1:28" s="249" customFormat="1" x14ac:dyDescent="0.25"/>
    <row r="36" spans="1:28" s="249" customFormat="1" x14ac:dyDescent="0.25"/>
    <row r="37" spans="1:28" s="249" customFormat="1" x14ac:dyDescent="0.25"/>
    <row r="38" spans="1:28" s="249" customFormat="1" x14ac:dyDescent="0.25"/>
    <row r="39" spans="1:28" s="249" customFormat="1" x14ac:dyDescent="0.25"/>
    <row r="40" spans="1:28" s="249" customFormat="1" ht="15.75" thickBot="1" x14ac:dyDescent="0.3">
      <c r="A40" s="252"/>
      <c r="B40" s="252"/>
      <c r="C40" s="252"/>
      <c r="D40" s="252"/>
      <c r="E40" s="252"/>
      <c r="F40" s="252"/>
      <c r="G40" s="252"/>
      <c r="H40" s="252"/>
      <c r="I40" s="252"/>
      <c r="J40" s="252"/>
      <c r="K40" s="252"/>
      <c r="L40" s="252"/>
      <c r="M40" s="252"/>
      <c r="N40" s="252"/>
      <c r="O40" s="252"/>
      <c r="P40" s="252"/>
      <c r="Q40" s="252"/>
      <c r="R40" s="252"/>
      <c r="S40" s="252"/>
      <c r="T40" s="252"/>
      <c r="U40" s="252"/>
      <c r="V40" s="252"/>
      <c r="W40" s="252"/>
      <c r="X40" s="252"/>
      <c r="Y40" s="252"/>
      <c r="Z40" s="252"/>
    </row>
    <row r="41" spans="1:28" s="246" customFormat="1" ht="16.5" thickTop="1" thickBot="1" x14ac:dyDescent="0.3">
      <c r="A41" s="236" t="s">
        <v>886</v>
      </c>
      <c r="B41" s="236"/>
      <c r="C41" s="236"/>
      <c r="D41" s="236"/>
      <c r="E41" s="236"/>
      <c r="F41" s="236"/>
      <c r="G41" s="236"/>
      <c r="H41" s="236"/>
      <c r="I41" s="236"/>
      <c r="J41" s="236"/>
      <c r="K41" s="236"/>
      <c r="L41" s="236"/>
      <c r="M41" s="236"/>
      <c r="N41" s="236"/>
      <c r="O41" s="236"/>
      <c r="P41" s="236"/>
      <c r="Q41" s="236"/>
      <c r="R41" s="236"/>
      <c r="S41" s="236"/>
      <c r="T41" s="236"/>
      <c r="U41" s="236"/>
      <c r="V41" s="236"/>
      <c r="W41" s="236"/>
      <c r="X41" s="236"/>
      <c r="Y41" s="236"/>
      <c r="Z41" s="236"/>
    </row>
    <row r="42" spans="1:28" s="178" customFormat="1" ht="15.75" thickTop="1" x14ac:dyDescent="0.25">
      <c r="A42" s="118"/>
      <c r="B42" s="118" t="s">
        <v>1204</v>
      </c>
      <c r="C42" s="156">
        <f t="shared" ref="C42:Z42" si="2">SUM(C49,C56,C63,C70)</f>
        <v>371299.25957262504</v>
      </c>
      <c r="D42" s="156">
        <f>SUM(D49,D56,D63,D70)</f>
        <v>9794357.4910726212</v>
      </c>
      <c r="E42" s="156">
        <f t="shared" si="2"/>
        <v>851766.54705516901</v>
      </c>
      <c r="F42" s="156">
        <f t="shared" si="2"/>
        <v>403327.83107262512</v>
      </c>
      <c r="G42" s="156">
        <f t="shared" si="2"/>
        <v>225415.49107262504</v>
      </c>
      <c r="H42" s="156">
        <f t="shared" si="2"/>
        <v>371868.05067262508</v>
      </c>
      <c r="I42" s="156">
        <f t="shared" si="2"/>
        <v>371299.25957262504</v>
      </c>
      <c r="J42" s="156">
        <f t="shared" si="2"/>
        <v>273283.49107262504</v>
      </c>
      <c r="K42" s="156">
        <f t="shared" si="2"/>
        <v>612860.88292262494</v>
      </c>
      <c r="L42" s="156">
        <f t="shared" si="2"/>
        <v>1147253.8310726245</v>
      </c>
      <c r="M42" s="156">
        <f t="shared" si="2"/>
        <v>296285.02427262504</v>
      </c>
      <c r="N42" s="156">
        <f t="shared" si="2"/>
        <v>504682.36628582503</v>
      </c>
      <c r="O42" s="156">
        <f t="shared" si="2"/>
        <v>371299.25957262504</v>
      </c>
      <c r="P42" s="156">
        <f t="shared" si="2"/>
        <v>9794357.4910726212</v>
      </c>
      <c r="Q42" s="156">
        <f t="shared" si="2"/>
        <v>850184.88292262459</v>
      </c>
      <c r="R42" s="156">
        <f t="shared" si="2"/>
        <v>404909.49520516949</v>
      </c>
      <c r="S42" s="156">
        <f t="shared" si="2"/>
        <v>225415.49107262504</v>
      </c>
      <c r="T42" s="156">
        <f t="shared" si="2"/>
        <v>371868.05067262508</v>
      </c>
      <c r="U42" s="156">
        <f t="shared" si="2"/>
        <v>371299.25957262504</v>
      </c>
      <c r="V42" s="156">
        <f t="shared" si="2"/>
        <v>273283.49107262504</v>
      </c>
      <c r="W42" s="156">
        <f t="shared" si="2"/>
        <v>612860.88292262494</v>
      </c>
      <c r="X42" s="156">
        <f t="shared" si="2"/>
        <v>1147253.8310726245</v>
      </c>
      <c r="Y42" s="156">
        <f t="shared" si="2"/>
        <v>296285.02427262504</v>
      </c>
      <c r="Z42" s="156">
        <f t="shared" si="2"/>
        <v>504682.36628582503</v>
      </c>
      <c r="AB42" s="178">
        <f>SUM(O42:Z42)</f>
        <v>15223699.52571724</v>
      </c>
    </row>
    <row r="43" spans="1:28" s="178" customFormat="1" x14ac:dyDescent="0.25">
      <c r="A43" s="118"/>
      <c r="B43" s="118" t="s">
        <v>1205</v>
      </c>
      <c r="C43" s="156">
        <f t="shared" ref="C43:Z43" si="3">SUM(C50,C57,C64,C71)</f>
        <v>137453.84101040667</v>
      </c>
      <c r="D43" s="156">
        <f t="shared" si="3"/>
        <v>121517.17793440665</v>
      </c>
      <c r="E43" s="156">
        <f t="shared" si="3"/>
        <v>118252.58331809896</v>
      </c>
      <c r="F43" s="156">
        <f t="shared" si="3"/>
        <v>115453.84101040664</v>
      </c>
      <c r="G43" s="156">
        <f t="shared" si="3"/>
        <v>115453.84101040664</v>
      </c>
      <c r="H43" s="156">
        <f t="shared" si="3"/>
        <v>118252.58331809896</v>
      </c>
      <c r="I43" s="156">
        <f t="shared" si="3"/>
        <v>137453.84101040667</v>
      </c>
      <c r="J43" s="156">
        <f t="shared" si="3"/>
        <v>115453.84101040664</v>
      </c>
      <c r="K43" s="156">
        <f t="shared" si="3"/>
        <v>118252.58331809896</v>
      </c>
      <c r="L43" s="156">
        <f t="shared" si="3"/>
        <v>115453.84101040664</v>
      </c>
      <c r="M43" s="156">
        <f t="shared" si="3"/>
        <v>115453.84101040664</v>
      </c>
      <c r="N43" s="156">
        <f t="shared" si="3"/>
        <v>118252.58331809896</v>
      </c>
      <c r="O43" s="156">
        <f t="shared" si="3"/>
        <v>137453.84101040667</v>
      </c>
      <c r="P43" s="156">
        <f t="shared" si="3"/>
        <v>121517.17793440665</v>
      </c>
      <c r="Q43" s="156">
        <f t="shared" si="3"/>
        <v>118252.58331809896</v>
      </c>
      <c r="R43" s="156">
        <f t="shared" si="3"/>
        <v>115453.84101040664</v>
      </c>
      <c r="S43" s="156">
        <f t="shared" si="3"/>
        <v>115453.84101040664</v>
      </c>
      <c r="T43" s="156">
        <f t="shared" si="3"/>
        <v>118252.58331809896</v>
      </c>
      <c r="U43" s="156">
        <f t="shared" si="3"/>
        <v>137453.84101040667</v>
      </c>
      <c r="V43" s="156">
        <f t="shared" si="3"/>
        <v>115453.84101040664</v>
      </c>
      <c r="W43" s="156">
        <f t="shared" si="3"/>
        <v>118252.58331809896</v>
      </c>
      <c r="X43" s="156">
        <f t="shared" si="3"/>
        <v>115453.84101040664</v>
      </c>
      <c r="Y43" s="156">
        <f t="shared" si="3"/>
        <v>115453.84101040664</v>
      </c>
      <c r="Z43" s="156">
        <f t="shared" si="3"/>
        <v>118252.58331809896</v>
      </c>
      <c r="AB43" s="178">
        <f t="shared" ref="AB43:AB82" si="4">SUM(O43:Z43)</f>
        <v>1446704.3982796487</v>
      </c>
    </row>
    <row r="44" spans="1:28" s="178" customFormat="1" x14ac:dyDescent="0.25">
      <c r="A44" s="118"/>
      <c r="B44" s="118" t="s">
        <v>90</v>
      </c>
      <c r="C44" s="156">
        <f t="shared" ref="C44:Z44" si="5">SUM(C51,C58,C65,C72)</f>
        <v>104052.92200925</v>
      </c>
      <c r="D44" s="156">
        <f t="shared" si="5"/>
        <v>26023.944255000002</v>
      </c>
      <c r="E44" s="156">
        <f t="shared" si="5"/>
        <v>86731.276105000012</v>
      </c>
      <c r="F44" s="156">
        <f t="shared" si="5"/>
        <v>46293.677009250001</v>
      </c>
      <c r="G44" s="156">
        <f t="shared" si="5"/>
        <v>64148.944254999973</v>
      </c>
      <c r="H44" s="156">
        <f t="shared" si="5"/>
        <v>83843.272005000006</v>
      </c>
      <c r="I44" s="156">
        <f t="shared" si="5"/>
        <v>46293.677009250001</v>
      </c>
      <c r="J44" s="156">
        <f t="shared" si="5"/>
        <v>26023.944255000002</v>
      </c>
      <c r="K44" s="156">
        <f t="shared" si="5"/>
        <v>86731.276105000012</v>
      </c>
      <c r="L44" s="156">
        <f t="shared" si="5"/>
        <v>46293.677009250001</v>
      </c>
      <c r="M44" s="156">
        <f t="shared" si="5"/>
        <v>64148.944254999973</v>
      </c>
      <c r="N44" s="156">
        <f t="shared" si="5"/>
        <v>83843.272005000006</v>
      </c>
      <c r="O44" s="156">
        <f t="shared" si="5"/>
        <v>104052.92200925</v>
      </c>
      <c r="P44" s="156">
        <f t="shared" si="5"/>
        <v>26023.944255000002</v>
      </c>
      <c r="Q44" s="156">
        <f t="shared" si="5"/>
        <v>86731.276105000012</v>
      </c>
      <c r="R44" s="156">
        <f t="shared" si="5"/>
        <v>46293.677009250001</v>
      </c>
      <c r="S44" s="156">
        <f t="shared" si="5"/>
        <v>64148.944254999973</v>
      </c>
      <c r="T44" s="156">
        <f t="shared" si="5"/>
        <v>83843.272005000006</v>
      </c>
      <c r="U44" s="156">
        <f t="shared" si="5"/>
        <v>46293.677009250001</v>
      </c>
      <c r="V44" s="156">
        <f t="shared" si="5"/>
        <v>26023.944255000002</v>
      </c>
      <c r="W44" s="156">
        <f t="shared" si="5"/>
        <v>86731.276105000012</v>
      </c>
      <c r="X44" s="156">
        <f t="shared" si="5"/>
        <v>46293.677009250001</v>
      </c>
      <c r="Y44" s="156">
        <f t="shared" si="5"/>
        <v>64148.944254999973</v>
      </c>
      <c r="Z44" s="156">
        <f t="shared" si="5"/>
        <v>83843.272005000006</v>
      </c>
      <c r="AB44" s="178">
        <f t="shared" si="4"/>
        <v>764428.82627700001</v>
      </c>
    </row>
    <row r="45" spans="1:28" s="178" customFormat="1" x14ac:dyDescent="0.25">
      <c r="A45" s="263"/>
      <c r="B45" s="263" t="s">
        <v>366</v>
      </c>
      <c r="C45" s="259">
        <f t="shared" ref="C45:Z45" si="6">SUM(C52,C59,C66,C73)</f>
        <v>82829.57964958332</v>
      </c>
      <c r="D45" s="259">
        <f t="shared" si="6"/>
        <v>38853.584722512176</v>
      </c>
      <c r="E45" s="259">
        <f t="shared" si="6"/>
        <v>61773.957916666666</v>
      </c>
      <c r="F45" s="259">
        <f t="shared" si="6"/>
        <v>72445.177982916648</v>
      </c>
      <c r="G45" s="259">
        <f t="shared" si="6"/>
        <v>52421.58458333333</v>
      </c>
      <c r="H45" s="259">
        <f t="shared" si="6"/>
        <v>56078.042916666665</v>
      </c>
      <c r="I45" s="259">
        <f t="shared" si="6"/>
        <v>54222.912982916663</v>
      </c>
      <c r="J45" s="259">
        <f t="shared" si="6"/>
        <v>38853.584722512176</v>
      </c>
      <c r="K45" s="259">
        <f t="shared" si="6"/>
        <v>108380.62458333332</v>
      </c>
      <c r="L45" s="259">
        <f t="shared" si="6"/>
        <v>49417.177982916663</v>
      </c>
      <c r="M45" s="259">
        <f t="shared" si="6"/>
        <v>50314.917916666658</v>
      </c>
      <c r="N45" s="259">
        <f t="shared" si="6"/>
        <v>86974.282916666663</v>
      </c>
      <c r="O45" s="259">
        <f t="shared" si="6"/>
        <v>82829.57964958332</v>
      </c>
      <c r="P45" s="259">
        <f t="shared" si="6"/>
        <v>38853.584722512176</v>
      </c>
      <c r="Q45" s="259">
        <f t="shared" si="6"/>
        <v>61773.957916666666</v>
      </c>
      <c r="R45" s="259">
        <f t="shared" si="6"/>
        <v>72445.177982916648</v>
      </c>
      <c r="S45" s="259">
        <f t="shared" si="6"/>
        <v>52421.58458333333</v>
      </c>
      <c r="T45" s="259">
        <f t="shared" si="6"/>
        <v>56078.042916666665</v>
      </c>
      <c r="U45" s="259">
        <f t="shared" si="6"/>
        <v>54222.912982916663</v>
      </c>
      <c r="V45" s="259">
        <f t="shared" si="6"/>
        <v>38853.584722512176</v>
      </c>
      <c r="W45" s="259">
        <f t="shared" si="6"/>
        <v>108380.62458333332</v>
      </c>
      <c r="X45" s="259">
        <f t="shared" si="6"/>
        <v>49417.177982916663</v>
      </c>
      <c r="Y45" s="259">
        <f t="shared" si="6"/>
        <v>50314.917916666658</v>
      </c>
      <c r="Z45" s="259">
        <f t="shared" si="6"/>
        <v>86974.282916666663</v>
      </c>
      <c r="AB45" s="178">
        <f t="shared" si="4"/>
        <v>752565.42887669103</v>
      </c>
    </row>
    <row r="46" spans="1:28" s="178" customFormat="1" x14ac:dyDescent="0.25">
      <c r="A46" s="247"/>
      <c r="B46" s="247"/>
      <c r="C46" s="156"/>
      <c r="D46" s="156"/>
      <c r="E46" s="156"/>
      <c r="F46" s="156"/>
      <c r="G46" s="156"/>
      <c r="H46" s="156"/>
      <c r="I46" s="156"/>
      <c r="J46" s="156"/>
      <c r="K46" s="156"/>
      <c r="L46" s="156"/>
      <c r="M46" s="156"/>
      <c r="N46" s="156"/>
      <c r="O46" s="156"/>
      <c r="P46" s="156"/>
      <c r="Q46" s="156"/>
      <c r="R46" s="156"/>
      <c r="S46" s="156"/>
      <c r="T46" s="156"/>
      <c r="U46" s="156"/>
      <c r="V46" s="156"/>
      <c r="W46" s="156"/>
      <c r="X46" s="156"/>
      <c r="Y46" s="156"/>
      <c r="Z46" s="156"/>
    </row>
    <row r="47" spans="1:28" ht="15.75" thickBot="1" x14ac:dyDescent="0.3">
      <c r="A47" s="137"/>
      <c r="B47" s="137"/>
      <c r="C47" s="137"/>
      <c r="D47" s="137"/>
      <c r="E47" s="137"/>
      <c r="F47" s="137"/>
      <c r="G47" s="137"/>
      <c r="H47" s="137"/>
      <c r="I47" s="137"/>
      <c r="J47" s="137"/>
      <c r="K47" s="137"/>
      <c r="L47" s="137"/>
      <c r="M47" s="137"/>
      <c r="N47" s="137"/>
      <c r="O47" s="137"/>
      <c r="P47" s="137"/>
      <c r="Q47" s="137"/>
      <c r="R47" s="137"/>
      <c r="S47" s="137"/>
      <c r="T47" s="137"/>
      <c r="U47" s="137"/>
      <c r="V47" s="137"/>
      <c r="W47" s="137"/>
      <c r="X47" s="137"/>
      <c r="Y47" s="137"/>
      <c r="Z47" s="137"/>
      <c r="AB47" s="178"/>
    </row>
    <row r="48" spans="1:28" ht="16.5" thickTop="1" thickBot="1" x14ac:dyDescent="0.3">
      <c r="A48" s="236" t="s">
        <v>923</v>
      </c>
      <c r="B48" s="236"/>
      <c r="C48" s="236"/>
      <c r="D48" s="236"/>
      <c r="E48" s="236"/>
      <c r="F48" s="236"/>
      <c r="G48" s="236"/>
      <c r="H48" s="236"/>
      <c r="I48" s="236"/>
      <c r="J48" s="236"/>
      <c r="K48" s="236"/>
      <c r="L48" s="236"/>
      <c r="M48" s="236"/>
      <c r="N48" s="236"/>
      <c r="O48" s="236"/>
      <c r="P48" s="236"/>
      <c r="Q48" s="236"/>
      <c r="R48" s="236"/>
      <c r="S48" s="236"/>
      <c r="T48" s="236"/>
      <c r="U48" s="236"/>
      <c r="V48" s="236"/>
      <c r="W48" s="236"/>
      <c r="X48" s="236"/>
      <c r="Y48" s="236"/>
      <c r="Z48" s="236"/>
      <c r="AB48" s="178"/>
    </row>
    <row r="49" spans="1:28" ht="15.75" thickTop="1" x14ac:dyDescent="0.25">
      <c r="A49" s="253"/>
      <c r="B49" s="118" t="s">
        <v>51</v>
      </c>
      <c r="C49" s="156">
        <f>SUMIFS(Bonds!AT:AT,Bonds!$B:$B,'CF USD'!$B49)</f>
        <v>318192.25000000006</v>
      </c>
      <c r="D49" s="156">
        <f>SUMIFS(Bonds!AU:AU,Bonds!$B:$B,'CF USD'!$B49)</f>
        <v>9778586.9999999963</v>
      </c>
      <c r="E49" s="156">
        <f>SUMIFS(Bonds!AV:AV,Bonds!$B:$B,'CF USD'!$B49)</f>
        <v>759448.99999999953</v>
      </c>
      <c r="F49" s="156">
        <f>SUMIFS(Bonds!AW:AW,Bonds!$B:$B,'CF USD'!$B49)</f>
        <v>357587.50000000012</v>
      </c>
      <c r="G49" s="156">
        <f>SUMIFS(Bonds!AX:AX,Bonds!$B:$B,'CF USD'!$B49)</f>
        <v>205550.00000000003</v>
      </c>
      <c r="H49" s="156">
        <f>SUMIFS(Bonds!AY:AY,Bonds!$B:$B,'CF USD'!$B49)</f>
        <v>261100.00000000003</v>
      </c>
      <c r="I49" s="156">
        <f>SUMIFS(Bonds!AZ:AZ,Bonds!$B:$B,'CF USD'!$B49)</f>
        <v>318192.25000000006</v>
      </c>
      <c r="J49" s="156">
        <f>SUMIFS(Bonds!BA:BA,Bonds!$B:$B,'CF USD'!$B49)</f>
        <v>258587.00000000003</v>
      </c>
      <c r="K49" s="156">
        <f>SUMIFS(Bonds!BB:BB,Bonds!$B:$B,'CF USD'!$B49)</f>
        <v>523198.99999999988</v>
      </c>
      <c r="L49" s="156">
        <f>SUMIFS(Bonds!BC:BC,Bonds!$B:$B,'CF USD'!$B49)</f>
        <v>1102587.4999999995</v>
      </c>
      <c r="M49" s="156">
        <f>SUMIFS(Bonds!BD:BD,Bonds!$B:$B,'CF USD'!$B49)</f>
        <v>205550.00000000003</v>
      </c>
      <c r="N49" s="156">
        <f>SUMIFS(Bonds!BE:BE,Bonds!$B:$B,'CF USD'!$B49)</f>
        <v>261100.00000000003</v>
      </c>
      <c r="O49" s="156">
        <f>SUMIFS(Bonds!AT:AT,Bonds!$B:$B,'CF USD'!$B49)</f>
        <v>318192.25000000006</v>
      </c>
      <c r="P49" s="156">
        <f>SUMIFS(Bonds!AU:AU,Bonds!$B:$B,'CF USD'!$B49)</f>
        <v>9778586.9999999963</v>
      </c>
      <c r="Q49" s="156">
        <f>SUMIFS(Bonds!AV:AV,Bonds!$B:$B,'CF USD'!$B49)</f>
        <v>759448.99999999953</v>
      </c>
      <c r="R49" s="156">
        <f>SUMIFS(Bonds!AW:AW,Bonds!$B:$B,'CF USD'!$B49)</f>
        <v>357587.50000000012</v>
      </c>
      <c r="S49" s="156">
        <f>SUMIFS(Bonds!AX:AX,Bonds!$B:$B,'CF USD'!$B49)</f>
        <v>205550.00000000003</v>
      </c>
      <c r="T49" s="156">
        <f>SUMIFS(Bonds!AY:AY,Bonds!$B:$B,'CF USD'!$B49)</f>
        <v>261100.00000000003</v>
      </c>
      <c r="U49" s="156">
        <f>SUMIFS(Bonds!AZ:AZ,Bonds!$B:$B,'CF USD'!$B49)</f>
        <v>318192.25000000006</v>
      </c>
      <c r="V49" s="156">
        <f>SUMIFS(Bonds!BA:BA,Bonds!$B:$B,'CF USD'!$B49)</f>
        <v>258587.00000000003</v>
      </c>
      <c r="W49" s="156">
        <f>SUMIFS(Bonds!BB:BB,Bonds!$B:$B,'CF USD'!$B49)</f>
        <v>523198.99999999988</v>
      </c>
      <c r="X49" s="156">
        <f>SUMIFS(Bonds!BC:BC,Bonds!$B:$B,'CF USD'!$B49)</f>
        <v>1102587.4999999995</v>
      </c>
      <c r="Y49" s="156">
        <f>SUMIFS(Bonds!BD:BD,Bonds!$B:$B,'CF USD'!$B49)</f>
        <v>205550.00000000003</v>
      </c>
      <c r="Z49" s="156">
        <f>SUMIFS(Bonds!BE:BE,Bonds!$B:$B,'CF USD'!$B49)</f>
        <v>261100.00000000003</v>
      </c>
      <c r="AB49" s="178">
        <f t="shared" si="4"/>
        <v>14349681.499999996</v>
      </c>
    </row>
    <row r="50" spans="1:28" x14ac:dyDescent="0.25">
      <c r="A50" s="254"/>
      <c r="B50" s="118" t="s">
        <v>49</v>
      </c>
      <c r="C50" s="156">
        <f>SUMIFS(Bonds!AT:AT,Bonds!$B:$B,'CF USD'!$B50)</f>
        <v>22000.000000000018</v>
      </c>
      <c r="D50" s="156">
        <f>SUMIFS(Bonds!AU:AU,Bonds!$B:$B,'CF USD'!$B50)</f>
        <v>0</v>
      </c>
      <c r="E50" s="156">
        <f>SUMIFS(Bonds!AV:AV,Bonds!$B:$B,'CF USD'!$B50)</f>
        <v>0</v>
      </c>
      <c r="F50" s="156">
        <f>SUMIFS(Bonds!AW:AW,Bonds!$B:$B,'CF USD'!$B50)</f>
        <v>0</v>
      </c>
      <c r="G50" s="156">
        <f>SUMIFS(Bonds!AX:AX,Bonds!$B:$B,'CF USD'!$B50)</f>
        <v>0</v>
      </c>
      <c r="H50" s="156">
        <f>SUMIFS(Bonds!AY:AY,Bonds!$B:$B,'CF USD'!$B50)</f>
        <v>0</v>
      </c>
      <c r="I50" s="156">
        <f>SUMIFS(Bonds!AZ:AZ,Bonds!$B:$B,'CF USD'!$B50)</f>
        <v>22000.000000000018</v>
      </c>
      <c r="J50" s="156">
        <f>SUMIFS(Bonds!BA:BA,Bonds!$B:$B,'CF USD'!$B50)</f>
        <v>0</v>
      </c>
      <c r="K50" s="156">
        <f>SUMIFS(Bonds!BB:BB,Bonds!$B:$B,'CF USD'!$B50)</f>
        <v>0</v>
      </c>
      <c r="L50" s="156">
        <f>SUMIFS(Bonds!BC:BC,Bonds!$B:$B,'CF USD'!$B50)</f>
        <v>0</v>
      </c>
      <c r="M50" s="156">
        <f>SUMIFS(Bonds!BD:BD,Bonds!$B:$B,'CF USD'!$B50)</f>
        <v>0</v>
      </c>
      <c r="N50" s="156">
        <f>SUMIFS(Bonds!BE:BE,Bonds!$B:$B,'CF USD'!$B50)</f>
        <v>0</v>
      </c>
      <c r="O50" s="156">
        <f>SUMIFS(Bonds!AT:AT,Bonds!$B:$B,'CF USD'!$B50)</f>
        <v>22000.000000000018</v>
      </c>
      <c r="P50" s="156">
        <f>SUMIFS(Bonds!AU:AU,Bonds!$B:$B,'CF USD'!$B50)</f>
        <v>0</v>
      </c>
      <c r="Q50" s="156">
        <f>SUMIFS(Bonds!AV:AV,Bonds!$B:$B,'CF USD'!$B50)</f>
        <v>0</v>
      </c>
      <c r="R50" s="156">
        <f>SUMIFS(Bonds!AW:AW,Bonds!$B:$B,'CF USD'!$B50)</f>
        <v>0</v>
      </c>
      <c r="S50" s="156">
        <f>SUMIFS(Bonds!AX:AX,Bonds!$B:$B,'CF USD'!$B50)</f>
        <v>0</v>
      </c>
      <c r="T50" s="156">
        <f>SUMIFS(Bonds!AY:AY,Bonds!$B:$B,'CF USD'!$B50)</f>
        <v>0</v>
      </c>
      <c r="U50" s="156">
        <f>SUMIFS(Bonds!AZ:AZ,Bonds!$B:$B,'CF USD'!$B50)</f>
        <v>22000.000000000018</v>
      </c>
      <c r="V50" s="156">
        <f>SUMIFS(Bonds!BA:BA,Bonds!$B:$B,'CF USD'!$B50)</f>
        <v>0</v>
      </c>
      <c r="W50" s="156">
        <f>SUMIFS(Bonds!BB:BB,Bonds!$B:$B,'CF USD'!$B50)</f>
        <v>0</v>
      </c>
      <c r="X50" s="156">
        <f>SUMIFS(Bonds!BC:BC,Bonds!$B:$B,'CF USD'!$B50)</f>
        <v>0</v>
      </c>
      <c r="Y50" s="156">
        <f>SUMIFS(Bonds!BD:BD,Bonds!$B:$B,'CF USD'!$B50)</f>
        <v>0</v>
      </c>
      <c r="Z50" s="156">
        <f>SUMIFS(Bonds!BE:BE,Bonds!$B:$B,'CF USD'!$B50)</f>
        <v>0</v>
      </c>
      <c r="AB50" s="178">
        <f t="shared" si="4"/>
        <v>44000.000000000036</v>
      </c>
    </row>
    <row r="51" spans="1:28" x14ac:dyDescent="0.25">
      <c r="A51" s="254"/>
      <c r="B51" s="118" t="s">
        <v>90</v>
      </c>
      <c r="C51" s="156">
        <f>SUMIFS(Bonds!AT:AT,Bonds!$B:$B,'CF USD'!$B51)</f>
        <v>0</v>
      </c>
      <c r="D51" s="156">
        <f>SUMIFS(Bonds!AU:AU,Bonds!$B:$B,'CF USD'!$B51)</f>
        <v>0</v>
      </c>
      <c r="E51" s="156">
        <f>SUMIFS(Bonds!AV:AV,Bonds!$B:$B,'CF USD'!$B51)</f>
        <v>0</v>
      </c>
      <c r="F51" s="156">
        <f>SUMIFS(Bonds!AW:AW,Bonds!$B:$B,'CF USD'!$B51)</f>
        <v>0</v>
      </c>
      <c r="G51" s="156">
        <f>SUMIFS(Bonds!AX:AX,Bonds!$B:$B,'CF USD'!$B51)</f>
        <v>38124.999999999971</v>
      </c>
      <c r="H51" s="156">
        <f>SUMIFS(Bonds!AY:AY,Bonds!$B:$B,'CF USD'!$B51)</f>
        <v>0</v>
      </c>
      <c r="I51" s="156">
        <f>SUMIFS(Bonds!AZ:AZ,Bonds!$B:$B,'CF USD'!$B51)</f>
        <v>0</v>
      </c>
      <c r="J51" s="156">
        <f>SUMIFS(Bonds!BA:BA,Bonds!$B:$B,'CF USD'!$B51)</f>
        <v>0</v>
      </c>
      <c r="K51" s="156">
        <f>SUMIFS(Bonds!BB:BB,Bonds!$B:$B,'CF USD'!$B51)</f>
        <v>0</v>
      </c>
      <c r="L51" s="156">
        <f>SUMIFS(Bonds!BC:BC,Bonds!$B:$B,'CF USD'!$B51)</f>
        <v>0</v>
      </c>
      <c r="M51" s="156">
        <f>SUMIFS(Bonds!BD:BD,Bonds!$B:$B,'CF USD'!$B51)</f>
        <v>38124.999999999971</v>
      </c>
      <c r="N51" s="156">
        <f>SUMIFS(Bonds!BE:BE,Bonds!$B:$B,'CF USD'!$B51)</f>
        <v>0</v>
      </c>
      <c r="O51" s="156">
        <f>SUMIFS(Bonds!AT:AT,Bonds!$B:$B,'CF USD'!$B51)</f>
        <v>0</v>
      </c>
      <c r="P51" s="156">
        <f>SUMIFS(Bonds!AU:AU,Bonds!$B:$B,'CF USD'!$B51)</f>
        <v>0</v>
      </c>
      <c r="Q51" s="156">
        <f>SUMIFS(Bonds!AV:AV,Bonds!$B:$B,'CF USD'!$B51)</f>
        <v>0</v>
      </c>
      <c r="R51" s="156">
        <f>SUMIFS(Bonds!AW:AW,Bonds!$B:$B,'CF USD'!$B51)</f>
        <v>0</v>
      </c>
      <c r="S51" s="156">
        <f>SUMIFS(Bonds!AX:AX,Bonds!$B:$B,'CF USD'!$B51)</f>
        <v>38124.999999999971</v>
      </c>
      <c r="T51" s="156">
        <f>SUMIFS(Bonds!AY:AY,Bonds!$B:$B,'CF USD'!$B51)</f>
        <v>0</v>
      </c>
      <c r="U51" s="156">
        <f>SUMIFS(Bonds!AZ:AZ,Bonds!$B:$B,'CF USD'!$B51)</f>
        <v>0</v>
      </c>
      <c r="V51" s="156">
        <f>SUMIFS(Bonds!BA:BA,Bonds!$B:$B,'CF USD'!$B51)</f>
        <v>0</v>
      </c>
      <c r="W51" s="156">
        <f>SUMIFS(Bonds!BB:BB,Bonds!$B:$B,'CF USD'!$B51)</f>
        <v>0</v>
      </c>
      <c r="X51" s="156">
        <f>SUMIFS(Bonds!BC:BC,Bonds!$B:$B,'CF USD'!$B51)</f>
        <v>0</v>
      </c>
      <c r="Y51" s="156">
        <f>SUMIFS(Bonds!BD:BD,Bonds!$B:$B,'CF USD'!$B51)</f>
        <v>38124.999999999971</v>
      </c>
      <c r="Z51" s="156">
        <f>SUMIFS(Bonds!BE:BE,Bonds!$B:$B,'CF USD'!$B51)</f>
        <v>0</v>
      </c>
      <c r="AB51" s="178">
        <f t="shared" si="4"/>
        <v>76249.999999999942</v>
      </c>
    </row>
    <row r="52" spans="1:28" x14ac:dyDescent="0.25">
      <c r="A52" s="264"/>
      <c r="B52" s="263" t="s">
        <v>366</v>
      </c>
      <c r="C52" s="259">
        <f>SUMIFS(Bonds!AT:AT,Bonds!$B:$B,'CF USD'!$B52)</f>
        <v>26500</v>
      </c>
      <c r="D52" s="259">
        <f>SUMIFS(Bonds!AU:AU,Bonds!$B:$B,'CF USD'!$B52)</f>
        <v>0</v>
      </c>
      <c r="E52" s="259">
        <f>SUMIFS(Bonds!AV:AV,Bonds!$B:$B,'CF USD'!$B52)</f>
        <v>18625</v>
      </c>
      <c r="F52" s="259">
        <f>SUMIFS(Bonds!AW:AW,Bonds!$B:$B,'CF USD'!$B52)</f>
        <v>23028</v>
      </c>
      <c r="G52" s="259">
        <f>SUMIFS(Bonds!AX:AX,Bonds!$B:$B,'CF USD'!$B52)</f>
        <v>0</v>
      </c>
      <c r="H52" s="259">
        <f>SUMIFS(Bonds!AY:AY,Bonds!$B:$B,'CF USD'!$B52)</f>
        <v>11250</v>
      </c>
      <c r="I52" s="259">
        <f>SUMIFS(Bonds!AZ:AZ,Bonds!$B:$B,'CF USD'!$B52)</f>
        <v>0</v>
      </c>
      <c r="J52" s="259">
        <f>SUMIFS(Bonds!BA:BA,Bonds!$B:$B,'CF USD'!$B52)</f>
        <v>0</v>
      </c>
      <c r="K52" s="259">
        <f>SUMIFS(Bonds!BB:BB,Bonds!$B:$B,'CF USD'!$B52)</f>
        <v>63125</v>
      </c>
      <c r="L52" s="259">
        <f>SUMIFS(Bonds!BC:BC,Bonds!$B:$B,'CF USD'!$B52)</f>
        <v>0</v>
      </c>
      <c r="M52" s="259">
        <f>SUMIFS(Bonds!BD:BD,Bonds!$B:$B,'CF USD'!$B52)</f>
        <v>0</v>
      </c>
      <c r="N52" s="259">
        <f>SUMIFS(Bonds!BE:BE,Bonds!$B:$B,'CF USD'!$B52)</f>
        <v>11250</v>
      </c>
      <c r="O52" s="259">
        <f>SUMIFS(Bonds!AT:AT,Bonds!$B:$B,'CF USD'!$B52)</f>
        <v>26500</v>
      </c>
      <c r="P52" s="259">
        <f>SUMIFS(Bonds!AU:AU,Bonds!$B:$B,'CF USD'!$B52)</f>
        <v>0</v>
      </c>
      <c r="Q52" s="259">
        <f>SUMIFS(Bonds!AV:AV,Bonds!$B:$B,'CF USD'!$B52)</f>
        <v>18625</v>
      </c>
      <c r="R52" s="259">
        <f>SUMIFS(Bonds!AW:AW,Bonds!$B:$B,'CF USD'!$B52)</f>
        <v>23028</v>
      </c>
      <c r="S52" s="259">
        <f>SUMIFS(Bonds!AX:AX,Bonds!$B:$B,'CF USD'!$B52)</f>
        <v>0</v>
      </c>
      <c r="T52" s="259">
        <f>SUMIFS(Bonds!AY:AY,Bonds!$B:$B,'CF USD'!$B52)</f>
        <v>11250</v>
      </c>
      <c r="U52" s="259">
        <f>SUMIFS(Bonds!AZ:AZ,Bonds!$B:$B,'CF USD'!$B52)</f>
        <v>0</v>
      </c>
      <c r="V52" s="259">
        <f>SUMIFS(Bonds!BA:BA,Bonds!$B:$B,'CF USD'!$B52)</f>
        <v>0</v>
      </c>
      <c r="W52" s="259">
        <f>SUMIFS(Bonds!BB:BB,Bonds!$B:$B,'CF USD'!$B52)</f>
        <v>63125</v>
      </c>
      <c r="X52" s="259">
        <f>SUMIFS(Bonds!BC:BC,Bonds!$B:$B,'CF USD'!$B52)</f>
        <v>0</v>
      </c>
      <c r="Y52" s="259">
        <f>SUMIFS(Bonds!BD:BD,Bonds!$B:$B,'CF USD'!$B52)</f>
        <v>0</v>
      </c>
      <c r="Z52" s="259">
        <f>SUMIFS(Bonds!BE:BE,Bonds!$B:$B,'CF USD'!$B52)</f>
        <v>11250</v>
      </c>
      <c r="AB52" s="178">
        <f t="shared" si="4"/>
        <v>153778</v>
      </c>
    </row>
    <row r="53" spans="1:28" x14ac:dyDescent="0.25">
      <c r="AB53" s="178"/>
    </row>
    <row r="54" spans="1:28" ht="15.75" thickBot="1" x14ac:dyDescent="0.3">
      <c r="A54" s="137"/>
      <c r="B54" s="137"/>
      <c r="C54" s="137"/>
      <c r="D54" s="137"/>
      <c r="E54" s="137"/>
      <c r="F54" s="137"/>
      <c r="G54" s="137"/>
      <c r="H54" s="137"/>
      <c r="I54" s="137"/>
      <c r="J54" s="137"/>
      <c r="K54" s="137"/>
      <c r="L54" s="137"/>
      <c r="M54" s="137"/>
      <c r="N54" s="137"/>
      <c r="O54" s="137"/>
      <c r="P54" s="137"/>
      <c r="Q54" s="137"/>
      <c r="R54" s="137"/>
      <c r="S54" s="137"/>
      <c r="T54" s="137"/>
      <c r="U54" s="137"/>
      <c r="V54" s="137"/>
      <c r="W54" s="137"/>
      <c r="X54" s="137"/>
      <c r="Y54" s="137"/>
      <c r="Z54" s="137"/>
      <c r="AB54" s="178"/>
    </row>
    <row r="55" spans="1:28" ht="16.5" thickTop="1" thickBot="1" x14ac:dyDescent="0.3">
      <c r="A55" s="236" t="s">
        <v>924</v>
      </c>
      <c r="B55" s="236"/>
      <c r="C55" s="236"/>
      <c r="D55" s="236"/>
      <c r="E55" s="236"/>
      <c r="F55" s="236"/>
      <c r="G55" s="236"/>
      <c r="H55" s="236"/>
      <c r="I55" s="236"/>
      <c r="J55" s="236"/>
      <c r="K55" s="236"/>
      <c r="L55" s="236"/>
      <c r="M55" s="236"/>
      <c r="N55" s="236"/>
      <c r="O55" s="236"/>
      <c r="P55" s="236"/>
      <c r="Q55" s="236"/>
      <c r="R55" s="236"/>
      <c r="S55" s="236"/>
      <c r="T55" s="236"/>
      <c r="U55" s="236"/>
      <c r="V55" s="236"/>
      <c r="W55" s="236"/>
      <c r="X55" s="236"/>
      <c r="Y55" s="236"/>
      <c r="Z55" s="236"/>
      <c r="AB55" s="178"/>
    </row>
    <row r="56" spans="1:28" ht="15.75" thickTop="1" x14ac:dyDescent="0.25">
      <c r="A56" s="253"/>
      <c r="B56" s="118" t="s">
        <v>51</v>
      </c>
      <c r="C56" s="156">
        <f>SUMIFS('Bonds ETFs'!AV:AV,'Bonds ETFs'!A:A,$B56)</f>
        <v>22192.256072625005</v>
      </c>
      <c r="D56" s="156">
        <f>SUMIFS(T_bETFs[[ 2 ]],T_bETFs[Source],$B56)</f>
        <v>7590.2160726250013</v>
      </c>
      <c r="E56" s="156">
        <f>SUMIFS(T_bETFs[[ 3 ]],T_bETFs[Source],$B56)</f>
        <v>20297.436922625002</v>
      </c>
      <c r="F56" s="156">
        <f>SUMIFS(T_bETFs[[ 4 ]],T_bETFs[Source],$B56)</f>
        <v>22192.256072625005</v>
      </c>
      <c r="G56" s="156">
        <f>SUMIFS(T_bETFs[[ 5 ]],T_bETFs[Source],$B56)</f>
        <v>7590.2160726250013</v>
      </c>
      <c r="H56" s="156">
        <f>SUMIFS(T_bETFs[[ 6 ]],T_bETFs[Source],$B56)</f>
        <v>20297.436922625002</v>
      </c>
      <c r="I56" s="156">
        <f>SUMIFS(T_bETFs[[ 7 ]],T_bETFs[Source],$B56)</f>
        <v>22192.256072625005</v>
      </c>
      <c r="J56" s="156">
        <f>SUMIFS(T_bETFs[[ 8 ]],T_bETFs[Source],$B56)</f>
        <v>7590.2160726250013</v>
      </c>
      <c r="K56" s="156">
        <f>SUMIFS(T_bETFs[[ 9 ]],T_bETFs[Source],$B56)</f>
        <v>20297.436922625002</v>
      </c>
      <c r="L56" s="156">
        <f>SUMIFS(T_bETFs[[ 10 ]],T_bETFs[Source],$B56)</f>
        <v>22192.256072625005</v>
      </c>
      <c r="M56" s="156">
        <f>SUMIFS(T_bETFs[[ 11 ]],T_bETFs[Source],$B56)</f>
        <v>79533.749272625006</v>
      </c>
      <c r="N56" s="156">
        <f>SUMIFS(T_bETFs[[ 12 ]],T_bETFs[Source],$B56)</f>
        <v>139081.63561262499</v>
      </c>
      <c r="O56" s="156">
        <f>SUMIFS('Bonds ETFs'!AV:AV,'Bonds ETFs'!A:A,$B56)</f>
        <v>22192.256072625005</v>
      </c>
      <c r="P56" s="156">
        <f>SUMIFS(T_bETFs[[ 2 ]],T_bETFs[Source],$B56)</f>
        <v>7590.2160726250013</v>
      </c>
      <c r="Q56" s="156">
        <f>SUMIFS(T_bETFs[[ 3 ]],T_bETFs[Source],$B56)</f>
        <v>20297.436922625002</v>
      </c>
      <c r="R56" s="156">
        <f>SUMIFS(T_bETFs[[ 4 ]],T_bETFs[Source],$B56)</f>
        <v>22192.256072625005</v>
      </c>
      <c r="S56" s="156">
        <f>SUMIFS(T_bETFs[[ 5 ]],T_bETFs[Source],$B56)</f>
        <v>7590.2160726250013</v>
      </c>
      <c r="T56" s="156">
        <f>SUMIFS(T_bETFs[[ 6 ]],T_bETFs[Source],$B56)</f>
        <v>20297.436922625002</v>
      </c>
      <c r="U56" s="156">
        <f>SUMIFS(T_bETFs[[ 7 ]],T_bETFs[Source],$B56)</f>
        <v>22192.256072625005</v>
      </c>
      <c r="V56" s="156">
        <f>SUMIFS(T_bETFs[[ 8 ]],T_bETFs[Source],$B56)</f>
        <v>7590.2160726250013</v>
      </c>
      <c r="W56" s="156">
        <f>SUMIFS(T_bETFs[[ 9 ]],T_bETFs[Source],$B56)</f>
        <v>20297.436922625002</v>
      </c>
      <c r="X56" s="156">
        <f>SUMIFS(T_bETFs[[ 10 ]],T_bETFs[Source],$B56)</f>
        <v>22192.256072625005</v>
      </c>
      <c r="Y56" s="156">
        <f>SUMIFS(T_bETFs[[ 11 ]],T_bETFs[Source],$B56)</f>
        <v>79533.749272625006</v>
      </c>
      <c r="Z56" s="156">
        <f>SUMIFS(T_bETFs[[ 12 ]],T_bETFs[Source],$B56)</f>
        <v>139081.63561262499</v>
      </c>
      <c r="AB56" s="178">
        <f t="shared" si="4"/>
        <v>391047.36816150002</v>
      </c>
    </row>
    <row r="57" spans="1:28" x14ac:dyDescent="0.25">
      <c r="A57" s="254"/>
      <c r="B57" s="118" t="s">
        <v>49</v>
      </c>
      <c r="C57" s="156">
        <f>SUMIFS('Bonds ETFs'!AV:AV,'Bonds ETFs'!A:A,$B57)</f>
        <v>115453.84101040664</v>
      </c>
      <c r="D57" s="156">
        <f>SUMIFS(T_bETFs[[ 2 ]],T_bETFs[Source],$B57)</f>
        <v>115453.84101040664</v>
      </c>
      <c r="E57" s="156">
        <f>SUMIFS(T_bETFs[[ 3 ]],T_bETFs[Source],$B57)</f>
        <v>115453.84101040664</v>
      </c>
      <c r="F57" s="156">
        <f>SUMIFS(T_bETFs[[ 4 ]],T_bETFs[Source],$B57)</f>
        <v>115453.84101040664</v>
      </c>
      <c r="G57" s="156">
        <f>SUMIFS(T_bETFs[[ 5 ]],T_bETFs[Source],$B57)</f>
        <v>115453.84101040664</v>
      </c>
      <c r="H57" s="156">
        <f>SUMIFS(T_bETFs[[ 6 ]],T_bETFs[Source],$B57)</f>
        <v>115453.84101040664</v>
      </c>
      <c r="I57" s="156">
        <f>SUMIFS(T_bETFs[[ 7 ]],T_bETFs[Source],$B57)</f>
        <v>115453.84101040664</v>
      </c>
      <c r="J57" s="156">
        <f>SUMIFS(T_bETFs[[ 8 ]],T_bETFs[Source],$B57)</f>
        <v>115453.84101040664</v>
      </c>
      <c r="K57" s="156">
        <f>SUMIFS(T_bETFs[[ 9 ]],T_bETFs[Source],$B57)</f>
        <v>115453.84101040664</v>
      </c>
      <c r="L57" s="156">
        <f>SUMIFS(T_bETFs[[ 10 ]],T_bETFs[Source],$B57)</f>
        <v>115453.84101040664</v>
      </c>
      <c r="M57" s="156">
        <f>SUMIFS(T_bETFs[[ 11 ]],T_bETFs[Source],$B57)</f>
        <v>115453.84101040664</v>
      </c>
      <c r="N57" s="156">
        <f>SUMIFS(T_bETFs[[ 12 ]],T_bETFs[Source],$B57)</f>
        <v>115453.84101040664</v>
      </c>
      <c r="O57" s="156">
        <f>SUMIFS('Bonds ETFs'!AV:AV,'Bonds ETFs'!A:A,$B57)</f>
        <v>115453.84101040664</v>
      </c>
      <c r="P57" s="156">
        <f>SUMIFS(T_bETFs[[ 2 ]],T_bETFs[Source],$B57)</f>
        <v>115453.84101040664</v>
      </c>
      <c r="Q57" s="156">
        <f>SUMIFS(T_bETFs[[ 3 ]],T_bETFs[Source],$B57)</f>
        <v>115453.84101040664</v>
      </c>
      <c r="R57" s="156">
        <f>SUMIFS(T_bETFs[[ 4 ]],T_bETFs[Source],$B57)</f>
        <v>115453.84101040664</v>
      </c>
      <c r="S57" s="156">
        <f>SUMIFS(T_bETFs[[ 5 ]],T_bETFs[Source],$B57)</f>
        <v>115453.84101040664</v>
      </c>
      <c r="T57" s="156">
        <f>SUMIFS(T_bETFs[[ 6 ]],T_bETFs[Source],$B57)</f>
        <v>115453.84101040664</v>
      </c>
      <c r="U57" s="156">
        <f>SUMIFS(T_bETFs[[ 7 ]],T_bETFs[Source],$B57)</f>
        <v>115453.84101040664</v>
      </c>
      <c r="V57" s="156">
        <f>SUMIFS(T_bETFs[[ 8 ]],T_bETFs[Source],$B57)</f>
        <v>115453.84101040664</v>
      </c>
      <c r="W57" s="156">
        <f>SUMIFS(T_bETFs[[ 9 ]],T_bETFs[Source],$B57)</f>
        <v>115453.84101040664</v>
      </c>
      <c r="X57" s="156">
        <f>SUMIFS(T_bETFs[[ 10 ]],T_bETFs[Source],$B57)</f>
        <v>115453.84101040664</v>
      </c>
      <c r="Y57" s="156">
        <f>SUMIFS(T_bETFs[[ 11 ]],T_bETFs[Source],$B57)</f>
        <v>115453.84101040664</v>
      </c>
      <c r="Z57" s="156">
        <f>SUMIFS(T_bETFs[[ 12 ]],T_bETFs[Source],$B57)</f>
        <v>115453.84101040664</v>
      </c>
      <c r="AB57" s="178">
        <f t="shared" si="4"/>
        <v>1385446.0921248796</v>
      </c>
    </row>
    <row r="58" spans="1:28" x14ac:dyDescent="0.25">
      <c r="A58" s="254"/>
      <c r="B58" s="118" t="s">
        <v>90</v>
      </c>
      <c r="C58" s="156">
        <f>SUMIFS('Bonds ETFs'!AV:AV,'Bonds ETFs'!A:A,$B58)</f>
        <v>104052.92200925</v>
      </c>
      <c r="D58" s="156">
        <f>SUMIFS(T_bETFs[[ 2 ]],T_bETFs[Source],$B58)</f>
        <v>26023.944255000002</v>
      </c>
      <c r="E58" s="156">
        <f>SUMIFS(T_bETFs[[ 3 ]],T_bETFs[Source],$B58)</f>
        <v>83783.189255000005</v>
      </c>
      <c r="F58" s="156">
        <f>SUMIFS(T_bETFs[[ 4 ]],T_bETFs[Source],$B58)</f>
        <v>46293.677009250001</v>
      </c>
      <c r="G58" s="156">
        <f>SUMIFS(T_bETFs[[ 5 ]],T_bETFs[Source],$B58)</f>
        <v>26023.944255000002</v>
      </c>
      <c r="H58" s="156">
        <f>SUMIFS(T_bETFs[[ 6 ]],T_bETFs[Source],$B58)</f>
        <v>83783.189255000005</v>
      </c>
      <c r="I58" s="156">
        <f>SUMIFS(T_bETFs[[ 7 ]],T_bETFs[Source],$B58)</f>
        <v>46293.677009250001</v>
      </c>
      <c r="J58" s="156">
        <f>SUMIFS(T_bETFs[[ 8 ]],T_bETFs[Source],$B58)</f>
        <v>26023.944255000002</v>
      </c>
      <c r="K58" s="156">
        <f>SUMIFS(T_bETFs[[ 9 ]],T_bETFs[Source],$B58)</f>
        <v>83783.189255000005</v>
      </c>
      <c r="L58" s="156">
        <f>SUMIFS(T_bETFs[[ 10 ]],T_bETFs[Source],$B58)</f>
        <v>46293.677009250001</v>
      </c>
      <c r="M58" s="156">
        <f>SUMIFS(T_bETFs[[ 11 ]],T_bETFs[Source],$B58)</f>
        <v>26023.944255000002</v>
      </c>
      <c r="N58" s="156">
        <f>SUMIFS(T_bETFs[[ 12 ]],T_bETFs[Source],$B58)</f>
        <v>83783.189255000005</v>
      </c>
      <c r="O58" s="156">
        <f>SUMIFS('Bonds ETFs'!AV:AV,'Bonds ETFs'!A:A,$B58)</f>
        <v>104052.92200925</v>
      </c>
      <c r="P58" s="156">
        <f>SUMIFS(T_bETFs[[ 2 ]],T_bETFs[Source],$B58)</f>
        <v>26023.944255000002</v>
      </c>
      <c r="Q58" s="156">
        <f>SUMIFS(T_bETFs[[ 3 ]],T_bETFs[Source],$B58)</f>
        <v>83783.189255000005</v>
      </c>
      <c r="R58" s="156">
        <f>SUMIFS(T_bETFs[[ 4 ]],T_bETFs[Source],$B58)</f>
        <v>46293.677009250001</v>
      </c>
      <c r="S58" s="156">
        <f>SUMIFS(T_bETFs[[ 5 ]],T_bETFs[Source],$B58)</f>
        <v>26023.944255000002</v>
      </c>
      <c r="T58" s="156">
        <f>SUMIFS(T_bETFs[[ 6 ]],T_bETFs[Source],$B58)</f>
        <v>83783.189255000005</v>
      </c>
      <c r="U58" s="156">
        <f>SUMIFS(T_bETFs[[ 7 ]],T_bETFs[Source],$B58)</f>
        <v>46293.677009250001</v>
      </c>
      <c r="V58" s="156">
        <f>SUMIFS(T_bETFs[[ 8 ]],T_bETFs[Source],$B58)</f>
        <v>26023.944255000002</v>
      </c>
      <c r="W58" s="156">
        <f>SUMIFS(T_bETFs[[ 9 ]],T_bETFs[Source],$B58)</f>
        <v>83783.189255000005</v>
      </c>
      <c r="X58" s="156">
        <f>SUMIFS(T_bETFs[[ 10 ]],T_bETFs[Source],$B58)</f>
        <v>46293.677009250001</v>
      </c>
      <c r="Y58" s="156">
        <f>SUMIFS(T_bETFs[[ 11 ]],T_bETFs[Source],$B58)</f>
        <v>26023.944255000002</v>
      </c>
      <c r="Z58" s="156">
        <f>SUMIFS(T_bETFs[[ 12 ]],T_bETFs[Source],$B58)</f>
        <v>83783.189255000005</v>
      </c>
      <c r="AB58" s="178">
        <f t="shared" si="4"/>
        <v>682162.48707699997</v>
      </c>
    </row>
    <row r="59" spans="1:28" x14ac:dyDescent="0.25">
      <c r="A59" s="264"/>
      <c r="B59" s="263" t="s">
        <v>366</v>
      </c>
      <c r="C59" s="259">
        <f>SUMIFS('Bonds ETFs'!AV:AV,'Bonds ETFs'!A:A,$B59)</f>
        <v>11704.377899583331</v>
      </c>
      <c r="D59" s="259">
        <f>SUMIFS(T_bETFs[[ 2 ]],T_bETFs[Source],$B59)</f>
        <v>5578.1845833333318</v>
      </c>
      <c r="E59" s="259">
        <f>SUMIFS(T_bETFs[[ 3 ]],T_bETFs[Source],$B59)</f>
        <v>5578.1845833333318</v>
      </c>
      <c r="F59" s="259">
        <f>SUMIFS(T_bETFs[[ 4 ]],T_bETFs[Source],$B59)</f>
        <v>11704.377899583331</v>
      </c>
      <c r="G59" s="259">
        <f>SUMIFS(T_bETFs[[ 5 ]],T_bETFs[Source],$B59)</f>
        <v>5578.1845833333318</v>
      </c>
      <c r="H59" s="259">
        <f>SUMIFS(T_bETFs[[ 6 ]],T_bETFs[Source],$B59)</f>
        <v>5578.1845833333318</v>
      </c>
      <c r="I59" s="259">
        <f>SUMIFS(T_bETFs[[ 7 ]],T_bETFs[Source],$B59)</f>
        <v>11704.377899583331</v>
      </c>
      <c r="J59" s="259">
        <f>SUMIFS(T_bETFs[[ 8 ]],T_bETFs[Source],$B59)</f>
        <v>5578.1845833333318</v>
      </c>
      <c r="K59" s="259">
        <f>SUMIFS(T_bETFs[[ 9 ]],T_bETFs[Source],$B59)</f>
        <v>5578.1845833333318</v>
      </c>
      <c r="L59" s="259">
        <f>SUMIFS(T_bETFs[[ 10 ]],T_bETFs[Source],$B59)</f>
        <v>11704.377899583331</v>
      </c>
      <c r="M59" s="259">
        <f>SUMIFS(T_bETFs[[ 11 ]],T_bETFs[Source],$B59)</f>
        <v>5578.1845833333318</v>
      </c>
      <c r="N59" s="259">
        <f>SUMIFS(T_bETFs[[ 12 ]],T_bETFs[Source],$B59)</f>
        <v>5578.1845833333318</v>
      </c>
      <c r="O59" s="259">
        <f>SUMIFS('Bonds ETFs'!AV:AV,'Bonds ETFs'!A:A,$B59)</f>
        <v>11704.377899583331</v>
      </c>
      <c r="P59" s="259">
        <f>SUMIFS(T_bETFs[[ 2 ]],T_bETFs[Source],$B59)</f>
        <v>5578.1845833333318</v>
      </c>
      <c r="Q59" s="259">
        <f>SUMIFS(T_bETFs[[ 3 ]],T_bETFs[Source],$B59)</f>
        <v>5578.1845833333318</v>
      </c>
      <c r="R59" s="259">
        <f>SUMIFS(T_bETFs[[ 4 ]],T_bETFs[Source],$B59)</f>
        <v>11704.377899583331</v>
      </c>
      <c r="S59" s="259">
        <f>SUMIFS(T_bETFs[[ 5 ]],T_bETFs[Source],$B59)</f>
        <v>5578.1845833333318</v>
      </c>
      <c r="T59" s="259">
        <f>SUMIFS(T_bETFs[[ 6 ]],T_bETFs[Source],$B59)</f>
        <v>5578.1845833333318</v>
      </c>
      <c r="U59" s="259">
        <f>SUMIFS(T_bETFs[[ 7 ]],T_bETFs[Source],$B59)</f>
        <v>11704.377899583331</v>
      </c>
      <c r="V59" s="259">
        <f>SUMIFS(T_bETFs[[ 8 ]],T_bETFs[Source],$B59)</f>
        <v>5578.1845833333318</v>
      </c>
      <c r="W59" s="259">
        <f>SUMIFS(T_bETFs[[ 9 ]],T_bETFs[Source],$B59)</f>
        <v>5578.1845833333318</v>
      </c>
      <c r="X59" s="259">
        <f>SUMIFS(T_bETFs[[ 10 ]],T_bETFs[Source],$B59)</f>
        <v>11704.377899583331</v>
      </c>
      <c r="Y59" s="259">
        <f>SUMIFS(T_bETFs[[ 11 ]],T_bETFs[Source],$B59)</f>
        <v>5578.1845833333318</v>
      </c>
      <c r="Z59" s="259">
        <f>SUMIFS(T_bETFs[[ 12 ]],T_bETFs[Source],$B59)</f>
        <v>5578.1845833333318</v>
      </c>
      <c r="AB59" s="178">
        <f t="shared" si="4"/>
        <v>91442.988264999993</v>
      </c>
    </row>
    <row r="60" spans="1:28" x14ac:dyDescent="0.25">
      <c r="AB60" s="178"/>
    </row>
    <row r="61" spans="1:28" ht="15.75" thickBot="1" x14ac:dyDescent="0.3">
      <c r="A61" s="137"/>
      <c r="B61" s="137"/>
      <c r="C61" s="137"/>
      <c r="D61" s="137"/>
      <c r="E61" s="137"/>
      <c r="F61" s="137"/>
      <c r="G61" s="137"/>
      <c r="H61" s="137"/>
      <c r="I61" s="137"/>
      <c r="J61" s="137"/>
      <c r="K61" s="137"/>
      <c r="L61" s="137"/>
      <c r="M61" s="137"/>
      <c r="N61" s="137"/>
      <c r="O61" s="137"/>
      <c r="P61" s="137"/>
      <c r="Q61" s="137"/>
      <c r="R61" s="137"/>
      <c r="S61" s="137"/>
      <c r="T61" s="137"/>
      <c r="U61" s="137"/>
      <c r="V61" s="137"/>
      <c r="W61" s="137"/>
      <c r="X61" s="137"/>
      <c r="Y61" s="137"/>
      <c r="Z61" s="137"/>
      <c r="AB61" s="178"/>
    </row>
    <row r="62" spans="1:28" ht="16.5" thickTop="1" thickBot="1" x14ac:dyDescent="0.3">
      <c r="A62" s="236" t="s">
        <v>925</v>
      </c>
      <c r="B62" s="236"/>
      <c r="C62" s="236"/>
      <c r="D62" s="236"/>
      <c r="E62" s="236"/>
      <c r="F62" s="236"/>
      <c r="G62" s="236"/>
      <c r="H62" s="236"/>
      <c r="I62" s="236"/>
      <c r="J62" s="236"/>
      <c r="K62" s="236"/>
      <c r="L62" s="236"/>
      <c r="M62" s="236"/>
      <c r="N62" s="236"/>
      <c r="O62" s="236"/>
      <c r="P62" s="236"/>
      <c r="Q62" s="236"/>
      <c r="R62" s="236"/>
      <c r="S62" s="236"/>
      <c r="T62" s="236"/>
      <c r="U62" s="236"/>
      <c r="V62" s="236"/>
      <c r="W62" s="236"/>
      <c r="X62" s="236"/>
      <c r="Y62" s="236"/>
      <c r="Z62" s="236"/>
      <c r="AB62" s="178"/>
    </row>
    <row r="63" spans="1:28" ht="15.75" thickTop="1" x14ac:dyDescent="0.25">
      <c r="A63" s="253"/>
      <c r="B63" s="118" t="s">
        <v>51</v>
      </c>
      <c r="C63" s="156">
        <f>SUMIFS(Deposits!AJ:AJ,Deposits!$A:$A,$B56)</f>
        <v>0</v>
      </c>
      <c r="D63" s="156">
        <f>SUMIFS(Deposits!AK:AK,Deposits!$A:$A,$B56)</f>
        <v>0</v>
      </c>
      <c r="E63" s="156">
        <f>SUMIFS(Deposits!AL:AL,Deposits!$A:$A,$B56)</f>
        <v>1581.6641325443702</v>
      </c>
      <c r="F63" s="156">
        <f>SUMIFS(Deposits!AM:AM,Deposits!$A:$A,$B56)</f>
        <v>0</v>
      </c>
      <c r="G63" s="156">
        <f>SUMIFS(Deposits!AN:AN,Deposits!$A:$A,$B56)</f>
        <v>0</v>
      </c>
      <c r="H63" s="156">
        <f>SUMIFS(Deposits!AO:AO,Deposits!$A:$A,$B56)</f>
        <v>0</v>
      </c>
      <c r="I63" s="156">
        <f>SUMIFS(Deposits!AP:AP,Deposits!$A:$A,$B56)</f>
        <v>0</v>
      </c>
      <c r="J63" s="156">
        <f>SUMIFS(Deposits!AQ:AQ,Deposits!$A:$A,$B56)</f>
        <v>0</v>
      </c>
      <c r="K63" s="156">
        <f>SUMIFS(Deposits!AR:AR,Deposits!$A:$A,$B56)</f>
        <v>0</v>
      </c>
      <c r="L63" s="156">
        <f>SUMIFS(Deposits!AS:AS,Deposits!$A:$A,$B56)</f>
        <v>0</v>
      </c>
      <c r="M63" s="156">
        <f>SUMIFS(Deposits!AT:AT,Deposits!$A:$A,$B56)</f>
        <v>0</v>
      </c>
      <c r="N63" s="156">
        <f>SUMIFS(Deposits!AU:AU,Deposits!$A:$A,$B56)</f>
        <v>0</v>
      </c>
      <c r="O63" s="156">
        <f>SUMIFS(Deposits!AV:AV,Deposits!$A:$A,$B56)</f>
        <v>0</v>
      </c>
      <c r="P63" s="156">
        <f t="shared" ref="P63:Z66" si="7">C63</f>
        <v>0</v>
      </c>
      <c r="Q63" s="156">
        <f t="shared" si="7"/>
        <v>0</v>
      </c>
      <c r="R63" s="156">
        <f t="shared" si="7"/>
        <v>1581.6641325443702</v>
      </c>
      <c r="S63" s="156">
        <f t="shared" si="7"/>
        <v>0</v>
      </c>
      <c r="T63" s="156">
        <f t="shared" si="7"/>
        <v>0</v>
      </c>
      <c r="U63" s="156">
        <f t="shared" si="7"/>
        <v>0</v>
      </c>
      <c r="V63" s="156">
        <f t="shared" si="7"/>
        <v>0</v>
      </c>
      <c r="W63" s="156">
        <f t="shared" si="7"/>
        <v>0</v>
      </c>
      <c r="X63" s="156">
        <f t="shared" si="7"/>
        <v>0</v>
      </c>
      <c r="Y63" s="156">
        <f t="shared" si="7"/>
        <v>0</v>
      </c>
      <c r="Z63" s="156">
        <f t="shared" si="7"/>
        <v>0</v>
      </c>
      <c r="AB63" s="178">
        <f t="shared" si="4"/>
        <v>1581.6641325443702</v>
      </c>
    </row>
    <row r="64" spans="1:28" x14ac:dyDescent="0.25">
      <c r="A64" s="254"/>
      <c r="B64" s="118" t="s">
        <v>49</v>
      </c>
      <c r="C64" s="156">
        <f>SUMIFS(Deposits!AJ:AJ,Deposits!$A:$A,$B57)</f>
        <v>0</v>
      </c>
      <c r="D64" s="156">
        <f>SUMIFS(Deposits!AK:AK,Deposits!$A:$A,$B57)</f>
        <v>0</v>
      </c>
      <c r="E64" s="156">
        <f>SUMIFS(Deposits!AL:AL,Deposits!$A:$A,$B57)</f>
        <v>0</v>
      </c>
      <c r="F64" s="156">
        <f>SUMIFS(Deposits!AM:AM,Deposits!$A:$A,$B57)</f>
        <v>0</v>
      </c>
      <c r="G64" s="156">
        <f>SUMIFS(Deposits!AN:AN,Deposits!$A:$A,$B57)</f>
        <v>0</v>
      </c>
      <c r="H64" s="156">
        <f>SUMIFS(Deposits!AO:AO,Deposits!$A:$A,$B57)</f>
        <v>0</v>
      </c>
      <c r="I64" s="156">
        <f>SUMIFS(Deposits!AP:AP,Deposits!$A:$A,$B57)</f>
        <v>0</v>
      </c>
      <c r="J64" s="156">
        <f>SUMIFS(Deposits!AQ:AQ,Deposits!$A:$A,$B57)</f>
        <v>0</v>
      </c>
      <c r="K64" s="156">
        <f>SUMIFS(Deposits!AR:AR,Deposits!$A:$A,$B57)</f>
        <v>0</v>
      </c>
      <c r="L64" s="156">
        <f>SUMIFS(Deposits!AS:AS,Deposits!$A:$A,$B57)</f>
        <v>0</v>
      </c>
      <c r="M64" s="156">
        <f>SUMIFS(Deposits!AT:AT,Deposits!$A:$A,$B57)</f>
        <v>0</v>
      </c>
      <c r="N64" s="156">
        <f>SUMIFS(Deposits!AU:AU,Deposits!$A:$A,$B57)</f>
        <v>0</v>
      </c>
      <c r="O64" s="156">
        <f>SUMIFS(Deposits!AV:AV,Deposits!$A:$A,$B57)</f>
        <v>0</v>
      </c>
      <c r="P64" s="156">
        <f t="shared" si="7"/>
        <v>0</v>
      </c>
      <c r="Q64" s="156">
        <f t="shared" si="7"/>
        <v>0</v>
      </c>
      <c r="R64" s="156">
        <f t="shared" si="7"/>
        <v>0</v>
      </c>
      <c r="S64" s="156">
        <f t="shared" si="7"/>
        <v>0</v>
      </c>
      <c r="T64" s="156">
        <f t="shared" si="7"/>
        <v>0</v>
      </c>
      <c r="U64" s="156">
        <f t="shared" si="7"/>
        <v>0</v>
      </c>
      <c r="V64" s="156">
        <f t="shared" si="7"/>
        <v>0</v>
      </c>
      <c r="W64" s="156">
        <f t="shared" si="7"/>
        <v>0</v>
      </c>
      <c r="X64" s="156">
        <f t="shared" si="7"/>
        <v>0</v>
      </c>
      <c r="Y64" s="156">
        <f t="shared" si="7"/>
        <v>0</v>
      </c>
      <c r="Z64" s="156">
        <f t="shared" si="7"/>
        <v>0</v>
      </c>
      <c r="AB64" s="178">
        <f t="shared" si="4"/>
        <v>0</v>
      </c>
    </row>
    <row r="65" spans="1:28" x14ac:dyDescent="0.25">
      <c r="A65" s="254"/>
      <c r="B65" s="118" t="s">
        <v>90</v>
      </c>
      <c r="C65" s="156">
        <f>SUMIFS(Deposits!AJ:AJ,Deposits!$A:$A,$B58)</f>
        <v>0</v>
      </c>
      <c r="D65" s="156">
        <f>SUMIFS(Deposits!AK:AK,Deposits!$A:$A,$B58)</f>
        <v>0</v>
      </c>
      <c r="E65" s="156">
        <f>SUMIFS(Deposits!AL:AL,Deposits!$A:$A,$B58)</f>
        <v>0</v>
      </c>
      <c r="F65" s="156">
        <f>SUMIFS(Deposits!AM:AM,Deposits!$A:$A,$B58)</f>
        <v>0</v>
      </c>
      <c r="G65" s="156">
        <f>SUMIFS(Deposits!AN:AN,Deposits!$A:$A,$B58)</f>
        <v>0</v>
      </c>
      <c r="H65" s="156">
        <f>SUMIFS(Deposits!AO:AO,Deposits!$A:$A,$B58)</f>
        <v>0</v>
      </c>
      <c r="I65" s="156">
        <f>SUMIFS(Deposits!AP:AP,Deposits!$A:$A,$B58)</f>
        <v>0</v>
      </c>
      <c r="J65" s="156">
        <f>SUMIFS(Deposits!AQ:AQ,Deposits!$A:$A,$B58)</f>
        <v>0</v>
      </c>
      <c r="K65" s="156">
        <f>SUMIFS(Deposits!AR:AR,Deposits!$A:$A,$B58)</f>
        <v>0</v>
      </c>
      <c r="L65" s="156">
        <f>SUMIFS(Deposits!AS:AS,Deposits!$A:$A,$B58)</f>
        <v>0</v>
      </c>
      <c r="M65" s="156">
        <f>SUMIFS(Deposits!AT:AT,Deposits!$A:$A,$B58)</f>
        <v>0</v>
      </c>
      <c r="N65" s="156">
        <f>SUMIFS(Deposits!AU:AU,Deposits!$A:$A,$B58)</f>
        <v>0</v>
      </c>
      <c r="O65" s="156">
        <f>SUMIFS(Deposits!AV:AV,Deposits!$A:$A,$B58)</f>
        <v>0</v>
      </c>
      <c r="P65" s="156">
        <f t="shared" si="7"/>
        <v>0</v>
      </c>
      <c r="Q65" s="156">
        <f t="shared" si="7"/>
        <v>0</v>
      </c>
      <c r="R65" s="156">
        <f t="shared" si="7"/>
        <v>0</v>
      </c>
      <c r="S65" s="156">
        <f t="shared" si="7"/>
        <v>0</v>
      </c>
      <c r="T65" s="156">
        <f t="shared" si="7"/>
        <v>0</v>
      </c>
      <c r="U65" s="156">
        <f t="shared" si="7"/>
        <v>0</v>
      </c>
      <c r="V65" s="156">
        <f t="shared" si="7"/>
        <v>0</v>
      </c>
      <c r="W65" s="156">
        <f t="shared" si="7"/>
        <v>0</v>
      </c>
      <c r="X65" s="156">
        <f t="shared" si="7"/>
        <v>0</v>
      </c>
      <c r="Y65" s="156">
        <f t="shared" si="7"/>
        <v>0</v>
      </c>
      <c r="Z65" s="156">
        <f t="shared" si="7"/>
        <v>0</v>
      </c>
      <c r="AB65" s="178">
        <f t="shared" si="4"/>
        <v>0</v>
      </c>
    </row>
    <row r="66" spans="1:28" x14ac:dyDescent="0.25">
      <c r="A66" s="264"/>
      <c r="B66" s="263" t="s">
        <v>366</v>
      </c>
      <c r="C66" s="259">
        <f>SUMIFS(Deposits!AJ:AJ,Deposits!$A:$A,$B59)</f>
        <v>31083.333333333332</v>
      </c>
      <c r="D66" s="259">
        <f>SUMIFS(Deposits!AK:AK,Deposits!$A:$A,$B59)</f>
        <v>31083.333333333332</v>
      </c>
      <c r="E66" s="259">
        <f>SUMIFS(Deposits!AL:AL,Deposits!$A:$A,$B59)</f>
        <v>31083.333333333332</v>
      </c>
      <c r="F66" s="259">
        <f>SUMIFS(Deposits!AM:AM,Deposits!$A:$A,$B59)</f>
        <v>31083.333333333332</v>
      </c>
      <c r="G66" s="259">
        <f>SUMIFS(Deposits!AN:AN,Deposits!$A:$A,$B59)</f>
        <v>31083.333333333332</v>
      </c>
      <c r="H66" s="259">
        <f>SUMIFS(Deposits!AO:AO,Deposits!$A:$A,$B59)</f>
        <v>31083.333333333332</v>
      </c>
      <c r="I66" s="259">
        <f>SUMIFS(Deposits!AP:AP,Deposits!$A:$A,$B59)</f>
        <v>31083.333333333332</v>
      </c>
      <c r="J66" s="259">
        <f>SUMIFS(Deposits!AQ:AQ,Deposits!$A:$A,$B59)</f>
        <v>31083.333333333332</v>
      </c>
      <c r="K66" s="259">
        <f>SUMIFS(Deposits!AR:AR,Deposits!$A:$A,$B59)</f>
        <v>31083.333333333332</v>
      </c>
      <c r="L66" s="259">
        <f>SUMIFS(Deposits!AS:AS,Deposits!$A:$A,$B59)</f>
        <v>31083.333333333332</v>
      </c>
      <c r="M66" s="259">
        <f>SUMIFS(Deposits!AT:AT,Deposits!$A:$A,$B59)</f>
        <v>31083.333333333332</v>
      </c>
      <c r="N66" s="259">
        <f>SUMIFS(Deposits!AU:AU,Deposits!$A:$A,$B59)</f>
        <v>31083.333333333332</v>
      </c>
      <c r="O66" s="259">
        <f>C66</f>
        <v>31083.333333333332</v>
      </c>
      <c r="P66" s="259">
        <f t="shared" si="7"/>
        <v>31083.333333333332</v>
      </c>
      <c r="Q66" s="259">
        <f t="shared" si="7"/>
        <v>31083.333333333332</v>
      </c>
      <c r="R66" s="259">
        <f t="shared" si="7"/>
        <v>31083.333333333332</v>
      </c>
      <c r="S66" s="259">
        <f t="shared" si="7"/>
        <v>31083.333333333332</v>
      </c>
      <c r="T66" s="259">
        <f t="shared" si="7"/>
        <v>31083.333333333332</v>
      </c>
      <c r="U66" s="259">
        <f t="shared" si="7"/>
        <v>31083.333333333332</v>
      </c>
      <c r="V66" s="259">
        <f t="shared" si="7"/>
        <v>31083.333333333332</v>
      </c>
      <c r="W66" s="259">
        <f t="shared" si="7"/>
        <v>31083.333333333332</v>
      </c>
      <c r="X66" s="259">
        <f t="shared" si="7"/>
        <v>31083.333333333332</v>
      </c>
      <c r="Y66" s="259">
        <f t="shared" si="7"/>
        <v>31083.333333333332</v>
      </c>
      <c r="Z66" s="259">
        <f t="shared" si="7"/>
        <v>31083.333333333332</v>
      </c>
      <c r="AB66" s="178">
        <f t="shared" si="4"/>
        <v>372999.99999999994</v>
      </c>
    </row>
    <row r="67" spans="1:28" x14ac:dyDescent="0.25">
      <c r="AB67" s="178"/>
    </row>
    <row r="68" spans="1:28" ht="15.75" thickBot="1" x14ac:dyDescent="0.3">
      <c r="A68" s="137"/>
      <c r="B68" s="137"/>
      <c r="C68" s="137"/>
      <c r="D68" s="137"/>
      <c r="E68" s="137"/>
      <c r="F68" s="137"/>
      <c r="G68" s="137"/>
      <c r="H68" s="137"/>
      <c r="I68" s="137"/>
      <c r="J68" s="137"/>
      <c r="K68" s="137"/>
      <c r="L68" s="137"/>
      <c r="M68" s="137"/>
      <c r="N68" s="137"/>
      <c r="O68" s="137"/>
      <c r="P68" s="137"/>
      <c r="Q68" s="137"/>
      <c r="R68" s="137"/>
      <c r="S68" s="137"/>
      <c r="T68" s="137"/>
      <c r="U68" s="137"/>
      <c r="V68" s="137"/>
      <c r="W68" s="137"/>
      <c r="X68" s="137"/>
      <c r="Y68" s="137"/>
      <c r="Z68" s="137"/>
      <c r="AB68" s="178"/>
    </row>
    <row r="69" spans="1:28" ht="16.5" thickTop="1" thickBot="1" x14ac:dyDescent="0.3">
      <c r="A69" s="236" t="s">
        <v>928</v>
      </c>
      <c r="B69" s="236"/>
      <c r="C69" s="236"/>
      <c r="D69" s="236"/>
      <c r="E69" s="236"/>
      <c r="F69" s="236"/>
      <c r="G69" s="236"/>
      <c r="H69" s="236"/>
      <c r="I69" s="236"/>
      <c r="J69" s="236"/>
      <c r="K69" s="236"/>
      <c r="L69" s="236"/>
      <c r="M69" s="236"/>
      <c r="N69" s="236"/>
      <c r="O69" s="236"/>
      <c r="P69" s="236"/>
      <c r="Q69" s="236"/>
      <c r="R69" s="236"/>
      <c r="S69" s="236"/>
      <c r="T69" s="236"/>
      <c r="U69" s="236"/>
      <c r="V69" s="236"/>
      <c r="W69" s="236"/>
      <c r="X69" s="236"/>
      <c r="Y69" s="236"/>
      <c r="Z69" s="236"/>
      <c r="AB69" s="178"/>
    </row>
    <row r="70" spans="1:28" ht="15.75" thickTop="1" x14ac:dyDescent="0.25">
      <c r="A70" s="253"/>
      <c r="B70" s="118" t="s">
        <v>51</v>
      </c>
      <c r="C70" s="156">
        <f>SUMIFS(T_Eq[1],T_Eq[Source],'CF USD'!$B70)</f>
        <v>30914.753499999999</v>
      </c>
      <c r="D70" s="156">
        <f>SUMIFS(T_Eq[2],T_Eq[Source],'CF USD'!$B70)</f>
        <v>8180.2749999999996</v>
      </c>
      <c r="E70" s="156">
        <f>SUMIFS(T_Eq[3],T_Eq[Source],'CF USD'!$B70)</f>
        <v>70438.445999999996</v>
      </c>
      <c r="F70" s="156">
        <f>SUMIFS(T_Eq[4],T_Eq[Source],'CF USD'!$B70)</f>
        <v>23548.074999999997</v>
      </c>
      <c r="G70" s="156">
        <f>SUMIFS(T_Eq[5],T_Eq[Source],'CF USD'!$B70)</f>
        <v>12275.275</v>
      </c>
      <c r="H70" s="156">
        <f>SUMIFS(T_Eq[6],T_Eq[Source],'CF USD'!$B70)</f>
        <v>90470.61374999999</v>
      </c>
      <c r="I70" s="156">
        <f>SUMIFS(T_Eq[7],T_Eq[Source],'CF USD'!$B70)</f>
        <v>30914.753499999999</v>
      </c>
      <c r="J70" s="156">
        <f>SUMIFS(T_Eq[8],T_Eq[Source],'CF USD'!$B70)</f>
        <v>7106.2749999999996</v>
      </c>
      <c r="K70" s="156">
        <f>SUMIFS(T_Eq[9],T_Eq[Source],'CF USD'!$B70)</f>
        <v>69364.445999999996</v>
      </c>
      <c r="L70" s="156">
        <f>SUMIFS(T_Eq[10],T_Eq[Source],'CF USD'!$B70)</f>
        <v>22474.074999999997</v>
      </c>
      <c r="M70" s="156">
        <f>SUMIFS(T_Eq[11],T_Eq[Source],'CF USD'!$B70)</f>
        <v>11201.275</v>
      </c>
      <c r="N70" s="156">
        <f>SUMIFS(T_Eq[12],T_Eq[Source],'CF USD'!$B70)</f>
        <v>104500.7306732</v>
      </c>
      <c r="O70" s="156">
        <f>SUMIFS(T_Eq[1],T_Eq[Source],'CF USD'!$B70)</f>
        <v>30914.753499999999</v>
      </c>
      <c r="P70" s="156">
        <f>SUMIFS(T_Eq[2],T_Eq[Source],'CF USD'!$B70)</f>
        <v>8180.2749999999996</v>
      </c>
      <c r="Q70" s="156">
        <f>SUMIFS(T_Eq[3],T_Eq[Source],'CF USD'!$B70)</f>
        <v>70438.445999999996</v>
      </c>
      <c r="R70" s="156">
        <f>SUMIFS(T_Eq[4],T_Eq[Source],'CF USD'!$B70)</f>
        <v>23548.074999999997</v>
      </c>
      <c r="S70" s="156">
        <f>SUMIFS(T_Eq[5],T_Eq[Source],'CF USD'!$B70)</f>
        <v>12275.275</v>
      </c>
      <c r="T70" s="156">
        <f>SUMIFS(T_Eq[6],T_Eq[Source],'CF USD'!$B70)</f>
        <v>90470.61374999999</v>
      </c>
      <c r="U70" s="156">
        <f>SUMIFS(T_Eq[7],T_Eq[Source],'CF USD'!$B70)</f>
        <v>30914.753499999999</v>
      </c>
      <c r="V70" s="156">
        <f>SUMIFS(T_Eq[8],T_Eq[Source],'CF USD'!$B70)</f>
        <v>7106.2749999999996</v>
      </c>
      <c r="W70" s="156">
        <f>SUMIFS(T_Eq[9],T_Eq[Source],'CF USD'!$B70)</f>
        <v>69364.445999999996</v>
      </c>
      <c r="X70" s="156">
        <f>SUMIFS(T_Eq[10],T_Eq[Source],'CF USD'!$B70)</f>
        <v>22474.074999999997</v>
      </c>
      <c r="Y70" s="156">
        <f>SUMIFS(T_Eq[11],T_Eq[Source],'CF USD'!$B70)</f>
        <v>11201.275</v>
      </c>
      <c r="Z70" s="156">
        <f>SUMIFS(T_Eq[12],T_Eq[Source],'CF USD'!$B70)</f>
        <v>104500.7306732</v>
      </c>
      <c r="AB70" s="178">
        <f t="shared" si="4"/>
        <v>481388.99342320004</v>
      </c>
    </row>
    <row r="71" spans="1:28" x14ac:dyDescent="0.25">
      <c r="A71" s="254"/>
      <c r="B71" s="118" t="s">
        <v>49</v>
      </c>
      <c r="C71" s="156">
        <f>SUMIFS(T_Eq[1],T_Eq[Source],'CF USD'!$B71)</f>
        <v>0</v>
      </c>
      <c r="D71" s="156">
        <f>SUMIFS(T_Eq[2],T_Eq[Source],'CF USD'!$B71)</f>
        <v>6063.3369239999993</v>
      </c>
      <c r="E71" s="156">
        <f>SUMIFS(T_Eq[3],T_Eq[Source],'CF USD'!$B71)</f>
        <v>2798.7423076923083</v>
      </c>
      <c r="F71" s="156">
        <f>SUMIFS(T_Eq[4],T_Eq[Source],'CF USD'!$B71)</f>
        <v>0</v>
      </c>
      <c r="G71" s="156">
        <f>SUMIFS(T_Eq[5],T_Eq[Source],'CF USD'!$B71)</f>
        <v>0</v>
      </c>
      <c r="H71" s="156">
        <f>SUMIFS(T_Eq[6],T_Eq[Source],'CF USD'!$B71)</f>
        <v>2798.7423076923083</v>
      </c>
      <c r="I71" s="156">
        <f>SUMIFS(T_Eq[7],T_Eq[Source],'CF USD'!$B71)</f>
        <v>0</v>
      </c>
      <c r="J71" s="156">
        <f>SUMIFS(T_Eq[8],T_Eq[Source],'CF USD'!$B71)</f>
        <v>0</v>
      </c>
      <c r="K71" s="156">
        <f>SUMIFS(T_Eq[9],T_Eq[Source],'CF USD'!$B71)</f>
        <v>2798.7423076923083</v>
      </c>
      <c r="L71" s="156">
        <f>SUMIFS(T_Eq[10],T_Eq[Source],'CF USD'!$B71)</f>
        <v>0</v>
      </c>
      <c r="M71" s="156">
        <f>SUMIFS(T_Eq[11],T_Eq[Source],'CF USD'!$B71)</f>
        <v>0</v>
      </c>
      <c r="N71" s="156">
        <f>SUMIFS(T_Eq[12],T_Eq[Source],'CF USD'!$B71)</f>
        <v>2798.7423076923083</v>
      </c>
      <c r="O71" s="156">
        <f>SUMIFS(T_Eq[1],T_Eq[Source],'CF USD'!$B71)</f>
        <v>0</v>
      </c>
      <c r="P71" s="156">
        <f>SUMIFS(T_Eq[2],T_Eq[Source],'CF USD'!$B71)</f>
        <v>6063.3369239999993</v>
      </c>
      <c r="Q71" s="156">
        <f>SUMIFS(T_Eq[3],T_Eq[Source],'CF USD'!$B71)</f>
        <v>2798.7423076923083</v>
      </c>
      <c r="R71" s="156">
        <f>SUMIFS(T_Eq[4],T_Eq[Source],'CF USD'!$B71)</f>
        <v>0</v>
      </c>
      <c r="S71" s="156">
        <f>SUMIFS(T_Eq[5],T_Eq[Source],'CF USD'!$B71)</f>
        <v>0</v>
      </c>
      <c r="T71" s="156">
        <f>SUMIFS(T_Eq[6],T_Eq[Source],'CF USD'!$B71)</f>
        <v>2798.7423076923083</v>
      </c>
      <c r="U71" s="156">
        <f>SUMIFS(T_Eq[7],T_Eq[Source],'CF USD'!$B71)</f>
        <v>0</v>
      </c>
      <c r="V71" s="156">
        <f>SUMIFS(T_Eq[8],T_Eq[Source],'CF USD'!$B71)</f>
        <v>0</v>
      </c>
      <c r="W71" s="156">
        <f>SUMIFS(T_Eq[9],T_Eq[Source],'CF USD'!$B71)</f>
        <v>2798.7423076923083</v>
      </c>
      <c r="X71" s="156">
        <f>SUMIFS(T_Eq[10],T_Eq[Source],'CF USD'!$B71)</f>
        <v>0</v>
      </c>
      <c r="Y71" s="156">
        <f>SUMIFS(T_Eq[11],T_Eq[Source],'CF USD'!$B71)</f>
        <v>0</v>
      </c>
      <c r="Z71" s="156">
        <f>SUMIFS(T_Eq[12],T_Eq[Source],'CF USD'!$B71)</f>
        <v>2798.7423076923083</v>
      </c>
      <c r="AB71" s="178">
        <f t="shared" si="4"/>
        <v>17258.30615476923</v>
      </c>
    </row>
    <row r="72" spans="1:28" x14ac:dyDescent="0.25">
      <c r="A72" s="254"/>
      <c r="B72" s="118" t="s">
        <v>90</v>
      </c>
      <c r="C72" s="156">
        <f>SUMIFS(T_Eq[1],T_Eq[Source],'CF USD'!$B72)</f>
        <v>0</v>
      </c>
      <c r="D72" s="156">
        <f>SUMIFS(T_Eq[2],T_Eq[Source],'CF USD'!$B72)</f>
        <v>0</v>
      </c>
      <c r="E72" s="156">
        <f>SUMIFS(T_Eq[3],T_Eq[Source],'CF USD'!$B72)</f>
        <v>2948.0868500000001</v>
      </c>
      <c r="F72" s="156">
        <f>SUMIFS(T_Eq[4],T_Eq[Source],'CF USD'!$B72)</f>
        <v>0</v>
      </c>
      <c r="G72" s="156">
        <f>SUMIFS(T_Eq[5],T_Eq[Source],'CF USD'!$B72)</f>
        <v>0</v>
      </c>
      <c r="H72" s="156">
        <f>SUMIFS(T_Eq[6],T_Eq[Source],'CF USD'!$B72)</f>
        <v>60.082750000000004</v>
      </c>
      <c r="I72" s="156">
        <f>SUMIFS(T_Eq[7],T_Eq[Source],'CF USD'!$B72)</f>
        <v>0</v>
      </c>
      <c r="J72" s="156">
        <f>SUMIFS(T_Eq[8],T_Eq[Source],'CF USD'!$B72)</f>
        <v>0</v>
      </c>
      <c r="K72" s="156">
        <f>SUMIFS(T_Eq[9],T_Eq[Source],'CF USD'!$B72)</f>
        <v>2948.0868500000001</v>
      </c>
      <c r="L72" s="156">
        <f>SUMIFS(T_Eq[10],T_Eq[Source],'CF USD'!$B72)</f>
        <v>0</v>
      </c>
      <c r="M72" s="156">
        <f>SUMIFS(T_Eq[11],T_Eq[Source],'CF USD'!$B72)</f>
        <v>0</v>
      </c>
      <c r="N72" s="156">
        <f>SUMIFS(T_Eq[12],T_Eq[Source],'CF USD'!$B72)</f>
        <v>60.082750000000004</v>
      </c>
      <c r="O72" s="156">
        <f>SUMIFS(T_Eq[1],T_Eq[Source],'CF USD'!$B72)</f>
        <v>0</v>
      </c>
      <c r="P72" s="156">
        <f>SUMIFS(T_Eq[2],T_Eq[Source],'CF USD'!$B72)</f>
        <v>0</v>
      </c>
      <c r="Q72" s="156">
        <f>SUMIFS(T_Eq[3],T_Eq[Source],'CF USD'!$B72)</f>
        <v>2948.0868500000001</v>
      </c>
      <c r="R72" s="156">
        <f>SUMIFS(T_Eq[4],T_Eq[Source],'CF USD'!$B72)</f>
        <v>0</v>
      </c>
      <c r="S72" s="156">
        <f>SUMIFS(T_Eq[5],T_Eq[Source],'CF USD'!$B72)</f>
        <v>0</v>
      </c>
      <c r="T72" s="156">
        <f>SUMIFS(T_Eq[6],T_Eq[Source],'CF USD'!$B72)</f>
        <v>60.082750000000004</v>
      </c>
      <c r="U72" s="156">
        <f>SUMIFS(T_Eq[7],T_Eq[Source],'CF USD'!$B72)</f>
        <v>0</v>
      </c>
      <c r="V72" s="156">
        <f>SUMIFS(T_Eq[8],T_Eq[Source],'CF USD'!$B72)</f>
        <v>0</v>
      </c>
      <c r="W72" s="156">
        <f>SUMIFS(T_Eq[9],T_Eq[Source],'CF USD'!$B72)</f>
        <v>2948.0868500000001</v>
      </c>
      <c r="X72" s="156">
        <f>SUMIFS(T_Eq[10],T_Eq[Source],'CF USD'!$B72)</f>
        <v>0</v>
      </c>
      <c r="Y72" s="156">
        <f>SUMIFS(T_Eq[11],T_Eq[Source],'CF USD'!$B72)</f>
        <v>0</v>
      </c>
      <c r="Z72" s="156">
        <f>SUMIFS(T_Eq[12],T_Eq[Source],'CF USD'!$B72)</f>
        <v>60.082750000000004</v>
      </c>
      <c r="AB72" s="178">
        <f t="shared" si="4"/>
        <v>6016.3392000000003</v>
      </c>
    </row>
    <row r="73" spans="1:28" x14ac:dyDescent="0.25">
      <c r="A73" s="264"/>
      <c r="B73" s="263" t="s">
        <v>366</v>
      </c>
      <c r="C73" s="259">
        <f>SUMIFS(T_Eq[1],T_Eq[Source],'CF USD'!$B73)</f>
        <v>13541.868416666664</v>
      </c>
      <c r="D73" s="259">
        <f>SUMIFS(T_Eq[2],T_Eq[Source],'CF USD'!$B73)</f>
        <v>2192.0668058455117</v>
      </c>
      <c r="E73" s="259">
        <f>SUMIFS(T_Eq[3],T_Eq[Source],'CF USD'!$B73)</f>
        <v>6487.4400000000005</v>
      </c>
      <c r="F73" s="259">
        <f>SUMIFS(T_Eq[4],T_Eq[Source],'CF USD'!$B73)</f>
        <v>6629.4667499999996</v>
      </c>
      <c r="G73" s="259">
        <f>SUMIFS(T_Eq[5],T_Eq[Source],'CF USD'!$B73)</f>
        <v>15760.066666666664</v>
      </c>
      <c r="H73" s="259">
        <f>SUMIFS(T_Eq[6],T_Eq[Source],'CF USD'!$B73)</f>
        <v>8166.5249999999996</v>
      </c>
      <c r="I73" s="259">
        <f>SUMIFS(T_Eq[7],T_Eq[Source],'CF USD'!$B73)</f>
        <v>11435.201749999998</v>
      </c>
      <c r="J73" s="259">
        <f>SUMIFS(T_Eq[8],T_Eq[Source],'CF USD'!$B73)</f>
        <v>2192.0668058455117</v>
      </c>
      <c r="K73" s="259">
        <f>SUMIFS(T_Eq[9],T_Eq[Source],'CF USD'!$B73)</f>
        <v>8594.1066666666666</v>
      </c>
      <c r="L73" s="259">
        <f>SUMIFS(T_Eq[10],T_Eq[Source],'CF USD'!$B73)</f>
        <v>6629.4667499999996</v>
      </c>
      <c r="M73" s="259">
        <f>SUMIFS(T_Eq[11],T_Eq[Source],'CF USD'!$B73)</f>
        <v>13653.399999999998</v>
      </c>
      <c r="N73" s="259">
        <f>SUMIFS(T_Eq[12],T_Eq[Source],'CF USD'!$B73)</f>
        <v>39062.764999999999</v>
      </c>
      <c r="O73" s="259">
        <f>SUMIFS(T_Eq[1],T_Eq[Source],'CF USD'!$B73)</f>
        <v>13541.868416666664</v>
      </c>
      <c r="P73" s="259">
        <f>SUMIFS(T_Eq[2],T_Eq[Source],'CF USD'!$B73)</f>
        <v>2192.0668058455117</v>
      </c>
      <c r="Q73" s="259">
        <f>SUMIFS(T_Eq[3],T_Eq[Source],'CF USD'!$B73)</f>
        <v>6487.4400000000005</v>
      </c>
      <c r="R73" s="259">
        <f>SUMIFS(T_Eq[4],T_Eq[Source],'CF USD'!$B73)</f>
        <v>6629.4667499999996</v>
      </c>
      <c r="S73" s="259">
        <f>SUMIFS(T_Eq[5],T_Eq[Source],'CF USD'!$B73)</f>
        <v>15760.066666666664</v>
      </c>
      <c r="T73" s="259">
        <f>SUMIFS(T_Eq[6],T_Eq[Source],'CF USD'!$B73)</f>
        <v>8166.5249999999996</v>
      </c>
      <c r="U73" s="259">
        <f>SUMIFS(T_Eq[7],T_Eq[Source],'CF USD'!$B73)</f>
        <v>11435.201749999998</v>
      </c>
      <c r="V73" s="259">
        <f>SUMIFS(T_Eq[8],T_Eq[Source],'CF USD'!$B73)</f>
        <v>2192.0668058455117</v>
      </c>
      <c r="W73" s="259">
        <f>SUMIFS(T_Eq[9],T_Eq[Source],'CF USD'!$B73)</f>
        <v>8594.1066666666666</v>
      </c>
      <c r="X73" s="259">
        <f>SUMIFS(T_Eq[10],T_Eq[Source],'CF USD'!$B73)</f>
        <v>6629.4667499999996</v>
      </c>
      <c r="Y73" s="259">
        <f>SUMIFS(T_Eq[11],T_Eq[Source],'CF USD'!$B73)</f>
        <v>13653.399999999998</v>
      </c>
      <c r="Z73" s="259">
        <f>SUMIFS(T_Eq[12],T_Eq[Source],'CF USD'!$B73)</f>
        <v>39062.764999999999</v>
      </c>
      <c r="AB73" s="178">
        <f t="shared" si="4"/>
        <v>134344.44061169098</v>
      </c>
    </row>
    <row r="74" spans="1:28" x14ac:dyDescent="0.25">
      <c r="A74" s="254"/>
      <c r="C74" s="178"/>
      <c r="D74" s="178"/>
      <c r="E74" s="178"/>
      <c r="F74" s="178"/>
      <c r="G74" s="178"/>
      <c r="H74" s="178"/>
      <c r="I74" s="178"/>
      <c r="J74" s="178"/>
      <c r="K74" s="178"/>
      <c r="L74" s="178"/>
      <c r="M74" s="178"/>
      <c r="N74" s="178"/>
      <c r="O74" s="178"/>
      <c r="P74" s="178"/>
      <c r="Q74" s="178"/>
      <c r="R74" s="178"/>
      <c r="S74" s="178"/>
      <c r="T74" s="178"/>
      <c r="U74" s="178"/>
      <c r="V74" s="178"/>
      <c r="W74" s="178"/>
      <c r="X74" s="178"/>
      <c r="Y74" s="178"/>
      <c r="Z74" s="178"/>
      <c r="AB74" s="178"/>
    </row>
    <row r="75" spans="1:28" x14ac:dyDescent="0.25">
      <c r="A75" s="254"/>
      <c r="C75" s="178"/>
      <c r="D75" s="178"/>
      <c r="E75" s="178"/>
      <c r="F75" s="178"/>
      <c r="G75" s="178"/>
      <c r="H75" s="178"/>
      <c r="I75" s="178"/>
      <c r="J75" s="178"/>
      <c r="K75" s="178"/>
      <c r="L75" s="178"/>
      <c r="M75" s="178"/>
      <c r="N75" s="178"/>
      <c r="O75" s="178"/>
      <c r="P75" s="178"/>
      <c r="Q75" s="178"/>
      <c r="R75" s="178"/>
      <c r="S75" s="178"/>
      <c r="T75" s="178"/>
      <c r="U75" s="178"/>
      <c r="V75" s="178"/>
      <c r="W75" s="178"/>
      <c r="X75" s="178"/>
      <c r="Y75" s="178"/>
      <c r="Z75" s="178"/>
      <c r="AB75" s="178"/>
    </row>
    <row r="76" spans="1:28" x14ac:dyDescent="0.25">
      <c r="A76" s="254"/>
      <c r="C76" s="178"/>
      <c r="D76" s="178"/>
      <c r="E76" s="178"/>
      <c r="F76" s="178"/>
      <c r="G76" s="178"/>
      <c r="H76" s="178"/>
      <c r="I76" s="178"/>
      <c r="J76" s="178"/>
      <c r="K76" s="178"/>
      <c r="L76" s="178"/>
      <c r="M76" s="178"/>
      <c r="N76" s="178"/>
      <c r="O76" s="178"/>
      <c r="P76" s="178"/>
      <c r="Q76" s="178"/>
      <c r="R76" s="178"/>
      <c r="S76" s="178"/>
      <c r="T76" s="178"/>
      <c r="U76" s="178"/>
      <c r="V76" s="178"/>
      <c r="W76" s="178"/>
      <c r="X76" s="178"/>
      <c r="Y76" s="178"/>
      <c r="Z76" s="178"/>
      <c r="AB76" s="178"/>
    </row>
    <row r="77" spans="1:28" ht="15.75" thickBot="1" x14ac:dyDescent="0.3">
      <c r="A77" s="137"/>
      <c r="B77" s="137"/>
      <c r="C77" s="137"/>
      <c r="D77" s="137"/>
      <c r="E77" s="137"/>
      <c r="F77" s="137"/>
      <c r="G77" s="137"/>
      <c r="H77" s="137"/>
      <c r="I77" s="137"/>
      <c r="J77" s="137"/>
      <c r="K77" s="137"/>
      <c r="L77" s="137"/>
      <c r="M77" s="137"/>
      <c r="N77" s="137"/>
      <c r="O77" s="137"/>
      <c r="P77" s="137"/>
      <c r="Q77" s="137"/>
      <c r="R77" s="137"/>
      <c r="S77" s="137"/>
      <c r="T77" s="137"/>
      <c r="U77" s="137"/>
      <c r="V77" s="137"/>
      <c r="W77" s="137"/>
      <c r="X77" s="137"/>
      <c r="Y77" s="137"/>
      <c r="Z77" s="137"/>
      <c r="AB77" s="178"/>
    </row>
    <row r="78" spans="1:28" ht="16.5" thickTop="1" thickBot="1" x14ac:dyDescent="0.3">
      <c r="A78" s="722" t="s">
        <v>1235</v>
      </c>
      <c r="B78" s="236"/>
      <c r="C78" s="236"/>
      <c r="D78" s="236"/>
      <c r="E78" s="236"/>
      <c r="F78" s="236"/>
      <c r="G78" s="236"/>
      <c r="H78" s="236"/>
      <c r="I78" s="236"/>
      <c r="J78" s="236"/>
      <c r="K78" s="236"/>
      <c r="L78" s="236"/>
      <c r="M78" s="236"/>
      <c r="N78" s="236"/>
      <c r="O78" s="236"/>
      <c r="P78" s="236"/>
      <c r="Q78" s="236"/>
      <c r="R78" s="236"/>
      <c r="S78" s="236"/>
      <c r="T78" s="236"/>
      <c r="U78" s="236"/>
      <c r="V78" s="236"/>
      <c r="W78" s="236"/>
      <c r="X78" s="236"/>
      <c r="Y78" s="236"/>
      <c r="Z78" s="236"/>
      <c r="AB78" s="178"/>
    </row>
    <row r="79" spans="1:28" ht="15.75" thickTop="1" x14ac:dyDescent="0.25">
      <c r="A79" s="253"/>
      <c r="B79" s="118" t="s">
        <v>1203</v>
      </c>
      <c r="C79" s="156">
        <f>SUM(C81:C82)</f>
        <v>0</v>
      </c>
      <c r="D79" s="156">
        <f t="shared" ref="D79:Z79" si="8">SUM(D81:D82)</f>
        <v>0</v>
      </c>
      <c r="E79" s="156">
        <f t="shared" si="8"/>
        <v>0</v>
      </c>
      <c r="F79" s="156">
        <f t="shared" si="8"/>
        <v>0</v>
      </c>
      <c r="G79" s="156">
        <f t="shared" si="8"/>
        <v>0</v>
      </c>
      <c r="H79" s="156">
        <f t="shared" si="8"/>
        <v>0</v>
      </c>
      <c r="I79" s="156">
        <f t="shared" si="8"/>
        <v>0</v>
      </c>
      <c r="J79" s="156">
        <f t="shared" si="8"/>
        <v>0</v>
      </c>
      <c r="K79" s="156">
        <f t="shared" si="8"/>
        <v>0</v>
      </c>
      <c r="L79" s="156">
        <f t="shared" si="8"/>
        <v>0</v>
      </c>
      <c r="M79" s="156">
        <f t="shared" si="8"/>
        <v>0</v>
      </c>
      <c r="N79" s="156" t="e">
        <f t="shared" si="8"/>
        <v>#REF!</v>
      </c>
      <c r="O79" s="156">
        <f t="shared" ca="1" si="8"/>
        <v>-377.62095179999994</v>
      </c>
      <c r="P79" s="156">
        <f t="shared" ca="1" si="8"/>
        <v>-327.71694179999992</v>
      </c>
      <c r="Q79" s="156">
        <f t="shared" ca="1" si="8"/>
        <v>39.680212200000007</v>
      </c>
      <c r="R79" s="156">
        <f t="shared" ca="1" si="8"/>
        <v>148.73180819999999</v>
      </c>
      <c r="S79" s="156">
        <f t="shared" ca="1" si="8"/>
        <v>132.34865820000002</v>
      </c>
      <c r="T79" s="156">
        <f t="shared" ca="1" si="8"/>
        <v>3831.2092121999995</v>
      </c>
      <c r="U79" s="156">
        <f t="shared" ca="1" si="8"/>
        <v>-287.26059179999993</v>
      </c>
      <c r="V79" s="156">
        <f t="shared" ca="1" si="8"/>
        <v>167.12105819999999</v>
      </c>
      <c r="W79" s="156">
        <f t="shared" ca="1" si="8"/>
        <v>1397.50595829285</v>
      </c>
      <c r="X79" s="156">
        <f t="shared" ca="1" si="8"/>
        <v>180.82940820000002</v>
      </c>
      <c r="Y79" s="156">
        <f t="shared" ca="1" si="8"/>
        <v>167.12105819999999</v>
      </c>
      <c r="Z79" s="156">
        <f t="shared" ca="1" si="8"/>
        <v>73.11521220000003</v>
      </c>
      <c r="AB79" s="178">
        <f t="shared" ca="1" si="4"/>
        <v>5145.0641004928502</v>
      </c>
    </row>
    <row r="80" spans="1:28" x14ac:dyDescent="0.25">
      <c r="A80" s="254"/>
      <c r="B80" s="118" t="s">
        <v>1202</v>
      </c>
      <c r="C80" s="156">
        <v>0</v>
      </c>
      <c r="D80" s="156">
        <v>0</v>
      </c>
      <c r="E80" s="156">
        <v>0</v>
      </c>
      <c r="F80" s="156">
        <v>0</v>
      </c>
      <c r="G80" s="156">
        <v>0</v>
      </c>
      <c r="H80" s="156">
        <v>0</v>
      </c>
      <c r="I80" s="156">
        <v>0</v>
      </c>
      <c r="J80" s="156">
        <v>0</v>
      </c>
      <c r="K80" s="156">
        <v>0</v>
      </c>
      <c r="L80" s="156">
        <v>0</v>
      </c>
      <c r="M80" s="156">
        <v>0</v>
      </c>
      <c r="N80" s="156" t="e">
        <f>'Real Estate'!#REF!/1000</f>
        <v>#REF!</v>
      </c>
      <c r="O80" s="156">
        <f>'Real Estate'!AX29/1000</f>
        <v>0</v>
      </c>
      <c r="P80" s="156">
        <f>'Real Estate'!AY29/1000</f>
        <v>0</v>
      </c>
      <c r="Q80" s="156">
        <f>'Real Estate'!AZ29/1000</f>
        <v>0</v>
      </c>
      <c r="R80" s="156">
        <f>'Real Estate'!BA29/1000</f>
        <v>0</v>
      </c>
      <c r="S80" s="156">
        <f>'Real Estate'!BB29/1000</f>
        <v>0</v>
      </c>
      <c r="T80" s="156">
        <f>'Real Estate'!BC29/1000</f>
        <v>8154</v>
      </c>
      <c r="U80" s="156">
        <f>'Real Estate'!BD29/1000</f>
        <v>0</v>
      </c>
      <c r="V80" s="156">
        <f>'Real Estate'!BE29/1000</f>
        <v>0</v>
      </c>
      <c r="W80" s="156">
        <f>'Real Estate'!BF29/1000</f>
        <v>0</v>
      </c>
      <c r="X80" s="156">
        <f>'Real Estate'!BG29/1000</f>
        <v>0</v>
      </c>
      <c r="Y80" s="156">
        <f>'Real Estate'!BH29/1000</f>
        <v>0</v>
      </c>
      <c r="Z80" s="156">
        <f>'Real Estate'!BI29/1000</f>
        <v>550</v>
      </c>
      <c r="AB80" s="178">
        <f t="shared" si="4"/>
        <v>8704</v>
      </c>
    </row>
    <row r="81" spans="1:28" x14ac:dyDescent="0.25">
      <c r="A81" s="254"/>
      <c r="B81" s="118" t="s">
        <v>1200</v>
      </c>
      <c r="C81" s="156">
        <v>0</v>
      </c>
      <c r="D81" s="156">
        <v>0</v>
      </c>
      <c r="E81" s="156">
        <v>0</v>
      </c>
      <c r="F81" s="156">
        <v>0</v>
      </c>
      <c r="G81" s="156">
        <v>0</v>
      </c>
      <c r="H81" s="156">
        <v>0</v>
      </c>
      <c r="I81" s="156">
        <v>0</v>
      </c>
      <c r="J81" s="156">
        <v>0</v>
      </c>
      <c r="K81" s="156">
        <v>0</v>
      </c>
      <c r="L81" s="156">
        <v>0</v>
      </c>
      <c r="M81" s="156">
        <v>0</v>
      </c>
      <c r="N81" s="156">
        <v>0</v>
      </c>
      <c r="O81" s="156">
        <f>SUM(T_AI[1])/1000</f>
        <v>72</v>
      </c>
      <c r="P81" s="156">
        <f>SUM(T_AI[2])/1000</f>
        <v>0</v>
      </c>
      <c r="Q81" s="156">
        <f>SUM(T_AI[3])/1000</f>
        <v>0</v>
      </c>
      <c r="R81" s="156">
        <f>SUM(T_AI[4])/1000</f>
        <v>0</v>
      </c>
      <c r="S81" s="156">
        <f>SUM(T_AI[5])/1000</f>
        <v>0</v>
      </c>
      <c r="T81" s="156">
        <f>SUM(T_AI[6])/1000</f>
        <v>0</v>
      </c>
      <c r="U81" s="156">
        <f>SUM(T_AI[7])/1000</f>
        <v>0</v>
      </c>
      <c r="V81" s="156">
        <f>SUM(T_AI[8])/1000</f>
        <v>0</v>
      </c>
      <c r="W81" s="156">
        <f>SUM(T_AI[9])/1000</f>
        <v>0</v>
      </c>
      <c r="X81" s="156">
        <f>SUM(T_AI[10])/1000</f>
        <v>0</v>
      </c>
      <c r="Y81" s="156">
        <f>SUM(T_AI[11])/1000</f>
        <v>0</v>
      </c>
      <c r="Z81" s="156">
        <f>SUM(T_AI[12])/1000</f>
        <v>0</v>
      </c>
      <c r="AB81" s="178">
        <f t="shared" si="4"/>
        <v>72</v>
      </c>
    </row>
    <row r="82" spans="1:28" x14ac:dyDescent="0.25">
      <c r="A82" s="264"/>
      <c r="B82" s="263" t="s">
        <v>1201</v>
      </c>
      <c r="C82" s="259">
        <v>0</v>
      </c>
      <c r="D82" s="259">
        <v>0</v>
      </c>
      <c r="E82" s="259">
        <v>0</v>
      </c>
      <c r="F82" s="259">
        <v>0</v>
      </c>
      <c r="G82" s="259">
        <v>0</v>
      </c>
      <c r="H82" s="259">
        <v>0</v>
      </c>
      <c r="I82" s="259">
        <v>0</v>
      </c>
      <c r="J82" s="259">
        <v>0</v>
      </c>
      <c r="K82" s="259">
        <v>0</v>
      </c>
      <c r="L82" s="259">
        <v>0</v>
      </c>
      <c r="M82" s="259">
        <v>0</v>
      </c>
      <c r="N82" s="259" t="e">
        <f>SUM('Real Estate'!#REF!)/1000</f>
        <v>#REF!</v>
      </c>
      <c r="O82" s="259">
        <f ca="1">SUM('Real Estate'!AX27:AX28)/1000</f>
        <v>-449.62095179999994</v>
      </c>
      <c r="P82" s="259">
        <f ca="1">SUM('Real Estate'!AY27:AY28)/1000</f>
        <v>-327.71694179999992</v>
      </c>
      <c r="Q82" s="259">
        <f ca="1">SUM('Real Estate'!AZ27:AZ28)/1000</f>
        <v>39.680212200000007</v>
      </c>
      <c r="R82" s="259">
        <f ca="1">SUM('Real Estate'!BA27:BA28)/1000</f>
        <v>148.73180819999999</v>
      </c>
      <c r="S82" s="259">
        <f ca="1">SUM('Real Estate'!BB27:BB28)/1000</f>
        <v>132.34865820000002</v>
      </c>
      <c r="T82" s="259">
        <f ca="1">SUM('Real Estate'!BC27:BC28)/1000</f>
        <v>3831.2092121999995</v>
      </c>
      <c r="U82" s="259">
        <f ca="1">SUM('Real Estate'!BD27:BD28)/1000</f>
        <v>-287.26059179999993</v>
      </c>
      <c r="V82" s="259">
        <f ca="1">SUM('Real Estate'!BE27:BE28)/1000</f>
        <v>167.12105819999999</v>
      </c>
      <c r="W82" s="259">
        <f ca="1">SUM('Real Estate'!BF27:BF28)/1000</f>
        <v>1397.50595829285</v>
      </c>
      <c r="X82" s="259">
        <f ca="1">SUM('Real Estate'!BG27:BG28)/1000</f>
        <v>180.82940820000002</v>
      </c>
      <c r="Y82" s="259">
        <f ca="1">SUM('Real Estate'!BH27:BH28)/1000</f>
        <v>167.12105819999999</v>
      </c>
      <c r="Z82" s="259">
        <f ca="1">SUM('Real Estate'!BI27:BI28)/1000</f>
        <v>73.11521220000003</v>
      </c>
      <c r="AB82" s="178">
        <f t="shared" ca="1" si="4"/>
        <v>5073.0641004928502</v>
      </c>
    </row>
  </sheetData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2020B66-430B-49F7-8444-4D987DD5BA39}">
          <x14:formula1>
            <xm:f>'Tech list'!$G$1:$G$2</xm:f>
          </x14:formula1>
          <xm:sqref>A8:B20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230A2-A597-4B2A-B27E-F1786544B549}">
  <sheetPr codeName="Sheet7">
    <tabColor theme="8" tint="0.79998168889431442"/>
  </sheetPr>
  <dimension ref="A1"/>
  <sheetViews>
    <sheetView workbookViewId="0">
      <selection activeCell="S23" sqref="S23"/>
    </sheetView>
  </sheetViews>
  <sheetFormatPr defaultColWidth="9.140625" defaultRowHeight="15" x14ac:dyDescent="0.25"/>
  <cols>
    <col min="1" max="16384" width="9.140625" style="118"/>
  </cols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8">
    <tabColor theme="8" tint="0.79998168889431442"/>
  </sheetPr>
  <dimension ref="A1:CF157"/>
  <sheetViews>
    <sheetView zoomScale="85" zoomScaleNormal="85" workbookViewId="0">
      <selection activeCell="AV1" activeCellId="1" sqref="A29:XFD29 AV1:AV1048576"/>
    </sheetView>
  </sheetViews>
  <sheetFormatPr defaultRowHeight="15" x14ac:dyDescent="0.25"/>
  <cols>
    <col min="1" max="1" width="52.140625" customWidth="1"/>
    <col min="2" max="2" width="26.42578125" bestFit="1" customWidth="1"/>
    <col min="3" max="3" width="13.28515625" bestFit="1" customWidth="1"/>
    <col min="4" max="4" width="16.5703125" customWidth="1"/>
    <col min="5" max="5" width="14.28515625" customWidth="1"/>
    <col min="6" max="7" width="11.7109375" style="22" hidden="1" customWidth="1"/>
    <col min="8" max="8" width="10" style="22" hidden="1" customWidth="1"/>
    <col min="9" max="9" width="14.28515625" customWidth="1"/>
    <col min="10" max="10" width="15.5703125" customWidth="1"/>
    <col min="11" max="11" width="16.28515625" customWidth="1"/>
    <col min="12" max="13" width="13.42578125" customWidth="1"/>
    <col min="14" max="15" width="14.7109375" customWidth="1"/>
    <col min="16" max="16" width="15.42578125" customWidth="1"/>
    <col min="17" max="17" width="20" customWidth="1"/>
    <col min="18" max="18" width="13.42578125" customWidth="1"/>
    <col min="19" max="20" width="14.28515625" style="223" hidden="1" customWidth="1"/>
    <col min="21" max="22" width="13.42578125" customWidth="1"/>
    <col min="23" max="23" width="12.5703125" style="25" customWidth="1"/>
    <col min="24" max="24" width="15.5703125" customWidth="1"/>
    <col min="25" max="25" width="16.85546875" style="25" customWidth="1"/>
    <col min="26" max="26" width="15.5703125" customWidth="1"/>
    <col min="27" max="29" width="12.28515625" customWidth="1"/>
    <col min="30" max="32" width="14.85546875" customWidth="1"/>
    <col min="33" max="33" width="13.28515625" customWidth="1"/>
    <col min="34" max="34" width="14.85546875" customWidth="1"/>
    <col min="35" max="35" width="17.5703125" style="17" customWidth="1"/>
    <col min="36" max="36" width="17.5703125" style="9" customWidth="1"/>
    <col min="37" max="45" width="17.5703125" customWidth="1"/>
    <col min="46" max="46" width="8.28515625" bestFit="1" customWidth="1"/>
    <col min="47" max="48" width="9.28515625" bestFit="1" customWidth="1"/>
    <col min="49" max="54" width="8.28515625" bestFit="1" customWidth="1"/>
    <col min="55" max="55" width="9.28515625" customWidth="1"/>
    <col min="56" max="57" width="8.28515625" bestFit="1" customWidth="1"/>
    <col min="59" max="59" width="10.140625" bestFit="1" customWidth="1"/>
    <col min="68" max="84" width="18.28515625" customWidth="1"/>
  </cols>
  <sheetData>
    <row r="1" spans="1:59" x14ac:dyDescent="0.25">
      <c r="A1" s="82" t="s">
        <v>228</v>
      </c>
      <c r="B1" s="83" t="s">
        <v>227</v>
      </c>
      <c r="C1" s="82" t="s">
        <v>229</v>
      </c>
      <c r="D1" s="82" t="s">
        <v>230</v>
      </c>
      <c r="E1" s="82" t="s">
        <v>231</v>
      </c>
      <c r="F1" s="219" t="s">
        <v>572</v>
      </c>
      <c r="G1" s="219" t="s">
        <v>573</v>
      </c>
      <c r="H1" s="219" t="s">
        <v>49</v>
      </c>
      <c r="I1" s="84" t="s">
        <v>232</v>
      </c>
      <c r="J1" s="85" t="s">
        <v>233</v>
      </c>
      <c r="K1" s="87" t="s">
        <v>234</v>
      </c>
      <c r="L1" s="85" t="s">
        <v>235</v>
      </c>
      <c r="M1" s="86" t="s">
        <v>236</v>
      </c>
      <c r="N1" s="86" t="s">
        <v>29</v>
      </c>
      <c r="O1" s="83" t="s">
        <v>237</v>
      </c>
      <c r="P1" s="83" t="s">
        <v>35</v>
      </c>
      <c r="Q1" s="83" t="s">
        <v>238</v>
      </c>
      <c r="R1" s="84" t="s">
        <v>239</v>
      </c>
      <c r="S1" s="221" t="s">
        <v>846</v>
      </c>
      <c r="T1" s="221" t="s">
        <v>847</v>
      </c>
      <c r="U1" s="82" t="s">
        <v>240</v>
      </c>
      <c r="V1" s="107" t="s">
        <v>241</v>
      </c>
      <c r="W1" s="82" t="s">
        <v>242</v>
      </c>
      <c r="X1" s="82" t="s">
        <v>243</v>
      </c>
      <c r="Y1" s="82" t="s">
        <v>244</v>
      </c>
      <c r="Z1" s="84" t="s">
        <v>245</v>
      </c>
      <c r="AA1" s="84" t="s">
        <v>246</v>
      </c>
      <c r="AB1" s="84" t="s">
        <v>1077</v>
      </c>
      <c r="AC1" s="84" t="s">
        <v>1078</v>
      </c>
      <c r="AD1" s="82" t="s">
        <v>247</v>
      </c>
      <c r="AE1" s="82" t="s">
        <v>1079</v>
      </c>
      <c r="AF1" s="82" t="s">
        <v>1080</v>
      </c>
      <c r="AG1" s="82" t="s">
        <v>960</v>
      </c>
      <c r="AH1" s="207" t="s">
        <v>473</v>
      </c>
      <c r="AI1" s="207" t="s">
        <v>248</v>
      </c>
      <c r="AJ1" s="207" t="s">
        <v>249</v>
      </c>
      <c r="AK1" s="83" t="s">
        <v>250</v>
      </c>
      <c r="AL1" s="83" t="s">
        <v>199</v>
      </c>
      <c r="AM1" s="83" t="s">
        <v>2478</v>
      </c>
      <c r="AN1" s="83" t="s">
        <v>201</v>
      </c>
      <c r="AO1" s="83" t="s">
        <v>253</v>
      </c>
      <c r="AP1" s="83" t="s">
        <v>251</v>
      </c>
      <c r="AQ1" s="83" t="s">
        <v>252</v>
      </c>
      <c r="AR1" s="83" t="s">
        <v>875</v>
      </c>
      <c r="AS1" s="83" t="s">
        <v>876</v>
      </c>
      <c r="AT1" s="245">
        <v>1</v>
      </c>
      <c r="AU1" s="245">
        <v>2</v>
      </c>
      <c r="AV1" s="245">
        <v>3</v>
      </c>
      <c r="AW1" s="245">
        <v>4</v>
      </c>
      <c r="AX1" s="245">
        <v>5</v>
      </c>
      <c r="AY1" s="245">
        <v>6</v>
      </c>
      <c r="AZ1" s="245">
        <v>7</v>
      </c>
      <c r="BA1" s="245">
        <v>8</v>
      </c>
      <c r="BB1" s="245">
        <v>9</v>
      </c>
      <c r="BC1" s="245">
        <v>10</v>
      </c>
      <c r="BD1" s="245">
        <v>11</v>
      </c>
      <c r="BE1" s="245">
        <v>12</v>
      </c>
      <c r="BF1" t="s">
        <v>2535</v>
      </c>
    </row>
    <row r="2" spans="1:59" x14ac:dyDescent="0.25">
      <c r="A2" t="s">
        <v>985</v>
      </c>
      <c r="B2" t="s">
        <v>49</v>
      </c>
      <c r="C2" s="1" t="str">
        <f>IF(T_Bonds[[#This Row],[Call date]]&lt;&gt;"","Callable","Maturity")</f>
        <v>Maturity</v>
      </c>
      <c r="D2" t="s">
        <v>986</v>
      </c>
      <c r="E2" t="s">
        <v>21</v>
      </c>
      <c r="F2" s="22">
        <f>IFERROR(INDEX('V004'!D:E,MATCH(D2,'V004'!D:D,0),2),0)</f>
        <v>0</v>
      </c>
      <c r="G2" s="22">
        <f>IFERROR(INDEX('V001'!D:E,MATCH(D2,'V001'!D:D,0),2),0)</f>
        <v>0</v>
      </c>
      <c r="H2" s="22">
        <f>IFERROR(INDEX(UBS!C:D,MATCH(D2,UBS!D:D,0),1),0)</f>
        <v>500000</v>
      </c>
      <c r="I2" s="300">
        <f>SUM(T_Bonds[[#This Row],[V1412]:[UBS]])</f>
        <v>500000</v>
      </c>
      <c r="J2" s="76">
        <f t="shared" ref="J2:J32" si="0">LEFT(A2,FIND("%",A2,1))+1-1</f>
        <v>8.8000000000000078E-2</v>
      </c>
      <c r="K2" s="73">
        <f t="shared" ref="K2:K37" si="1">J2*I2</f>
        <v>44000.000000000036</v>
      </c>
      <c r="L2" s="73">
        <f t="shared" ref="L2:L37" ca="1" si="2">IF(Y2&lt;&gt;1,I2*J2*Y2,I2*J2)</f>
        <v>50912.400000000045</v>
      </c>
      <c r="M2" s="17">
        <v>46934</v>
      </c>
      <c r="N2" s="5">
        <f>IFERROR(INDEX(Cbonds!C:H,MATCH(D2,Cbonds!C:C,0),4)/100,0)</f>
        <v>0</v>
      </c>
      <c r="O2" s="6">
        <v>0.03</v>
      </c>
      <c r="P2" s="91">
        <f>T_Bonds[[#This Row],[Market price]]-T_Bonds[[#This Row],[Cost price]]</f>
        <v>-0.24949999999999994</v>
      </c>
      <c r="Q2" s="91">
        <f>T_Bonds[[#This Row],[Coupon]]/T_Bonds[[#This Row],[Cost price]]</f>
        <v>9.2050209205021008E-2</v>
      </c>
      <c r="R2" s="108">
        <f t="shared" ref="R2:R37" si="3">N2*I2</f>
        <v>0</v>
      </c>
      <c r="S2" s="222">
        <f>IFERROR(INDEX('V004'!D:J,MATCH(D2,'V004'!D:D,0),7),0)</f>
        <v>0</v>
      </c>
      <c r="T2" s="222">
        <f>IFERROR(INDEX('V001'!D:J,MATCH(D2,'V001'!D:D,0),7),0)</f>
        <v>0</v>
      </c>
      <c r="U2" s="483">
        <v>0.95599999999999996</v>
      </c>
      <c r="V2" s="73">
        <f t="shared" ref="V2:V37" si="4">I2*J2/U2</f>
        <v>46025.104602510502</v>
      </c>
      <c r="W2" s="4">
        <v>1.0497000000000001</v>
      </c>
      <c r="X2" s="751">
        <v>0.70650000000000002</v>
      </c>
      <c r="Y2" s="4">
        <f ca="1">INDEX('Tech list'!A:C,MATCH(T_Bonds[[#This Row],[Risk CCY]],'Tech list'!A:A,0),3)</f>
        <v>1.1571</v>
      </c>
      <c r="Z2" s="100">
        <f>T_Bonds[[#This Row],[Market price]]*T_Bonds[[#This Row],[Quantity]]</f>
        <v>353250</v>
      </c>
      <c r="AA2" s="73">
        <f t="shared" ref="AA2:AA37" ca="1" si="5">IF(E2&lt;&gt;"USD",X2*Y2*I2,X2*I2)</f>
        <v>408745.57500000001</v>
      </c>
      <c r="AB2" s="73">
        <f ca="1">T_Bonds[[#This Row],[Market value in CCY]]+T_Bonds[[#This Row],[AI, CCY]]</f>
        <v>380354.97237569065</v>
      </c>
      <c r="AC2" s="73">
        <f ca="1">T_Bonds[[#This Row],[Market value in USD]]+T_Bonds[[#This Row],[AI, USD]]</f>
        <v>440108.73853591166</v>
      </c>
      <c r="AD2" s="73">
        <f t="shared" ref="AD2:AD37" si="6">U2*I2</f>
        <v>478000</v>
      </c>
      <c r="AE2" s="75">
        <f ca="1">(T_Bonds[[#This Row],[Coupon in Loc.Curr]]/T_Bonds[[#This Row],[Coupons per annum]])*((TODAY()-EDATE(T_Bonds[[#This Row],[Next coupon date]],-12/T_Bonds[[#This Row],[Coupons per annum]]))/IF(T_Bonds[[#This Row],[Coupons per annum]]=2,181,IF(T_Bonds[[#This Row],[Coupons per annum]]=4,91,360)))</f>
        <v>27104.972375690631</v>
      </c>
      <c r="AF2" s="73">
        <f ca="1">T_Bonds[[#This Row],[AI, CCY]]*T_Bonds[[#This Row],[Exchange rate, N]]</f>
        <v>31363.16353591163</v>
      </c>
      <c r="AG2" s="311">
        <f>IFERROR(IF(INDEX(Cbonds!C:AC,MATCH(D2,Cbonds!C:C,0),27)&gt;5000,0,INDEX(Cbonds!C:AC,MATCH(D2,Cbonds!C:C,0),27)),0)</f>
        <v>0</v>
      </c>
      <c r="AH2" s="73">
        <v>0</v>
      </c>
      <c r="AK2" t="s">
        <v>254</v>
      </c>
      <c r="AL2" t="s">
        <v>255</v>
      </c>
      <c r="AM2" t="s">
        <v>2476</v>
      </c>
      <c r="AN2" t="s">
        <v>256</v>
      </c>
      <c r="AO2" s="341">
        <v>2</v>
      </c>
      <c r="AP2" s="342">
        <v>46052</v>
      </c>
      <c r="AQ2" s="17">
        <f>EDATE(T_Bonds[[#This Row],[Next coupon date]],12/T_Bonds[[#This Row],[Coupons per annum]])</f>
        <v>46233</v>
      </c>
      <c r="AR2" s="17">
        <f>EDATE(T_Bonds[[#This Row],[Second next coupon date]],12/$AO2)</f>
        <v>46417</v>
      </c>
      <c r="AS2" s="17">
        <f>EDATE(T_Bonds[[#This Row],[Coupon date 3]],12/$AO2)</f>
        <v>46598</v>
      </c>
      <c r="AT2" s="25">
        <f>IF(
OR(
AT$1=MONTH($AP2),
AT$1=MONTH($AQ2),
AT$1=MONTH($AR2),
AT$1=MONTH($AS2)),
IF('CF USD'!$A$8="On",$L2,$K2)/T_Bonds[[#This Row],[Coupons per annum]],0)</f>
        <v>22000.000000000018</v>
      </c>
      <c r="AU2" s="25">
        <f>IF(
OR(
AU$1=MONTH($AP2),
AU$1=MONTH($AQ2),
AU$1=MONTH($AR2),
AU$1=MONTH($AS2)),
IF('CF USD'!$A$8="On",$L2,$K2)/T_Bonds[[#This Row],[Coupons per annum]],0)</f>
        <v>0</v>
      </c>
      <c r="AV2" s="25">
        <f>IF(
OR(
AV$1=MONTH($AP2),
AV$1=MONTH($AQ2),
AV$1=MONTH($AR2),
AV$1=MONTH($AS2)),
IF('CF USD'!$A$8="On",$L2,$K2)/T_Bonds[[#This Row],[Coupons per annum]],0)</f>
        <v>0</v>
      </c>
      <c r="AW2" s="25">
        <f>IF(
OR(
AW$1=MONTH($AP2),
AW$1=MONTH($AQ2),
AW$1=MONTH($AR2),
AW$1=MONTH($AS2)),
IF('CF USD'!$A$8="On",$L2,$K2)/T_Bonds[[#This Row],[Coupons per annum]],0)</f>
        <v>0</v>
      </c>
      <c r="AX2" s="25">
        <f>IF(
OR(
AX$1=MONTH($AP2),
AX$1=MONTH($AQ2),
AX$1=MONTH($AR2),
AX$1=MONTH($AS2)),
IF('CF USD'!$A$8="On",$L2,$K2)/T_Bonds[[#This Row],[Coupons per annum]],0)</f>
        <v>0</v>
      </c>
      <c r="AY2" s="25">
        <f>IF(
OR(
AY$1=MONTH($AP2),
AY$1=MONTH($AQ2),
AY$1=MONTH($AR2),
AY$1=MONTH($AS2)),
IF('CF USD'!$A$8="On",$L2,$K2)/T_Bonds[[#This Row],[Coupons per annum]],0)</f>
        <v>0</v>
      </c>
      <c r="AZ2" s="25">
        <f>IF(
OR(
AZ$1=MONTH($AP2),
AZ$1=MONTH($AQ2),
AZ$1=MONTH($AR2),
AZ$1=MONTH($AS2)),
IF('CF USD'!$A$8="On",$L2,$K2)/T_Bonds[[#This Row],[Coupons per annum]],0)</f>
        <v>22000.000000000018</v>
      </c>
      <c r="BA2" s="25">
        <f>IF(
OR(
BA$1=MONTH($AP2),
BA$1=MONTH($AQ2),
BA$1=MONTH($AR2),
BA$1=MONTH($AS2)),
IF('CF USD'!$A$8="On",$L2,$K2)/T_Bonds[[#This Row],[Coupons per annum]],0)</f>
        <v>0</v>
      </c>
      <c r="BB2" s="25">
        <f>IF(
OR(
BB$1=MONTH($AP2),
BB$1=MONTH($AQ2),
BB$1=MONTH($AR2),
BB$1=MONTH($AS2)),
IF('CF USD'!$A$8="On",$L2,$K2)/T_Bonds[[#This Row],[Coupons per annum]],0)</f>
        <v>0</v>
      </c>
      <c r="BC2" s="25">
        <f>IF(
OR(
BC$1=MONTH($AP2),
BC$1=MONTH($AQ2),
BC$1=MONTH($AR2),
BC$1=MONTH($AS2)),
IF('CF USD'!$A$8="On",$L2,$K2)/T_Bonds[[#This Row],[Coupons per annum]],0)</f>
        <v>0</v>
      </c>
      <c r="BD2" s="25">
        <f>IF(
OR(
BD$1=MONTH($AP2),
BD$1=MONTH($AQ2),
BD$1=MONTH($AR2),
BD$1=MONTH($AS2)),
IF('CF USD'!$A$8="On",$L2,$K2)/T_Bonds[[#This Row],[Coupons per annum]],0)</f>
        <v>0</v>
      </c>
      <c r="BE2" s="25">
        <f>IF(
OR(
BE$1=MONTH($AP2),
BE$1=MONTH($AQ2),
BE$1=MONTH($AR2),
BE$1=MONTH($AS2)),
IF('CF USD'!$A$8="On",$L2,$K2)/T_Bonds[[#This Row],[Coupons per annum]],0)</f>
        <v>0</v>
      </c>
      <c r="BF2">
        <f>DAY(T_Bonds[[#This Row],[Next coupon date]])</f>
        <v>30</v>
      </c>
      <c r="BG2" s="17"/>
    </row>
    <row r="3" spans="1:59" x14ac:dyDescent="0.25">
      <c r="A3" s="22" t="s">
        <v>365</v>
      </c>
      <c r="B3" s="22" t="s">
        <v>366</v>
      </c>
      <c r="C3" s="120" t="str">
        <f>IF(T_Bonds[[#This Row],[Call date]]&lt;&gt;"","Callable","Maturity")</f>
        <v>Maturity</v>
      </c>
      <c r="D3" t="s">
        <v>367</v>
      </c>
      <c r="E3" s="120" t="s">
        <v>19</v>
      </c>
      <c r="F3" s="481">
        <v>400000</v>
      </c>
      <c r="G3" s="24">
        <f>IFERROR(INDEX('V001'!D:E,MATCH(D3,'V001'!D:D,0),2),0)</f>
        <v>0</v>
      </c>
      <c r="H3" s="24">
        <f>IFERROR(INDEX(UBS!C:D,MATCH(D3,UBS!D:D,0),1),0)</f>
        <v>0</v>
      </c>
      <c r="I3" s="482">
        <f>SUM(T_Bonds[[#This Row],[V1412]:[UBS]])</f>
        <v>400000</v>
      </c>
      <c r="J3" s="121">
        <v>5.7500000000000002E-2</v>
      </c>
      <c r="K3" s="122">
        <f t="shared" ref="K3:K13" si="7">J3*I3</f>
        <v>23000</v>
      </c>
      <c r="L3" s="122">
        <f t="shared" ref="L3:L13" ca="1" si="8">IF(Y3&lt;&gt;1,I3*J3*Y3,I3*J3)</f>
        <v>30760.199999999997</v>
      </c>
      <c r="M3" s="123">
        <v>51393</v>
      </c>
      <c r="N3" s="5">
        <v>6.0511986685982004E-2</v>
      </c>
      <c r="O3" s="6">
        <f>IFERROR(INDEX(Cbonds!C:H,MATCH(D3,Cbonds!C:C,0),5),0)</f>
        <v>10.036616741777999</v>
      </c>
      <c r="P3" s="91">
        <f>T_Bonds[[#This Row],[Market price]]-T_Bonds[[#This Row],[Cost price]]</f>
        <v>8.6100000000000065E-3</v>
      </c>
      <c r="Q3" s="91">
        <f>T_Bonds[[#This Row],[Coupon]]/T_Bonds[[#This Row],[Cost price]]</f>
        <v>5.8854235969661925E-2</v>
      </c>
      <c r="R3" s="124">
        <f t="shared" ref="R3:R13" si="9">N3*I3</f>
        <v>24204.794674392801</v>
      </c>
      <c r="S3" s="477">
        <v>0.97699000000000003</v>
      </c>
      <c r="T3" s="479">
        <f>IFERROR(VLOOKUP(D3,'V001'!$D:$J,7,0),0)</f>
        <v>0</v>
      </c>
      <c r="U3" s="483">
        <f>IFERROR(S3*T_Bonds[[#This Row],[V1412]]/(T_Bonds[[#This Row],[V1412]]+T_Bonds[[#This Row],[V1430]])+T3*T_Bonds[[#This Row],[V1430]]/(T_Bonds[[#This Row],[V1412]]+T_Bonds[[#This Row],[V1430]]),0)</f>
        <v>0.97699000000000003</v>
      </c>
      <c r="V3" s="122">
        <f t="shared" ref="V3:V13" si="10">I3*J3/U3</f>
        <v>23541.694387864769</v>
      </c>
      <c r="W3" s="4">
        <v>1.29331</v>
      </c>
      <c r="X3" s="299">
        <f>IFERROR(INDEX(Cbonds!C:AF,MATCH(D3,Cbonds!C:C,0),30)/100,0)</f>
        <v>0.98560000000000003</v>
      </c>
      <c r="Y3" s="126">
        <f ca="1">INDEX('Tech list'!A:C,MATCH(T_Bonds[[#This Row],[Risk CCY]],'Tech list'!A:A,0),3)</f>
        <v>1.3373999999999999</v>
      </c>
      <c r="Z3" s="127">
        <f>T_Bonds[[#This Row],[Market price]]*T_Bonds[[#This Row],[Quantity]]</f>
        <v>394240</v>
      </c>
      <c r="AA3" s="127">
        <f t="shared" ref="AA3:AA13" ca="1" si="11">IF(E3&lt;&gt;"USD",X3*Y3*I3,X3*I3)</f>
        <v>527256.576</v>
      </c>
      <c r="AB3" s="73">
        <f ca="1">T_Bonds[[#This Row],[Market value in CCY]]+T_Bonds[[#This Row],[AI, CCY]]</f>
        <v>405548.33333333331</v>
      </c>
      <c r="AC3" s="73">
        <f ca="1">T_Bonds[[#This Row],[Market value in USD]]+T_Bonds[[#This Row],[AI, USD]]</f>
        <v>542380.34100000001</v>
      </c>
      <c r="AD3" s="127">
        <f t="shared" ref="AD3:AD13" si="12">U3*I3</f>
        <v>390796</v>
      </c>
      <c r="AE3" s="75">
        <f ca="1">(T_Bonds[[#This Row],[Coupon in Loc.Curr]]/T_Bonds[[#This Row],[Coupons per annum]])*((TODAY()-EDATE(T_Bonds[[#This Row],[Next coupon date]],-12/T_Bonds[[#This Row],[Coupons per annum]])))/(360/T_Bonds[[#This Row],[Coupons per annum]])</f>
        <v>11308.333333333334</v>
      </c>
      <c r="AF3" s="73">
        <f ca="1">T_Bonds[[#This Row],[AI, CCY]]*T_Bonds[[#This Row],[Exchange rate, N]]</f>
        <v>15123.764999999999</v>
      </c>
      <c r="AG3" s="311">
        <f>IFERROR(IF(INDEX(Cbonds!C:AC,MATCH(D3,Cbonds!C:C,0),27)&gt;5000,0,INDEX(Cbonds!C:AC,MATCH(D3,Cbonds!C:C,0),27)),0)</f>
        <v>0</v>
      </c>
      <c r="AH3" s="73">
        <v>75</v>
      </c>
      <c r="AJ3" s="210"/>
      <c r="AK3" t="s">
        <v>295</v>
      </c>
      <c r="AL3" t="s">
        <v>460</v>
      </c>
      <c r="AM3" t="s">
        <v>2475</v>
      </c>
      <c r="AN3" t="s">
        <v>461</v>
      </c>
      <c r="AO3" s="320">
        <v>1</v>
      </c>
      <c r="AP3" s="17">
        <f>IFERROR(INDEX(Cbonds!C:H,MATCH(D3,Cbonds!C:C,0),3),0)</f>
        <v>46279</v>
      </c>
      <c r="AQ3" s="17">
        <f>EDATE(T_Bonds[[#This Row],[Next coupon date]],12/T_Bonds[[#This Row],[Coupons per annum]])</f>
        <v>46644</v>
      </c>
      <c r="AR3" s="17">
        <f>EDATE(T_Bonds[[#This Row],[Second next coupon date]],12/$AO3)</f>
        <v>47010</v>
      </c>
      <c r="AS3" s="17">
        <f>EDATE(T_Bonds[[#This Row],[Coupon date 3]],12/$AO3)</f>
        <v>47375</v>
      </c>
      <c r="AT3" s="25">
        <f>IF(
OR(
AT$1=MONTH($AP3),
AT$1=MONTH($AQ3),
AT$1=MONTH($AR3),
AT$1=MONTH($AS3)),
IF('CF USD'!$A$8="On",$L3,$K3)/T_Bonds[[#This Row],[Coupons per annum]],0)</f>
        <v>0</v>
      </c>
      <c r="AU3" s="25">
        <f>IF(
OR(
AU$1=MONTH($AP3),
AU$1=MONTH($AQ3),
AU$1=MONTH($AR3),
AU$1=MONTH($AS3)),
IF('CF USD'!$A$8="On",$L3,$K3)/T_Bonds[[#This Row],[Coupons per annum]],0)</f>
        <v>0</v>
      </c>
      <c r="AV3" s="25">
        <f>IF(
OR(
AV$1=MONTH($AP3),
AV$1=MONTH($AQ3),
AV$1=MONTH($AR3),
AV$1=MONTH($AS3)),
IF('CF USD'!$A$8="On",$L3,$K3)/T_Bonds[[#This Row],[Coupons per annum]],0)</f>
        <v>0</v>
      </c>
      <c r="AW3" s="25">
        <f>IF(
OR(
AW$1=MONTH($AP3),
AW$1=MONTH($AQ3),
AW$1=MONTH($AR3),
AW$1=MONTH($AS3)),
IF('CF USD'!$A$8="On",$L3,$K3)/T_Bonds[[#This Row],[Coupons per annum]],0)</f>
        <v>0</v>
      </c>
      <c r="AX3" s="25">
        <f>IF(
OR(
AX$1=MONTH($AP3),
AX$1=MONTH($AQ3),
AX$1=MONTH($AR3),
AX$1=MONTH($AS3)),
IF('CF USD'!$A$8="On",$L3,$K3)/T_Bonds[[#This Row],[Coupons per annum]],0)</f>
        <v>0</v>
      </c>
      <c r="AY3" s="25">
        <f>IF(
OR(
AY$1=MONTH($AP3),
AY$1=MONTH($AQ3),
AY$1=MONTH($AR3),
AY$1=MONTH($AS3)),
IF('CF USD'!$A$8="On",$L3,$K3)/T_Bonds[[#This Row],[Coupons per annum]],0)</f>
        <v>0</v>
      </c>
      <c r="AZ3" s="25">
        <f>IF(
OR(
AZ$1=MONTH($AP3),
AZ$1=MONTH($AQ3),
AZ$1=MONTH($AR3),
AZ$1=MONTH($AS3)),
IF('CF USD'!$A$8="On",$L3,$K3)/T_Bonds[[#This Row],[Coupons per annum]],0)</f>
        <v>0</v>
      </c>
      <c r="BA3" s="25">
        <f>IF(
OR(
BA$1=MONTH($AP3),
BA$1=MONTH($AQ3),
BA$1=MONTH($AR3),
BA$1=MONTH($AS3)),
IF('CF USD'!$A$8="On",$L3,$K3)/T_Bonds[[#This Row],[Coupons per annum]],0)</f>
        <v>0</v>
      </c>
      <c r="BB3" s="25">
        <f>IF(
OR(
BB$1=MONTH($AP3),
BB$1=MONTH($AQ3),
BB$1=MONTH($AR3),
BB$1=MONTH($AS3)),
IF('CF USD'!$A$8="On",$L3,$K3)/T_Bonds[[#This Row],[Coupons per annum]],0)</f>
        <v>23000</v>
      </c>
      <c r="BC3" s="25">
        <f>IF(
OR(
BC$1=MONTH($AP3),
BC$1=MONTH($AQ3),
BC$1=MONTH($AR3),
BC$1=MONTH($AS3)),
IF('CF USD'!$A$8="On",$L3,$K3)/T_Bonds[[#This Row],[Coupons per annum]],0)</f>
        <v>0</v>
      </c>
      <c r="BD3" s="25">
        <f>IF(
OR(
BD$1=MONTH($AP3),
BD$1=MONTH($AQ3),
BD$1=MONTH($AR3),
BD$1=MONTH($AS3)),
IF('CF USD'!$A$8="On",$L3,$K3)/T_Bonds[[#This Row],[Coupons per annum]],0)</f>
        <v>0</v>
      </c>
      <c r="BE3" s="25">
        <f>IF(
OR(
BE$1=MONTH($AP3),
BE$1=MONTH($AQ3),
BE$1=MONTH($AR3),
BE$1=MONTH($AS3)),
IF('CF USD'!$A$8="On",$L3,$K3)/T_Bonds[[#This Row],[Coupons per annum]],0)</f>
        <v>0</v>
      </c>
      <c r="BF3">
        <f>DAY(T_Bonds[[#This Row],[Next coupon date]])</f>
        <v>14</v>
      </c>
    </row>
    <row r="4" spans="1:59" x14ac:dyDescent="0.25">
      <c r="A4" s="22" t="s">
        <v>368</v>
      </c>
      <c r="B4" s="22" t="s">
        <v>366</v>
      </c>
      <c r="C4" s="120" t="str">
        <f>IF(T_Bonds[[#This Row],[Call date]]&lt;&gt;"","Callable","Maturity")</f>
        <v>Maturity</v>
      </c>
      <c r="D4" t="s">
        <v>369</v>
      </c>
      <c r="E4" s="120" t="s">
        <v>19</v>
      </c>
      <c r="F4" s="481">
        <v>400000</v>
      </c>
      <c r="G4" s="24">
        <f>IFERROR(INDEX('V001'!D:E,MATCH(D4,'V001'!D:D,0),2),0)</f>
        <v>0</v>
      </c>
      <c r="H4" s="24">
        <f>IFERROR(INDEX(UBS!C:D,MATCH(D4,UBS!D:D,0),1),0)</f>
        <v>0</v>
      </c>
      <c r="I4" s="482">
        <f>SUM(T_Bonds[[#This Row],[V1412]:[UBS]])</f>
        <v>400000</v>
      </c>
      <c r="J4" s="121">
        <v>6.6250000000000003E-2</v>
      </c>
      <c r="K4" s="122">
        <f t="shared" si="7"/>
        <v>26500</v>
      </c>
      <c r="L4" s="122">
        <f t="shared" ca="1" si="8"/>
        <v>35441.1</v>
      </c>
      <c r="M4" s="123">
        <v>48960</v>
      </c>
      <c r="N4" s="5">
        <v>6.9538569910451001E-2</v>
      </c>
      <c r="O4" s="6">
        <f>IFERROR(INDEX(Cbonds!C:H,MATCH(D4,Cbonds!C:C,0),5),0)</f>
        <v>6.4463968395588997</v>
      </c>
      <c r="P4" s="91">
        <f>T_Bonds[[#This Row],[Market price]]-T_Bonds[[#This Row],[Cost price]]</f>
        <v>2.3370000000000002E-2</v>
      </c>
      <c r="Q4" s="91">
        <f>T_Bonds[[#This Row],[Coupon]]/T_Bonds[[#This Row],[Cost price]]</f>
        <v>6.6481355115802998E-2</v>
      </c>
      <c r="R4" s="124">
        <f t="shared" si="9"/>
        <v>27815.427964180399</v>
      </c>
      <c r="S4" s="477">
        <v>0.99651999999999996</v>
      </c>
      <c r="T4" s="479">
        <f>IFERROR(VLOOKUP(D4,'V001'!$D:$J,7,0),0)</f>
        <v>0</v>
      </c>
      <c r="U4" s="483">
        <f>IFERROR(S4*T_Bonds[[#This Row],[V1412]]/(T_Bonds[[#This Row],[V1412]]+T_Bonds[[#This Row],[V1430]])+T4*T_Bonds[[#This Row],[V1430]]/(T_Bonds[[#This Row],[V1412]]+T_Bonds[[#This Row],[V1430]]),0)</f>
        <v>0.99651999999999996</v>
      </c>
      <c r="V4" s="122">
        <f t="shared" si="10"/>
        <v>26592.542046321199</v>
      </c>
      <c r="W4" s="4">
        <v>1.29331</v>
      </c>
      <c r="X4" s="299">
        <f>IFERROR(INDEX(Cbonds!C:AF,MATCH(D4,Cbonds!C:C,0),30)/100,0)</f>
        <v>1.01989</v>
      </c>
      <c r="Y4" s="126">
        <f ca="1">INDEX('Tech list'!A:C,MATCH(T_Bonds[[#This Row],[Risk CCY]],'Tech list'!A:A,0),3)</f>
        <v>1.3373999999999999</v>
      </c>
      <c r="Z4" s="127">
        <f>T_Bonds[[#This Row],[Market price]]*T_Bonds[[#This Row],[Quantity]]</f>
        <v>407956</v>
      </c>
      <c r="AA4" s="127">
        <f t="shared" ca="1" si="11"/>
        <v>545600.35439999995</v>
      </c>
      <c r="AB4" s="73">
        <f ca="1">T_Bonds[[#This Row],[Market value in CCY]]+T_Bonds[[#This Row],[AI, CCY]]</f>
        <v>411857.38888888888</v>
      </c>
      <c r="AC4" s="73">
        <f ca="1">T_Bonds[[#This Row],[Market value in USD]]+T_Bonds[[#This Row],[AI, USD]]</f>
        <v>550818.07189999998</v>
      </c>
      <c r="AD4" s="127">
        <f t="shared" si="12"/>
        <v>398608</v>
      </c>
      <c r="AE4" s="75">
        <f ca="1">(T_Bonds[[#This Row],[Coupon in Loc.Curr]]/T_Bonds[[#This Row],[Coupons per annum]])*((TODAY()-EDATE(T_Bonds[[#This Row],[Next coupon date]],-12/T_Bonds[[#This Row],[Coupons per annum]])))/(360/T_Bonds[[#This Row],[Coupons per annum]])</f>
        <v>3901.3888888888887</v>
      </c>
      <c r="AF4" s="73">
        <f ca="1">T_Bonds[[#This Row],[AI, CCY]]*T_Bonds[[#This Row],[Exchange rate, N]]</f>
        <v>5217.7174999999997</v>
      </c>
      <c r="AG4" s="311">
        <f>IFERROR(IF(INDEX(Cbonds!C:AC,MATCH(D4,Cbonds!C:C,0),27)&gt;5000,0,INDEX(Cbonds!C:AC,MATCH(D4,Cbonds!C:C,0),27)),0)</f>
        <v>0</v>
      </c>
      <c r="AH4" s="73">
        <v>30</v>
      </c>
      <c r="AJ4" s="210"/>
      <c r="AK4" t="s">
        <v>258</v>
      </c>
      <c r="AL4" t="s">
        <v>276</v>
      </c>
      <c r="AM4" t="s">
        <v>2476</v>
      </c>
      <c r="AN4" t="s">
        <v>292</v>
      </c>
      <c r="AO4" s="320">
        <v>1</v>
      </c>
      <c r="AP4" s="17">
        <f>IFERROR(INDEX(Cbonds!C:H,MATCH(D4,Cbonds!C:C,0),3),0)</f>
        <v>46403</v>
      </c>
      <c r="AQ4" s="17">
        <f>EDATE(T_Bonds[[#This Row],[Next coupon date]],12/T_Bonds[[#This Row],[Coupons per annum]])</f>
        <v>46768</v>
      </c>
      <c r="AR4" s="17">
        <f>EDATE(T_Bonds[[#This Row],[Second next coupon date]],12/$AO4)</f>
        <v>47134</v>
      </c>
      <c r="AS4" s="17">
        <f>EDATE(T_Bonds[[#This Row],[Coupon date 3]],12/$AO4)</f>
        <v>47499</v>
      </c>
      <c r="AT4" s="25">
        <f>IF(
OR(
AT$1=MONTH($AP4),
AT$1=MONTH($AQ4),
AT$1=MONTH($AR4),
AT$1=MONTH($AS4)),
IF('CF USD'!$A$8="On",$L4,$K4)/T_Bonds[[#This Row],[Coupons per annum]],0)</f>
        <v>26500</v>
      </c>
      <c r="AU4" s="25">
        <f>IF(
OR(
AU$1=MONTH($AP4),
AU$1=MONTH($AQ4),
AU$1=MONTH($AR4),
AU$1=MONTH($AS4)),
IF('CF USD'!$A$8="On",$L4,$K4)/T_Bonds[[#This Row],[Coupons per annum]],0)</f>
        <v>0</v>
      </c>
      <c r="AV4" s="25">
        <f>IF(
OR(
AV$1=MONTH($AP4),
AV$1=MONTH($AQ4),
AV$1=MONTH($AR4),
AV$1=MONTH($AS4)),
IF('CF USD'!$A$8="On",$L4,$K4)/T_Bonds[[#This Row],[Coupons per annum]],0)</f>
        <v>0</v>
      </c>
      <c r="AW4" s="25">
        <f>IF(
OR(
AW$1=MONTH($AP4),
AW$1=MONTH($AQ4),
AW$1=MONTH($AR4),
AW$1=MONTH($AS4)),
IF('CF USD'!$A$8="On",$L4,$K4)/T_Bonds[[#This Row],[Coupons per annum]],0)</f>
        <v>0</v>
      </c>
      <c r="AX4" s="25">
        <f>IF(
OR(
AX$1=MONTH($AP4),
AX$1=MONTH($AQ4),
AX$1=MONTH($AR4),
AX$1=MONTH($AS4)),
IF('CF USD'!$A$8="On",$L4,$K4)/T_Bonds[[#This Row],[Coupons per annum]],0)</f>
        <v>0</v>
      </c>
      <c r="AY4" s="25">
        <f>IF(
OR(
AY$1=MONTH($AP4),
AY$1=MONTH($AQ4),
AY$1=MONTH($AR4),
AY$1=MONTH($AS4)),
IF('CF USD'!$A$8="On",$L4,$K4)/T_Bonds[[#This Row],[Coupons per annum]],0)</f>
        <v>0</v>
      </c>
      <c r="AZ4" s="25">
        <f>IF(
OR(
AZ$1=MONTH($AP4),
AZ$1=MONTH($AQ4),
AZ$1=MONTH($AR4),
AZ$1=MONTH($AS4)),
IF('CF USD'!$A$8="On",$L4,$K4)/T_Bonds[[#This Row],[Coupons per annum]],0)</f>
        <v>0</v>
      </c>
      <c r="BA4" s="25">
        <f>IF(
OR(
BA$1=MONTH($AP4),
BA$1=MONTH($AQ4),
BA$1=MONTH($AR4),
BA$1=MONTH($AS4)),
IF('CF USD'!$A$8="On",$L4,$K4)/T_Bonds[[#This Row],[Coupons per annum]],0)</f>
        <v>0</v>
      </c>
      <c r="BB4" s="25">
        <f>IF(
OR(
BB$1=MONTH($AP4),
BB$1=MONTH($AQ4),
BB$1=MONTH($AR4),
BB$1=MONTH($AS4)),
IF('CF USD'!$A$8="On",$L4,$K4)/T_Bonds[[#This Row],[Coupons per annum]],0)</f>
        <v>0</v>
      </c>
      <c r="BC4" s="25">
        <f>IF(
OR(
BC$1=MONTH($AP4),
BC$1=MONTH($AQ4),
BC$1=MONTH($AR4),
BC$1=MONTH($AS4)),
IF('CF USD'!$A$8="On",$L4,$K4)/T_Bonds[[#This Row],[Coupons per annum]],0)</f>
        <v>0</v>
      </c>
      <c r="BD4" s="25">
        <f>IF(
OR(
BD$1=MONTH($AP4),
BD$1=MONTH($AQ4),
BD$1=MONTH($AR4),
BD$1=MONTH($AS4)),
IF('CF USD'!$A$8="On",$L4,$K4)/T_Bonds[[#This Row],[Coupons per annum]],0)</f>
        <v>0</v>
      </c>
      <c r="BE4" s="25">
        <f>IF(
OR(
BE$1=MONTH($AP4),
BE$1=MONTH($AQ4),
BE$1=MONTH($AR4),
BE$1=MONTH($AS4)),
IF('CF USD'!$A$8="On",$L4,$K4)/T_Bonds[[#This Row],[Coupons per annum]],0)</f>
        <v>0</v>
      </c>
      <c r="BF4">
        <f>DAY(T_Bonds[[#This Row],[Next coupon date]])</f>
        <v>16</v>
      </c>
    </row>
    <row r="5" spans="1:59" x14ac:dyDescent="0.25">
      <c r="A5" s="22" t="s">
        <v>370</v>
      </c>
      <c r="B5" s="22" t="s">
        <v>366</v>
      </c>
      <c r="C5" s="120" t="str">
        <f>IF(T_Bonds[[#This Row],[Call date]]&lt;&gt;"","Callable","Maturity")</f>
        <v>Maturity</v>
      </c>
      <c r="D5" t="s">
        <v>371</v>
      </c>
      <c r="E5" s="120" t="s">
        <v>19</v>
      </c>
      <c r="F5" s="481">
        <v>400000</v>
      </c>
      <c r="G5" s="24">
        <f>IFERROR(INDEX('V001'!D:E,MATCH(D5,'V001'!D:D,0),2),0)</f>
        <v>0</v>
      </c>
      <c r="H5" s="24">
        <f>IFERROR(INDEX(UBS!C:D,MATCH(D5,UBS!D:D,0),1),0)</f>
        <v>0</v>
      </c>
      <c r="I5" s="482">
        <f>SUM(T_Bonds[[#This Row],[V1412]:[UBS]])</f>
        <v>400000</v>
      </c>
      <c r="J5" s="121">
        <v>5.7570000000000003E-2</v>
      </c>
      <c r="K5" s="122">
        <f t="shared" si="7"/>
        <v>23028</v>
      </c>
      <c r="L5" s="122">
        <f t="shared" ca="1" si="8"/>
        <v>30797.647199999999</v>
      </c>
      <c r="M5" s="123">
        <v>47603</v>
      </c>
      <c r="N5" s="5">
        <v>6.1797715801721005E-2</v>
      </c>
      <c r="O5" s="6">
        <f>IFERROR(INDEX(Cbonds!C:H,MATCH(D5,Cbonds!C:C,0),5),0)</f>
        <v>3.7372558443619002</v>
      </c>
      <c r="P5" s="91">
        <f>T_Bonds[[#This Row],[Market price]]-T_Bonds[[#This Row],[Cost price]]</f>
        <v>1.8800000000000039E-2</v>
      </c>
      <c r="Q5" s="91">
        <f>T_Bonds[[#This Row],[Coupon]]/T_Bonds[[#This Row],[Cost price]]</f>
        <v>5.8192661477812602E-2</v>
      </c>
      <c r="R5" s="124">
        <f t="shared" si="9"/>
        <v>24719.086320688402</v>
      </c>
      <c r="S5" s="477">
        <v>0.98929999999999996</v>
      </c>
      <c r="T5" s="480">
        <f>IFERROR(VLOOKUP(D5,'V001'!$D:$J,7,0),0)</f>
        <v>0</v>
      </c>
      <c r="U5" s="483">
        <f>IFERROR(S5*T_Bonds[[#This Row],[V1412]]/(T_Bonds[[#This Row],[V1412]]+T_Bonds[[#This Row],[V1430]])+T5*T_Bonds[[#This Row],[V1430]]/(T_Bonds[[#This Row],[V1412]]+T_Bonds[[#This Row],[V1430]]),0)</f>
        <v>0.98929999999999996</v>
      </c>
      <c r="V5" s="122">
        <f t="shared" si="10"/>
        <v>23277.064591125039</v>
      </c>
      <c r="W5" s="4">
        <v>1.29331</v>
      </c>
      <c r="X5" s="299">
        <f>IFERROR(INDEX(Cbonds!C:AF,MATCH(D5,Cbonds!C:C,0),30)/100,0)</f>
        <v>1.0081</v>
      </c>
      <c r="Y5" s="126">
        <f ca="1">INDEX('Tech list'!A:C,MATCH(T_Bonds[[#This Row],[Risk CCY]],'Tech list'!A:A,0),3)</f>
        <v>1.3373999999999999</v>
      </c>
      <c r="Z5" s="127">
        <f>T_Bonds[[#This Row],[Market price]]*T_Bonds[[#This Row],[Quantity]]</f>
        <v>403240</v>
      </c>
      <c r="AA5" s="127">
        <f t="shared" ca="1" si="11"/>
        <v>539293.17599999998</v>
      </c>
      <c r="AB5" s="73">
        <f ca="1">T_Bonds[[#This Row],[Market value in CCY]]+T_Bonds[[#This Row],[AI, CCY]]</f>
        <v>423325.53333333333</v>
      </c>
      <c r="AC5" s="73">
        <f ca="1">T_Bonds[[#This Row],[Market value in USD]]+T_Bonds[[#This Row],[AI, USD]]</f>
        <v>566155.56828000001</v>
      </c>
      <c r="AD5" s="127">
        <f t="shared" si="12"/>
        <v>395720</v>
      </c>
      <c r="AE5" s="75">
        <f ca="1">(T_Bonds[[#This Row],[Coupon in Loc.Curr]]/T_Bonds[[#This Row],[Coupons per annum]])*((TODAY()-EDATE(T_Bonds[[#This Row],[Next coupon date]],-12/T_Bonds[[#This Row],[Coupons per annum]])))/(360/T_Bonds[[#This Row],[Coupons per annum]])</f>
        <v>20085.533333333333</v>
      </c>
      <c r="AF5" s="73">
        <f ca="1">T_Bonds[[#This Row],[AI, CCY]]*T_Bonds[[#This Row],[Exchange rate, N]]</f>
        <v>26862.392279999996</v>
      </c>
      <c r="AG5" s="311">
        <f>IFERROR(IF(INDEX(Cbonds!C:AC,MATCH(D5,Cbonds!C:C,0),27)&gt;5000,0,INDEX(Cbonds!C:AC,MATCH(D5,Cbonds!C:C,0),27)),0)</f>
        <v>0</v>
      </c>
      <c r="AH5" s="73">
        <v>30</v>
      </c>
      <c r="AJ5" s="210"/>
      <c r="AK5" t="s">
        <v>462</v>
      </c>
      <c r="AL5" t="s">
        <v>283</v>
      </c>
      <c r="AM5" t="s">
        <v>2475</v>
      </c>
      <c r="AN5" t="s">
        <v>463</v>
      </c>
      <c r="AO5" s="320">
        <v>1</v>
      </c>
      <c r="AP5" s="17">
        <f>IFERROR(INDEX(Cbonds!C:H,MATCH(D5,Cbonds!C:C,0),3),0)</f>
        <v>46142</v>
      </c>
      <c r="AQ5" s="17">
        <f>EDATE(T_Bonds[[#This Row],[Next coupon date]],12/T_Bonds[[#This Row],[Coupons per annum]])</f>
        <v>46507</v>
      </c>
      <c r="AR5" s="17">
        <f>EDATE(T_Bonds[[#This Row],[Second next coupon date]],12/$AO5)</f>
        <v>46873</v>
      </c>
      <c r="AS5" s="17">
        <f>EDATE(T_Bonds[[#This Row],[Coupon date 3]],12/$AO5)</f>
        <v>47238</v>
      </c>
      <c r="AT5" s="25">
        <f>IF(
OR(
AT$1=MONTH($AP5),
AT$1=MONTH($AQ5),
AT$1=MONTH($AR5),
AT$1=MONTH($AS5)),
IF('CF USD'!$A$8="On",$L5,$K5)/T_Bonds[[#This Row],[Coupons per annum]],0)</f>
        <v>0</v>
      </c>
      <c r="AU5" s="25">
        <f>IF(
OR(
AU$1=MONTH($AP5),
AU$1=MONTH($AQ5),
AU$1=MONTH($AR5),
AU$1=MONTH($AS5)),
IF('CF USD'!$A$8="On",$L5,$K5)/T_Bonds[[#This Row],[Coupons per annum]],0)</f>
        <v>0</v>
      </c>
      <c r="AV5" s="25">
        <f>IF(
OR(
AV$1=MONTH($AP5),
AV$1=MONTH($AQ5),
AV$1=MONTH($AR5),
AV$1=MONTH($AS5)),
IF('CF USD'!$A$8="On",$L5,$K5)/T_Bonds[[#This Row],[Coupons per annum]],0)</f>
        <v>0</v>
      </c>
      <c r="AW5" s="25">
        <f>IF(
OR(
AW$1=MONTH($AP5),
AW$1=MONTH($AQ5),
AW$1=MONTH($AR5),
AW$1=MONTH($AS5)),
IF('CF USD'!$A$8="On",$L5,$K5)/T_Bonds[[#This Row],[Coupons per annum]],0)</f>
        <v>23028</v>
      </c>
      <c r="AX5" s="25">
        <f>IF(
OR(
AX$1=MONTH($AP5),
AX$1=MONTH($AQ5),
AX$1=MONTH($AR5),
AX$1=MONTH($AS5)),
IF('CF USD'!$A$8="On",$L5,$K5)/T_Bonds[[#This Row],[Coupons per annum]],0)</f>
        <v>0</v>
      </c>
      <c r="AY5" s="25">
        <f>IF(
OR(
AY$1=MONTH($AP5),
AY$1=MONTH($AQ5),
AY$1=MONTH($AR5),
AY$1=MONTH($AS5)),
IF('CF USD'!$A$8="On",$L5,$K5)/T_Bonds[[#This Row],[Coupons per annum]],0)</f>
        <v>0</v>
      </c>
      <c r="AZ5" s="25">
        <f>IF(
OR(
AZ$1=MONTH($AP5),
AZ$1=MONTH($AQ5),
AZ$1=MONTH($AR5),
AZ$1=MONTH($AS5)),
IF('CF USD'!$A$8="On",$L5,$K5)/T_Bonds[[#This Row],[Coupons per annum]],0)</f>
        <v>0</v>
      </c>
      <c r="BA5" s="25">
        <f>IF(
OR(
BA$1=MONTH($AP5),
BA$1=MONTH($AQ5),
BA$1=MONTH($AR5),
BA$1=MONTH($AS5)),
IF('CF USD'!$A$8="On",$L5,$K5)/T_Bonds[[#This Row],[Coupons per annum]],0)</f>
        <v>0</v>
      </c>
      <c r="BB5" s="25">
        <f>IF(
OR(
BB$1=MONTH($AP5),
BB$1=MONTH($AQ5),
BB$1=MONTH($AR5),
BB$1=MONTH($AS5)),
IF('CF USD'!$A$8="On",$L5,$K5)/T_Bonds[[#This Row],[Coupons per annum]],0)</f>
        <v>0</v>
      </c>
      <c r="BC5" s="25">
        <f>IF(
OR(
BC$1=MONTH($AP5),
BC$1=MONTH($AQ5),
BC$1=MONTH($AR5),
BC$1=MONTH($AS5)),
IF('CF USD'!$A$8="On",$L5,$K5)/T_Bonds[[#This Row],[Coupons per annum]],0)</f>
        <v>0</v>
      </c>
      <c r="BD5" s="25">
        <f>IF(
OR(
BD$1=MONTH($AP5),
BD$1=MONTH($AQ5),
BD$1=MONTH($AR5),
BD$1=MONTH($AS5)),
IF('CF USD'!$A$8="On",$L5,$K5)/T_Bonds[[#This Row],[Coupons per annum]],0)</f>
        <v>0</v>
      </c>
      <c r="BE5" s="25">
        <f>IF(
OR(
BE$1=MONTH($AP5),
BE$1=MONTH($AQ5),
BE$1=MONTH($AR5),
BE$1=MONTH($AS5)),
IF('CF USD'!$A$8="On",$L5,$K5)/T_Bonds[[#This Row],[Coupons per annum]],0)</f>
        <v>0</v>
      </c>
      <c r="BF5">
        <f>DAY(T_Bonds[[#This Row],[Next coupon date]])</f>
        <v>30</v>
      </c>
    </row>
    <row r="6" spans="1:59" x14ac:dyDescent="0.25">
      <c r="A6" s="22" t="s">
        <v>372</v>
      </c>
      <c r="B6" s="22" t="s">
        <v>366</v>
      </c>
      <c r="C6" s="120" t="str">
        <f>IF(T_Bonds[[#This Row],[Call date]]&lt;&gt;"","Callable","Maturity")</f>
        <v>Maturity</v>
      </c>
      <c r="D6" t="s">
        <v>373</v>
      </c>
      <c r="E6" s="120" t="s">
        <v>19</v>
      </c>
      <c r="F6" s="481">
        <v>400000</v>
      </c>
      <c r="G6" s="24">
        <f>IFERROR(INDEX('V001'!D:E,MATCH(D6,'V001'!D:D,0),2),0)</f>
        <v>0</v>
      </c>
      <c r="H6" s="24">
        <f>IFERROR(INDEX(UBS!C:D,MATCH(D6,UBS!D:D,0),1),0)</f>
        <v>0</v>
      </c>
      <c r="I6" s="482">
        <f>SUM(T_Bonds[[#This Row],[V1412]:[UBS]])</f>
        <v>400000</v>
      </c>
      <c r="J6" s="121">
        <v>5.3749999999999999E-2</v>
      </c>
      <c r="K6" s="122">
        <f t="shared" si="7"/>
        <v>21500</v>
      </c>
      <c r="L6" s="122">
        <f t="shared" ca="1" si="8"/>
        <v>28754.1</v>
      </c>
      <c r="M6" s="123">
        <v>52122</v>
      </c>
      <c r="N6" s="5">
        <v>6.6017947249874004E-2</v>
      </c>
      <c r="O6" s="6">
        <f>IFERROR(INDEX(Cbonds!C:H,MATCH(D6,Cbonds!C:C,0),5),0)</f>
        <v>10.810405324267</v>
      </c>
      <c r="P6" s="91">
        <f>T_Bonds[[#This Row],[Market price]]-T_Bonds[[#This Row],[Cost price]]</f>
        <v>-2.2609999999999908E-2</v>
      </c>
      <c r="Q6" s="91">
        <f>T_Bonds[[#This Row],[Coupon]]/T_Bonds[[#This Row],[Cost price]]</f>
        <v>5.9143275272059065E-2</v>
      </c>
      <c r="R6" s="124">
        <f t="shared" si="9"/>
        <v>26407.178899949602</v>
      </c>
      <c r="S6" s="477">
        <v>0.90881000000000001</v>
      </c>
      <c r="T6" s="480">
        <f>IFERROR(VLOOKUP(D6,'V001'!$D:$J,7,0),0)</f>
        <v>0</v>
      </c>
      <c r="U6" s="483">
        <f>IFERROR(S6*T_Bonds[[#This Row],[V1412]]/(T_Bonds[[#This Row],[V1412]]+T_Bonds[[#This Row],[V1430]])+T6*T_Bonds[[#This Row],[V1430]]/(T_Bonds[[#This Row],[V1412]]+T_Bonds[[#This Row],[V1430]]),0)</f>
        <v>0.90881000000000001</v>
      </c>
      <c r="V6" s="122">
        <f t="shared" si="10"/>
        <v>23657.310108823625</v>
      </c>
      <c r="W6" s="4">
        <v>1.29331</v>
      </c>
      <c r="X6" s="299">
        <f>IFERROR(INDEX(Cbonds!C:AF,MATCH(D6,Cbonds!C:C,0),30)/100,0)</f>
        <v>0.8862000000000001</v>
      </c>
      <c r="Y6" s="126">
        <f ca="1">INDEX('Tech list'!A:C,MATCH(T_Bonds[[#This Row],[Risk CCY]],'Tech list'!A:A,0),3)</f>
        <v>1.3373999999999999</v>
      </c>
      <c r="Z6" s="127">
        <f>T_Bonds[[#This Row],[Market price]]*T_Bonds[[#This Row],[Quantity]]</f>
        <v>354480.00000000006</v>
      </c>
      <c r="AA6" s="127">
        <f t="shared" ca="1" si="11"/>
        <v>474081.55199999997</v>
      </c>
      <c r="AB6" s="73">
        <f ca="1">T_Bonds[[#This Row],[Market value in CCY]]+T_Bonds[[#This Row],[AI, CCY]]</f>
        <v>365110.55555555562</v>
      </c>
      <c r="AC6" s="73">
        <f ca="1">T_Bonds[[#This Row],[Market value in USD]]+T_Bonds[[#This Row],[AI, USD]]</f>
        <v>488298.85699999996</v>
      </c>
      <c r="AD6" s="127">
        <f t="shared" si="12"/>
        <v>363524</v>
      </c>
      <c r="AE6" s="75">
        <f ca="1">(T_Bonds[[#This Row],[Coupon in Loc.Curr]]/T_Bonds[[#This Row],[Coupons per annum]])*((TODAY()-EDATE(T_Bonds[[#This Row],[Next coupon date]],-12/T_Bonds[[#This Row],[Coupons per annum]])))/(360/T_Bonds[[#This Row],[Coupons per annum]])</f>
        <v>10630.555555555555</v>
      </c>
      <c r="AF6" s="73">
        <f ca="1">T_Bonds[[#This Row],[AI, CCY]]*T_Bonds[[#This Row],[Exchange rate, N]]</f>
        <v>14217.304999999998</v>
      </c>
      <c r="AG6" s="311">
        <f>IFERROR(IF(INDEX(Cbonds!C:AC,MATCH(D6,Cbonds!C:C,0),27)&gt;5000,0,INDEX(Cbonds!C:AC,MATCH(D6,Cbonds!C:C,0),27)),0)</f>
        <v>0</v>
      </c>
      <c r="AH6" s="73">
        <v>75</v>
      </c>
      <c r="AJ6" s="210"/>
      <c r="AK6" t="s">
        <v>295</v>
      </c>
      <c r="AL6" t="s">
        <v>464</v>
      </c>
      <c r="AM6" t="s">
        <v>2475</v>
      </c>
      <c r="AN6" t="s">
        <v>465</v>
      </c>
      <c r="AO6" s="320">
        <v>1</v>
      </c>
      <c r="AP6" s="17">
        <f>IFERROR(INDEX(Cbonds!C:H,MATCH(D6,Cbonds!C:C,0),3),0)</f>
        <v>46278</v>
      </c>
      <c r="AQ6" s="17">
        <f>EDATE(T_Bonds[[#This Row],[Next coupon date]],12/T_Bonds[[#This Row],[Coupons per annum]])</f>
        <v>46643</v>
      </c>
      <c r="AR6" s="17">
        <f>EDATE(T_Bonds[[#This Row],[Second next coupon date]],12/$AO6)</f>
        <v>47009</v>
      </c>
      <c r="AS6" s="17">
        <f>EDATE(T_Bonds[[#This Row],[Coupon date 3]],12/$AO6)</f>
        <v>47374</v>
      </c>
      <c r="AT6" s="25">
        <f>IF(
OR(
AT$1=MONTH($AP6),
AT$1=MONTH($AQ6),
AT$1=MONTH($AR6),
AT$1=MONTH($AS6)),
IF('CF USD'!$A$8="On",$L6,$K6)/T_Bonds[[#This Row],[Coupons per annum]],0)</f>
        <v>0</v>
      </c>
      <c r="AU6" s="25">
        <f>IF(
OR(
AU$1=MONTH($AP6),
AU$1=MONTH($AQ6),
AU$1=MONTH($AR6),
AU$1=MONTH($AS6)),
IF('CF USD'!$A$8="On",$L6,$K6)/T_Bonds[[#This Row],[Coupons per annum]],0)</f>
        <v>0</v>
      </c>
      <c r="AV6" s="25">
        <f>IF(
OR(
AV$1=MONTH($AP6),
AV$1=MONTH($AQ6),
AV$1=MONTH($AR6),
AV$1=MONTH($AS6)),
IF('CF USD'!$A$8="On",$L6,$K6)/T_Bonds[[#This Row],[Coupons per annum]],0)</f>
        <v>0</v>
      </c>
      <c r="AW6" s="25">
        <f>IF(
OR(
AW$1=MONTH($AP6),
AW$1=MONTH($AQ6),
AW$1=MONTH($AR6),
AW$1=MONTH($AS6)),
IF('CF USD'!$A$8="On",$L6,$K6)/T_Bonds[[#This Row],[Coupons per annum]],0)</f>
        <v>0</v>
      </c>
      <c r="AX6" s="25">
        <f>IF(
OR(
AX$1=MONTH($AP6),
AX$1=MONTH($AQ6),
AX$1=MONTH($AR6),
AX$1=MONTH($AS6)),
IF('CF USD'!$A$8="On",$L6,$K6)/T_Bonds[[#This Row],[Coupons per annum]],0)</f>
        <v>0</v>
      </c>
      <c r="AY6" s="25">
        <f>IF(
OR(
AY$1=MONTH($AP6),
AY$1=MONTH($AQ6),
AY$1=MONTH($AR6),
AY$1=MONTH($AS6)),
IF('CF USD'!$A$8="On",$L6,$K6)/T_Bonds[[#This Row],[Coupons per annum]],0)</f>
        <v>0</v>
      </c>
      <c r="AZ6" s="25">
        <f>IF(
OR(
AZ$1=MONTH($AP6),
AZ$1=MONTH($AQ6),
AZ$1=MONTH($AR6),
AZ$1=MONTH($AS6)),
IF('CF USD'!$A$8="On",$L6,$K6)/T_Bonds[[#This Row],[Coupons per annum]],0)</f>
        <v>0</v>
      </c>
      <c r="BA6" s="25">
        <f>IF(
OR(
BA$1=MONTH($AP6),
BA$1=MONTH($AQ6),
BA$1=MONTH($AR6),
BA$1=MONTH($AS6)),
IF('CF USD'!$A$8="On",$L6,$K6)/T_Bonds[[#This Row],[Coupons per annum]],0)</f>
        <v>0</v>
      </c>
      <c r="BB6" s="25">
        <f>IF(
OR(
BB$1=MONTH($AP6),
BB$1=MONTH($AQ6),
BB$1=MONTH($AR6),
BB$1=MONTH($AS6)),
IF('CF USD'!$A$8="On",$L6,$K6)/T_Bonds[[#This Row],[Coupons per annum]],0)</f>
        <v>21500</v>
      </c>
      <c r="BC6" s="25">
        <f>IF(
OR(
BC$1=MONTH($AP6),
BC$1=MONTH($AQ6),
BC$1=MONTH($AR6),
BC$1=MONTH($AS6)),
IF('CF USD'!$A$8="On",$L6,$K6)/T_Bonds[[#This Row],[Coupons per annum]],0)</f>
        <v>0</v>
      </c>
      <c r="BD6" s="25">
        <f>IF(
OR(
BD$1=MONTH($AP6),
BD$1=MONTH($AQ6),
BD$1=MONTH($AR6),
BD$1=MONTH($AS6)),
IF('CF USD'!$A$8="On",$L6,$K6)/T_Bonds[[#This Row],[Coupons per annum]],0)</f>
        <v>0</v>
      </c>
      <c r="BE6" s="25">
        <f>IF(
OR(
BE$1=MONTH($AP6),
BE$1=MONTH($AQ6),
BE$1=MONTH($AR6),
BE$1=MONTH($AS6)),
IF('CF USD'!$A$8="On",$L6,$K6)/T_Bonds[[#This Row],[Coupons per annum]],0)</f>
        <v>0</v>
      </c>
      <c r="BF6">
        <f>DAY(T_Bonds[[#This Row],[Next coupon date]])</f>
        <v>13</v>
      </c>
    </row>
    <row r="7" spans="1:59" x14ac:dyDescent="0.25">
      <c r="A7" s="96" t="s">
        <v>2382</v>
      </c>
      <c r="B7" s="22" t="s">
        <v>366</v>
      </c>
      <c r="C7" s="1" t="s">
        <v>2383</v>
      </c>
      <c r="D7" s="1" t="s">
        <v>374</v>
      </c>
      <c r="E7" s="1" t="s">
        <v>19</v>
      </c>
      <c r="F7" s="481">
        <v>600000</v>
      </c>
      <c r="G7" s="24">
        <f>IFERROR(INDEX('V001'!D:E,MATCH(D7,'V001'!D:D,0),2),0)</f>
        <v>0</v>
      </c>
      <c r="H7" s="24">
        <f>IFERROR(INDEX(UBS!C:D,MATCH(D7,UBS!D:D,0),1),0)</f>
        <v>0</v>
      </c>
      <c r="I7" s="482">
        <f>SUM(T_Bonds[[#This Row],[V1412]:[UBS]])</f>
        <v>600000</v>
      </c>
      <c r="J7" s="98">
        <v>7.4999999999999997E-2</v>
      </c>
      <c r="K7" s="100">
        <f>J7*I7</f>
        <v>45000</v>
      </c>
      <c r="L7" s="100">
        <f ca="1">IF(Y7&lt;&gt;1,I7*J7*Y7,I7*J7)</f>
        <v>60183</v>
      </c>
      <c r="M7" s="16"/>
      <c r="N7" s="707">
        <v>8.6238966808491996E-2</v>
      </c>
      <c r="O7" s="6">
        <f>IFERROR(INDEX(Cbonds!C:H,MATCH(D7,Cbonds!C:C,0),5),0)</f>
        <v>3.7367629907350999</v>
      </c>
      <c r="P7" s="91">
        <f>T_Bonds[[#This Row],[Market price]]-T_Bonds[[#This Row],[Cost price]]</f>
        <v>5.8300000000000018E-2</v>
      </c>
      <c r="Q7" s="91">
        <f>T_Bonds[[#This Row],[Coupon]]/T_Bonds[[#This Row],[Cost price]]</f>
        <v>7.5604838709677422E-2</v>
      </c>
      <c r="R7" s="109">
        <f>N7*I7</f>
        <v>51743.380085095196</v>
      </c>
      <c r="S7" s="477">
        <v>0.99199999999999999</v>
      </c>
      <c r="T7" s="480">
        <v>0</v>
      </c>
      <c r="U7" s="483">
        <f>IFERROR(S7*T_Bonds[[#This Row],[V1412]]/(T_Bonds[[#This Row],[V1412]]+T_Bonds[[#This Row],[V1430]])+T7*T_Bonds[[#This Row],[V1430]]/(T_Bonds[[#This Row],[V1412]]+T_Bonds[[#This Row],[V1430]]),0)</f>
        <v>0.99199999999999999</v>
      </c>
      <c r="V7" s="100">
        <f>I7*J7/U7</f>
        <v>45362.903225806454</v>
      </c>
      <c r="W7" s="4">
        <v>1.29331</v>
      </c>
      <c r="X7" s="299">
        <f>IFERROR(INDEX(Cbonds!C:AF,MATCH(D7,Cbonds!C:C,0),29)/100,0)</f>
        <v>1.0503</v>
      </c>
      <c r="Y7" s="4">
        <f ca="1">INDEX('Tech list'!A:C,MATCH(T_Bonds[[#This Row],[Risk CCY]],'Tech list'!A:A,0),3)</f>
        <v>1.3373999999999999</v>
      </c>
      <c r="Z7" s="105">
        <f>T_Bonds[[#This Row],[Market price]]*T_Bonds[[#This Row],[Quantity]]</f>
        <v>630180</v>
      </c>
      <c r="AA7" s="105">
        <f ca="1">IF(E7&lt;&gt;"USD",X7*Y7*I7,X7*I7)</f>
        <v>842802.73199999996</v>
      </c>
      <c r="AB7" s="97">
        <f ca="1">T_Bonds[[#This Row],[Market value in CCY]]+T_Bonds[[#This Row],[AI, CCY]]</f>
        <v>635305</v>
      </c>
      <c r="AC7" s="97">
        <f ca="1">T_Bonds[[#This Row],[Market value in USD]]+T_Bonds[[#This Row],[AI, USD]]</f>
        <v>849656.90700000001</v>
      </c>
      <c r="AD7" s="105">
        <f>U7*I7</f>
        <v>595200</v>
      </c>
      <c r="AE7" s="97">
        <f ca="1">T_Bonds[[#This Row],[Coupon in Loc.Curr]]*(TODAY()-EDATE(T_Bonds[[#This Row],[Next coupon date]],-12/T_Bonds[[#This Row],[Coupons per annum]]))/(T_Bonds[[#This Row],[Coupons per annum]]*360)</f>
        <v>5125</v>
      </c>
      <c r="AF7" s="97">
        <f ca="1">T_Bonds[[#This Row],[AI, CCY]]*T_Bonds[[#This Row],[Exchange rate, N]]</f>
        <v>6854.1749999999993</v>
      </c>
      <c r="AG7" s="313">
        <f>IFERROR(IF(INDEX(Cbonds!C:AC,MATCH(D7,Cbonds!C:C,0),27)&gt;5000,0,INDEX(Cbonds!C:AC,MATCH(D7,Cbonds!C:C,0),27)),0)</f>
        <v>0</v>
      </c>
      <c r="AH7" s="97">
        <v>50</v>
      </c>
      <c r="AI7" s="212">
        <v>47661</v>
      </c>
      <c r="AJ7" s="74">
        <v>3.4360000000000002E-2</v>
      </c>
      <c r="AK7" t="s">
        <v>289</v>
      </c>
      <c r="AL7" t="s">
        <v>294</v>
      </c>
      <c r="AM7" t="s">
        <v>2475</v>
      </c>
      <c r="AN7" t="s">
        <v>466</v>
      </c>
      <c r="AO7" s="320">
        <v>4</v>
      </c>
      <c r="AP7" s="17">
        <v>46018</v>
      </c>
      <c r="AQ7" s="17">
        <f>EDATE(T_Bonds[[#This Row],[Next coupon date]],12/T_Bonds[[#This Row],[Coupons per annum]])</f>
        <v>46108</v>
      </c>
      <c r="AR7" s="17">
        <f>EDATE(T_Bonds[[#This Row],[Second next coupon date]],12/$AO7)</f>
        <v>46200</v>
      </c>
      <c r="AS7" s="17">
        <f>EDATE(T_Bonds[[#This Row],[Coupon date 3]],12/$AO7)</f>
        <v>46292</v>
      </c>
      <c r="AT7" s="25">
        <f>IF(
OR(
AT$1=MONTH($AP7),
AT$1=MONTH($AQ7),
AT$1=MONTH($AR7),
AT$1=MONTH($AS7)),
IF('CF USD'!$A$8="On",$L7,$K7)/T_Bonds[[#This Row],[Coupons per annum]],0)</f>
        <v>0</v>
      </c>
      <c r="AU7" s="25">
        <f>IF(
OR(
AU$1=MONTH($AP7),
AU$1=MONTH($AQ7),
AU$1=MONTH($AR7),
AU$1=MONTH($AS7)),
IF('CF USD'!$A$8="On",$L7,$K7)/T_Bonds[[#This Row],[Coupons per annum]],0)</f>
        <v>0</v>
      </c>
      <c r="AV7" s="25">
        <f>IF(
OR(
AV$1=MONTH($AP7),
AV$1=MONTH($AQ7),
AV$1=MONTH($AR7),
AV$1=MONTH($AS7)),
IF('CF USD'!$A$8="On",$L7,$K7)/T_Bonds[[#This Row],[Coupons per annum]],0)</f>
        <v>11250</v>
      </c>
      <c r="AW7" s="25">
        <f>IF(
OR(
AW$1=MONTH($AP7),
AW$1=MONTH($AQ7),
AW$1=MONTH($AR7),
AW$1=MONTH($AS7)),
IF('CF USD'!$A$8="On",$L7,$K7)/T_Bonds[[#This Row],[Coupons per annum]],0)</f>
        <v>0</v>
      </c>
      <c r="AX7" s="25">
        <f>IF(
OR(
AX$1=MONTH($AP7),
AX$1=MONTH($AQ7),
AX$1=MONTH($AR7),
AX$1=MONTH($AS7)),
IF('CF USD'!$A$8="On",$L7,$K7)/T_Bonds[[#This Row],[Coupons per annum]],0)</f>
        <v>0</v>
      </c>
      <c r="AY7" s="25">
        <f>IF(
OR(
AY$1=MONTH($AP7),
AY$1=MONTH($AQ7),
AY$1=MONTH($AR7),
AY$1=MONTH($AS7)),
IF('CF USD'!$A$8="On",$L7,$K7)/T_Bonds[[#This Row],[Coupons per annum]],0)</f>
        <v>11250</v>
      </c>
      <c r="AZ7" s="25">
        <f>IF(
OR(
AZ$1=MONTH($AP7),
AZ$1=MONTH($AQ7),
AZ$1=MONTH($AR7),
AZ$1=MONTH($AS7)),
IF('CF USD'!$A$8="On",$L7,$K7)/T_Bonds[[#This Row],[Coupons per annum]],0)</f>
        <v>0</v>
      </c>
      <c r="BA7" s="25">
        <f>IF(
OR(
BA$1=MONTH($AP7),
BA$1=MONTH($AQ7),
BA$1=MONTH($AR7),
BA$1=MONTH($AS7)),
IF('CF USD'!$A$8="On",$L7,$K7)/T_Bonds[[#This Row],[Coupons per annum]],0)</f>
        <v>0</v>
      </c>
      <c r="BB7" s="25">
        <f>IF(
OR(
BB$1=MONTH($AP7),
BB$1=MONTH($AQ7),
BB$1=MONTH($AR7),
BB$1=MONTH($AS7)),
IF('CF USD'!$A$8="On",$L7,$K7)/T_Bonds[[#This Row],[Coupons per annum]],0)</f>
        <v>11250</v>
      </c>
      <c r="BC7" s="25">
        <f>IF(
OR(
BC$1=MONTH($AP7),
BC$1=MONTH($AQ7),
BC$1=MONTH($AR7),
BC$1=MONTH($AS7)),
IF('CF USD'!$A$8="On",$L7,$K7)/T_Bonds[[#This Row],[Coupons per annum]],0)</f>
        <v>0</v>
      </c>
      <c r="BD7" s="25">
        <f>IF(
OR(
BD$1=MONTH($AP7),
BD$1=MONTH($AQ7),
BD$1=MONTH($AR7),
BD$1=MONTH($AS7)),
IF('CF USD'!$A$8="On",$L7,$K7)/T_Bonds[[#This Row],[Coupons per annum]],0)</f>
        <v>0</v>
      </c>
      <c r="BE7" s="25">
        <f>IF(
OR(
BE$1=MONTH($AP7),
BE$1=MONTH($AQ7),
BE$1=MONTH($AR7),
BE$1=MONTH($AS7)),
IF('CF USD'!$A$8="On",$L7,$K7)/T_Bonds[[#This Row],[Coupons per annum]],0)</f>
        <v>11250</v>
      </c>
      <c r="BF7">
        <f>DAY(T_Bonds[[#This Row],[Next coupon date]])</f>
        <v>27</v>
      </c>
    </row>
    <row r="8" spans="1:59" x14ac:dyDescent="0.25">
      <c r="A8" s="96" t="s">
        <v>99</v>
      </c>
      <c r="B8" s="22" t="s">
        <v>366</v>
      </c>
      <c r="C8" s="1" t="s">
        <v>2383</v>
      </c>
      <c r="D8" s="1" t="s">
        <v>100</v>
      </c>
      <c r="E8" s="1" t="s">
        <v>19</v>
      </c>
      <c r="F8" s="481">
        <v>200000</v>
      </c>
      <c r="G8" s="24">
        <f>IFERROR(INDEX('V001'!D:E,MATCH(D8,'V001'!D:D,0),2),0)</f>
        <v>0</v>
      </c>
      <c r="H8" s="24">
        <f>IFERROR(INDEX(UBS!C:D,MATCH(D8,UBS!D:D,0),1),0)</f>
        <v>0</v>
      </c>
      <c r="I8" s="482">
        <f>SUM(T_Bonds[[#This Row],[V1412]:[UBS]])</f>
        <v>200000</v>
      </c>
      <c r="J8" s="98">
        <f>LEFT(A8,FIND("%",A8,1))+1-1</f>
        <v>7.3749999999999982E-2</v>
      </c>
      <c r="K8" s="100">
        <f>J8*I8</f>
        <v>14749.999999999996</v>
      </c>
      <c r="L8" s="100">
        <f ca="1">IF(Y8&lt;&gt;1,I8*J8*Y8,I8*J8)</f>
        <v>19726.649999999994</v>
      </c>
      <c r="M8" s="16">
        <v>54683</v>
      </c>
      <c r="N8" s="707">
        <v>7.2999999999999995E-2</v>
      </c>
      <c r="O8" s="6">
        <f>IFERROR(INDEX(Cbonds!C:H,MATCH(D8,Cbonds!C:C,0),5),0)</f>
        <v>6.8068904193583997</v>
      </c>
      <c r="P8" s="91">
        <f>T_Bonds[[#This Row],[Market price]]-T_Bonds[[#This Row],[Cost price]]</f>
        <v>2.5449999999999973E-2</v>
      </c>
      <c r="Q8" s="91">
        <f>T_Bonds[[#This Row],[Coupon]]/T_Bonds[[#This Row],[Cost price]]</f>
        <v>7.23926380368098E-2</v>
      </c>
      <c r="R8" s="109">
        <f>N8*I8</f>
        <v>14599.999999999998</v>
      </c>
      <c r="S8" s="477">
        <v>1.01875</v>
      </c>
      <c r="T8" s="480">
        <v>0</v>
      </c>
      <c r="U8" s="483">
        <f>IFERROR(S8*T_Bonds[[#This Row],[V1412]]/(T_Bonds[[#This Row],[V1412]]+T_Bonds[[#This Row],[V1430]])+T8*T_Bonds[[#This Row],[V1430]]/(T_Bonds[[#This Row],[V1412]]+T_Bonds[[#This Row],[V1430]]),0)</f>
        <v>1.01875</v>
      </c>
      <c r="V8" s="100">
        <f>I8*J8/U8</f>
        <v>14478.527607361959</v>
      </c>
      <c r="W8" s="4">
        <v>1.29331</v>
      </c>
      <c r="X8" s="299">
        <f>IFERROR(INDEX(Cbonds!C:AF,MATCH(D8,Cbonds!C:C,0),29)/100,0)</f>
        <v>1.0442</v>
      </c>
      <c r="Y8" s="4">
        <f ca="1">INDEX('Tech list'!A:C,MATCH(T_Bonds[[#This Row],[Risk CCY]],'Tech list'!A:A,0),3)</f>
        <v>1.3373999999999999</v>
      </c>
      <c r="Z8" s="105">
        <f>T_Bonds[[#This Row],[Market price]]*T_Bonds[[#This Row],[Quantity]]</f>
        <v>208840</v>
      </c>
      <c r="AA8" s="105">
        <f ca="1">IF(E8&lt;&gt;"USD",X8*Y8*I8,X8*I8)</f>
        <v>279302.61599999998</v>
      </c>
      <c r="AB8" s="97">
        <f ca="1">T_Bonds[[#This Row],[Market value in CCY]]+T_Bonds[[#This Row],[AI, CCY]]</f>
        <v>212404.58333333334</v>
      </c>
      <c r="AC8" s="97">
        <f ca="1">T_Bonds[[#This Row],[Market value in USD]]+T_Bonds[[#This Row],[AI, USD]]</f>
        <v>284069.88974999997</v>
      </c>
      <c r="AD8" s="105">
        <f>U8*I8</f>
        <v>203750</v>
      </c>
      <c r="AE8" s="97">
        <f ca="1">T_Bonds[[#This Row],[Coupon in Loc.Curr]]*(TODAY()-EDATE(T_Bonds[[#This Row],[Next coupon date]],-12/T_Bonds[[#This Row],[Coupons per annum]]))/(T_Bonds[[#This Row],[Coupons per annum]]*360)</f>
        <v>3564.5833333333326</v>
      </c>
      <c r="AF8" s="97">
        <f ca="1">T_Bonds[[#This Row],[AI, CCY]]*T_Bonds[[#This Row],[Exchange rate, N]]</f>
        <v>4767.2737499999985</v>
      </c>
      <c r="AG8" s="313">
        <f>IFERROR(IF(INDEX(Cbonds!C:AC,MATCH(D8,Cbonds!C:C,0),27)&gt;5000,0,INDEX(Cbonds!C:AC,MATCH(D8,Cbonds!C:C,0),27)),0)</f>
        <v>0</v>
      </c>
      <c r="AH8" s="97">
        <v>50</v>
      </c>
      <c r="AI8" s="212">
        <v>49477</v>
      </c>
      <c r="AJ8" s="74">
        <v>6.8900000000000003E-2</v>
      </c>
      <c r="AK8" t="s">
        <v>1644</v>
      </c>
      <c r="AL8" t="s">
        <v>302</v>
      </c>
      <c r="AM8" t="s">
        <v>2475</v>
      </c>
      <c r="AN8" t="s">
        <v>2384</v>
      </c>
      <c r="AO8" s="320">
        <v>2</v>
      </c>
      <c r="AP8" s="17">
        <v>46098</v>
      </c>
      <c r="AQ8" s="17">
        <f>EDATE(T_Bonds[[#This Row],[Next coupon date]],12/T_Bonds[[#This Row],[Coupons per annum]])</f>
        <v>46282</v>
      </c>
      <c r="AR8" s="17">
        <f>EDATE(T_Bonds[[#This Row],[Second next coupon date]],12/$AO8)</f>
        <v>46463</v>
      </c>
      <c r="AS8" s="17">
        <f>EDATE(T_Bonds[[#This Row],[Coupon date 3]],12/$AO8)</f>
        <v>46647</v>
      </c>
      <c r="AT8" s="25">
        <f>IF(
OR(
AT$1=MONTH($AP8),
AT$1=MONTH($AQ8),
AT$1=MONTH($AR8),
AT$1=MONTH($AS8)),
IF('CF USD'!$A$8="On",$L8,$K8)/T_Bonds[[#This Row],[Coupons per annum]],0)</f>
        <v>0</v>
      </c>
      <c r="AU8" s="25">
        <f>IF(
OR(
AU$1=MONTH($AP8),
AU$1=MONTH($AQ8),
AU$1=MONTH($AR8),
AU$1=MONTH($AS8)),
IF('CF USD'!$A$8="On",$L8,$K8)/T_Bonds[[#This Row],[Coupons per annum]],0)</f>
        <v>0</v>
      </c>
      <c r="AV8" s="25">
        <f>IF(
OR(
AV$1=MONTH($AP8),
AV$1=MONTH($AQ8),
AV$1=MONTH($AR8),
AV$1=MONTH($AS8)),
IF('CF USD'!$A$8="On",$L8,$K8)/T_Bonds[[#This Row],[Coupons per annum]],0)</f>
        <v>7374.9999999999982</v>
      </c>
      <c r="AW8" s="25">
        <f>IF(
OR(
AW$1=MONTH($AP8),
AW$1=MONTH($AQ8),
AW$1=MONTH($AR8),
AW$1=MONTH($AS8)),
IF('CF USD'!$A$8="On",$L8,$K8)/T_Bonds[[#This Row],[Coupons per annum]],0)</f>
        <v>0</v>
      </c>
      <c r="AX8" s="25">
        <f>IF(
OR(
AX$1=MONTH($AP8),
AX$1=MONTH($AQ8),
AX$1=MONTH($AR8),
AX$1=MONTH($AS8)),
IF('CF USD'!$A$8="On",$L8,$K8)/T_Bonds[[#This Row],[Coupons per annum]],0)</f>
        <v>0</v>
      </c>
      <c r="AY8" s="25">
        <f>IF(
OR(
AY$1=MONTH($AP8),
AY$1=MONTH($AQ8),
AY$1=MONTH($AR8),
AY$1=MONTH($AS8)),
IF('CF USD'!$A$8="On",$L8,$K8)/T_Bonds[[#This Row],[Coupons per annum]],0)</f>
        <v>0</v>
      </c>
      <c r="AZ8" s="25">
        <f>IF(
OR(
AZ$1=MONTH($AP8),
AZ$1=MONTH($AQ8),
AZ$1=MONTH($AR8),
AZ$1=MONTH($AS8)),
IF('CF USD'!$A$8="On",$L8,$K8)/T_Bonds[[#This Row],[Coupons per annum]],0)</f>
        <v>0</v>
      </c>
      <c r="BA8" s="25">
        <f>IF(
OR(
BA$1=MONTH($AP8),
BA$1=MONTH($AQ8),
BA$1=MONTH($AR8),
BA$1=MONTH($AS8)),
IF('CF USD'!$A$8="On",$L8,$K8)/T_Bonds[[#This Row],[Coupons per annum]],0)</f>
        <v>0</v>
      </c>
      <c r="BB8" s="25">
        <f>IF(
OR(
BB$1=MONTH($AP8),
BB$1=MONTH($AQ8),
BB$1=MONTH($AR8),
BB$1=MONTH($AS8)),
IF('CF USD'!$A$8="On",$L8,$K8)/T_Bonds[[#This Row],[Coupons per annum]],0)</f>
        <v>7374.9999999999982</v>
      </c>
      <c r="BC8" s="25">
        <f>IF(
OR(
BC$1=MONTH($AP8),
BC$1=MONTH($AQ8),
BC$1=MONTH($AR8),
BC$1=MONTH($AS8)),
IF('CF USD'!$A$8="On",$L8,$K8)/T_Bonds[[#This Row],[Coupons per annum]],0)</f>
        <v>0</v>
      </c>
      <c r="BD8" s="25">
        <f>IF(
OR(
BD$1=MONTH($AP8),
BD$1=MONTH($AQ8),
BD$1=MONTH($AR8),
BD$1=MONTH($AS8)),
IF('CF USD'!$A$8="On",$L8,$K8)/T_Bonds[[#This Row],[Coupons per annum]],0)</f>
        <v>0</v>
      </c>
      <c r="BE8" s="25">
        <f>IF(
OR(
BE$1=MONTH($AP8),
BE$1=MONTH($AQ8),
BE$1=MONTH($AR8),
BE$1=MONTH($AS8)),
IF('CF USD'!$A$8="On",$L8,$K8)/T_Bonds[[#This Row],[Coupons per annum]],0)</f>
        <v>0</v>
      </c>
      <c r="BF8">
        <f>DAY(T_Bonds[[#This Row],[Next coupon date]])</f>
        <v>17</v>
      </c>
    </row>
    <row r="9" spans="1:59" x14ac:dyDescent="0.25">
      <c r="A9" s="484" t="s">
        <v>101</v>
      </c>
      <c r="B9" s="485" t="s">
        <v>51</v>
      </c>
      <c r="C9" s="1" t="str">
        <f>IF(T_Bonds[[#This Row],[Call date]]&lt;&gt;"","Callable","Maturity")</f>
        <v>Maturity</v>
      </c>
      <c r="D9" s="1" t="s">
        <v>102</v>
      </c>
      <c r="E9" s="1" t="s">
        <v>18</v>
      </c>
      <c r="F9" s="24">
        <v>1000000</v>
      </c>
      <c r="G9" s="24">
        <v>400000</v>
      </c>
      <c r="H9" s="24">
        <f>IFERROR(INDEX(UBS!C:D,MATCH(D9,UBS!D:D,0),1),0)</f>
        <v>0</v>
      </c>
      <c r="I9" s="482">
        <f>SUM(T_Bonds[[#This Row],[V1412]:[UBS]])</f>
        <v>1400000</v>
      </c>
      <c r="J9" s="98">
        <f>LEFT(A9,FIND("%",A9,1))+1-1</f>
        <v>5.3909999999999902E-2</v>
      </c>
      <c r="K9" s="100">
        <f t="shared" si="7"/>
        <v>75473.999999999869</v>
      </c>
      <c r="L9" s="100">
        <f t="shared" si="8"/>
        <v>75473.999999999869</v>
      </c>
      <c r="M9" s="16">
        <v>59245</v>
      </c>
      <c r="N9" s="5">
        <f>IFERROR(INDEX(Cbonds!C:H,MATCH(D9,Cbonds!C:C,0),4)/100,0)</f>
        <v>9.6675348102897005E-2</v>
      </c>
      <c r="O9" s="6">
        <f>IFERROR(INDEX(Cbonds!C:H,MATCH(D9,Cbonds!C:C,0),5),0)</f>
        <v>10.834692202085</v>
      </c>
      <c r="P9" s="91">
        <f>T_Bonds[[#This Row],[Market price]]-T_Bonds[[#This Row],[Cost price]]</f>
        <v>-0.19507033571428578</v>
      </c>
      <c r="Q9" s="91">
        <f>T_Bonds[[#This Row],[Coupon]]/T_Bonds[[#This Row],[Cost price]]</f>
        <v>6.9021556382963409E-2</v>
      </c>
      <c r="R9" s="109">
        <f t="shared" si="9"/>
        <v>135345.48734405581</v>
      </c>
      <c r="S9" s="478">
        <v>0.77826651999999996</v>
      </c>
      <c r="T9" s="478">
        <v>0.78804487499999998</v>
      </c>
      <c r="U9" s="483">
        <f>IFERROR(S9*T_Bonds[[#This Row],[V1412]]/(T_Bonds[[#This Row],[V1412]]+T_Bonds[[#This Row],[V1430]])+T9*T_Bonds[[#This Row],[V1430]]/(T_Bonds[[#This Row],[V1412]]+T_Bonds[[#This Row],[V1430]]),0)</f>
        <v>0.78106033571428579</v>
      </c>
      <c r="V9" s="100">
        <f t="shared" si="10"/>
        <v>96630.178936148775</v>
      </c>
      <c r="W9" s="1" t="s">
        <v>257</v>
      </c>
      <c r="X9" s="299">
        <f>IFERROR(INDEX(Cbonds!C:AF,MATCH(D9,Cbonds!C:C,0),30)/100,0)</f>
        <v>0.58599000000000001</v>
      </c>
      <c r="Y9" s="4">
        <f>INDEX('Tech list'!A:C,MATCH(T_Bonds[[#This Row],[Risk CCY]],'Tech list'!A:A,0),3)</f>
        <v>1</v>
      </c>
      <c r="Z9" s="97">
        <f>T_Bonds[[#This Row],[Market price]]*T_Bonds[[#This Row],[Quantity]]</f>
        <v>820386</v>
      </c>
      <c r="AA9" s="106">
        <f t="shared" si="11"/>
        <v>820386</v>
      </c>
      <c r="AB9" s="73">
        <f ca="1">T_Bonds[[#This Row],[Market value in CCY]]+T_Bonds[[#This Row],[AI, CCY]]</f>
        <v>857284.39999999991</v>
      </c>
      <c r="AC9" s="73">
        <f ca="1">T_Bonds[[#This Row],[Market value in USD]]+T_Bonds[[#This Row],[AI, USD]]</f>
        <v>857284.39999999991</v>
      </c>
      <c r="AD9" s="97">
        <f t="shared" si="12"/>
        <v>1093484.4700000002</v>
      </c>
      <c r="AE9" s="75">
        <f ca="1">(T_Bonds[[#This Row],[Coupon in Loc.Curr]]/T_Bonds[[#This Row],[Coupons per annum]])*((TODAY()-EDATE(T_Bonds[[#This Row],[Next coupon date]],-12/T_Bonds[[#This Row],[Coupons per annum]])))/(360/T_Bonds[[#This Row],[Coupons per annum]])</f>
        <v>36898.399999999936</v>
      </c>
      <c r="AF9" s="73">
        <f ca="1">T_Bonds[[#This Row],[AI, CCY]]*T_Bonds[[#This Row],[Exchange rate, N]]</f>
        <v>36898.399999999936</v>
      </c>
      <c r="AG9" s="311">
        <f>IFERROR(IF(INDEX(Cbonds!C:AC,MATCH(D9,Cbonds!C:C,0),27)&gt;5000,0,INDEX(Cbonds!C:AC,MATCH(D9,Cbonds!C:C,0),27)),0)</f>
        <v>527.12093610686998</v>
      </c>
      <c r="AH9" s="73">
        <v>75</v>
      </c>
      <c r="AJ9" s="208"/>
      <c r="AK9" s="78" t="s">
        <v>304</v>
      </c>
      <c r="AL9" s="78" t="s">
        <v>283</v>
      </c>
      <c r="AM9" t="s">
        <v>2475</v>
      </c>
      <c r="AN9" s="78" t="s">
        <v>305</v>
      </c>
      <c r="AO9" s="320">
        <v>2</v>
      </c>
      <c r="AP9" s="17">
        <f>IFERROR(INDEX(Cbonds!C:H,MATCH(D9,Cbonds!C:C,0),3),0)</f>
        <v>46096</v>
      </c>
      <c r="AQ9" s="17">
        <f>EDATE(T_Bonds[[#This Row],[Next coupon date]],12/T_Bonds[[#This Row],[Coupons per annum]])</f>
        <v>46280</v>
      </c>
      <c r="AR9" s="17">
        <f>EDATE(T_Bonds[[#This Row],[Second next coupon date]],12/$AO9)</f>
        <v>46461</v>
      </c>
      <c r="AS9" s="17">
        <f>EDATE(T_Bonds[[#This Row],[Coupon date 3]],12/$AO9)</f>
        <v>46645</v>
      </c>
      <c r="AT9" s="25">
        <f>IF(
OR(
AT$1=MONTH($AP9),
AT$1=MONTH($AQ9),
AT$1=MONTH($AR9),
AT$1=MONTH($AS9)),
IF('CF USD'!$A$8="On",$L9,$K9)/T_Bonds[[#This Row],[Coupons per annum]],0)</f>
        <v>0</v>
      </c>
      <c r="AU9" s="25">
        <f>IF(
OR(
AU$1=MONTH($AP9),
AU$1=MONTH($AQ9),
AU$1=MONTH($AR9),
AU$1=MONTH($AS9)),
IF('CF USD'!$A$8="On",$L9,$K9)/T_Bonds[[#This Row],[Coupons per annum]],0)</f>
        <v>0</v>
      </c>
      <c r="AV9" s="25">
        <f>IF(
OR(
AV$1=MONTH($AP9),
AV$1=MONTH($AQ9),
AV$1=MONTH($AR9),
AV$1=MONTH($AS9)),
IF('CF USD'!$A$8="On",$L9,$K9)/T_Bonds[[#This Row],[Coupons per annum]],0)</f>
        <v>37736.999999999935</v>
      </c>
      <c r="AW9" s="25">
        <f>IF(
OR(
AW$1=MONTH($AP9),
AW$1=MONTH($AQ9),
AW$1=MONTH($AR9),
AW$1=MONTH($AS9)),
IF('CF USD'!$A$8="On",$L9,$K9)/T_Bonds[[#This Row],[Coupons per annum]],0)</f>
        <v>0</v>
      </c>
      <c r="AX9" s="25">
        <f>IF(
OR(
AX$1=MONTH($AP9),
AX$1=MONTH($AQ9),
AX$1=MONTH($AR9),
AX$1=MONTH($AS9)),
IF('CF USD'!$A$8="On",$L9,$K9)/T_Bonds[[#This Row],[Coupons per annum]],0)</f>
        <v>0</v>
      </c>
      <c r="AY9" s="25">
        <f>IF(
OR(
AY$1=MONTH($AP9),
AY$1=MONTH($AQ9),
AY$1=MONTH($AR9),
AY$1=MONTH($AS9)),
IF('CF USD'!$A$8="On",$L9,$K9)/T_Bonds[[#This Row],[Coupons per annum]],0)</f>
        <v>0</v>
      </c>
      <c r="AZ9" s="25">
        <f>IF(
OR(
AZ$1=MONTH($AP9),
AZ$1=MONTH($AQ9),
AZ$1=MONTH($AR9),
AZ$1=MONTH($AS9)),
IF('CF USD'!$A$8="On",$L9,$K9)/T_Bonds[[#This Row],[Coupons per annum]],0)</f>
        <v>0</v>
      </c>
      <c r="BA9" s="25">
        <f>IF(
OR(
BA$1=MONTH($AP9),
BA$1=MONTH($AQ9),
BA$1=MONTH($AR9),
BA$1=MONTH($AS9)),
IF('CF USD'!$A$8="On",$L9,$K9)/T_Bonds[[#This Row],[Coupons per annum]],0)</f>
        <v>0</v>
      </c>
      <c r="BB9" s="25">
        <f>IF(
OR(
BB$1=MONTH($AP9),
BB$1=MONTH($AQ9),
BB$1=MONTH($AR9),
BB$1=MONTH($AS9)),
IF('CF USD'!$A$8="On",$L9,$K9)/T_Bonds[[#This Row],[Coupons per annum]],0)</f>
        <v>37736.999999999935</v>
      </c>
      <c r="BC9" s="25">
        <f>IF(
OR(
BC$1=MONTH($AP9),
BC$1=MONTH($AQ9),
BC$1=MONTH($AR9),
BC$1=MONTH($AS9)),
IF('CF USD'!$A$8="On",$L9,$K9)/T_Bonds[[#This Row],[Coupons per annum]],0)</f>
        <v>0</v>
      </c>
      <c r="BD9" s="25">
        <f>IF(
OR(
BD$1=MONTH($AP9),
BD$1=MONTH($AQ9),
BD$1=MONTH($AR9),
BD$1=MONTH($AS9)),
IF('CF USD'!$A$8="On",$L9,$K9)/T_Bonds[[#This Row],[Coupons per annum]],0)</f>
        <v>0</v>
      </c>
      <c r="BE9" s="25">
        <f>IF(
OR(
BE$1=MONTH($AP9),
BE$1=MONTH($AQ9),
BE$1=MONTH($AR9),
BE$1=MONTH($AS9)),
IF('CF USD'!$A$8="On",$L9,$K9)/T_Bonds[[#This Row],[Coupons per annum]],0)</f>
        <v>0</v>
      </c>
      <c r="BF9">
        <f>DAY(T_Bonds[[#This Row],[Next coupon date]])</f>
        <v>15</v>
      </c>
    </row>
    <row r="10" spans="1:59" x14ac:dyDescent="0.25">
      <c r="A10" s="484" t="s">
        <v>129</v>
      </c>
      <c r="B10" s="485" t="s">
        <v>51</v>
      </c>
      <c r="C10" s="1" t="str">
        <f>IF(T_Bonds[[#This Row],[Call date]]&lt;&gt;"","Callable","Maturity")</f>
        <v>Maturity</v>
      </c>
      <c r="D10" s="1" t="s">
        <v>130</v>
      </c>
      <c r="E10" s="1" t="s">
        <v>18</v>
      </c>
      <c r="F10" s="24">
        <v>400000</v>
      </c>
      <c r="G10" s="24">
        <v>400000</v>
      </c>
      <c r="H10" s="24">
        <f>IFERROR(INDEX(UBS!C:D,MATCH(D10,UBS!D:D,0),1),0)</f>
        <v>0</v>
      </c>
      <c r="I10" s="482">
        <f>SUM(T_Bonds[[#This Row],[V1412]:[UBS]])</f>
        <v>800000</v>
      </c>
      <c r="J10" s="98">
        <f>LEFT(A10,FIND("%",A10,1))+1-1</f>
        <v>4.4999999999999929E-2</v>
      </c>
      <c r="K10" s="100">
        <f t="shared" si="7"/>
        <v>35999.999999999942</v>
      </c>
      <c r="L10" s="100">
        <f t="shared" si="8"/>
        <v>35999.999999999942</v>
      </c>
      <c r="M10" s="16">
        <v>80448</v>
      </c>
      <c r="N10" s="5">
        <f>IFERROR(INDEX(Cbonds!C:H,MATCH(D10,Cbonds!C:C,0),4)/100,0)</f>
        <v>6.1781310367723004E-2</v>
      </c>
      <c r="O10" s="6">
        <f>IFERROR(INDEX(Cbonds!C:H,MATCH(D10,Cbonds!C:C,0),5),0)</f>
        <v>16.418110719238999</v>
      </c>
      <c r="P10" s="91">
        <f>T_Bonds[[#This Row],[Market price]]-T_Bonds[[#This Row],[Cost price]]</f>
        <v>7.095674999999968E-3</v>
      </c>
      <c r="Q10" s="91">
        <f>T_Bonds[[#This Row],[Coupon]]/T_Bonds[[#This Row],[Cost price]]</f>
        <v>6.1374433381854276E-2</v>
      </c>
      <c r="R10" s="109">
        <f t="shared" si="9"/>
        <v>49425.048294178407</v>
      </c>
      <c r="S10" s="478">
        <v>0.73320432499999999</v>
      </c>
      <c r="T10" s="478">
        <v>0.73320432499999999</v>
      </c>
      <c r="U10" s="483">
        <f>IFERROR(S10*T_Bonds[[#This Row],[V1412]]/(T_Bonds[[#This Row],[V1412]]+T_Bonds[[#This Row],[V1430]])+T10*T_Bonds[[#This Row],[V1430]]/(T_Bonds[[#This Row],[V1412]]+T_Bonds[[#This Row],[V1430]]),0)</f>
        <v>0.73320432499999999</v>
      </c>
      <c r="V10" s="100">
        <f t="shared" si="10"/>
        <v>49099.546705483415</v>
      </c>
      <c r="W10" s="1" t="s">
        <v>257</v>
      </c>
      <c r="X10" s="299">
        <f>IFERROR(INDEX(Cbonds!C:AF,MATCH(D10,Cbonds!C:C,0),30)/100,0)</f>
        <v>0.74029999999999996</v>
      </c>
      <c r="Y10" s="4">
        <f>INDEX('Tech list'!A:C,MATCH(T_Bonds[[#This Row],[Risk CCY]],'Tech list'!A:A,0),3)</f>
        <v>1</v>
      </c>
      <c r="Z10" s="97">
        <f>T_Bonds[[#This Row],[Market price]]*T_Bonds[[#This Row],[Quantity]]</f>
        <v>592240</v>
      </c>
      <c r="AA10" s="106">
        <f t="shared" si="11"/>
        <v>592240</v>
      </c>
      <c r="AB10" s="73">
        <f ca="1">T_Bonds[[#This Row],[Market value in CCY]]+T_Bonds[[#This Row],[AI, CCY]]</f>
        <v>608040</v>
      </c>
      <c r="AC10" s="73">
        <f ca="1">T_Bonds[[#This Row],[Market value in USD]]+T_Bonds[[#This Row],[AI, USD]]</f>
        <v>608040</v>
      </c>
      <c r="AD10" s="97">
        <f t="shared" si="12"/>
        <v>586563.46</v>
      </c>
      <c r="AE10" s="75">
        <f ca="1">(T_Bonds[[#This Row],[Coupon in Loc.Curr]]/T_Bonds[[#This Row],[Coupons per annum]])*((TODAY()-EDATE(T_Bonds[[#This Row],[Next coupon date]],-12/T_Bonds[[#This Row],[Coupons per annum]])))/(360/T_Bonds[[#This Row],[Coupons per annum]])</f>
        <v>15799.999999999975</v>
      </c>
      <c r="AF10" s="73">
        <f ca="1">T_Bonds[[#This Row],[AI, CCY]]*T_Bonds[[#This Row],[Exchange rate, N]]</f>
        <v>15799.999999999975</v>
      </c>
      <c r="AG10" s="311">
        <f>IFERROR(IF(INDEX(Cbonds!C:AC,MATCH(D10,Cbonds!C:C,0),27)&gt;5000,0,INDEX(Cbonds!C:AC,MATCH(D10,Cbonds!C:C,0),27)),0)</f>
        <v>142.1233583959</v>
      </c>
      <c r="AH10" s="73">
        <v>55</v>
      </c>
      <c r="AJ10" s="208"/>
      <c r="AK10" s="78" t="s">
        <v>280</v>
      </c>
      <c r="AL10" s="79" t="s">
        <v>265</v>
      </c>
      <c r="AM10" t="s">
        <v>2475</v>
      </c>
      <c r="AN10" s="79" t="s">
        <v>265</v>
      </c>
      <c r="AO10" s="320">
        <v>2</v>
      </c>
      <c r="AP10" s="17">
        <f>IFERROR(INDEX(Cbonds!C:H,MATCH(D10,Cbonds!C:C,0),3),0)</f>
        <v>46115</v>
      </c>
      <c r="AQ10" s="17">
        <f>EDATE(T_Bonds[[#This Row],[Next coupon date]],12/T_Bonds[[#This Row],[Coupons per annum]])</f>
        <v>46298</v>
      </c>
      <c r="AR10" s="17">
        <f>EDATE(T_Bonds[[#This Row],[Second next coupon date]],12/$AO10)</f>
        <v>46480</v>
      </c>
      <c r="AS10" s="17">
        <f>EDATE(T_Bonds[[#This Row],[Coupon date 3]],12/$AO10)</f>
        <v>46663</v>
      </c>
      <c r="AT10" s="25">
        <f>IF(
OR(
AT$1=MONTH($AP10),
AT$1=MONTH($AQ10),
AT$1=MONTH($AR10),
AT$1=MONTH($AS10)),
IF('CF USD'!$A$8="On",$L10,$K10)/T_Bonds[[#This Row],[Coupons per annum]],0)</f>
        <v>0</v>
      </c>
      <c r="AU10" s="25">
        <f>IF(
OR(
AU$1=MONTH($AP10),
AU$1=MONTH($AQ10),
AU$1=MONTH($AR10),
AU$1=MONTH($AS10)),
IF('CF USD'!$A$8="On",$L10,$K10)/T_Bonds[[#This Row],[Coupons per annum]],0)</f>
        <v>0</v>
      </c>
      <c r="AV10" s="25">
        <f>IF(
OR(
AV$1=MONTH($AP10),
AV$1=MONTH($AQ10),
AV$1=MONTH($AR10),
AV$1=MONTH($AS10)),
IF('CF USD'!$A$8="On",$L10,$K10)/T_Bonds[[#This Row],[Coupons per annum]],0)</f>
        <v>0</v>
      </c>
      <c r="AW10" s="25">
        <f>IF(
OR(
AW$1=MONTH($AP10),
AW$1=MONTH($AQ10),
AW$1=MONTH($AR10),
AW$1=MONTH($AS10)),
IF('CF USD'!$A$8="On",$L10,$K10)/T_Bonds[[#This Row],[Coupons per annum]],0)</f>
        <v>17999.999999999971</v>
      </c>
      <c r="AX10" s="25">
        <f>IF(
OR(
AX$1=MONTH($AP10),
AX$1=MONTH($AQ10),
AX$1=MONTH($AR10),
AX$1=MONTH($AS10)),
IF('CF USD'!$A$8="On",$L10,$K10)/T_Bonds[[#This Row],[Coupons per annum]],0)</f>
        <v>0</v>
      </c>
      <c r="AY10" s="25">
        <f>IF(
OR(
AY$1=MONTH($AP10),
AY$1=MONTH($AQ10),
AY$1=MONTH($AR10),
AY$1=MONTH($AS10)),
IF('CF USD'!$A$8="On",$L10,$K10)/T_Bonds[[#This Row],[Coupons per annum]],0)</f>
        <v>0</v>
      </c>
      <c r="AZ10" s="25">
        <f>IF(
OR(
AZ$1=MONTH($AP10),
AZ$1=MONTH($AQ10),
AZ$1=MONTH($AR10),
AZ$1=MONTH($AS10)),
IF('CF USD'!$A$8="On",$L10,$K10)/T_Bonds[[#This Row],[Coupons per annum]],0)</f>
        <v>0</v>
      </c>
      <c r="BA10" s="25">
        <f>IF(
OR(
BA$1=MONTH($AP10),
BA$1=MONTH($AQ10),
BA$1=MONTH($AR10),
BA$1=MONTH($AS10)),
IF('CF USD'!$A$8="On",$L10,$K10)/T_Bonds[[#This Row],[Coupons per annum]],0)</f>
        <v>0</v>
      </c>
      <c r="BB10" s="25">
        <f>IF(
OR(
BB$1=MONTH($AP10),
BB$1=MONTH($AQ10),
BB$1=MONTH($AR10),
BB$1=MONTH($AS10)),
IF('CF USD'!$A$8="On",$L10,$K10)/T_Bonds[[#This Row],[Coupons per annum]],0)</f>
        <v>0</v>
      </c>
      <c r="BC10" s="25">
        <f>IF(
OR(
BC$1=MONTH($AP10),
BC$1=MONTH($AQ10),
BC$1=MONTH($AR10),
BC$1=MONTH($AS10)),
IF('CF USD'!$A$8="On",$L10,$K10)/T_Bonds[[#This Row],[Coupons per annum]],0)</f>
        <v>17999.999999999971</v>
      </c>
      <c r="BD10" s="25">
        <f>IF(
OR(
BD$1=MONTH($AP10),
BD$1=MONTH($AQ10),
BD$1=MONTH($AR10),
BD$1=MONTH($AS10)),
IF('CF USD'!$A$8="On",$L10,$K10)/T_Bonds[[#This Row],[Coupons per annum]],0)</f>
        <v>0</v>
      </c>
      <c r="BE10" s="25">
        <f>IF(
OR(
BE$1=MONTH($AP10),
BE$1=MONTH($AQ10),
BE$1=MONTH($AR10),
BE$1=MONTH($AS10)),
IF('CF USD'!$A$8="On",$L10,$K10)/T_Bonds[[#This Row],[Coupons per annum]],0)</f>
        <v>0</v>
      </c>
      <c r="BF10">
        <f>DAY(T_Bonds[[#This Row],[Next coupon date]])</f>
        <v>3</v>
      </c>
    </row>
    <row r="11" spans="1:59" x14ac:dyDescent="0.25">
      <c r="A11" s="486" t="s">
        <v>148</v>
      </c>
      <c r="B11" s="485" t="s">
        <v>51</v>
      </c>
      <c r="C11" s="1" t="str">
        <f>IF(T_Bonds[[#This Row],[Call date]]&lt;&gt;"","Callable","Maturity")</f>
        <v>Maturity</v>
      </c>
      <c r="D11" s="1" t="s">
        <v>149</v>
      </c>
      <c r="E11" s="1" t="s">
        <v>18</v>
      </c>
      <c r="F11" s="24">
        <v>200000</v>
      </c>
      <c r="G11" s="24">
        <v>400000</v>
      </c>
      <c r="H11" s="24">
        <f>IFERROR(INDEX(UBS!C:D,MATCH(D11,UBS!D:D,0),1),0)</f>
        <v>0</v>
      </c>
      <c r="I11" s="482">
        <f>SUM(T_Bonds[[#This Row],[V1412]:[UBS]])</f>
        <v>600000</v>
      </c>
      <c r="J11" s="98">
        <v>3.2000000000000001E-2</v>
      </c>
      <c r="K11" s="100">
        <f t="shared" si="7"/>
        <v>19200</v>
      </c>
      <c r="L11" s="100">
        <f t="shared" si="8"/>
        <v>19200</v>
      </c>
      <c r="M11" s="16">
        <v>59030</v>
      </c>
      <c r="N11" s="5">
        <v>6.7453315511200998E-2</v>
      </c>
      <c r="O11" s="6">
        <v>15.709831340079001</v>
      </c>
      <c r="P11" s="91">
        <f>T_Bonds[[#This Row],[Market price]]-T_Bonds[[#This Row],[Cost price]]</f>
        <v>-2.5299999999999989E-2</v>
      </c>
      <c r="Q11" s="91">
        <f>T_Bonds[[#This Row],[Coupon]]/T_Bonds[[#This Row],[Cost price]]</f>
        <v>5.3191489361702128E-2</v>
      </c>
      <c r="R11" s="109">
        <f t="shared" si="9"/>
        <v>40471.989306720599</v>
      </c>
      <c r="S11" s="478">
        <v>0.56579999999999997</v>
      </c>
      <c r="T11" s="478">
        <v>0.61950000000000005</v>
      </c>
      <c r="U11" s="483">
        <f>IFERROR(S11*T_Bonds[[#This Row],[V1412]]/(T_Bonds[[#This Row],[V1412]]+T_Bonds[[#This Row],[V1430]])+T11*T_Bonds[[#This Row],[V1430]]/(T_Bonds[[#This Row],[V1412]]+T_Bonds[[#This Row],[V1430]]),0)</f>
        <v>0.60160000000000002</v>
      </c>
      <c r="V11" s="100">
        <f t="shared" si="10"/>
        <v>31914.893617021276</v>
      </c>
      <c r="W11" s="102"/>
      <c r="X11" s="299">
        <f>IFERROR(INDEX(Cbonds!C:AF,MATCH(D11,Cbonds!C:C,0),30)/100,0)</f>
        <v>0.57630000000000003</v>
      </c>
      <c r="Y11" s="4">
        <f>INDEX('Tech list'!A:C,MATCH(T_Bonds[[#This Row],[Risk CCY]],'Tech list'!A:A,0),3)</f>
        <v>1</v>
      </c>
      <c r="Z11" s="105">
        <f>T_Bonds[[#This Row],[Market price]]*T_Bonds[[#This Row],[Quantity]]</f>
        <v>345780</v>
      </c>
      <c r="AA11" s="106">
        <f t="shared" si="11"/>
        <v>345780</v>
      </c>
      <c r="AB11" s="73">
        <f ca="1">T_Bonds[[#This Row],[Market value in CCY]]+T_Bonds[[#This Row],[AI, CCY]]</f>
        <v>356980</v>
      </c>
      <c r="AC11" s="73">
        <f ca="1">T_Bonds[[#This Row],[Market value in USD]]+T_Bonds[[#This Row],[AI, USD]]</f>
        <v>356980</v>
      </c>
      <c r="AD11" s="97">
        <f t="shared" si="12"/>
        <v>360960</v>
      </c>
      <c r="AE11" s="75">
        <f ca="1">(T_Bonds[[#This Row],[Coupon in Loc.Curr]]/T_Bonds[[#This Row],[Coupons per annum]])*((TODAY()-EDATE(T_Bonds[[#This Row],[Next coupon date]],-12/T_Bonds[[#This Row],[Coupons per annum]])))/(360/T_Bonds[[#This Row],[Coupons per annum]])</f>
        <v>11200</v>
      </c>
      <c r="AF11" s="73">
        <f ca="1">T_Bonds[[#This Row],[AI, CCY]]*T_Bonds[[#This Row],[Exchange rate, N]]</f>
        <v>11200</v>
      </c>
      <c r="AG11" s="311">
        <f>IFERROR(IF(INDEX(Cbonds!C:AC,MATCH(D11,Cbonds!C:C,0),27)&gt;5000,0,INDEX(Cbonds!C:AC,MATCH(D11,Cbonds!C:C,0),27)),0)</f>
        <v>149.67608007605</v>
      </c>
      <c r="AH11" s="73">
        <v>65</v>
      </c>
      <c r="AJ11" s="209"/>
      <c r="AK11" s="78" t="s">
        <v>335</v>
      </c>
      <c r="AL11" s="78" t="s">
        <v>283</v>
      </c>
      <c r="AM11" t="s">
        <v>2475</v>
      </c>
      <c r="AN11" s="78" t="s">
        <v>336</v>
      </c>
      <c r="AO11" s="320">
        <v>2</v>
      </c>
      <c r="AP11" s="17">
        <f>IFERROR(INDEX(Cbonds!C:H,MATCH(D11,Cbonds!C:C,0),3),0)</f>
        <v>46065</v>
      </c>
      <c r="AQ11" s="17">
        <f>EDATE(T_Bonds[[#This Row],[Next coupon date]],12/T_Bonds[[#This Row],[Coupons per annum]])</f>
        <v>46246</v>
      </c>
      <c r="AR11" s="17">
        <f>EDATE(T_Bonds[[#This Row],[Second next coupon date]],12/$AO11)</f>
        <v>46430</v>
      </c>
      <c r="AS11" s="17">
        <f>EDATE(T_Bonds[[#This Row],[Coupon date 3]],12/$AO11)</f>
        <v>46611</v>
      </c>
      <c r="AT11" s="25">
        <f>IF(
OR(
AT$1=MONTH($AP11),
AT$1=MONTH($AQ11),
AT$1=MONTH($AR11),
AT$1=MONTH($AS11)),
IF('CF USD'!$A$8="On",$L11,$K11)/T_Bonds[[#This Row],[Coupons per annum]],0)</f>
        <v>0</v>
      </c>
      <c r="AU11" s="25">
        <f>IF(
OR(
AU$1=MONTH($AP11),
AU$1=MONTH($AQ11),
AU$1=MONTH($AR11),
AU$1=MONTH($AS11)),
IF('CF USD'!$A$8="On",$L11,$K11)/T_Bonds[[#This Row],[Coupons per annum]],0)</f>
        <v>9600</v>
      </c>
      <c r="AV11" s="25">
        <f>IF(
OR(
AV$1=MONTH($AP11),
AV$1=MONTH($AQ11),
AV$1=MONTH($AR11),
AV$1=MONTH($AS11)),
IF('CF USD'!$A$8="On",$L11,$K11)/T_Bonds[[#This Row],[Coupons per annum]],0)</f>
        <v>0</v>
      </c>
      <c r="AW11" s="25">
        <f>IF(
OR(
AW$1=MONTH($AP11),
AW$1=MONTH($AQ11),
AW$1=MONTH($AR11),
AW$1=MONTH($AS11)),
IF('CF USD'!$A$8="On",$L11,$K11)/T_Bonds[[#This Row],[Coupons per annum]],0)</f>
        <v>0</v>
      </c>
      <c r="AX11" s="25">
        <f>IF(
OR(
AX$1=MONTH($AP11),
AX$1=MONTH($AQ11),
AX$1=MONTH($AR11),
AX$1=MONTH($AS11)),
IF('CF USD'!$A$8="On",$L11,$K11)/T_Bonds[[#This Row],[Coupons per annum]],0)</f>
        <v>0</v>
      </c>
      <c r="AY11" s="25">
        <f>IF(
OR(
AY$1=MONTH($AP11),
AY$1=MONTH($AQ11),
AY$1=MONTH($AR11),
AY$1=MONTH($AS11)),
IF('CF USD'!$A$8="On",$L11,$K11)/T_Bonds[[#This Row],[Coupons per annum]],0)</f>
        <v>0</v>
      </c>
      <c r="AZ11" s="25">
        <f>IF(
OR(
AZ$1=MONTH($AP11),
AZ$1=MONTH($AQ11),
AZ$1=MONTH($AR11),
AZ$1=MONTH($AS11)),
IF('CF USD'!$A$8="On",$L11,$K11)/T_Bonds[[#This Row],[Coupons per annum]],0)</f>
        <v>0</v>
      </c>
      <c r="BA11" s="25">
        <f>IF(
OR(
BA$1=MONTH($AP11),
BA$1=MONTH($AQ11),
BA$1=MONTH($AR11),
BA$1=MONTH($AS11)),
IF('CF USD'!$A$8="On",$L11,$K11)/T_Bonds[[#This Row],[Coupons per annum]],0)</f>
        <v>9600</v>
      </c>
      <c r="BB11" s="25">
        <f>IF(
OR(
BB$1=MONTH($AP11),
BB$1=MONTH($AQ11),
BB$1=MONTH($AR11),
BB$1=MONTH($AS11)),
IF('CF USD'!$A$8="On",$L11,$K11)/T_Bonds[[#This Row],[Coupons per annum]],0)</f>
        <v>0</v>
      </c>
      <c r="BC11" s="25">
        <f>IF(
OR(
BC$1=MONTH($AP11),
BC$1=MONTH($AQ11),
BC$1=MONTH($AR11),
BC$1=MONTH($AS11)),
IF('CF USD'!$A$8="On",$L11,$K11)/T_Bonds[[#This Row],[Coupons per annum]],0)</f>
        <v>0</v>
      </c>
      <c r="BD11" s="25">
        <f>IF(
OR(
BD$1=MONTH($AP11),
BD$1=MONTH($AQ11),
BD$1=MONTH($AR11),
BD$1=MONTH($AS11)),
IF('CF USD'!$A$8="On",$L11,$K11)/T_Bonds[[#This Row],[Coupons per annum]],0)</f>
        <v>0</v>
      </c>
      <c r="BE11" s="25">
        <f>IF(
OR(
BE$1=MONTH($AP11),
BE$1=MONTH($AQ11),
BE$1=MONTH($AR11),
BE$1=MONTH($AS11)),
IF('CF USD'!$A$8="On",$L11,$K11)/T_Bonds[[#This Row],[Coupons per annum]],0)</f>
        <v>0</v>
      </c>
      <c r="BF11">
        <f>DAY(T_Bonds[[#This Row],[Next coupon date]])</f>
        <v>12</v>
      </c>
    </row>
    <row r="12" spans="1:59" x14ac:dyDescent="0.25">
      <c r="A12" s="486" t="s">
        <v>141</v>
      </c>
      <c r="B12" s="485" t="s">
        <v>51</v>
      </c>
      <c r="C12" s="1" t="str">
        <f>IF(T_Bonds[[#This Row],[Call date]]&lt;&gt;"","Callable","Maturity")</f>
        <v>Maturity</v>
      </c>
      <c r="D12" s="1" t="s">
        <v>142</v>
      </c>
      <c r="E12" s="1" t="s">
        <v>18</v>
      </c>
      <c r="F12" s="24">
        <f>IFERROR(INDEX('V004'!D:E,MATCH(D12,'V004'!D:D,0),2),0)</f>
        <v>400000</v>
      </c>
      <c r="G12" s="24">
        <f>IFERROR(INDEX('V001'!D:E,MATCH(D12,'V001'!D:D,0),2),0)</f>
        <v>0</v>
      </c>
      <c r="H12" s="24">
        <f>IFERROR(INDEX(UBS!C:D,MATCH(D12,UBS!D:D,0),1),0)</f>
        <v>0</v>
      </c>
      <c r="I12" s="482">
        <f>SUM(T_Bonds[[#This Row],[V1412]:[UBS]])</f>
        <v>400000</v>
      </c>
      <c r="J12" s="98">
        <v>5.6500000000000002E-2</v>
      </c>
      <c r="K12" s="100">
        <f t="shared" si="7"/>
        <v>22600</v>
      </c>
      <c r="L12" s="100">
        <f t="shared" si="8"/>
        <v>22600</v>
      </c>
      <c r="M12" s="16">
        <v>55671</v>
      </c>
      <c r="N12" s="5">
        <v>6.2883826696461004E-2</v>
      </c>
      <c r="O12" s="6">
        <v>13.825399744043001</v>
      </c>
      <c r="P12" s="91">
        <f>T_Bonds[[#This Row],[Market price]]-T_Bonds[[#This Row],[Cost price]]</f>
        <v>-1.5430500000000014E-2</v>
      </c>
      <c r="Q12" s="91">
        <f>T_Bonds[[#This Row],[Coupon]]/T_Bonds[[#This Row],[Cost price]]</f>
        <v>6.0267309517968187E-2</v>
      </c>
      <c r="R12" s="109">
        <f t="shared" si="9"/>
        <v>25153.5306785844</v>
      </c>
      <c r="S12" s="478">
        <v>0.93749000000000005</v>
      </c>
      <c r="T12" s="478">
        <f>IFERROR(VLOOKUP(D12,'V001'!$D:$J,7,0),0)</f>
        <v>0</v>
      </c>
      <c r="U12" s="483">
        <f>IFERROR(S12*T_Bonds[[#This Row],[V1412]]/(T_Bonds[[#This Row],[V1412]]+T_Bonds[[#This Row],[V1430]])+T12*T_Bonds[[#This Row],[V1430]]/(T_Bonds[[#This Row],[V1412]]+T_Bonds[[#This Row],[V1430]]),0)</f>
        <v>0.93749000000000005</v>
      </c>
      <c r="V12" s="100">
        <f t="shared" si="10"/>
        <v>24106.923807187275</v>
      </c>
      <c r="W12" s="102"/>
      <c r="X12" s="299">
        <f>IFERROR(INDEX(Cbonds!C:AF,MATCH(D12,Cbonds!C:C,0),30)/100,0)</f>
        <v>0.92205950000000003</v>
      </c>
      <c r="Y12" s="4">
        <f>INDEX('Tech list'!A:C,MATCH(T_Bonds[[#This Row],[Risk CCY]],'Tech list'!A:A,0),3)</f>
        <v>1</v>
      </c>
      <c r="Z12" s="97">
        <f>T_Bonds[[#This Row],[Market price]]*T_Bonds[[#This Row],[Quantity]]</f>
        <v>368823.8</v>
      </c>
      <c r="AA12" s="106">
        <f t="shared" si="11"/>
        <v>368823.8</v>
      </c>
      <c r="AB12" s="73">
        <f ca="1">T_Bonds[[#This Row],[Market value in CCY]]+T_Bonds[[#This Row],[AI, CCY]]</f>
        <v>375038.8</v>
      </c>
      <c r="AC12" s="73">
        <f ca="1">T_Bonds[[#This Row],[Market value in USD]]+T_Bonds[[#This Row],[AI, USD]]</f>
        <v>375038.8</v>
      </c>
      <c r="AD12" s="97">
        <f t="shared" si="12"/>
        <v>374996</v>
      </c>
      <c r="AE12" s="75">
        <f ca="1">(T_Bonds[[#This Row],[Coupon in Loc.Curr]]/T_Bonds[[#This Row],[Coupons per annum]])*((TODAY()-EDATE(T_Bonds[[#This Row],[Next coupon date]],-12/T_Bonds[[#This Row],[Coupons per annum]])))/(360/T_Bonds[[#This Row],[Coupons per annum]])</f>
        <v>6215</v>
      </c>
      <c r="AF12" s="73">
        <f ca="1">T_Bonds[[#This Row],[AI, CCY]]*T_Bonds[[#This Row],[Exchange rate, N]]</f>
        <v>6215</v>
      </c>
      <c r="AG12" s="311">
        <f>IFERROR(IF(INDEX(Cbonds!C:AC,MATCH(D12,Cbonds!C:C,0),27)&gt;5000,0,INDEX(Cbonds!C:AC,MATCH(D12,Cbonds!C:C,0),27)),0)</f>
        <v>178.35419844891001</v>
      </c>
      <c r="AH12" s="73">
        <v>65</v>
      </c>
      <c r="AJ12" s="10"/>
      <c r="AK12" s="78" t="s">
        <v>278</v>
      </c>
      <c r="AL12" s="78" t="s">
        <v>283</v>
      </c>
      <c r="AM12" t="s">
        <v>2475</v>
      </c>
      <c r="AN12" s="78" t="s">
        <v>330</v>
      </c>
      <c r="AO12" s="340">
        <v>2</v>
      </c>
      <c r="AP12" s="17">
        <f>IFERROR(INDEX(Cbonds!C:H,MATCH(D12,Cbonds!C:C,0),3),0)</f>
        <v>46174</v>
      </c>
      <c r="AQ12" s="17">
        <f>EDATE(T_Bonds[[#This Row],[Next coupon date]],12/T_Bonds[[#This Row],[Coupons per annum]])</f>
        <v>46357</v>
      </c>
      <c r="AR12" s="17">
        <f>EDATE(T_Bonds[[#This Row],[Second next coupon date]],12/$AO12)</f>
        <v>46539</v>
      </c>
      <c r="AS12" s="17">
        <f>EDATE(T_Bonds[[#This Row],[Coupon date 3]],12/$AO12)</f>
        <v>46722</v>
      </c>
      <c r="AT12" s="25">
        <f>IF(
OR(
AT$1=MONTH($AP12),
AT$1=MONTH($AQ12),
AT$1=MONTH($AR12),
AT$1=MONTH($AS12)),
IF('CF USD'!$A$8="On",$L12,$K12)/T_Bonds[[#This Row],[Coupons per annum]],0)</f>
        <v>0</v>
      </c>
      <c r="AU12" s="25">
        <f>IF(
OR(
AU$1=MONTH($AP12),
AU$1=MONTH($AQ12),
AU$1=MONTH($AR12),
AU$1=MONTH($AS12)),
IF('CF USD'!$A$8="On",$L12,$K12)/T_Bonds[[#This Row],[Coupons per annum]],0)</f>
        <v>0</v>
      </c>
      <c r="AV12" s="25">
        <f>IF(
OR(
AV$1=MONTH($AP12),
AV$1=MONTH($AQ12),
AV$1=MONTH($AR12),
AV$1=MONTH($AS12)),
IF('CF USD'!$A$8="On",$L12,$K12)/T_Bonds[[#This Row],[Coupons per annum]],0)</f>
        <v>0</v>
      </c>
      <c r="AW12" s="25">
        <f>IF(
OR(
AW$1=MONTH($AP12),
AW$1=MONTH($AQ12),
AW$1=MONTH($AR12),
AW$1=MONTH($AS12)),
IF('CF USD'!$A$8="On",$L12,$K12)/T_Bonds[[#This Row],[Coupons per annum]],0)</f>
        <v>0</v>
      </c>
      <c r="AX12" s="25">
        <f>IF(
OR(
AX$1=MONTH($AP12),
AX$1=MONTH($AQ12),
AX$1=MONTH($AR12),
AX$1=MONTH($AS12)),
IF('CF USD'!$A$8="On",$L12,$K12)/T_Bonds[[#This Row],[Coupons per annum]],0)</f>
        <v>0</v>
      </c>
      <c r="AY12" s="25">
        <f>IF(
OR(
AY$1=MONTH($AP12),
AY$1=MONTH($AQ12),
AY$1=MONTH($AR12),
AY$1=MONTH($AS12)),
IF('CF USD'!$A$8="On",$L12,$K12)/T_Bonds[[#This Row],[Coupons per annum]],0)</f>
        <v>11300</v>
      </c>
      <c r="AZ12" s="25">
        <f>IF(
OR(
AZ$1=MONTH($AP12),
AZ$1=MONTH($AQ12),
AZ$1=MONTH($AR12),
AZ$1=MONTH($AS12)),
IF('CF USD'!$A$8="On",$L12,$K12)/T_Bonds[[#This Row],[Coupons per annum]],0)</f>
        <v>0</v>
      </c>
      <c r="BA12" s="25">
        <f>IF(
OR(
BA$1=MONTH($AP12),
BA$1=MONTH($AQ12),
BA$1=MONTH($AR12),
BA$1=MONTH($AS12)),
IF('CF USD'!$A$8="On",$L12,$K12)/T_Bonds[[#This Row],[Coupons per annum]],0)</f>
        <v>0</v>
      </c>
      <c r="BB12" s="25">
        <f>IF(
OR(
BB$1=MONTH($AP12),
BB$1=MONTH($AQ12),
BB$1=MONTH($AR12),
BB$1=MONTH($AS12)),
IF('CF USD'!$A$8="On",$L12,$K12)/T_Bonds[[#This Row],[Coupons per annum]],0)</f>
        <v>0</v>
      </c>
      <c r="BC12" s="25">
        <f>IF(
OR(
BC$1=MONTH($AP12),
BC$1=MONTH($AQ12),
BC$1=MONTH($AR12),
BC$1=MONTH($AS12)),
IF('CF USD'!$A$8="On",$L12,$K12)/T_Bonds[[#This Row],[Coupons per annum]],0)</f>
        <v>0</v>
      </c>
      <c r="BD12" s="25">
        <f>IF(
OR(
BD$1=MONTH($AP12),
BD$1=MONTH($AQ12),
BD$1=MONTH($AR12),
BD$1=MONTH($AS12)),
IF('CF USD'!$A$8="On",$L12,$K12)/T_Bonds[[#This Row],[Coupons per annum]],0)</f>
        <v>0</v>
      </c>
      <c r="BE12" s="25">
        <f>IF(
OR(
BE$1=MONTH($AP12),
BE$1=MONTH($AQ12),
BE$1=MONTH($AR12),
BE$1=MONTH($AS12)),
IF('CF USD'!$A$8="On",$L12,$K12)/T_Bonds[[#This Row],[Coupons per annum]],0)</f>
        <v>11300</v>
      </c>
      <c r="BF12">
        <f>DAY(T_Bonds[[#This Row],[Next coupon date]])</f>
        <v>1</v>
      </c>
    </row>
    <row r="13" spans="1:59" x14ac:dyDescent="0.25">
      <c r="A13" s="486" t="s">
        <v>150</v>
      </c>
      <c r="B13" s="485" t="s">
        <v>51</v>
      </c>
      <c r="C13" s="1" t="str">
        <f>IF(T_Bonds[[#This Row],[Call date]]&lt;&gt;"","Callable","Maturity")</f>
        <v>Maturity</v>
      </c>
      <c r="D13" s="1" t="s">
        <v>151</v>
      </c>
      <c r="E13" s="1" t="s">
        <v>18</v>
      </c>
      <c r="F13" s="24">
        <f>IFERROR(INDEX('V004'!D:E,MATCH(D13,'V004'!D:D,0),2),0)</f>
        <v>400000</v>
      </c>
      <c r="G13" s="24">
        <f>IFERROR(INDEX('V001'!D:E,MATCH(D13,'V001'!D:D,0),2),0)</f>
        <v>0</v>
      </c>
      <c r="H13" s="24">
        <f>IFERROR(INDEX(UBS!C:D,MATCH(D13,UBS!D:D,0),1),0)</f>
        <v>0</v>
      </c>
      <c r="I13" s="482">
        <f>SUM(T_Bonds[[#This Row],[V1412]:[UBS]])</f>
        <v>400000</v>
      </c>
      <c r="J13" s="98">
        <v>5.7000000000000002E-2</v>
      </c>
      <c r="K13" s="100">
        <f t="shared" si="7"/>
        <v>22800</v>
      </c>
      <c r="L13" s="100">
        <f t="shared" si="8"/>
        <v>22800</v>
      </c>
      <c r="M13" s="16">
        <v>56504</v>
      </c>
      <c r="N13" s="5">
        <v>6.9179090702347998E-2</v>
      </c>
      <c r="O13" s="6">
        <v>13.195548538882001</v>
      </c>
      <c r="P13" s="91">
        <f>T_Bonds[[#This Row],[Market price]]-T_Bonds[[#This Row],[Cost price]]</f>
        <v>-6.5890000000000004E-2</v>
      </c>
      <c r="Q13" s="91">
        <f>T_Bonds[[#This Row],[Coupon]]/T_Bonds[[#This Row],[Cost price]]</f>
        <v>5.6818748193263491E-2</v>
      </c>
      <c r="R13" s="109">
        <f t="shared" si="9"/>
        <v>27671.636280939198</v>
      </c>
      <c r="S13" s="478">
        <v>1.00319</v>
      </c>
      <c r="T13" s="478">
        <f>IFERROR(VLOOKUP(D13,'V001'!$D:$J,7,0),0)</f>
        <v>0</v>
      </c>
      <c r="U13" s="483">
        <f>IFERROR(S13*T_Bonds[[#This Row],[V1412]]/(T_Bonds[[#This Row],[V1412]]+T_Bonds[[#This Row],[V1430]])+T13*T_Bonds[[#This Row],[V1430]]/(T_Bonds[[#This Row],[V1412]]+T_Bonds[[#This Row],[V1430]]),0)</f>
        <v>1.00319</v>
      </c>
      <c r="V13" s="100">
        <f t="shared" si="10"/>
        <v>22727.499277305396</v>
      </c>
      <c r="W13" s="102"/>
      <c r="X13" s="299">
        <f>IFERROR(INDEX(Cbonds!C:AF,MATCH(D13,Cbonds!C:C,0),30)/100,0)</f>
        <v>0.93730000000000002</v>
      </c>
      <c r="Y13" s="4">
        <f>INDEX('Tech list'!A:C,MATCH(T_Bonds[[#This Row],[Risk CCY]],'Tech list'!A:A,0),3)</f>
        <v>1</v>
      </c>
      <c r="Z13" s="97">
        <f>T_Bonds[[#This Row],[Market price]]*T_Bonds[[#This Row],[Quantity]]</f>
        <v>374920</v>
      </c>
      <c r="AA13" s="106">
        <f t="shared" si="11"/>
        <v>374920</v>
      </c>
      <c r="AB13" s="73">
        <f ca="1">T_Bonds[[#This Row],[Market value in CCY]]+T_Bonds[[#This Row],[AI, CCY]]</f>
        <v>386256.66666666669</v>
      </c>
      <c r="AC13" s="73">
        <f ca="1">T_Bonds[[#This Row],[Market value in USD]]+T_Bonds[[#This Row],[AI, USD]]</f>
        <v>386256.66666666669</v>
      </c>
      <c r="AD13" s="97">
        <f t="shared" si="12"/>
        <v>401276</v>
      </c>
      <c r="AE13" s="75">
        <f ca="1">(T_Bonds[[#This Row],[Coupon in Loc.Curr]]/T_Bonds[[#This Row],[Coupons per annum]])*((TODAY()-EDATE(T_Bonds[[#This Row],[Next coupon date]],-12/T_Bonds[[#This Row],[Coupons per annum]])))/(360/T_Bonds[[#This Row],[Coupons per annum]])</f>
        <v>11336.666666666666</v>
      </c>
      <c r="AF13" s="73">
        <f ca="1">T_Bonds[[#This Row],[AI, CCY]]*T_Bonds[[#This Row],[Exchange rate, N]]</f>
        <v>11336.666666666666</v>
      </c>
      <c r="AG13" s="311">
        <f>IFERROR(IF(INDEX(Cbonds!C:AC,MATCH(D13,Cbonds!C:C,0),27)&gt;5000,0,INDEX(Cbonds!C:AC,MATCH(D13,Cbonds!C:C,0),27)),0)</f>
        <v>167.31772185174</v>
      </c>
      <c r="AH13" s="73">
        <v>65</v>
      </c>
      <c r="AJ13" s="10"/>
      <c r="AK13" s="78" t="s">
        <v>258</v>
      </c>
      <c r="AL13" s="78" t="s">
        <v>337</v>
      </c>
      <c r="AM13" t="s">
        <v>2475</v>
      </c>
      <c r="AN13" s="78" t="s">
        <v>338</v>
      </c>
      <c r="AO13" s="320">
        <v>2</v>
      </c>
      <c r="AP13" s="17">
        <f>IFERROR(INDEX(Cbonds!C:H,MATCH(D13,Cbonds!C:C,0),3),0)</f>
        <v>46093</v>
      </c>
      <c r="AQ13" s="17">
        <f>EDATE(T_Bonds[[#This Row],[Next coupon date]],12/T_Bonds[[#This Row],[Coupons per annum]])</f>
        <v>46277</v>
      </c>
      <c r="AR13" s="17">
        <f>EDATE(T_Bonds[[#This Row],[Second next coupon date]],12/$AO13)</f>
        <v>46458</v>
      </c>
      <c r="AS13" s="17">
        <f>EDATE(T_Bonds[[#This Row],[Coupon date 3]],12/$AO13)</f>
        <v>46642</v>
      </c>
      <c r="AT13" s="25">
        <f>IF(
OR(
AT$1=MONTH($AP13),
AT$1=MONTH($AQ13),
AT$1=MONTH($AR13),
AT$1=MONTH($AS13)),
IF('CF USD'!$A$8="On",$L13,$K13)/T_Bonds[[#This Row],[Coupons per annum]],0)</f>
        <v>0</v>
      </c>
      <c r="AU13" s="25">
        <f>IF(
OR(
AU$1=MONTH($AP13),
AU$1=MONTH($AQ13),
AU$1=MONTH($AR13),
AU$1=MONTH($AS13)),
IF('CF USD'!$A$8="On",$L13,$K13)/T_Bonds[[#This Row],[Coupons per annum]],0)</f>
        <v>0</v>
      </c>
      <c r="AV13" s="25">
        <f>IF(
OR(
AV$1=MONTH($AP13),
AV$1=MONTH($AQ13),
AV$1=MONTH($AR13),
AV$1=MONTH($AS13)),
IF('CF USD'!$A$8="On",$L13,$K13)/T_Bonds[[#This Row],[Coupons per annum]],0)</f>
        <v>11400</v>
      </c>
      <c r="AW13" s="25">
        <f>IF(
OR(
AW$1=MONTH($AP13),
AW$1=MONTH($AQ13),
AW$1=MONTH($AR13),
AW$1=MONTH($AS13)),
IF('CF USD'!$A$8="On",$L13,$K13)/T_Bonds[[#This Row],[Coupons per annum]],0)</f>
        <v>0</v>
      </c>
      <c r="AX13" s="25">
        <f>IF(
OR(
AX$1=MONTH($AP13),
AX$1=MONTH($AQ13),
AX$1=MONTH($AR13),
AX$1=MONTH($AS13)),
IF('CF USD'!$A$8="On",$L13,$K13)/T_Bonds[[#This Row],[Coupons per annum]],0)</f>
        <v>0</v>
      </c>
      <c r="AY13" s="25">
        <f>IF(
OR(
AY$1=MONTH($AP13),
AY$1=MONTH($AQ13),
AY$1=MONTH($AR13),
AY$1=MONTH($AS13)),
IF('CF USD'!$A$8="On",$L13,$K13)/T_Bonds[[#This Row],[Coupons per annum]],0)</f>
        <v>0</v>
      </c>
      <c r="AZ13" s="25">
        <f>IF(
OR(
AZ$1=MONTH($AP13),
AZ$1=MONTH($AQ13),
AZ$1=MONTH($AR13),
AZ$1=MONTH($AS13)),
IF('CF USD'!$A$8="On",$L13,$K13)/T_Bonds[[#This Row],[Coupons per annum]],0)</f>
        <v>0</v>
      </c>
      <c r="BA13" s="25">
        <f>IF(
OR(
BA$1=MONTH($AP13),
BA$1=MONTH($AQ13),
BA$1=MONTH($AR13),
BA$1=MONTH($AS13)),
IF('CF USD'!$A$8="On",$L13,$K13)/T_Bonds[[#This Row],[Coupons per annum]],0)</f>
        <v>0</v>
      </c>
      <c r="BB13" s="25">
        <f>IF(
OR(
BB$1=MONTH($AP13),
BB$1=MONTH($AQ13),
BB$1=MONTH($AR13),
BB$1=MONTH($AS13)),
IF('CF USD'!$A$8="On",$L13,$K13)/T_Bonds[[#This Row],[Coupons per annum]],0)</f>
        <v>11400</v>
      </c>
      <c r="BC13" s="25">
        <f>IF(
OR(
BC$1=MONTH($AP13),
BC$1=MONTH($AQ13),
BC$1=MONTH($AR13),
BC$1=MONTH($AS13)),
IF('CF USD'!$A$8="On",$L13,$K13)/T_Bonds[[#This Row],[Coupons per annum]],0)</f>
        <v>0</v>
      </c>
      <c r="BD13" s="25">
        <f>IF(
OR(
BD$1=MONTH($AP13),
BD$1=MONTH($AQ13),
BD$1=MONTH($AR13),
BD$1=MONTH($AS13)),
IF('CF USD'!$A$8="On",$L13,$K13)/T_Bonds[[#This Row],[Coupons per annum]],0)</f>
        <v>0</v>
      </c>
      <c r="BE13" s="25">
        <f>IF(
OR(
BE$1=MONTH($AP13),
BE$1=MONTH($AQ13),
BE$1=MONTH($AR13),
BE$1=MONTH($AS13)),
IF('CF USD'!$A$8="On",$L13,$K13)/T_Bonds[[#This Row],[Coupons per annum]],0)</f>
        <v>0</v>
      </c>
      <c r="BF13">
        <f>DAY(T_Bonds[[#This Row],[Next coupon date]])</f>
        <v>12</v>
      </c>
    </row>
    <row r="14" spans="1:59" x14ac:dyDescent="0.25">
      <c r="A14" s="1" t="s">
        <v>52</v>
      </c>
      <c r="B14" t="s">
        <v>51</v>
      </c>
      <c r="C14" s="1" t="str">
        <f>IF(T_Bonds[[#This Row],[Call date]]&lt;&gt;"","Callable","Maturity")</f>
        <v>Maturity</v>
      </c>
      <c r="D14" s="1" t="s">
        <v>53</v>
      </c>
      <c r="E14" s="1" t="s">
        <v>18</v>
      </c>
      <c r="F14" s="22">
        <f>IFERROR(INDEX('V004'!D:E,MATCH(D14,'V004'!D:D,0),2),0)</f>
        <v>1000000</v>
      </c>
      <c r="G14" s="22">
        <f>IFERROR(INDEX('V001'!D:E,MATCH(D14,'V001'!D:D,0),2),0)</f>
        <v>0</v>
      </c>
      <c r="H14" s="22">
        <f>IFERROR(INDEX(UBS!C:D,MATCH(D14,UBS!D:D,0),1),0)</f>
        <v>0</v>
      </c>
      <c r="I14" s="300">
        <f>SUM(T_Bonds[[#This Row],[V1412]:[UBS]])</f>
        <v>1000000</v>
      </c>
      <c r="J14" s="74">
        <f t="shared" si="0"/>
        <v>7.6899999999999968E-2</v>
      </c>
      <c r="K14" s="73">
        <f t="shared" si="1"/>
        <v>76899.999999999971</v>
      </c>
      <c r="L14" s="73">
        <f t="shared" si="2"/>
        <v>76899.999999999971</v>
      </c>
      <c r="M14" s="16">
        <v>54811</v>
      </c>
      <c r="N14" s="5">
        <f>IFERROR(INDEX(Cbonds!C:H,MATCH(D14,Cbonds!C:C,0),4)/100,0)</f>
        <v>8.8962130711490006E-2</v>
      </c>
      <c r="O14" s="6">
        <f>IFERROR(INDEX(Cbonds!C:H,MATCH(D14,Cbonds!C:C,0),5),0)</f>
        <v>10.500883856841</v>
      </c>
      <c r="P14" s="91">
        <f>T_Bonds[[#This Row],[Market price]]-T_Bonds[[#This Row],[Cost price]]</f>
        <v>0.18951892999999997</v>
      </c>
      <c r="Q14" s="91">
        <f>T_Bonds[[#This Row],[Coupon]]/T_Bonds[[#This Row],[Cost price]]</f>
        <v>0.10849229888790311</v>
      </c>
      <c r="R14" s="97">
        <f t="shared" si="3"/>
        <v>88962.130711490012</v>
      </c>
      <c r="S14" s="222">
        <f>IFERROR(INDEX('V004'!D:J,MATCH(D14,'V004'!D:D,0),7),0)</f>
        <v>0.70880606999999995</v>
      </c>
      <c r="T14" s="222">
        <f>IFERROR(INDEX('V001'!D:J,MATCH(D14,'V001'!D:D,0),7),0)</f>
        <v>0</v>
      </c>
      <c r="U14" s="223">
        <f>IFERROR(S14*T_Bonds[[#This Row],[V1412]]/(T_Bonds[[#This Row],[V1412]]+T_Bonds[[#This Row],[V1430]])+T14*T_Bonds[[#This Row],[V1430]]/(T_Bonds[[#This Row],[V1412]]+T_Bonds[[#This Row],[V1430]]),0)</f>
        <v>0.70880606999999995</v>
      </c>
      <c r="V14" s="73">
        <f t="shared" si="4"/>
        <v>108492.29888790312</v>
      </c>
      <c r="W14" s="1" t="s">
        <v>257</v>
      </c>
      <c r="X14" s="299">
        <f>IFERROR(INDEX(Cbonds!C:AF,MATCH(D14,Cbonds!C:C,0),30)/100,0)</f>
        <v>0.89832499999999993</v>
      </c>
      <c r="Y14" s="4">
        <f>INDEX('Tech list'!A:C,MATCH(T_Bonds[[#This Row],[Risk CCY]],'Tech list'!A:A,0),3)</f>
        <v>1</v>
      </c>
      <c r="Z14" s="100">
        <f>T_Bonds[[#This Row],[Market price]]*T_Bonds[[#This Row],[Quantity]]</f>
        <v>898324.99999999988</v>
      </c>
      <c r="AA14" s="73">
        <f t="shared" si="5"/>
        <v>898324.99999999988</v>
      </c>
      <c r="AB14" s="73">
        <f ca="1">T_Bonds[[#This Row],[Market value in CCY]]+T_Bonds[[#This Row],[AI, CCY]]</f>
        <v>908096.82320441981</v>
      </c>
      <c r="AC14" s="73">
        <f ca="1">T_Bonds[[#This Row],[Market value in USD]]+T_Bonds[[#This Row],[AI, USD]]</f>
        <v>908096.82320441981</v>
      </c>
      <c r="AD14" s="73">
        <f t="shared" si="6"/>
        <v>708806.07</v>
      </c>
      <c r="AE14" s="75">
        <f ca="1">(T_Bonds[[#This Row],[Coupon in Loc.Curr]]/T_Bonds[[#This Row],[Coupons per annum]])*((TODAY()-EDATE(T_Bonds[[#This Row],[Next coupon date]],-12/T_Bonds[[#This Row],[Coupons per annum]]))/IF(T_Bonds[[#This Row],[Coupons per annum]]=2,181,IF(T_Bonds[[#This Row],[Coupons per annum]]=4,91,360)))</f>
        <v>9771.8232044198867</v>
      </c>
      <c r="AF14" s="73">
        <f ca="1">T_Bonds[[#This Row],[AI, CCY]]*T_Bonds[[#This Row],[Exchange rate, N]]</f>
        <v>9771.8232044198867</v>
      </c>
      <c r="AG14" s="311">
        <f>IFERROR(IF(INDEX(Cbonds!C:AC,MATCH(D14,Cbonds!C:C,0),27)&gt;5000,0,INDEX(Cbonds!C:AC,MATCH(D14,Cbonds!C:C,0),27)),0)</f>
        <v>452.75175078257001</v>
      </c>
      <c r="AH14" s="73">
        <v>0</v>
      </c>
      <c r="AK14" t="s">
        <v>258</v>
      </c>
      <c r="AL14" t="s">
        <v>259</v>
      </c>
      <c r="AM14" t="s">
        <v>2476</v>
      </c>
      <c r="AN14" t="s">
        <v>260</v>
      </c>
      <c r="AO14" s="320">
        <v>2</v>
      </c>
      <c r="AP14" s="17">
        <f>IFERROR(INDEX(Cbonds!C:H,MATCH(D14,Cbonds!C:C,0),3),0)</f>
        <v>46226</v>
      </c>
      <c r="AQ14" s="17">
        <f>EDATE(T_Bonds[[#This Row],[Next coupon date]],12/T_Bonds[[#This Row],[Coupons per annum]])</f>
        <v>46410</v>
      </c>
      <c r="AR14" s="17">
        <f>EDATE(T_Bonds[[#This Row],[Second next coupon date]],12/$AO14)</f>
        <v>46591</v>
      </c>
      <c r="AS14" s="17">
        <f>EDATE(T_Bonds[[#This Row],[Coupon date 3]],12/$AO14)</f>
        <v>46775</v>
      </c>
      <c r="AT14" s="25">
        <f>IF(
OR(
AT$1=MONTH($AP14),
AT$1=MONTH($AQ14),
AT$1=MONTH($AR14),
AT$1=MONTH($AS14)),
IF('CF USD'!$A$8="On",$L14,$K14)/T_Bonds[[#This Row],[Coupons per annum]],0)</f>
        <v>38449.999999999985</v>
      </c>
      <c r="AU14" s="25">
        <f>IF(
OR(
AU$1=MONTH($AP14),
AU$1=MONTH($AQ14),
AU$1=MONTH($AR14),
AU$1=MONTH($AS14)),
IF('CF USD'!$A$8="On",$L14,$K14)/T_Bonds[[#This Row],[Coupons per annum]],0)</f>
        <v>0</v>
      </c>
      <c r="AV14" s="25">
        <f>IF(
OR(
AV$1=MONTH($AP14),
AV$1=MONTH($AQ14),
AV$1=MONTH($AR14),
AV$1=MONTH($AS14)),
IF('CF USD'!$A$8="On",$L14,$K14)/T_Bonds[[#This Row],[Coupons per annum]],0)</f>
        <v>0</v>
      </c>
      <c r="AW14" s="25">
        <f>IF(
OR(
AW$1=MONTH($AP14),
AW$1=MONTH($AQ14),
AW$1=MONTH($AR14),
AW$1=MONTH($AS14)),
IF('CF USD'!$A$8="On",$L14,$K14)/T_Bonds[[#This Row],[Coupons per annum]],0)</f>
        <v>0</v>
      </c>
      <c r="AX14" s="25">
        <f>IF(
OR(
AX$1=MONTH($AP14),
AX$1=MONTH($AQ14),
AX$1=MONTH($AR14),
AX$1=MONTH($AS14)),
IF('CF USD'!$A$8="On",$L14,$K14)/T_Bonds[[#This Row],[Coupons per annum]],0)</f>
        <v>0</v>
      </c>
      <c r="AY14" s="25">
        <f>IF(
OR(
AY$1=MONTH($AP14),
AY$1=MONTH($AQ14),
AY$1=MONTH($AR14),
AY$1=MONTH($AS14)),
IF('CF USD'!$A$8="On",$L14,$K14)/T_Bonds[[#This Row],[Coupons per annum]],0)</f>
        <v>0</v>
      </c>
      <c r="AZ14" s="25">
        <f>IF(
OR(
AZ$1=MONTH($AP14),
AZ$1=MONTH($AQ14),
AZ$1=MONTH($AR14),
AZ$1=MONTH($AS14)),
IF('CF USD'!$A$8="On",$L14,$K14)/T_Bonds[[#This Row],[Coupons per annum]],0)</f>
        <v>38449.999999999985</v>
      </c>
      <c r="BA14" s="25">
        <f>IF(
OR(
BA$1=MONTH($AP14),
BA$1=MONTH($AQ14),
BA$1=MONTH($AR14),
BA$1=MONTH($AS14)),
IF('CF USD'!$A$8="On",$L14,$K14)/T_Bonds[[#This Row],[Coupons per annum]],0)</f>
        <v>0</v>
      </c>
      <c r="BB14" s="25">
        <f>IF(
OR(
BB$1=MONTH($AP14),
BB$1=MONTH($AQ14),
BB$1=MONTH($AR14),
BB$1=MONTH($AS14)),
IF('CF USD'!$A$8="On",$L14,$K14)/T_Bonds[[#This Row],[Coupons per annum]],0)</f>
        <v>0</v>
      </c>
      <c r="BC14" s="25">
        <f>IF(
OR(
BC$1=MONTH($AP14),
BC$1=MONTH($AQ14),
BC$1=MONTH($AR14),
BC$1=MONTH($AS14)),
IF('CF USD'!$A$8="On",$L14,$K14)/T_Bonds[[#This Row],[Coupons per annum]],0)</f>
        <v>0</v>
      </c>
      <c r="BD14" s="25">
        <f>IF(
OR(
BD$1=MONTH($AP14),
BD$1=MONTH($AQ14),
BD$1=MONTH($AR14),
BD$1=MONTH($AS14)),
IF('CF USD'!$A$8="On",$L14,$K14)/T_Bonds[[#This Row],[Coupons per annum]],0)</f>
        <v>0</v>
      </c>
      <c r="BE14" s="25">
        <f>IF(
OR(
BE$1=MONTH($AP14),
BE$1=MONTH($AQ14),
BE$1=MONTH($AR14),
BE$1=MONTH($AS14)),
IF('CF USD'!$A$8="On",$L14,$K14)/T_Bonds[[#This Row],[Coupons per annum]],0)</f>
        <v>0</v>
      </c>
      <c r="BF14">
        <f>DAY(T_Bonds[[#This Row],[Next coupon date]])</f>
        <v>23</v>
      </c>
    </row>
    <row r="15" spans="1:59" x14ac:dyDescent="0.25">
      <c r="A15" s="1" t="s">
        <v>54</v>
      </c>
      <c r="B15" t="s">
        <v>51</v>
      </c>
      <c r="C15" s="1" t="str">
        <f>IF(T_Bonds[[#This Row],[Call date]]&lt;&gt;"","Callable","Maturity")</f>
        <v>Maturity</v>
      </c>
      <c r="D15" s="1" t="s">
        <v>55</v>
      </c>
      <c r="E15" s="1" t="s">
        <v>18</v>
      </c>
      <c r="F15" s="22">
        <f>IFERROR(INDEX('V004'!D:E,MATCH(D15,'V004'!D:D,0),2),0)</f>
        <v>400000</v>
      </c>
      <c r="G15" s="22">
        <f>IFERROR(INDEX('V001'!D:E,MATCH(D15,'V001'!D:D,0),2),0)</f>
        <v>0</v>
      </c>
      <c r="H15" s="22">
        <f>IFERROR(INDEX(UBS!C:D,MATCH(D15,UBS!D:D,0),1),0)</f>
        <v>0</v>
      </c>
      <c r="I15" s="300">
        <f>SUM(T_Bonds[[#This Row],[V1412]:[UBS]])</f>
        <v>400000</v>
      </c>
      <c r="J15" s="98">
        <f t="shared" si="0"/>
        <v>0.1087499999999999</v>
      </c>
      <c r="K15" s="100">
        <f t="shared" si="1"/>
        <v>43499.999999999964</v>
      </c>
      <c r="L15" s="100">
        <f t="shared" si="2"/>
        <v>43499.999999999964</v>
      </c>
      <c r="M15" s="16">
        <v>47378</v>
      </c>
      <c r="N15" s="5">
        <f>IFERROR(INDEX(Cbonds!C:H,MATCH(D15,Cbonds!C:C,0),4)/100,0)</f>
        <v>8.7730933983639001E-2</v>
      </c>
      <c r="O15" s="6">
        <f>IFERROR(INDEX(Cbonds!C:H,MATCH(D15,Cbonds!C:C,0),5),0)</f>
        <v>2.9668787556959</v>
      </c>
      <c r="P15" s="91">
        <f>T_Bonds[[#This Row],[Market price]]-T_Bonds[[#This Row],[Cost price]]</f>
        <v>5.8046025000000112E-2</v>
      </c>
      <c r="Q15" s="91">
        <f>T_Bonds[[#This Row],[Coupon]]/T_Bonds[[#This Row],[Cost price]]</f>
        <v>0.10748023123519312</v>
      </c>
      <c r="R15" s="109">
        <f t="shared" si="3"/>
        <v>35092.373593455603</v>
      </c>
      <c r="S15" s="222">
        <f>IFERROR(INDEX('V004'!D:J,MATCH(D15,'V004'!D:D,0),7),0)</f>
        <v>1.0118139749999999</v>
      </c>
      <c r="T15" s="222">
        <f>IFERROR(INDEX('V001'!D:J,MATCH(D15,'V001'!D:D,0),7),0)</f>
        <v>0</v>
      </c>
      <c r="U15" s="223">
        <f>IFERROR(S15*T_Bonds[[#This Row],[V1412]]/(T_Bonds[[#This Row],[V1412]]+T_Bonds[[#This Row],[V1430]])+T15*T_Bonds[[#This Row],[V1430]]/(T_Bonds[[#This Row],[V1412]]+T_Bonds[[#This Row],[V1430]]),0)</f>
        <v>1.0118139749999999</v>
      </c>
      <c r="V15" s="100">
        <f t="shared" si="4"/>
        <v>42992.092494077253</v>
      </c>
      <c r="W15" s="1" t="s">
        <v>257</v>
      </c>
      <c r="X15" s="299">
        <f>IFERROR(INDEX(Cbonds!C:AF,MATCH(D15,Cbonds!C:C,0),30)/100,0)</f>
        <v>1.06986</v>
      </c>
      <c r="Y15" s="4">
        <f>INDEX('Tech list'!A:C,MATCH(T_Bonds[[#This Row],[Risk CCY]],'Tech list'!A:A,0),3)</f>
        <v>1</v>
      </c>
      <c r="Z15" s="97">
        <f>T_Bonds[[#This Row],[Market price]]*T_Bonds[[#This Row],[Quantity]]</f>
        <v>427944</v>
      </c>
      <c r="AA15" s="106">
        <f t="shared" si="5"/>
        <v>427944</v>
      </c>
      <c r="AB15" s="73">
        <f ca="1">T_Bonds[[#This Row],[Market value in CCY]]+T_Bonds[[#This Row],[AI, CCY]]</f>
        <v>448852.8397790055</v>
      </c>
      <c r="AC15" s="73">
        <f ca="1">T_Bonds[[#This Row],[Market value in USD]]+T_Bonds[[#This Row],[AI, USD]]</f>
        <v>448852.8397790055</v>
      </c>
      <c r="AD15" s="97">
        <f t="shared" si="6"/>
        <v>404725.58999999997</v>
      </c>
      <c r="AE15" s="75">
        <f ca="1">(T_Bonds[[#This Row],[Coupon in Loc.Curr]]/T_Bonds[[#This Row],[Coupons per annum]])*((TODAY()-EDATE(T_Bonds[[#This Row],[Next coupon date]],-12/T_Bonds[[#This Row],[Coupons per annum]]))/IF(T_Bonds[[#This Row],[Coupons per annum]]=2,181,IF(T_Bonds[[#This Row],[Coupons per annum]]=4,91,360)))</f>
        <v>20908.839779005506</v>
      </c>
      <c r="AF15" s="73">
        <f ca="1">T_Bonds[[#This Row],[AI, CCY]]*T_Bonds[[#This Row],[Exchange rate, N]]</f>
        <v>20908.839779005506</v>
      </c>
      <c r="AG15" s="311">
        <f>IFERROR(IF(INDEX(Cbonds!C:AC,MATCH(D15,Cbonds!C:C,0),27)&gt;5000,0,INDEX(Cbonds!C:AC,MATCH(D15,Cbonds!C:C,0),27)),0)</f>
        <v>513.75343975293003</v>
      </c>
      <c r="AH15" s="73">
        <v>0</v>
      </c>
      <c r="AJ15" s="208"/>
      <c r="AK15" s="1" t="s">
        <v>261</v>
      </c>
      <c r="AL15" s="79" t="s">
        <v>262</v>
      </c>
      <c r="AM15" t="s">
        <v>2476</v>
      </c>
      <c r="AN15" s="104" t="s">
        <v>263</v>
      </c>
      <c r="AO15" s="340">
        <v>2</v>
      </c>
      <c r="AP15" s="17">
        <f>IFERROR(INDEX(Cbonds!C:H,MATCH(D15,Cbonds!C:C,0),3),0)</f>
        <v>46098</v>
      </c>
      <c r="AQ15" s="17">
        <f>EDATE(T_Bonds[[#This Row],[Next coupon date]],12/T_Bonds[[#This Row],[Coupons per annum]])</f>
        <v>46282</v>
      </c>
      <c r="AR15" s="17">
        <f>EDATE(T_Bonds[[#This Row],[Second next coupon date]],12/$AO15)</f>
        <v>46463</v>
      </c>
      <c r="AS15" s="17">
        <f>EDATE(T_Bonds[[#This Row],[Coupon date 3]],12/$AO15)</f>
        <v>46647</v>
      </c>
      <c r="AT15" s="25">
        <f>IF(
OR(
AT$1=MONTH($AP15),
AT$1=MONTH($AQ15),
AT$1=MONTH($AR15),
AT$1=MONTH($AS15)),
IF('CF USD'!$A$8="On",$L15,$K15)/T_Bonds[[#This Row],[Coupons per annum]],0)</f>
        <v>0</v>
      </c>
      <c r="AU15" s="25">
        <f>IF(
OR(
AU$1=MONTH($AP15),
AU$1=MONTH($AQ15),
AU$1=MONTH($AR15),
AU$1=MONTH($AS15)),
IF('CF USD'!$A$8="On",$L15,$K15)/T_Bonds[[#This Row],[Coupons per annum]],0)</f>
        <v>0</v>
      </c>
      <c r="AV15" s="25">
        <f>IF(
OR(
AV$1=MONTH($AP15),
AV$1=MONTH($AQ15),
AV$1=MONTH($AR15),
AV$1=MONTH($AS15)),
IF('CF USD'!$A$8="On",$L15,$K15)/T_Bonds[[#This Row],[Coupons per annum]],0)</f>
        <v>21749.999999999982</v>
      </c>
      <c r="AW15" s="25">
        <f>IF(
OR(
AW$1=MONTH($AP15),
AW$1=MONTH($AQ15),
AW$1=MONTH($AR15),
AW$1=MONTH($AS15)),
IF('CF USD'!$A$8="On",$L15,$K15)/T_Bonds[[#This Row],[Coupons per annum]],0)</f>
        <v>0</v>
      </c>
      <c r="AX15" s="25">
        <f>IF(
OR(
AX$1=MONTH($AP15),
AX$1=MONTH($AQ15),
AX$1=MONTH($AR15),
AX$1=MONTH($AS15)),
IF('CF USD'!$A$8="On",$L15,$K15)/T_Bonds[[#This Row],[Coupons per annum]],0)</f>
        <v>0</v>
      </c>
      <c r="AY15" s="25">
        <f>IF(
OR(
AY$1=MONTH($AP15),
AY$1=MONTH($AQ15),
AY$1=MONTH($AR15),
AY$1=MONTH($AS15)),
IF('CF USD'!$A$8="On",$L15,$K15)/T_Bonds[[#This Row],[Coupons per annum]],0)</f>
        <v>0</v>
      </c>
      <c r="AZ15" s="25">
        <f>IF(
OR(
AZ$1=MONTH($AP15),
AZ$1=MONTH($AQ15),
AZ$1=MONTH($AR15),
AZ$1=MONTH($AS15)),
IF('CF USD'!$A$8="On",$L15,$K15)/T_Bonds[[#This Row],[Coupons per annum]],0)</f>
        <v>0</v>
      </c>
      <c r="BA15" s="25">
        <f>IF(
OR(
BA$1=MONTH($AP15),
BA$1=MONTH($AQ15),
BA$1=MONTH($AR15),
BA$1=MONTH($AS15)),
IF('CF USD'!$A$8="On",$L15,$K15)/T_Bonds[[#This Row],[Coupons per annum]],0)</f>
        <v>0</v>
      </c>
      <c r="BB15" s="25">
        <f>IF(
OR(
BB$1=MONTH($AP15),
BB$1=MONTH($AQ15),
BB$1=MONTH($AR15),
BB$1=MONTH($AS15)),
IF('CF USD'!$A$8="On",$L15,$K15)/T_Bonds[[#This Row],[Coupons per annum]],0)</f>
        <v>21749.999999999982</v>
      </c>
      <c r="BC15" s="25">
        <f>IF(
OR(
BC$1=MONTH($AP15),
BC$1=MONTH($AQ15),
BC$1=MONTH($AR15),
BC$1=MONTH($AS15)),
IF('CF USD'!$A$8="On",$L15,$K15)/T_Bonds[[#This Row],[Coupons per annum]],0)</f>
        <v>0</v>
      </c>
      <c r="BD15" s="25">
        <f>IF(
OR(
BD$1=MONTH($AP15),
BD$1=MONTH($AQ15),
BD$1=MONTH($AR15),
BD$1=MONTH($AS15)),
IF('CF USD'!$A$8="On",$L15,$K15)/T_Bonds[[#This Row],[Coupons per annum]],0)</f>
        <v>0</v>
      </c>
      <c r="BE15" s="25">
        <f>IF(
OR(
BE$1=MONTH($AP15),
BE$1=MONTH($AQ15),
BE$1=MONTH($AR15),
BE$1=MONTH($AS15)),
IF('CF USD'!$A$8="On",$L15,$K15)/T_Bonds[[#This Row],[Coupons per annum]],0)</f>
        <v>0</v>
      </c>
      <c r="BF15">
        <f>DAY(T_Bonds[[#This Row],[Next coupon date]])</f>
        <v>17</v>
      </c>
    </row>
    <row r="16" spans="1:59" s="22" customFormat="1" x14ac:dyDescent="0.25">
      <c r="A16" s="1" t="s">
        <v>56</v>
      </c>
      <c r="B16" t="s">
        <v>51</v>
      </c>
      <c r="C16" s="1" t="str">
        <f>IF(T_Bonds[[#This Row],[Call date]]&lt;&gt;"","Callable","Maturity")</f>
        <v>Maturity</v>
      </c>
      <c r="D16" s="1" t="s">
        <v>57</v>
      </c>
      <c r="E16" s="1" t="s">
        <v>18</v>
      </c>
      <c r="F16" s="22">
        <f>IFERROR(INDEX('V004'!D:E,MATCH(D16,'V004'!D:D,0),2),0)</f>
        <v>800000</v>
      </c>
      <c r="G16" s="22">
        <f>IFERROR(INDEX('V001'!D:E,MATCH(D16,'V001'!D:D,0),2),0)</f>
        <v>0</v>
      </c>
      <c r="H16" s="22">
        <f>IFERROR(INDEX(UBS!C:D,MATCH(D16,UBS!D:D,0),1),0)</f>
        <v>0</v>
      </c>
      <c r="I16" s="300">
        <f>SUM(T_Bonds[[#This Row],[V1412]:[UBS]])</f>
        <v>800000</v>
      </c>
      <c r="J16" s="76">
        <f t="shared" si="0"/>
        <v>8.4999999999999964E-2</v>
      </c>
      <c r="K16" s="73">
        <f t="shared" si="1"/>
        <v>67999.999999999971</v>
      </c>
      <c r="L16" s="73">
        <f t="shared" si="2"/>
        <v>67999.999999999971</v>
      </c>
      <c r="M16" s="16">
        <v>48852</v>
      </c>
      <c r="N16" s="5">
        <f>IFERROR(INDEX(Cbonds!C:H,MATCH(D16,Cbonds!C:C,0),4)/100,0)</f>
        <v>7.3897381883935992E-2</v>
      </c>
      <c r="O16" s="6">
        <f>IFERROR(INDEX(Cbonds!C:H,MATCH(D16,Cbonds!C:C,0),5),0)</f>
        <v>5.6577995827625003</v>
      </c>
      <c r="P16" s="91">
        <f>T_Bonds[[#This Row],[Market price]]-T_Bonds[[#This Row],[Cost price]]</f>
        <v>0.11882137500000012</v>
      </c>
      <c r="Q16" s="91">
        <f>T_Bonds[[#This Row],[Coupon]]/T_Bonds[[#This Row],[Cost price]]</f>
        <v>8.917063312067447E-2</v>
      </c>
      <c r="R16" s="108">
        <f t="shared" si="3"/>
        <v>59117.905507148796</v>
      </c>
      <c r="S16" s="222">
        <f>IFERROR(INDEX('V004'!D:J,MATCH(D16,'V004'!D:D,0),7),0)</f>
        <v>0.95322862499999994</v>
      </c>
      <c r="T16" s="222">
        <f>IFERROR(INDEX('V001'!D:J,MATCH(D16,'V001'!D:D,0),7),0)</f>
        <v>0</v>
      </c>
      <c r="U16" s="223">
        <f>IFERROR(S16*T_Bonds[[#This Row],[V1412]]/(T_Bonds[[#This Row],[V1412]]+T_Bonds[[#This Row],[V1430]])+T16*T_Bonds[[#This Row],[V1430]]/(T_Bonds[[#This Row],[V1412]]+T_Bonds[[#This Row],[V1430]]),0)</f>
        <v>0.95322862499999983</v>
      </c>
      <c r="V16" s="73">
        <f t="shared" si="4"/>
        <v>71336.506496539572</v>
      </c>
      <c r="W16" s="4"/>
      <c r="X16" s="299">
        <f>IFERROR(INDEX(Cbonds!C:AF,MATCH(D16,Cbonds!C:C,0),30)/100,0)</f>
        <v>1.0720499999999999</v>
      </c>
      <c r="Y16" s="4">
        <f>INDEX('Tech list'!A:C,MATCH(T_Bonds[[#This Row],[Risk CCY]],'Tech list'!A:A,0),3)</f>
        <v>1</v>
      </c>
      <c r="Z16" s="100">
        <f>T_Bonds[[#This Row],[Market price]]*T_Bonds[[#This Row],[Quantity]]</f>
        <v>857640</v>
      </c>
      <c r="AA16" s="73">
        <f t="shared" si="5"/>
        <v>857640</v>
      </c>
      <c r="AB16" s="73">
        <f ca="1">T_Bonds[[#This Row],[Market value in CCY]]+T_Bonds[[#This Row],[AI, CCY]]</f>
        <v>888051.11111111112</v>
      </c>
      <c r="AC16" s="73">
        <f ca="1">T_Bonds[[#This Row],[Market value in USD]]+T_Bonds[[#This Row],[AI, USD]]</f>
        <v>888051.11111111112</v>
      </c>
      <c r="AD16" s="73">
        <f t="shared" si="6"/>
        <v>762582.89999999991</v>
      </c>
      <c r="AE16" s="75">
        <f ca="1">(T_Bonds[[#This Row],[Coupon in Loc.Curr]]/T_Bonds[[#This Row],[Coupons per annum]])*((TODAY()-EDATE(T_Bonds[[#This Row],[Next coupon date]],-12/T_Bonds[[#This Row],[Coupons per annum]])))/(360/T_Bonds[[#This Row],[Coupons per annum]])</f>
        <v>30411.111111111095</v>
      </c>
      <c r="AF16" s="73">
        <f ca="1">T_Bonds[[#This Row],[AI, CCY]]*T_Bonds[[#This Row],[Exchange rate, N]]</f>
        <v>30411.111111111095</v>
      </c>
      <c r="AG16" s="311">
        <f>IFERROR(IF(INDEX(Cbonds!C:AC,MATCH(D16,Cbonds!C:C,0),27)&gt;5000,0,INDEX(Cbonds!C:AC,MATCH(D16,Cbonds!C:C,0),27)),0)</f>
        <v>351.57248237444003</v>
      </c>
      <c r="AH16" s="73">
        <v>30</v>
      </c>
      <c r="AI16" s="17"/>
      <c r="AJ16" s="9"/>
      <c r="AK16" t="s">
        <v>264</v>
      </c>
      <c r="AL16" t="s">
        <v>265</v>
      </c>
      <c r="AM16" t="s">
        <v>2475</v>
      </c>
      <c r="AN16" t="s">
        <v>266</v>
      </c>
      <c r="AO16" s="340">
        <v>2</v>
      </c>
      <c r="AP16" s="17">
        <f>IFERROR(INDEX(Cbonds!C:H,MATCH(D16,Cbonds!C:C,0),3),0)</f>
        <v>46111</v>
      </c>
      <c r="AQ16" s="17">
        <f>EDATE(T_Bonds[[#This Row],[Next coupon date]],12/T_Bonds[[#This Row],[Coupons per annum]])</f>
        <v>46295</v>
      </c>
      <c r="AR16" s="17">
        <f>EDATE(T_Bonds[[#This Row],[Second next coupon date]],12/$AO16)</f>
        <v>46476</v>
      </c>
      <c r="AS16" s="17">
        <f>EDATE(T_Bonds[[#This Row],[Coupon date 3]],12/$AO16)</f>
        <v>46660</v>
      </c>
      <c r="AT16" s="25">
        <f>IF(
OR(
AT$1=MONTH($AP16),
AT$1=MONTH($AQ16),
AT$1=MONTH($AR16),
AT$1=MONTH($AS16)),
IF('CF USD'!$A$8="On",$L16,$K16)/T_Bonds[[#This Row],[Coupons per annum]],0)</f>
        <v>0</v>
      </c>
      <c r="AU16" s="25">
        <f>IF(
OR(
AU$1=MONTH($AP16),
AU$1=MONTH($AQ16),
AU$1=MONTH($AR16),
AU$1=MONTH($AS16)),
IF('CF USD'!$A$8="On",$L16,$K16)/T_Bonds[[#This Row],[Coupons per annum]],0)</f>
        <v>0</v>
      </c>
      <c r="AV16" s="25">
        <f>IF(
OR(
AV$1=MONTH($AP16),
AV$1=MONTH($AQ16),
AV$1=MONTH($AR16),
AV$1=MONTH($AS16)),
IF('CF USD'!$A$8="On",$L16,$K16)/T_Bonds[[#This Row],[Coupons per annum]],0)</f>
        <v>33999.999999999985</v>
      </c>
      <c r="AW16" s="25">
        <f>IF(
OR(
AW$1=MONTH($AP16),
AW$1=MONTH($AQ16),
AW$1=MONTH($AR16),
AW$1=MONTH($AS16)),
IF('CF USD'!$A$8="On",$L16,$K16)/T_Bonds[[#This Row],[Coupons per annum]],0)</f>
        <v>0</v>
      </c>
      <c r="AX16" s="25">
        <f>IF(
OR(
AX$1=MONTH($AP16),
AX$1=MONTH($AQ16),
AX$1=MONTH($AR16),
AX$1=MONTH($AS16)),
IF('CF USD'!$A$8="On",$L16,$K16)/T_Bonds[[#This Row],[Coupons per annum]],0)</f>
        <v>0</v>
      </c>
      <c r="AY16" s="25">
        <f>IF(
OR(
AY$1=MONTH($AP16),
AY$1=MONTH($AQ16),
AY$1=MONTH($AR16),
AY$1=MONTH($AS16)),
IF('CF USD'!$A$8="On",$L16,$K16)/T_Bonds[[#This Row],[Coupons per annum]],0)</f>
        <v>0</v>
      </c>
      <c r="AZ16" s="25">
        <f>IF(
OR(
AZ$1=MONTH($AP16),
AZ$1=MONTH($AQ16),
AZ$1=MONTH($AR16),
AZ$1=MONTH($AS16)),
IF('CF USD'!$A$8="On",$L16,$K16)/T_Bonds[[#This Row],[Coupons per annum]],0)</f>
        <v>0</v>
      </c>
      <c r="BA16" s="25">
        <f>IF(
OR(
BA$1=MONTH($AP16),
BA$1=MONTH($AQ16),
BA$1=MONTH($AR16),
BA$1=MONTH($AS16)),
IF('CF USD'!$A$8="On",$L16,$K16)/T_Bonds[[#This Row],[Coupons per annum]],0)</f>
        <v>0</v>
      </c>
      <c r="BB16" s="25">
        <f>IF(
OR(
BB$1=MONTH($AP16),
BB$1=MONTH($AQ16),
BB$1=MONTH($AR16),
BB$1=MONTH($AS16)),
IF('CF USD'!$A$8="On",$L16,$K16)/T_Bonds[[#This Row],[Coupons per annum]],0)</f>
        <v>33999.999999999985</v>
      </c>
      <c r="BC16" s="25">
        <f>IF(
OR(
BC$1=MONTH($AP16),
BC$1=MONTH($AQ16),
BC$1=MONTH($AR16),
BC$1=MONTH($AS16)),
IF('CF USD'!$A$8="On",$L16,$K16)/T_Bonds[[#This Row],[Coupons per annum]],0)</f>
        <v>0</v>
      </c>
      <c r="BD16" s="25">
        <f>IF(
OR(
BD$1=MONTH($AP16),
BD$1=MONTH($AQ16),
BD$1=MONTH($AR16),
BD$1=MONTH($AS16)),
IF('CF USD'!$A$8="On",$L16,$K16)/T_Bonds[[#This Row],[Coupons per annum]],0)</f>
        <v>0</v>
      </c>
      <c r="BE16" s="25">
        <f>IF(
OR(
BE$1=MONTH($AP16),
BE$1=MONTH($AQ16),
BE$1=MONTH($AR16),
BE$1=MONTH($AS16)),
IF('CF USD'!$A$8="On",$L16,$K16)/T_Bonds[[#This Row],[Coupons per annum]],0)</f>
        <v>0</v>
      </c>
      <c r="BF16">
        <f>DAY(T_Bonds[[#This Row],[Next coupon date]])</f>
        <v>30</v>
      </c>
    </row>
    <row r="17" spans="1:58" x14ac:dyDescent="0.25">
      <c r="A17" s="298" t="s">
        <v>58</v>
      </c>
      <c r="B17" s="203" t="s">
        <v>51</v>
      </c>
      <c r="C17" s="1" t="str">
        <f>IF(T_Bonds[[#This Row],[Call date]]&lt;&gt;"","Callable","Maturity")</f>
        <v>Maturity</v>
      </c>
      <c r="D17" s="1" t="s">
        <v>59</v>
      </c>
      <c r="E17" s="1" t="s">
        <v>18</v>
      </c>
      <c r="F17" s="22">
        <f>IFERROR(INDEX('V004'!D:E,MATCH(D17,'V004'!D:D,0),2),0)</f>
        <v>1500000</v>
      </c>
      <c r="G17" s="22">
        <f>IFERROR(INDEX('V001'!D:E,MATCH(D17,'V001'!D:D,0),2),0)</f>
        <v>0</v>
      </c>
      <c r="H17" s="22">
        <f>IFERROR(INDEX(UBS!C:D,MATCH(D17,UBS!D:D,0),1),0)</f>
        <v>0</v>
      </c>
      <c r="I17" s="300">
        <f>SUM(T_Bonds[[#This Row],[V1412]:[UBS]])</f>
        <v>1500000</v>
      </c>
      <c r="J17" s="76">
        <f t="shared" si="0"/>
        <v>6.3749999999999973E-2</v>
      </c>
      <c r="K17" s="73">
        <f t="shared" si="1"/>
        <v>95624.999999999956</v>
      </c>
      <c r="L17" s="73">
        <f t="shared" si="2"/>
        <v>95624.999999999956</v>
      </c>
      <c r="M17" s="16">
        <v>54355</v>
      </c>
      <c r="N17" s="5">
        <f>IFERROR(INDEX(Cbonds!C:H,MATCH(D17,Cbonds!C:C,0),4)/100,0)</f>
        <v>8.5332920245308003E-2</v>
      </c>
      <c r="O17" s="6">
        <f>IFERROR(INDEX(Cbonds!C:H,MATCH(D17,Cbonds!C:C,0),5),0)</f>
        <v>10.717233920016</v>
      </c>
      <c r="P17" s="91">
        <f>T_Bonds[[#This Row],[Market price]]-T_Bonds[[#This Row],[Cost price]]</f>
        <v>-6.1051466666666165E-3</v>
      </c>
      <c r="Q17" s="91">
        <f>T_Bonds[[#This Row],[Coupon]]/T_Bonds[[#This Row],[Cost price]]</f>
        <v>6.9996859455939212E-2</v>
      </c>
      <c r="R17" s="108">
        <f t="shared" si="3"/>
        <v>127999.380367962</v>
      </c>
      <c r="S17" s="222">
        <f>IFERROR(INDEX('V004'!D:J,MATCH(D17,'V004'!D:D,0),7),0)</f>
        <v>0.91075514666666668</v>
      </c>
      <c r="T17" s="222">
        <f>IFERROR(INDEX('V001'!D:J,MATCH(D17,'V001'!D:D,0),7),0)</f>
        <v>0</v>
      </c>
      <c r="U17" s="223">
        <f>IFERROR(S17*T_Bonds[[#This Row],[V1412]]/(T_Bonds[[#This Row],[V1412]]+T_Bonds[[#This Row],[V1430]])+T17*T_Bonds[[#This Row],[V1430]]/(T_Bonds[[#This Row],[V1412]]+T_Bonds[[#This Row],[V1430]]),0)</f>
        <v>0.91075514666666668</v>
      </c>
      <c r="V17" s="73">
        <f t="shared" si="4"/>
        <v>104995.28918390881</v>
      </c>
      <c r="W17" s="4" t="s">
        <v>257</v>
      </c>
      <c r="X17" s="299">
        <f>IFERROR(INDEX(Cbonds!C:AF,MATCH(D17,Cbonds!C:C,0),30)/100,0)</f>
        <v>0.90465000000000007</v>
      </c>
      <c r="Y17" s="4">
        <f>INDEX('Tech list'!A:C,MATCH(T_Bonds[[#This Row],[Risk CCY]],'Tech list'!A:A,0),3)</f>
        <v>1</v>
      </c>
      <c r="Z17" s="100">
        <f>T_Bonds[[#This Row],[Market price]]*T_Bonds[[#This Row],[Quantity]]</f>
        <v>1356975</v>
      </c>
      <c r="AA17" s="73">
        <f t="shared" si="5"/>
        <v>1356975</v>
      </c>
      <c r="AB17" s="73">
        <f ca="1">T_Bonds[[#This Row],[Market value in CCY]]+T_Bonds[[#This Row],[AI, CCY]]</f>
        <v>1393365.625</v>
      </c>
      <c r="AC17" s="73">
        <f ca="1">T_Bonds[[#This Row],[Market value in USD]]+T_Bonds[[#This Row],[AI, USD]]</f>
        <v>1393365.625</v>
      </c>
      <c r="AD17" s="73">
        <f t="shared" si="6"/>
        <v>1366132.72</v>
      </c>
      <c r="AE17" s="75">
        <f ca="1">(T_Bonds[[#This Row],[Coupon in Loc.Curr]]/T_Bonds[[#This Row],[Coupons per annum]])*((TODAY()-EDATE(T_Bonds[[#This Row],[Next coupon date]],-12/T_Bonds[[#This Row],[Coupons per annum]])))/(360/T_Bonds[[#This Row],[Coupons per annum]])</f>
        <v>36390.624999999985</v>
      </c>
      <c r="AF17" s="73">
        <f ca="1">T_Bonds[[#This Row],[AI, CCY]]*T_Bonds[[#This Row],[Exchange rate, N]]</f>
        <v>36390.624999999985</v>
      </c>
      <c r="AG17" s="311">
        <f>IFERROR(IF(INDEX(Cbonds!C:AC,MATCH(D17,Cbonds!C:C,0),27)&gt;5000,0,INDEX(Cbonds!C:AC,MATCH(D17,Cbonds!C:C,0),27)),0)</f>
        <v>414.66074364683999</v>
      </c>
      <c r="AH17" s="73">
        <v>75</v>
      </c>
      <c r="AK17" t="s">
        <v>258</v>
      </c>
      <c r="AL17" t="s">
        <v>267</v>
      </c>
      <c r="AM17" t="s">
        <v>2477</v>
      </c>
      <c r="AN17" t="s">
        <v>268</v>
      </c>
      <c r="AO17" s="320">
        <v>2</v>
      </c>
      <c r="AP17" s="17">
        <f>IFERROR(INDEX(Cbonds!C:H,MATCH(D17,Cbonds!C:C,0),3),0)</f>
        <v>46136</v>
      </c>
      <c r="AQ17" s="17">
        <f>EDATE(T_Bonds[[#This Row],[Next coupon date]],12/T_Bonds[[#This Row],[Coupons per annum]])</f>
        <v>46319</v>
      </c>
      <c r="AR17" s="17">
        <f>EDATE(T_Bonds[[#This Row],[Second next coupon date]],12/$AO17)</f>
        <v>46501</v>
      </c>
      <c r="AS17" s="17">
        <f>EDATE(T_Bonds[[#This Row],[Coupon date 3]],12/$AO17)</f>
        <v>46684</v>
      </c>
      <c r="AT17" s="25">
        <f>IF(
OR(
AT$1=MONTH($AP17),
AT$1=MONTH($AQ17),
AT$1=MONTH($AR17),
AT$1=MONTH($AS17)),
IF('CF USD'!$A$8="On",$L17,$K17)/T_Bonds[[#This Row],[Coupons per annum]],0)</f>
        <v>0</v>
      </c>
      <c r="AU17" s="25">
        <f>IF(
OR(
AU$1=MONTH($AP17),
AU$1=MONTH($AQ17),
AU$1=MONTH($AR17),
AU$1=MONTH($AS17)),
IF('CF USD'!$A$8="On",$L17,$K17)/T_Bonds[[#This Row],[Coupons per annum]],0)</f>
        <v>0</v>
      </c>
      <c r="AV17" s="25">
        <f>IF(
OR(
AV$1=MONTH($AP17),
AV$1=MONTH($AQ17),
AV$1=MONTH($AR17),
AV$1=MONTH($AS17)),
IF('CF USD'!$A$8="On",$L17,$K17)/T_Bonds[[#This Row],[Coupons per annum]],0)</f>
        <v>0</v>
      </c>
      <c r="AW17" s="25">
        <f>IF(
OR(
AW$1=MONTH($AP17),
AW$1=MONTH($AQ17),
AW$1=MONTH($AR17),
AW$1=MONTH($AS17)),
IF('CF USD'!$A$8="On",$L17,$K17)/T_Bonds[[#This Row],[Coupons per annum]],0)</f>
        <v>47812.499999999978</v>
      </c>
      <c r="AX17" s="25">
        <f>IF(
OR(
AX$1=MONTH($AP17),
AX$1=MONTH($AQ17),
AX$1=MONTH($AR17),
AX$1=MONTH($AS17)),
IF('CF USD'!$A$8="On",$L17,$K17)/T_Bonds[[#This Row],[Coupons per annum]],0)</f>
        <v>0</v>
      </c>
      <c r="AY17" s="25">
        <f>IF(
OR(
AY$1=MONTH($AP17),
AY$1=MONTH($AQ17),
AY$1=MONTH($AR17),
AY$1=MONTH($AS17)),
IF('CF USD'!$A$8="On",$L17,$K17)/T_Bonds[[#This Row],[Coupons per annum]],0)</f>
        <v>0</v>
      </c>
      <c r="AZ17" s="25">
        <f>IF(
OR(
AZ$1=MONTH($AP17),
AZ$1=MONTH($AQ17),
AZ$1=MONTH($AR17),
AZ$1=MONTH($AS17)),
IF('CF USD'!$A$8="On",$L17,$K17)/T_Bonds[[#This Row],[Coupons per annum]],0)</f>
        <v>0</v>
      </c>
      <c r="BA17" s="25">
        <f>IF(
OR(
BA$1=MONTH($AP17),
BA$1=MONTH($AQ17),
BA$1=MONTH($AR17),
BA$1=MONTH($AS17)),
IF('CF USD'!$A$8="On",$L17,$K17)/T_Bonds[[#This Row],[Coupons per annum]],0)</f>
        <v>0</v>
      </c>
      <c r="BB17" s="25">
        <f>IF(
OR(
BB$1=MONTH($AP17),
BB$1=MONTH($AQ17),
BB$1=MONTH($AR17),
BB$1=MONTH($AS17)),
IF('CF USD'!$A$8="On",$L17,$K17)/T_Bonds[[#This Row],[Coupons per annum]],0)</f>
        <v>0</v>
      </c>
      <c r="BC17" s="25">
        <f>IF(
OR(
BC$1=MONTH($AP17),
BC$1=MONTH($AQ17),
BC$1=MONTH($AR17),
BC$1=MONTH($AS17)),
IF('CF USD'!$A$8="On",$L17,$K17)/T_Bonds[[#This Row],[Coupons per annum]],0)</f>
        <v>47812.499999999978</v>
      </c>
      <c r="BD17" s="25">
        <f>IF(
OR(
BD$1=MONTH($AP17),
BD$1=MONTH($AQ17),
BD$1=MONTH($AR17),
BD$1=MONTH($AS17)),
IF('CF USD'!$A$8="On",$L17,$K17)/T_Bonds[[#This Row],[Coupons per annum]],0)</f>
        <v>0</v>
      </c>
      <c r="BE17" s="25">
        <f>IF(
OR(
BE$1=MONTH($AP17),
BE$1=MONTH($AQ17),
BE$1=MONTH($AR17),
BE$1=MONTH($AS17)),
IF('CF USD'!$A$8="On",$L17,$K17)/T_Bonds[[#This Row],[Coupons per annum]],0)</f>
        <v>0</v>
      </c>
      <c r="BF17">
        <f>DAY(T_Bonds[[#This Row],[Next coupon date]])</f>
        <v>24</v>
      </c>
    </row>
    <row r="18" spans="1:58" s="22" customFormat="1" x14ac:dyDescent="0.25">
      <c r="A18" s="298" t="s">
        <v>60</v>
      </c>
      <c r="B18" s="203" t="s">
        <v>51</v>
      </c>
      <c r="C18" s="1" t="str">
        <f>IF(T_Bonds[[#This Row],[Call date]]&lt;&gt;"","Callable","Maturity")</f>
        <v>Maturity</v>
      </c>
      <c r="D18" s="1" t="s">
        <v>61</v>
      </c>
      <c r="E18" s="80" t="s">
        <v>18</v>
      </c>
      <c r="F18" s="22">
        <f>IFERROR(INDEX('V004'!D:E,MATCH(D18,'V004'!D:D,0),2),0)</f>
        <v>0</v>
      </c>
      <c r="G18" s="22">
        <f>IFERROR(INDEX('V001'!D:E,MATCH(D18,'V001'!D:D,0),2),0)</f>
        <v>0</v>
      </c>
      <c r="H18" s="22">
        <f>IFERROR(INDEX(UBS!C:D,MATCH(D18,UBS!D:D,0),1),0)</f>
        <v>0</v>
      </c>
      <c r="I18" s="300">
        <f>SUM(T_Bonds[[#This Row],[V1412]:[UBS]])</f>
        <v>0</v>
      </c>
      <c r="J18" s="81">
        <f t="shared" si="0"/>
        <v>0.10000000000000009</v>
      </c>
      <c r="K18" s="73">
        <f t="shared" si="1"/>
        <v>0</v>
      </c>
      <c r="L18" s="73">
        <f t="shared" si="2"/>
        <v>0</v>
      </c>
      <c r="M18" s="16">
        <v>48617</v>
      </c>
      <c r="N18" s="5">
        <f>IFERROR(INDEX(Cbonds!C:H,MATCH(D18,Cbonds!C:C,0),4)/100,0)</f>
        <v>7.1943489883528999E-2</v>
      </c>
      <c r="O18" s="6">
        <f>IFERROR(INDEX(Cbonds!C:H,MATCH(D18,Cbonds!C:C,0),5),0)</f>
        <v>5.0722131827707004</v>
      </c>
      <c r="P18" s="91">
        <f>T_Bonds[[#This Row],[Market price]]-T_Bonds[[#This Row],[Cost price]]</f>
        <v>1.1599999999999999</v>
      </c>
      <c r="Q18" s="91" t="e">
        <f>T_Bonds[[#This Row],[Coupon]]/T_Bonds[[#This Row],[Cost price]]</f>
        <v>#DIV/0!</v>
      </c>
      <c r="R18" s="108">
        <f t="shared" si="3"/>
        <v>0</v>
      </c>
      <c r="S18" s="222">
        <f>IFERROR(INDEX('V004'!D:J,MATCH(D18,'V004'!D:D,0),7),0)</f>
        <v>0</v>
      </c>
      <c r="T18" s="222">
        <f>IFERROR(INDEX('V001'!D:J,MATCH(D18,'V001'!D:D,0),7),0)</f>
        <v>0</v>
      </c>
      <c r="U18" s="223">
        <f>IFERROR(S18*T_Bonds[[#This Row],[V1412]]/(T_Bonds[[#This Row],[V1412]]+T_Bonds[[#This Row],[V1430]])+T18*T_Bonds[[#This Row],[V1430]]/(T_Bonds[[#This Row],[V1412]]+T_Bonds[[#This Row],[V1430]]),0)</f>
        <v>0</v>
      </c>
      <c r="V18" s="100" t="e">
        <f t="shared" si="4"/>
        <v>#DIV/0!</v>
      </c>
      <c r="W18" s="4"/>
      <c r="X18" s="299">
        <f>IFERROR(INDEX(Cbonds!C:AF,MATCH(D18,Cbonds!C:C,0),30)/100,0)</f>
        <v>1.1599999999999999</v>
      </c>
      <c r="Y18" s="4">
        <f>INDEX('Tech list'!A:C,MATCH(T_Bonds[[#This Row],[Risk CCY]],'Tech list'!A:A,0),3)</f>
        <v>1</v>
      </c>
      <c r="Z18" s="100">
        <f>T_Bonds[[#This Row],[Market price]]*T_Bonds[[#This Row],[Quantity]]</f>
        <v>0</v>
      </c>
      <c r="AA18" s="73">
        <f t="shared" si="5"/>
        <v>0</v>
      </c>
      <c r="AB18" s="73">
        <f ca="1">T_Bonds[[#This Row],[Market value in CCY]]+T_Bonds[[#This Row],[AI, CCY]]</f>
        <v>0</v>
      </c>
      <c r="AC18" s="73">
        <f ca="1">T_Bonds[[#This Row],[Market value in USD]]+T_Bonds[[#This Row],[AI, USD]]</f>
        <v>0</v>
      </c>
      <c r="AD18" s="73">
        <f t="shared" si="6"/>
        <v>0</v>
      </c>
      <c r="AE18" s="75">
        <f ca="1">(T_Bonds[[#This Row],[Coupon in Loc.Curr]]/T_Bonds[[#This Row],[Coupons per annum]])*((TODAY()-EDATE(T_Bonds[[#This Row],[Next coupon date]],-12/T_Bonds[[#This Row],[Coupons per annum]])))/(360/T_Bonds[[#This Row],[Coupons per annum]])</f>
        <v>0</v>
      </c>
      <c r="AF18" s="73">
        <f ca="1">T_Bonds[[#This Row],[AI, CCY]]*T_Bonds[[#This Row],[Exchange rate, N]]</f>
        <v>0</v>
      </c>
      <c r="AG18" s="311">
        <f>IFERROR(IF(INDEX(Cbonds!C:AC,MATCH(D18,Cbonds!C:C,0),27)&gt;5000,0,INDEX(Cbonds!C:AC,MATCH(D18,Cbonds!C:C,0),27)),0)</f>
        <v>335.94211892750002</v>
      </c>
      <c r="AH18" s="73">
        <v>0</v>
      </c>
      <c r="AI18" s="17"/>
      <c r="AJ18" s="209"/>
      <c r="AK18" t="s">
        <v>258</v>
      </c>
      <c r="AL18" t="s">
        <v>259</v>
      </c>
      <c r="AM18" t="s">
        <v>2476</v>
      </c>
      <c r="AN18" s="1" t="s">
        <v>260</v>
      </c>
      <c r="AO18" s="320">
        <v>2</v>
      </c>
      <c r="AP18" s="17">
        <f>IFERROR(INDEX(Cbonds!C:H,MATCH(D18,Cbonds!C:C,0),3),0)</f>
        <v>46060</v>
      </c>
      <c r="AQ18" s="17">
        <f>EDATE(T_Bonds[[#This Row],[Next coupon date]],12/T_Bonds[[#This Row],[Coupons per annum]])</f>
        <v>46241</v>
      </c>
      <c r="AR18" s="17">
        <f>EDATE(T_Bonds[[#This Row],[Second next coupon date]],12/$AO18)</f>
        <v>46425</v>
      </c>
      <c r="AS18" s="17">
        <f>EDATE(T_Bonds[[#This Row],[Coupon date 3]],12/$AO18)</f>
        <v>46606</v>
      </c>
      <c r="AT18" s="25">
        <f>IF(
OR(
AT$1=MONTH($AP18),
AT$1=MONTH($AQ18),
AT$1=MONTH($AR18),
AT$1=MONTH($AS18)),
IF('CF USD'!$A$8="On",$L18,$K18)/T_Bonds[[#This Row],[Coupons per annum]],0)</f>
        <v>0</v>
      </c>
      <c r="AU18" s="25">
        <f>IF(
OR(
AU$1=MONTH($AP18),
AU$1=MONTH($AQ18),
AU$1=MONTH($AR18),
AU$1=MONTH($AS18)),
IF('CF USD'!$A$8="On",$L18,$K18)/T_Bonds[[#This Row],[Coupons per annum]],0)</f>
        <v>0</v>
      </c>
      <c r="AV18" s="25">
        <f>IF(
OR(
AV$1=MONTH($AP18),
AV$1=MONTH($AQ18),
AV$1=MONTH($AR18),
AV$1=MONTH($AS18)),
IF('CF USD'!$A$8="On",$L18,$K18)/T_Bonds[[#This Row],[Coupons per annum]],0)</f>
        <v>0</v>
      </c>
      <c r="AW18" s="25">
        <f>IF(
OR(
AW$1=MONTH($AP18),
AW$1=MONTH($AQ18),
AW$1=MONTH($AR18),
AW$1=MONTH($AS18)),
IF('CF USD'!$A$8="On",$L18,$K18)/T_Bonds[[#This Row],[Coupons per annum]],0)</f>
        <v>0</v>
      </c>
      <c r="AX18" s="25">
        <f>IF(
OR(
AX$1=MONTH($AP18),
AX$1=MONTH($AQ18),
AX$1=MONTH($AR18),
AX$1=MONTH($AS18)),
IF('CF USD'!$A$8="On",$L18,$K18)/T_Bonds[[#This Row],[Coupons per annum]],0)</f>
        <v>0</v>
      </c>
      <c r="AY18" s="25">
        <f>IF(
OR(
AY$1=MONTH($AP18),
AY$1=MONTH($AQ18),
AY$1=MONTH($AR18),
AY$1=MONTH($AS18)),
IF('CF USD'!$A$8="On",$L18,$K18)/T_Bonds[[#This Row],[Coupons per annum]],0)</f>
        <v>0</v>
      </c>
      <c r="AZ18" s="25">
        <f>IF(
OR(
AZ$1=MONTH($AP18),
AZ$1=MONTH($AQ18),
AZ$1=MONTH($AR18),
AZ$1=MONTH($AS18)),
IF('CF USD'!$A$8="On",$L18,$K18)/T_Bonds[[#This Row],[Coupons per annum]],0)</f>
        <v>0</v>
      </c>
      <c r="BA18" s="25">
        <f>IF(
OR(
BA$1=MONTH($AP18),
BA$1=MONTH($AQ18),
BA$1=MONTH($AR18),
BA$1=MONTH($AS18)),
IF('CF USD'!$A$8="On",$L18,$K18)/T_Bonds[[#This Row],[Coupons per annum]],0)</f>
        <v>0</v>
      </c>
      <c r="BB18" s="25">
        <f>IF(
OR(
BB$1=MONTH($AP18),
BB$1=MONTH($AQ18),
BB$1=MONTH($AR18),
BB$1=MONTH($AS18)),
IF('CF USD'!$A$8="On",$L18,$K18)/T_Bonds[[#This Row],[Coupons per annum]],0)</f>
        <v>0</v>
      </c>
      <c r="BC18" s="25">
        <f>IF(
OR(
BC$1=MONTH($AP18),
BC$1=MONTH($AQ18),
BC$1=MONTH($AR18),
BC$1=MONTH($AS18)),
IF('CF USD'!$A$8="On",$L18,$K18)/T_Bonds[[#This Row],[Coupons per annum]],0)</f>
        <v>0</v>
      </c>
      <c r="BD18" s="25">
        <f>IF(
OR(
BD$1=MONTH($AP18),
BD$1=MONTH($AQ18),
BD$1=MONTH($AR18),
BD$1=MONTH($AS18)),
IF('CF USD'!$A$8="On",$L18,$K18)/T_Bonds[[#This Row],[Coupons per annum]],0)</f>
        <v>0</v>
      </c>
      <c r="BE18" s="25">
        <f>IF(
OR(
BE$1=MONTH($AP18),
BE$1=MONTH($AQ18),
BE$1=MONTH($AR18),
BE$1=MONTH($AS18)),
IF('CF USD'!$A$8="On",$L18,$K18)/T_Bonds[[#This Row],[Coupons per annum]],0)</f>
        <v>0</v>
      </c>
      <c r="BF18">
        <f>DAY(T_Bonds[[#This Row],[Next coupon date]])</f>
        <v>7</v>
      </c>
    </row>
    <row r="19" spans="1:58" x14ac:dyDescent="0.25">
      <c r="A19" s="298" t="s">
        <v>62</v>
      </c>
      <c r="B19" s="203" t="s">
        <v>51</v>
      </c>
      <c r="C19" s="1" t="str">
        <f>IF(T_Bonds[[#This Row],[Call date]]&lt;&gt;"","Callable","Maturity")</f>
        <v>Maturity</v>
      </c>
      <c r="D19" s="1" t="s">
        <v>63</v>
      </c>
      <c r="E19" s="1" t="s">
        <v>18</v>
      </c>
      <c r="F19" s="22">
        <f>IFERROR(INDEX('V004'!D:E,MATCH(D19,'V004'!D:D,0),2),0)</f>
        <v>600000</v>
      </c>
      <c r="G19" s="22">
        <f>IFERROR(INDEX('V001'!D:E,MATCH(D19,'V001'!D:D,0),2),0)</f>
        <v>0</v>
      </c>
      <c r="H19" s="22">
        <f>IFERROR(INDEX(UBS!C:D,MATCH(D19,UBS!D:D,0),1),0)</f>
        <v>0</v>
      </c>
      <c r="I19" s="300">
        <f>SUM(T_Bonds[[#This Row],[V1412]:[UBS]])</f>
        <v>600000</v>
      </c>
      <c r="J19" s="76">
        <f t="shared" si="0"/>
        <v>6.7499999999999893E-2</v>
      </c>
      <c r="K19" s="73">
        <f t="shared" si="1"/>
        <v>40499.999999999935</v>
      </c>
      <c r="L19" s="73">
        <f t="shared" si="2"/>
        <v>40499.999999999935</v>
      </c>
      <c r="M19" s="16">
        <v>47664</v>
      </c>
      <c r="N19" s="5">
        <f>IFERROR(INDEX(Cbonds!C:H,MATCH(D19,Cbonds!C:C,0),4)/100,0)</f>
        <v>6.1316051480388996E-2</v>
      </c>
      <c r="O19" s="6">
        <f>IFERROR(INDEX(Cbonds!C:H,MATCH(D19,Cbonds!C:C,0),5),0)</f>
        <v>3.8299760917604999</v>
      </c>
      <c r="P19" s="91">
        <f>T_Bonds[[#This Row],[Market price]]-T_Bonds[[#This Row],[Cost price]]</f>
        <v>0.13007469999999999</v>
      </c>
      <c r="Q19" s="91">
        <f>T_Bonds[[#This Row],[Coupon]]/T_Bonds[[#This Row],[Cost price]]</f>
        <v>7.5248713720783456E-2</v>
      </c>
      <c r="R19" s="108">
        <f t="shared" si="3"/>
        <v>36789.630888233398</v>
      </c>
      <c r="S19" s="222">
        <f>IFERROR(INDEX('V004'!D:J,MATCH(D19,'V004'!D:D,0),7),0)</f>
        <v>0.89702529999999991</v>
      </c>
      <c r="T19" s="222">
        <f>IFERROR(INDEX('V001'!D:J,MATCH(D19,'V001'!D:D,0),7),0)</f>
        <v>0</v>
      </c>
      <c r="U19" s="223">
        <f>IFERROR(S19*T_Bonds[[#This Row],[V1412]]/(T_Bonds[[#This Row],[V1412]]+T_Bonds[[#This Row],[V1430]])+T19*T_Bonds[[#This Row],[V1430]]/(T_Bonds[[#This Row],[V1412]]+T_Bonds[[#This Row],[V1430]]),0)</f>
        <v>0.89702529999999991</v>
      </c>
      <c r="V19" s="73">
        <f t="shared" si="4"/>
        <v>45149.228232470072</v>
      </c>
      <c r="W19" s="1" t="s">
        <v>257</v>
      </c>
      <c r="X19" s="299">
        <f>IFERROR(INDEX(Cbonds!C:AF,MATCH(D19,Cbonds!C:C,0),30)/100,0)</f>
        <v>1.0270999999999999</v>
      </c>
      <c r="Y19" s="4">
        <f>INDEX('Tech list'!A:C,MATCH(T_Bonds[[#This Row],[Risk CCY]],'Tech list'!A:A,0),3)</f>
        <v>1</v>
      </c>
      <c r="Z19" s="100">
        <f>T_Bonds[[#This Row],[Market price]]*T_Bonds[[#This Row],[Quantity]]</f>
        <v>616259.99999999988</v>
      </c>
      <c r="AA19" s="73">
        <f t="shared" si="5"/>
        <v>616259.99999999988</v>
      </c>
      <c r="AB19" s="73">
        <f ca="1">T_Bonds[[#This Row],[Market value in CCY]]+T_Bonds[[#This Row],[AI, CCY]]</f>
        <v>624134.99999999988</v>
      </c>
      <c r="AC19" s="73">
        <f ca="1">T_Bonds[[#This Row],[Market value in USD]]+T_Bonds[[#This Row],[AI, USD]]</f>
        <v>624134.99999999988</v>
      </c>
      <c r="AD19" s="73">
        <f t="shared" si="6"/>
        <v>538215.17999999993</v>
      </c>
      <c r="AE19" s="75">
        <f ca="1">(T_Bonds[[#This Row],[Coupon in Loc.Curr]]/T_Bonds[[#This Row],[Coupons per annum]])*((TODAY()-EDATE(T_Bonds[[#This Row],[Next coupon date]],-12/T_Bonds[[#This Row],[Coupons per annum]])))/(360/T_Bonds[[#This Row],[Coupons per annum]])</f>
        <v>7874.9999999999873</v>
      </c>
      <c r="AF19" s="73">
        <f ca="1">T_Bonds[[#This Row],[AI, CCY]]*T_Bonds[[#This Row],[Exchange rate, N]]</f>
        <v>7874.9999999999873</v>
      </c>
      <c r="AG19" s="311">
        <f>IFERROR(IF(INDEX(Cbonds!C:AC,MATCH(D19,Cbonds!C:C,0),27)&gt;5000,0,INDEX(Cbonds!C:AC,MATCH(D19,Cbonds!C:C,0),27)),0)</f>
        <v>242.19999010542</v>
      </c>
      <c r="AH19" s="73">
        <v>30</v>
      </c>
      <c r="AK19" t="s">
        <v>258</v>
      </c>
      <c r="AL19" t="s">
        <v>265</v>
      </c>
      <c r="AM19" t="s">
        <v>2475</v>
      </c>
      <c r="AN19" t="s">
        <v>269</v>
      </c>
      <c r="AO19" s="340">
        <v>2</v>
      </c>
      <c r="AP19" s="17">
        <f>IFERROR(INDEX(Cbonds!C:H,MATCH(D19,Cbonds!C:C,0),3),0)</f>
        <v>46203</v>
      </c>
      <c r="AQ19" s="17">
        <f>EDATE(T_Bonds[[#This Row],[Next coupon date]],12/T_Bonds[[#This Row],[Coupons per annum]])</f>
        <v>46386</v>
      </c>
      <c r="AR19" s="17">
        <f>EDATE(T_Bonds[[#This Row],[Second next coupon date]],12/$AO19)</f>
        <v>46568</v>
      </c>
      <c r="AS19" s="17">
        <f>EDATE(T_Bonds[[#This Row],[Coupon date 3]],12/$AO19)</f>
        <v>46751</v>
      </c>
      <c r="AT19" s="25">
        <f>IF(
OR(
AT$1=MONTH($AP19),
AT$1=MONTH($AQ19),
AT$1=MONTH($AR19),
AT$1=MONTH($AS19)),
IF('CF USD'!$A$8="On",$L19,$K19)/T_Bonds[[#This Row],[Coupons per annum]],0)</f>
        <v>0</v>
      </c>
      <c r="AU19" s="25">
        <f>IF(
OR(
AU$1=MONTH($AP19),
AU$1=MONTH($AQ19),
AU$1=MONTH($AR19),
AU$1=MONTH($AS19)),
IF('CF USD'!$A$8="On",$L19,$K19)/T_Bonds[[#This Row],[Coupons per annum]],0)</f>
        <v>0</v>
      </c>
      <c r="AV19" s="25">
        <f>IF(
OR(
AV$1=MONTH($AP19),
AV$1=MONTH($AQ19),
AV$1=MONTH($AR19),
AV$1=MONTH($AS19)),
IF('CF USD'!$A$8="On",$L19,$K19)/T_Bonds[[#This Row],[Coupons per annum]],0)</f>
        <v>0</v>
      </c>
      <c r="AW19" s="25">
        <f>IF(
OR(
AW$1=MONTH($AP19),
AW$1=MONTH($AQ19),
AW$1=MONTH($AR19),
AW$1=MONTH($AS19)),
IF('CF USD'!$A$8="On",$L19,$K19)/T_Bonds[[#This Row],[Coupons per annum]],0)</f>
        <v>0</v>
      </c>
      <c r="AX19" s="25">
        <f>IF(
OR(
AX$1=MONTH($AP19),
AX$1=MONTH($AQ19),
AX$1=MONTH($AR19),
AX$1=MONTH($AS19)),
IF('CF USD'!$A$8="On",$L19,$K19)/T_Bonds[[#This Row],[Coupons per annum]],0)</f>
        <v>0</v>
      </c>
      <c r="AY19" s="25">
        <f>IF(
OR(
AY$1=MONTH($AP19),
AY$1=MONTH($AQ19),
AY$1=MONTH($AR19),
AY$1=MONTH($AS19)),
IF('CF USD'!$A$8="On",$L19,$K19)/T_Bonds[[#This Row],[Coupons per annum]],0)</f>
        <v>20249.999999999967</v>
      </c>
      <c r="AZ19" s="25">
        <f>IF(
OR(
AZ$1=MONTH($AP19),
AZ$1=MONTH($AQ19),
AZ$1=MONTH($AR19),
AZ$1=MONTH($AS19)),
IF('CF USD'!$A$8="On",$L19,$K19)/T_Bonds[[#This Row],[Coupons per annum]],0)</f>
        <v>0</v>
      </c>
      <c r="BA19" s="25">
        <f>IF(
OR(
BA$1=MONTH($AP19),
BA$1=MONTH($AQ19),
BA$1=MONTH($AR19),
BA$1=MONTH($AS19)),
IF('CF USD'!$A$8="On",$L19,$K19)/T_Bonds[[#This Row],[Coupons per annum]],0)</f>
        <v>0</v>
      </c>
      <c r="BB19" s="25">
        <f>IF(
OR(
BB$1=MONTH($AP19),
BB$1=MONTH($AQ19),
BB$1=MONTH($AR19),
BB$1=MONTH($AS19)),
IF('CF USD'!$A$8="On",$L19,$K19)/T_Bonds[[#This Row],[Coupons per annum]],0)</f>
        <v>0</v>
      </c>
      <c r="BC19" s="25">
        <f>IF(
OR(
BC$1=MONTH($AP19),
BC$1=MONTH($AQ19),
BC$1=MONTH($AR19),
BC$1=MONTH($AS19)),
IF('CF USD'!$A$8="On",$L19,$K19)/T_Bonds[[#This Row],[Coupons per annum]],0)</f>
        <v>0</v>
      </c>
      <c r="BD19" s="25">
        <f>IF(
OR(
BD$1=MONTH($AP19),
BD$1=MONTH($AQ19),
BD$1=MONTH($AR19),
BD$1=MONTH($AS19)),
IF('CF USD'!$A$8="On",$L19,$K19)/T_Bonds[[#This Row],[Coupons per annum]],0)</f>
        <v>0</v>
      </c>
      <c r="BE19" s="25">
        <f>IF(
OR(
BE$1=MONTH($AP19),
BE$1=MONTH($AQ19),
BE$1=MONTH($AR19),
BE$1=MONTH($AS19)),
IF('CF USD'!$A$8="On",$L19,$K19)/T_Bonds[[#This Row],[Coupons per annum]],0)</f>
        <v>20249.999999999967</v>
      </c>
      <c r="BF19">
        <f>DAY(T_Bonds[[#This Row],[Next coupon date]])</f>
        <v>30</v>
      </c>
    </row>
    <row r="20" spans="1:58" x14ac:dyDescent="0.25">
      <c r="A20" s="298" t="s">
        <v>64</v>
      </c>
      <c r="B20" s="203" t="s">
        <v>51</v>
      </c>
      <c r="C20" s="1" t="str">
        <f>IF(T_Bonds[[#This Row],[Call date]]&lt;&gt;"","Callable","Maturity")</f>
        <v>Maturity</v>
      </c>
      <c r="D20" s="1" t="s">
        <v>65</v>
      </c>
      <c r="E20" s="80" t="s">
        <v>18</v>
      </c>
      <c r="F20" s="22">
        <f>IFERROR(INDEX('V004'!D:E,MATCH(D20,'V004'!D:D,0),2),0)</f>
        <v>1000000</v>
      </c>
      <c r="G20" s="22">
        <f>IFERROR(INDEX('V001'!D:E,MATCH(D20,'V001'!D:D,0),2),0)</f>
        <v>0</v>
      </c>
      <c r="H20" s="22">
        <f>IFERROR(INDEX(UBS!C:D,MATCH(D20,UBS!D:D,0),1),0)</f>
        <v>0</v>
      </c>
      <c r="I20" s="300">
        <f>SUM(T_Bonds[[#This Row],[V1412]:[UBS]])</f>
        <v>1000000</v>
      </c>
      <c r="J20" s="98">
        <f t="shared" si="0"/>
        <v>8.3749999999999991E-2</v>
      </c>
      <c r="K20" s="73">
        <f t="shared" si="1"/>
        <v>83749.999999999985</v>
      </c>
      <c r="L20" s="73">
        <f t="shared" si="2"/>
        <v>83749.999999999985</v>
      </c>
      <c r="M20" s="16">
        <v>49693</v>
      </c>
      <c r="N20" s="5">
        <f>IFERROR(INDEX(Cbonds!C:H,MATCH(D20,Cbonds!C:C,0),4)/100,0)</f>
        <v>8.5568894295667997E-2</v>
      </c>
      <c r="O20" s="6">
        <f>IFERROR(INDEX(Cbonds!C:H,MATCH(D20,Cbonds!C:C,0),5),0)</f>
        <v>6.8399601230386002</v>
      </c>
      <c r="P20" s="91">
        <f>T_Bonds[[#This Row],[Market price]]-T_Bonds[[#This Row],[Cost price]]</f>
        <v>4.617203999999997E-2</v>
      </c>
      <c r="Q20" s="91">
        <f>T_Bonds[[#This Row],[Coupon]]/T_Bonds[[#This Row],[Cost price]]</f>
        <v>8.5947862169308026E-2</v>
      </c>
      <c r="R20" s="109">
        <f t="shared" si="3"/>
        <v>85568.894295667997</v>
      </c>
      <c r="S20" s="222">
        <f>IFERROR(INDEX('V004'!D:J,MATCH(D20,'V004'!D:D,0),7),0)</f>
        <v>0.97442795999999998</v>
      </c>
      <c r="T20" s="222">
        <f>IFERROR(INDEX('V001'!D:J,MATCH(D20,'V001'!D:D,0),7),0)</f>
        <v>0</v>
      </c>
      <c r="U20" s="223">
        <f>IFERROR(S20*T_Bonds[[#This Row],[V1412]]/(T_Bonds[[#This Row],[V1412]]+T_Bonds[[#This Row],[V1430]])+T20*T_Bonds[[#This Row],[V1430]]/(T_Bonds[[#This Row],[V1412]]+T_Bonds[[#This Row],[V1430]]),0)</f>
        <v>0.97442795999999998</v>
      </c>
      <c r="V20" s="100">
        <f t="shared" si="4"/>
        <v>85947.86216930802</v>
      </c>
      <c r="W20" s="4"/>
      <c r="X20" s="299">
        <f>IFERROR(INDEX(Cbonds!C:AF,MATCH(D20,Cbonds!C:C,0),30)/100,0)</f>
        <v>1.0206</v>
      </c>
      <c r="Y20" s="4">
        <f>INDEX('Tech list'!A:C,MATCH(T_Bonds[[#This Row],[Risk CCY]],'Tech list'!A:A,0),3)</f>
        <v>1</v>
      </c>
      <c r="Z20" s="100">
        <f>T_Bonds[[#This Row],[Market price]]*T_Bonds[[#This Row],[Quantity]]</f>
        <v>1020600</v>
      </c>
      <c r="AA20" s="73">
        <f t="shared" si="5"/>
        <v>1020600</v>
      </c>
      <c r="AB20" s="73">
        <f ca="1">T_Bonds[[#This Row],[Market value in CCY]]+T_Bonds[[#This Row],[AI, CCY]]</f>
        <v>1032231.9444444445</v>
      </c>
      <c r="AC20" s="73">
        <f ca="1">T_Bonds[[#This Row],[Market value in USD]]+T_Bonds[[#This Row],[AI, USD]]</f>
        <v>1032231.9444444445</v>
      </c>
      <c r="AD20" s="73">
        <f t="shared" si="6"/>
        <v>974427.96</v>
      </c>
      <c r="AE20" s="75">
        <f ca="1">(T_Bonds[[#This Row],[Coupon in Loc.Curr]]/T_Bonds[[#This Row],[Coupons per annum]])*((TODAY()-EDATE(T_Bonds[[#This Row],[Next coupon date]],-12/T_Bonds[[#This Row],[Coupons per annum]])))/(360/T_Bonds[[#This Row],[Coupons per annum]])</f>
        <v>11631.944444444442</v>
      </c>
      <c r="AF20" s="73">
        <f ca="1">T_Bonds[[#This Row],[AI, CCY]]*T_Bonds[[#This Row],[Exchange rate, N]]</f>
        <v>11631.944444444442</v>
      </c>
      <c r="AG20" s="311">
        <f>IFERROR(IF(INDEX(Cbonds!C:AC,MATCH(D20,Cbonds!C:C,0),27)&gt;5000,0,INDEX(Cbonds!C:AC,MATCH(D20,Cbonds!C:C,0),27)),0)</f>
        <v>453.5275223914</v>
      </c>
      <c r="AH20" s="73">
        <v>30</v>
      </c>
      <c r="AJ20" s="74"/>
      <c r="AK20" s="1" t="s">
        <v>258</v>
      </c>
      <c r="AL20" s="1" t="s">
        <v>270</v>
      </c>
      <c r="AM20" t="s">
        <v>2476</v>
      </c>
      <c r="AN20" s="1" t="s">
        <v>271</v>
      </c>
      <c r="AO20" s="320">
        <v>2</v>
      </c>
      <c r="AP20" s="17">
        <f>IFERROR(INDEX(Cbonds!C:H,MATCH(D20,Cbonds!C:C,0),3),0)</f>
        <v>46222</v>
      </c>
      <c r="AQ20" s="17">
        <f>EDATE(T_Bonds[[#This Row],[Next coupon date]],12/T_Bonds[[#This Row],[Coupons per annum]])</f>
        <v>46406</v>
      </c>
      <c r="AR20" s="17">
        <f>EDATE(T_Bonds[[#This Row],[Second next coupon date]],12/$AO20)</f>
        <v>46587</v>
      </c>
      <c r="AS20" s="17">
        <f>EDATE(T_Bonds[[#This Row],[Coupon date 3]],12/$AO20)</f>
        <v>46771</v>
      </c>
      <c r="AT20" s="25">
        <f>IF(
OR(
AT$1=MONTH($AP20),
AT$1=MONTH($AQ20),
AT$1=MONTH($AR20),
AT$1=MONTH($AS20)),
IF('CF USD'!$A$8="On",$L20,$K20)/T_Bonds[[#This Row],[Coupons per annum]],0)</f>
        <v>41874.999999999993</v>
      </c>
      <c r="AU20" s="25">
        <f>IF(
OR(
AU$1=MONTH($AP20),
AU$1=MONTH($AQ20),
AU$1=MONTH($AR20),
AU$1=MONTH($AS20)),
IF('CF USD'!$A$8="On",$L20,$K20)/T_Bonds[[#This Row],[Coupons per annum]],0)</f>
        <v>0</v>
      </c>
      <c r="AV20" s="25">
        <f>IF(
OR(
AV$1=MONTH($AP20),
AV$1=MONTH($AQ20),
AV$1=MONTH($AR20),
AV$1=MONTH($AS20)),
IF('CF USD'!$A$8="On",$L20,$K20)/T_Bonds[[#This Row],[Coupons per annum]],0)</f>
        <v>0</v>
      </c>
      <c r="AW20" s="25">
        <f>IF(
OR(
AW$1=MONTH($AP20),
AW$1=MONTH($AQ20),
AW$1=MONTH($AR20),
AW$1=MONTH($AS20)),
IF('CF USD'!$A$8="On",$L20,$K20)/T_Bonds[[#This Row],[Coupons per annum]],0)</f>
        <v>0</v>
      </c>
      <c r="AX20" s="25">
        <f>IF(
OR(
AX$1=MONTH($AP20),
AX$1=MONTH($AQ20),
AX$1=MONTH($AR20),
AX$1=MONTH($AS20)),
IF('CF USD'!$A$8="On",$L20,$K20)/T_Bonds[[#This Row],[Coupons per annum]],0)</f>
        <v>0</v>
      </c>
      <c r="AY20" s="25">
        <f>IF(
OR(
AY$1=MONTH($AP20),
AY$1=MONTH($AQ20),
AY$1=MONTH($AR20),
AY$1=MONTH($AS20)),
IF('CF USD'!$A$8="On",$L20,$K20)/T_Bonds[[#This Row],[Coupons per annum]],0)</f>
        <v>0</v>
      </c>
      <c r="AZ20" s="25">
        <f>IF(
OR(
AZ$1=MONTH($AP20),
AZ$1=MONTH($AQ20),
AZ$1=MONTH($AR20),
AZ$1=MONTH($AS20)),
IF('CF USD'!$A$8="On",$L20,$K20)/T_Bonds[[#This Row],[Coupons per annum]],0)</f>
        <v>41874.999999999993</v>
      </c>
      <c r="BA20" s="25">
        <f>IF(
OR(
BA$1=MONTH($AP20),
BA$1=MONTH($AQ20),
BA$1=MONTH($AR20),
BA$1=MONTH($AS20)),
IF('CF USD'!$A$8="On",$L20,$K20)/T_Bonds[[#This Row],[Coupons per annum]],0)</f>
        <v>0</v>
      </c>
      <c r="BB20" s="25">
        <f>IF(
OR(
BB$1=MONTH($AP20),
BB$1=MONTH($AQ20),
BB$1=MONTH($AR20),
BB$1=MONTH($AS20)),
IF('CF USD'!$A$8="On",$L20,$K20)/T_Bonds[[#This Row],[Coupons per annum]],0)</f>
        <v>0</v>
      </c>
      <c r="BC20" s="25">
        <f>IF(
OR(
BC$1=MONTH($AP20),
BC$1=MONTH($AQ20),
BC$1=MONTH($AR20),
BC$1=MONTH($AS20)),
IF('CF USD'!$A$8="On",$L20,$K20)/T_Bonds[[#This Row],[Coupons per annum]],0)</f>
        <v>0</v>
      </c>
      <c r="BD20" s="25">
        <f>IF(
OR(
BD$1=MONTH($AP20),
BD$1=MONTH($AQ20),
BD$1=MONTH($AR20),
BD$1=MONTH($AS20)),
IF('CF USD'!$A$8="On",$L20,$K20)/T_Bonds[[#This Row],[Coupons per annum]],0)</f>
        <v>0</v>
      </c>
      <c r="BE20" s="25">
        <f>IF(
OR(
BE$1=MONTH($AP20),
BE$1=MONTH($AQ20),
BE$1=MONTH($AR20),
BE$1=MONTH($AS20)),
IF('CF USD'!$A$8="On",$L20,$K20)/T_Bonds[[#This Row],[Coupons per annum]],0)</f>
        <v>0</v>
      </c>
      <c r="BF20">
        <f>DAY(T_Bonds[[#This Row],[Next coupon date]])</f>
        <v>19</v>
      </c>
    </row>
    <row r="21" spans="1:58" x14ac:dyDescent="0.25">
      <c r="A21" s="298" t="s">
        <v>66</v>
      </c>
      <c r="B21" s="203" t="s">
        <v>51</v>
      </c>
      <c r="C21" s="1" t="str">
        <f>IF(T_Bonds[[#This Row],[Call date]]&lt;&gt;"","Callable","Maturity")</f>
        <v>Maturity</v>
      </c>
      <c r="D21" s="1" t="s">
        <v>67</v>
      </c>
      <c r="E21" s="1" t="s">
        <v>18</v>
      </c>
      <c r="F21" s="22">
        <f>IFERROR(INDEX('V004'!D:E,MATCH(D21,'V004'!D:D,0),2),0)</f>
        <v>0</v>
      </c>
      <c r="G21" s="22">
        <f>IFERROR(INDEX('V001'!D:E,MATCH(D21,'V001'!D:D,0),2),0)</f>
        <v>0</v>
      </c>
      <c r="H21" s="22">
        <f>IFERROR(INDEX(UBS!C:D,MATCH(D21,UBS!D:D,0),1),0)</f>
        <v>0</v>
      </c>
      <c r="I21" s="300">
        <f>SUM(T_Bonds[[#This Row],[V1412]:[UBS]])</f>
        <v>0</v>
      </c>
      <c r="J21" s="76">
        <f t="shared" si="0"/>
        <v>4.4999999999999929E-2</v>
      </c>
      <c r="K21" s="73">
        <f t="shared" si="1"/>
        <v>0</v>
      </c>
      <c r="L21" s="73">
        <f t="shared" si="2"/>
        <v>0</v>
      </c>
      <c r="M21" s="16">
        <v>47438</v>
      </c>
      <c r="N21" s="5">
        <f>IFERROR(INDEX(Cbonds!C:H,MATCH(D21,Cbonds!C:C,0),4)/100,0)</f>
        <v>5.7236419765758002E-2</v>
      </c>
      <c r="O21" s="6">
        <f>IFERROR(INDEX(Cbonds!C:H,MATCH(D21,Cbonds!C:C,0),5),0)</f>
        <v>3.4470128475577999</v>
      </c>
      <c r="P21" s="91">
        <f>T_Bonds[[#This Row],[Market price]]-T_Bonds[[#This Row],[Cost price]]</f>
        <v>0.96131</v>
      </c>
      <c r="Q21" s="91" t="e">
        <f>T_Bonds[[#This Row],[Coupon]]/T_Bonds[[#This Row],[Cost price]]</f>
        <v>#DIV/0!</v>
      </c>
      <c r="R21" s="108">
        <f t="shared" si="3"/>
        <v>0</v>
      </c>
      <c r="S21" s="222">
        <f>IFERROR(INDEX('V004'!D:J,MATCH(D21,'V004'!D:D,0),7),0)</f>
        <v>0</v>
      </c>
      <c r="T21" s="222">
        <f>IFERROR(INDEX('V001'!D:J,MATCH(D21,'V001'!D:D,0),7),0)</f>
        <v>0</v>
      </c>
      <c r="U21" s="223">
        <f>IFERROR(S21*T_Bonds[[#This Row],[V1412]]/(T_Bonds[[#This Row],[V1412]]+T_Bonds[[#This Row],[V1430]])+T21*T_Bonds[[#This Row],[V1430]]/(T_Bonds[[#This Row],[V1412]]+T_Bonds[[#This Row],[V1430]]),0)</f>
        <v>0</v>
      </c>
      <c r="V21" s="73" t="e">
        <f t="shared" si="4"/>
        <v>#DIV/0!</v>
      </c>
      <c r="W21" s="4"/>
      <c r="X21" s="299">
        <f>IFERROR(INDEX(Cbonds!C:AF,MATCH(D21,Cbonds!C:C,0),30)/100,0)</f>
        <v>0.96131</v>
      </c>
      <c r="Y21" s="4">
        <f>INDEX('Tech list'!A:C,MATCH(T_Bonds[[#This Row],[Risk CCY]],'Tech list'!A:A,0),3)</f>
        <v>1</v>
      </c>
      <c r="Z21" s="100">
        <f>T_Bonds[[#This Row],[Market price]]*T_Bonds[[#This Row],[Quantity]]</f>
        <v>0</v>
      </c>
      <c r="AA21" s="73">
        <f t="shared" si="5"/>
        <v>0</v>
      </c>
      <c r="AB21" s="73">
        <f ca="1">T_Bonds[[#This Row],[Market value in CCY]]+T_Bonds[[#This Row],[AI, CCY]]</f>
        <v>0</v>
      </c>
      <c r="AC21" s="73">
        <f ca="1">T_Bonds[[#This Row],[Market value in USD]]+T_Bonds[[#This Row],[AI, USD]]</f>
        <v>0</v>
      </c>
      <c r="AD21" s="73">
        <f t="shared" si="6"/>
        <v>0</v>
      </c>
      <c r="AE21" s="75">
        <f ca="1">(T_Bonds[[#This Row],[Coupon in Loc.Curr]]/T_Bonds[[#This Row],[Coupons per annum]])*((TODAY()-EDATE(T_Bonds[[#This Row],[Next coupon date]],-12/T_Bonds[[#This Row],[Coupons per annum]])))/(360/T_Bonds[[#This Row],[Coupons per annum]])</f>
        <v>0</v>
      </c>
      <c r="AF21" s="73">
        <f ca="1">T_Bonds[[#This Row],[AI, CCY]]*T_Bonds[[#This Row],[Exchange rate, N]]</f>
        <v>0</v>
      </c>
      <c r="AG21" s="311">
        <f>IFERROR(IF(INDEX(Cbonds!C:AC,MATCH(D21,Cbonds!C:C,0),27)&gt;5000,0,INDEX(Cbonds!C:AC,MATCH(D21,Cbonds!C:C,0),27)),0)</f>
        <v>204.88912383869001</v>
      </c>
      <c r="AH21" s="73">
        <v>30</v>
      </c>
      <c r="AK21" t="s">
        <v>272</v>
      </c>
      <c r="AL21" t="s">
        <v>273</v>
      </c>
      <c r="AM21" t="s">
        <v>2476</v>
      </c>
      <c r="AN21" t="s">
        <v>274</v>
      </c>
      <c r="AO21" s="340">
        <v>2</v>
      </c>
      <c r="AP21" s="17">
        <f>IFERROR(INDEX(Cbonds!C:H,MATCH(D21,Cbonds!C:C,0),3),0)</f>
        <v>46158</v>
      </c>
      <c r="AQ21" s="17">
        <f>EDATE(T_Bonds[[#This Row],[Next coupon date]],12/T_Bonds[[#This Row],[Coupons per annum]])</f>
        <v>46342</v>
      </c>
      <c r="AR21" s="17">
        <f>EDATE(T_Bonds[[#This Row],[Second next coupon date]],12/$AO21)</f>
        <v>46523</v>
      </c>
      <c r="AS21" s="17">
        <f>EDATE(T_Bonds[[#This Row],[Coupon date 3]],12/$AO21)</f>
        <v>46707</v>
      </c>
      <c r="AT21" s="25">
        <f>IF(
OR(
AT$1=MONTH($AP21),
AT$1=MONTH($AQ21),
AT$1=MONTH($AR21),
AT$1=MONTH($AS21)),
IF('CF USD'!$A$8="On",$L21,$K21)/T_Bonds[[#This Row],[Coupons per annum]],0)</f>
        <v>0</v>
      </c>
      <c r="AU21" s="25">
        <f>IF(
OR(
AU$1=MONTH($AP21),
AU$1=MONTH($AQ21),
AU$1=MONTH($AR21),
AU$1=MONTH($AS21)),
IF('CF USD'!$A$8="On",$L21,$K21)/T_Bonds[[#This Row],[Coupons per annum]],0)</f>
        <v>0</v>
      </c>
      <c r="AV21" s="25">
        <f>IF(
OR(
AV$1=MONTH($AP21),
AV$1=MONTH($AQ21),
AV$1=MONTH($AR21),
AV$1=MONTH($AS21)),
IF('CF USD'!$A$8="On",$L21,$K21)/T_Bonds[[#This Row],[Coupons per annum]],0)</f>
        <v>0</v>
      </c>
      <c r="AW21" s="25">
        <f>IF(
OR(
AW$1=MONTH($AP21),
AW$1=MONTH($AQ21),
AW$1=MONTH($AR21),
AW$1=MONTH($AS21)),
IF('CF USD'!$A$8="On",$L21,$K21)/T_Bonds[[#This Row],[Coupons per annum]],0)</f>
        <v>0</v>
      </c>
      <c r="AX21" s="25">
        <f>IF(
OR(
AX$1=MONTH($AP21),
AX$1=MONTH($AQ21),
AX$1=MONTH($AR21),
AX$1=MONTH($AS21)),
IF('CF USD'!$A$8="On",$L21,$K21)/T_Bonds[[#This Row],[Coupons per annum]],0)</f>
        <v>0</v>
      </c>
      <c r="AY21" s="25">
        <f>IF(
OR(
AY$1=MONTH($AP21),
AY$1=MONTH($AQ21),
AY$1=MONTH($AR21),
AY$1=MONTH($AS21)),
IF('CF USD'!$A$8="On",$L21,$K21)/T_Bonds[[#This Row],[Coupons per annum]],0)</f>
        <v>0</v>
      </c>
      <c r="AZ21" s="25">
        <f>IF(
OR(
AZ$1=MONTH($AP21),
AZ$1=MONTH($AQ21),
AZ$1=MONTH($AR21),
AZ$1=MONTH($AS21)),
IF('CF USD'!$A$8="On",$L21,$K21)/T_Bonds[[#This Row],[Coupons per annum]],0)</f>
        <v>0</v>
      </c>
      <c r="BA21" s="25">
        <f>IF(
OR(
BA$1=MONTH($AP21),
BA$1=MONTH($AQ21),
BA$1=MONTH($AR21),
BA$1=MONTH($AS21)),
IF('CF USD'!$A$8="On",$L21,$K21)/T_Bonds[[#This Row],[Coupons per annum]],0)</f>
        <v>0</v>
      </c>
      <c r="BB21" s="25">
        <f>IF(
OR(
BB$1=MONTH($AP21),
BB$1=MONTH($AQ21),
BB$1=MONTH($AR21),
BB$1=MONTH($AS21)),
IF('CF USD'!$A$8="On",$L21,$K21)/T_Bonds[[#This Row],[Coupons per annum]],0)</f>
        <v>0</v>
      </c>
      <c r="BC21" s="25">
        <f>IF(
OR(
BC$1=MONTH($AP21),
BC$1=MONTH($AQ21),
BC$1=MONTH($AR21),
BC$1=MONTH($AS21)),
IF('CF USD'!$A$8="On",$L21,$K21)/T_Bonds[[#This Row],[Coupons per annum]],0)</f>
        <v>0</v>
      </c>
      <c r="BD21" s="25">
        <f>IF(
OR(
BD$1=MONTH($AP21),
BD$1=MONTH($AQ21),
BD$1=MONTH($AR21),
BD$1=MONTH($AS21)),
IF('CF USD'!$A$8="On",$L21,$K21)/T_Bonds[[#This Row],[Coupons per annum]],0)</f>
        <v>0</v>
      </c>
      <c r="BE21" s="25">
        <f>IF(
OR(
BE$1=MONTH($AP21),
BE$1=MONTH($AQ21),
BE$1=MONTH($AR21),
BE$1=MONTH($AS21)),
IF('CF USD'!$A$8="On",$L21,$K21)/T_Bonds[[#This Row],[Coupons per annum]],0)</f>
        <v>0</v>
      </c>
      <c r="BF21">
        <f>DAY(T_Bonds[[#This Row],[Next coupon date]])</f>
        <v>16</v>
      </c>
    </row>
    <row r="22" spans="1:58" x14ac:dyDescent="0.25">
      <c r="A22" s="298" t="s">
        <v>68</v>
      </c>
      <c r="B22" s="203" t="s">
        <v>51</v>
      </c>
      <c r="C22" s="1" t="str">
        <f>IF(T_Bonds[[#This Row],[Call date]]&lt;&gt;"","Callable","Maturity")</f>
        <v>Maturity</v>
      </c>
      <c r="D22" s="1" t="s">
        <v>69</v>
      </c>
      <c r="E22" s="80" t="s">
        <v>18</v>
      </c>
      <c r="F22" s="22">
        <f>IFERROR(INDEX('V004'!D:E,MATCH(D22,'V004'!D:D,0),2),0)</f>
        <v>600000</v>
      </c>
      <c r="G22" s="22">
        <f>IFERROR(INDEX('V001'!D:E,MATCH(D22,'V001'!D:D,0),2),0)</f>
        <v>0</v>
      </c>
      <c r="H22" s="22">
        <f>IFERROR(INDEX(UBS!C:D,MATCH(D22,UBS!D:D,0),1),0)</f>
        <v>0</v>
      </c>
      <c r="I22" s="300">
        <f>SUM(T_Bonds[[#This Row],[V1412]:[UBS]])</f>
        <v>600000</v>
      </c>
      <c r="J22" s="81">
        <f t="shared" si="0"/>
        <v>8.8750000000000107E-2</v>
      </c>
      <c r="K22" s="73">
        <f t="shared" si="1"/>
        <v>53250.000000000065</v>
      </c>
      <c r="L22" s="73">
        <f t="shared" si="2"/>
        <v>53250.000000000065</v>
      </c>
      <c r="M22" s="16">
        <v>47822</v>
      </c>
      <c r="N22" s="5">
        <f>IFERROR(INDEX(Cbonds!C:H,MATCH(D22,Cbonds!C:C,0),4)/100,0)</f>
        <v>9.990258475330499E-2</v>
      </c>
      <c r="O22" s="6">
        <f>IFERROR(INDEX(Cbonds!C:H,MATCH(D22,Cbonds!C:C,0),5),0)</f>
        <v>3.9227039499425</v>
      </c>
      <c r="P22" s="91">
        <f>T_Bonds[[#This Row],[Market price]]-T_Bonds[[#This Row],[Cost price]]</f>
        <v>-5.0481133333333372E-2</v>
      </c>
      <c r="Q22" s="91">
        <f>T_Bonds[[#This Row],[Coupon]]/T_Bonds[[#This Row],[Cost price]]</f>
        <v>8.7268088945865172E-2</v>
      </c>
      <c r="R22" s="108">
        <f t="shared" si="3"/>
        <v>59941.550851982996</v>
      </c>
      <c r="S22" s="222">
        <f>IFERROR(INDEX('V004'!D:J,MATCH(D22,'V004'!D:D,0),7),0)</f>
        <v>1.0169811333333334</v>
      </c>
      <c r="T22" s="222">
        <f>IFERROR(INDEX('V001'!D:J,MATCH(D22,'V001'!D:D,0),7),0)</f>
        <v>0</v>
      </c>
      <c r="U22" s="223">
        <f>IFERROR(S22*T_Bonds[[#This Row],[V1412]]/(T_Bonds[[#This Row],[V1412]]+T_Bonds[[#This Row],[V1430]])+T22*T_Bonds[[#This Row],[V1430]]/(T_Bonds[[#This Row],[V1412]]+T_Bonds[[#This Row],[V1430]]),0)</f>
        <v>1.0169811333333334</v>
      </c>
      <c r="V22" s="100">
        <f t="shared" si="4"/>
        <v>52360.853367519107</v>
      </c>
      <c r="W22" s="4"/>
      <c r="X22" s="299">
        <f>IFERROR(INDEX(Cbonds!C:AF,MATCH(D22,Cbonds!C:C,0),30)/100,0)</f>
        <v>0.96650000000000003</v>
      </c>
      <c r="Y22" s="4">
        <f>INDEX('Tech list'!A:C,MATCH(T_Bonds[[#This Row],[Risk CCY]],'Tech list'!A:A,0),3)</f>
        <v>1</v>
      </c>
      <c r="Z22" s="100">
        <f>T_Bonds[[#This Row],[Market price]]*T_Bonds[[#This Row],[Quantity]]</f>
        <v>579900</v>
      </c>
      <c r="AA22" s="73">
        <f t="shared" si="5"/>
        <v>579900</v>
      </c>
      <c r="AB22" s="73">
        <f ca="1">T_Bonds[[#This Row],[Market value in CCY]]+T_Bonds[[#This Row],[AI, CCY]]</f>
        <v>593952.08333333337</v>
      </c>
      <c r="AC22" s="73">
        <f ca="1">T_Bonds[[#This Row],[Market value in USD]]+T_Bonds[[#This Row],[AI, USD]]</f>
        <v>593952.08333333337</v>
      </c>
      <c r="AD22" s="73">
        <f t="shared" si="6"/>
        <v>610188.68000000005</v>
      </c>
      <c r="AE22" s="75">
        <f ca="1">(T_Bonds[[#This Row],[Coupon in Loc.Curr]]/T_Bonds[[#This Row],[Coupons per annum]])*((TODAY()-EDATE(T_Bonds[[#This Row],[Next coupon date]],-12/T_Bonds[[#This Row],[Coupons per annum]])))/(360/T_Bonds[[#This Row],[Coupons per annum]])</f>
        <v>14052.083333333352</v>
      </c>
      <c r="AF22" s="73">
        <f ca="1">T_Bonds[[#This Row],[AI, CCY]]*T_Bonds[[#This Row],[Exchange rate, N]]</f>
        <v>14052.083333333352</v>
      </c>
      <c r="AG22" s="311">
        <f>IFERROR(IF(INDEX(Cbonds!C:AC,MATCH(D22,Cbonds!C:C,0),27)&gt;5000,0,INDEX(Cbonds!C:AC,MATCH(D22,Cbonds!C:C,0),27)),0)</f>
        <v>627.18466122479003</v>
      </c>
      <c r="AH22" s="73">
        <v>30</v>
      </c>
      <c r="AJ22" s="209"/>
      <c r="AK22" t="s">
        <v>275</v>
      </c>
      <c r="AL22" t="s">
        <v>276</v>
      </c>
      <c r="AM22" t="s">
        <v>2476</v>
      </c>
      <c r="AN22" s="1" t="s">
        <v>277</v>
      </c>
      <c r="AO22" s="340">
        <v>2</v>
      </c>
      <c r="AP22" s="17">
        <f>IFERROR(INDEX(Cbonds!C:H,MATCH(D22,Cbonds!C:C,0),3),0)</f>
        <v>46178</v>
      </c>
      <c r="AQ22" s="17">
        <f>EDATE(T_Bonds[[#This Row],[Next coupon date]],12/T_Bonds[[#This Row],[Coupons per annum]])</f>
        <v>46361</v>
      </c>
      <c r="AR22" s="17">
        <f>EDATE(T_Bonds[[#This Row],[Second next coupon date]],12/$AO22)</f>
        <v>46543</v>
      </c>
      <c r="AS22" s="17">
        <f>EDATE(T_Bonds[[#This Row],[Coupon date 3]],12/$AO22)</f>
        <v>46726</v>
      </c>
      <c r="AT22" s="25">
        <f>IF(
OR(
AT$1=MONTH($AP22),
AT$1=MONTH($AQ22),
AT$1=MONTH($AR22),
AT$1=MONTH($AS22)),
IF('CF USD'!$A$8="On",$L22,$K22)/T_Bonds[[#This Row],[Coupons per annum]],0)</f>
        <v>0</v>
      </c>
      <c r="AU22" s="25">
        <f>IF(
OR(
AU$1=MONTH($AP22),
AU$1=MONTH($AQ22),
AU$1=MONTH($AR22),
AU$1=MONTH($AS22)),
IF('CF USD'!$A$8="On",$L22,$K22)/T_Bonds[[#This Row],[Coupons per annum]],0)</f>
        <v>0</v>
      </c>
      <c r="AV22" s="25">
        <f>IF(
OR(
AV$1=MONTH($AP22),
AV$1=MONTH($AQ22),
AV$1=MONTH($AR22),
AV$1=MONTH($AS22)),
IF('CF USD'!$A$8="On",$L22,$K22)/T_Bonds[[#This Row],[Coupons per annum]],0)</f>
        <v>0</v>
      </c>
      <c r="AW22" s="25">
        <f>IF(
OR(
AW$1=MONTH($AP22),
AW$1=MONTH($AQ22),
AW$1=MONTH($AR22),
AW$1=MONTH($AS22)),
IF('CF USD'!$A$8="On",$L22,$K22)/T_Bonds[[#This Row],[Coupons per annum]],0)</f>
        <v>0</v>
      </c>
      <c r="AX22" s="25">
        <f>IF(
OR(
AX$1=MONTH($AP22),
AX$1=MONTH($AQ22),
AX$1=MONTH($AR22),
AX$1=MONTH($AS22)),
IF('CF USD'!$A$8="On",$L22,$K22)/T_Bonds[[#This Row],[Coupons per annum]],0)</f>
        <v>0</v>
      </c>
      <c r="AY22" s="25">
        <f>IF(
OR(
AY$1=MONTH($AP22),
AY$1=MONTH($AQ22),
AY$1=MONTH($AR22),
AY$1=MONTH($AS22)),
IF('CF USD'!$A$8="On",$L22,$K22)/T_Bonds[[#This Row],[Coupons per annum]],0)</f>
        <v>26625.000000000033</v>
      </c>
      <c r="AZ22" s="25">
        <f>IF(
OR(
AZ$1=MONTH($AP22),
AZ$1=MONTH($AQ22),
AZ$1=MONTH($AR22),
AZ$1=MONTH($AS22)),
IF('CF USD'!$A$8="On",$L22,$K22)/T_Bonds[[#This Row],[Coupons per annum]],0)</f>
        <v>0</v>
      </c>
      <c r="BA22" s="25">
        <f>IF(
OR(
BA$1=MONTH($AP22),
BA$1=MONTH($AQ22),
BA$1=MONTH($AR22),
BA$1=MONTH($AS22)),
IF('CF USD'!$A$8="On",$L22,$K22)/T_Bonds[[#This Row],[Coupons per annum]],0)</f>
        <v>0</v>
      </c>
      <c r="BB22" s="25">
        <f>IF(
OR(
BB$1=MONTH($AP22),
BB$1=MONTH($AQ22),
BB$1=MONTH($AR22),
BB$1=MONTH($AS22)),
IF('CF USD'!$A$8="On",$L22,$K22)/T_Bonds[[#This Row],[Coupons per annum]],0)</f>
        <v>0</v>
      </c>
      <c r="BC22" s="25">
        <f>IF(
OR(
BC$1=MONTH($AP22),
BC$1=MONTH($AQ22),
BC$1=MONTH($AR22),
BC$1=MONTH($AS22)),
IF('CF USD'!$A$8="On",$L22,$K22)/T_Bonds[[#This Row],[Coupons per annum]],0)</f>
        <v>0</v>
      </c>
      <c r="BD22" s="25">
        <f>IF(
OR(
BD$1=MONTH($AP22),
BD$1=MONTH($AQ22),
BD$1=MONTH($AR22),
BD$1=MONTH($AS22)),
IF('CF USD'!$A$8="On",$L22,$K22)/T_Bonds[[#This Row],[Coupons per annum]],0)</f>
        <v>0</v>
      </c>
      <c r="BE22" s="25">
        <f>IF(
OR(
BE$1=MONTH($AP22),
BE$1=MONTH($AQ22),
BE$1=MONTH($AR22),
BE$1=MONTH($AS22)),
IF('CF USD'!$A$8="On",$L22,$K22)/T_Bonds[[#This Row],[Coupons per annum]],0)</f>
        <v>26625.000000000033</v>
      </c>
      <c r="BF22">
        <f>DAY(T_Bonds[[#This Row],[Next coupon date]])</f>
        <v>5</v>
      </c>
    </row>
    <row r="23" spans="1:58" x14ac:dyDescent="0.25">
      <c r="A23" s="298" t="s">
        <v>70</v>
      </c>
      <c r="B23" s="203" t="s">
        <v>51</v>
      </c>
      <c r="C23" s="1" t="str">
        <f>IF(T_Bonds[[#This Row],[Call date]]&lt;&gt;"","Callable","Maturity")</f>
        <v>Maturity</v>
      </c>
      <c r="D23" s="1" t="s">
        <v>71</v>
      </c>
      <c r="E23" s="1" t="s">
        <v>18</v>
      </c>
      <c r="F23" s="22">
        <f>IFERROR(INDEX('V004'!D:E,MATCH(D23,'V004'!D:D,0),2),0)</f>
        <v>800000</v>
      </c>
      <c r="G23" s="22">
        <f>IFERROR(INDEX('V001'!D:E,MATCH(D23,'V001'!D:D,0),2),0)</f>
        <v>0</v>
      </c>
      <c r="H23" s="22">
        <f>IFERROR(INDEX(UBS!C:D,MATCH(D23,UBS!D:D,0),1),0)</f>
        <v>0</v>
      </c>
      <c r="I23" s="300">
        <f>SUM(T_Bonds[[#This Row],[V1412]:[UBS]])</f>
        <v>800000</v>
      </c>
      <c r="J23" s="98">
        <f t="shared" si="0"/>
        <v>5.4999999999999938E-2</v>
      </c>
      <c r="K23" s="100">
        <f t="shared" si="1"/>
        <v>43999.999999999949</v>
      </c>
      <c r="L23" s="100">
        <f t="shared" si="2"/>
        <v>43999.999999999949</v>
      </c>
      <c r="M23" s="16">
        <v>47925</v>
      </c>
      <c r="N23" s="5">
        <f>IFERROR(INDEX(Cbonds!C:H,MATCH(D23,Cbonds!C:C,0),4)/100,0)</f>
        <v>0.10333595454097001</v>
      </c>
      <c r="O23" s="6">
        <f>IFERROR(INDEX(Cbonds!C:H,MATCH(D23,Cbonds!C:C,0),5),0)</f>
        <v>4.3041227572237997</v>
      </c>
      <c r="P23" s="91">
        <f>T_Bonds[[#This Row],[Market price]]-T_Bonds[[#This Row],[Cost price]]</f>
        <v>-1.273387499999945E-3</v>
      </c>
      <c r="Q23" s="91">
        <f>T_Bonds[[#This Row],[Coupon]]/T_Bonds[[#This Row],[Cost price]]</f>
        <v>6.4239324420720723E-2</v>
      </c>
      <c r="R23" s="109">
        <f t="shared" si="3"/>
        <v>82668.763632776012</v>
      </c>
      <c r="S23" s="222">
        <f>IFERROR(INDEX('V004'!D:J,MATCH(D23,'V004'!D:D,0),7),0)</f>
        <v>0.85617338750000005</v>
      </c>
      <c r="T23" s="222">
        <f>IFERROR(INDEX('V001'!D:J,MATCH(D23,'V001'!D:D,0),7),0)</f>
        <v>0</v>
      </c>
      <c r="U23" s="223">
        <f>IFERROR(S23*T_Bonds[[#This Row],[V1412]]/(T_Bonds[[#This Row],[V1412]]+T_Bonds[[#This Row],[V1430]])+T23*T_Bonds[[#This Row],[V1430]]/(T_Bonds[[#This Row],[V1412]]+T_Bonds[[#This Row],[V1430]]),0)</f>
        <v>0.85617338750000005</v>
      </c>
      <c r="V23" s="100">
        <f t="shared" si="4"/>
        <v>51391.459536576578</v>
      </c>
      <c r="W23" s="1" t="s">
        <v>257</v>
      </c>
      <c r="X23" s="299">
        <f>IFERROR(INDEX(Cbonds!C:AF,MATCH(D23,Cbonds!C:C,0),30)/100,0)</f>
        <v>0.8549000000000001</v>
      </c>
      <c r="Y23" s="4">
        <f>INDEX('Tech list'!A:C,MATCH(T_Bonds[[#This Row],[Risk CCY]],'Tech list'!A:A,0),3)</f>
        <v>1</v>
      </c>
      <c r="Z23" s="97">
        <f>T_Bonds[[#This Row],[Market price]]*T_Bonds[[#This Row],[Quantity]]</f>
        <v>683920.00000000012</v>
      </c>
      <c r="AA23" s="106">
        <f t="shared" si="5"/>
        <v>683920.00000000012</v>
      </c>
      <c r="AB23" s="73">
        <f ca="1">T_Bonds[[#This Row],[Market value in CCY]]+T_Bonds[[#This Row],[AI, CCY]]</f>
        <v>705064.4444444445</v>
      </c>
      <c r="AC23" s="73">
        <f ca="1">T_Bonds[[#This Row],[Market value in USD]]+T_Bonds[[#This Row],[AI, USD]]</f>
        <v>705064.4444444445</v>
      </c>
      <c r="AD23" s="97">
        <f t="shared" si="6"/>
        <v>684938.71000000008</v>
      </c>
      <c r="AE23" s="75">
        <f ca="1">(T_Bonds[[#This Row],[Coupon in Loc.Curr]]/T_Bonds[[#This Row],[Coupons per annum]])*((TODAY()-EDATE(T_Bonds[[#This Row],[Next coupon date]],-12/T_Bonds[[#This Row],[Coupons per annum]])))/(360/T_Bonds[[#This Row],[Coupons per annum]])</f>
        <v>21144.44444444442</v>
      </c>
      <c r="AF23" s="73">
        <f ca="1">T_Bonds[[#This Row],[AI, CCY]]*T_Bonds[[#This Row],[Exchange rate, N]]</f>
        <v>21144.44444444442</v>
      </c>
      <c r="AG23" s="311">
        <f>IFERROR(IF(INDEX(Cbonds!C:AC,MATCH(D23,Cbonds!C:C,0),27)&gt;5000,0,INDEX(Cbonds!C:AC,MATCH(D23,Cbonds!C:C,0),27)),0)</f>
        <v>657.77909751077004</v>
      </c>
      <c r="AH23" s="73">
        <v>30</v>
      </c>
      <c r="AJ23" s="208"/>
      <c r="AK23" s="78" t="s">
        <v>278</v>
      </c>
      <c r="AL23" s="78" t="s">
        <v>273</v>
      </c>
      <c r="AM23" t="s">
        <v>2476</v>
      </c>
      <c r="AN23" s="78" t="s">
        <v>279</v>
      </c>
      <c r="AO23" s="320">
        <v>2</v>
      </c>
      <c r="AP23" s="17">
        <f>IFERROR(INDEX(Cbonds!C:H,MATCH(D23,Cbonds!C:C,0),3),0)</f>
        <v>46099</v>
      </c>
      <c r="AQ23" s="17">
        <f>EDATE(T_Bonds[[#This Row],[Next coupon date]],12/T_Bonds[[#This Row],[Coupons per annum]])</f>
        <v>46283</v>
      </c>
      <c r="AR23" s="17">
        <f>EDATE(T_Bonds[[#This Row],[Second next coupon date]],12/$AO23)</f>
        <v>46464</v>
      </c>
      <c r="AS23" s="17">
        <f>EDATE(T_Bonds[[#This Row],[Coupon date 3]],12/$AO23)</f>
        <v>46648</v>
      </c>
      <c r="AT23" s="25">
        <f>IF(
OR(
AT$1=MONTH($AP23),
AT$1=MONTH($AQ23),
AT$1=MONTH($AR23),
AT$1=MONTH($AS23)),
IF('CF USD'!$A$8="On",$L23,$K23)/T_Bonds[[#This Row],[Coupons per annum]],0)</f>
        <v>0</v>
      </c>
      <c r="AU23" s="25">
        <f>IF(
OR(
AU$1=MONTH($AP23),
AU$1=MONTH($AQ23),
AU$1=MONTH($AR23),
AU$1=MONTH($AS23)),
IF('CF USD'!$A$8="On",$L23,$K23)/T_Bonds[[#This Row],[Coupons per annum]],0)</f>
        <v>0</v>
      </c>
      <c r="AV23" s="25">
        <f>IF(
OR(
AV$1=MONTH($AP23),
AV$1=MONTH($AQ23),
AV$1=MONTH($AR23),
AV$1=MONTH($AS23)),
IF('CF USD'!$A$8="On",$L23,$K23)/T_Bonds[[#This Row],[Coupons per annum]],0)</f>
        <v>21999.999999999975</v>
      </c>
      <c r="AW23" s="25">
        <f>IF(
OR(
AW$1=MONTH($AP23),
AW$1=MONTH($AQ23),
AW$1=MONTH($AR23),
AW$1=MONTH($AS23)),
IF('CF USD'!$A$8="On",$L23,$K23)/T_Bonds[[#This Row],[Coupons per annum]],0)</f>
        <v>0</v>
      </c>
      <c r="AX23" s="25">
        <f>IF(
OR(
AX$1=MONTH($AP23),
AX$1=MONTH($AQ23),
AX$1=MONTH($AR23),
AX$1=MONTH($AS23)),
IF('CF USD'!$A$8="On",$L23,$K23)/T_Bonds[[#This Row],[Coupons per annum]],0)</f>
        <v>0</v>
      </c>
      <c r="AY23" s="25">
        <f>IF(
OR(
AY$1=MONTH($AP23),
AY$1=MONTH($AQ23),
AY$1=MONTH($AR23),
AY$1=MONTH($AS23)),
IF('CF USD'!$A$8="On",$L23,$K23)/T_Bonds[[#This Row],[Coupons per annum]],0)</f>
        <v>0</v>
      </c>
      <c r="AZ23" s="25">
        <f>IF(
OR(
AZ$1=MONTH($AP23),
AZ$1=MONTH($AQ23),
AZ$1=MONTH($AR23),
AZ$1=MONTH($AS23)),
IF('CF USD'!$A$8="On",$L23,$K23)/T_Bonds[[#This Row],[Coupons per annum]],0)</f>
        <v>0</v>
      </c>
      <c r="BA23" s="25">
        <f>IF(
OR(
BA$1=MONTH($AP23),
BA$1=MONTH($AQ23),
BA$1=MONTH($AR23),
BA$1=MONTH($AS23)),
IF('CF USD'!$A$8="On",$L23,$K23)/T_Bonds[[#This Row],[Coupons per annum]],0)</f>
        <v>0</v>
      </c>
      <c r="BB23" s="25">
        <f>IF(
OR(
BB$1=MONTH($AP23),
BB$1=MONTH($AQ23),
BB$1=MONTH($AR23),
BB$1=MONTH($AS23)),
IF('CF USD'!$A$8="On",$L23,$K23)/T_Bonds[[#This Row],[Coupons per annum]],0)</f>
        <v>21999.999999999975</v>
      </c>
      <c r="BC23" s="25">
        <f>IF(
OR(
BC$1=MONTH($AP23),
BC$1=MONTH($AQ23),
BC$1=MONTH($AR23),
BC$1=MONTH($AS23)),
IF('CF USD'!$A$8="On",$L23,$K23)/T_Bonds[[#This Row],[Coupons per annum]],0)</f>
        <v>0</v>
      </c>
      <c r="BD23" s="25">
        <f>IF(
OR(
BD$1=MONTH($AP23),
BD$1=MONTH($AQ23),
BD$1=MONTH($AR23),
BD$1=MONTH($AS23)),
IF('CF USD'!$A$8="On",$L23,$K23)/T_Bonds[[#This Row],[Coupons per annum]],0)</f>
        <v>0</v>
      </c>
      <c r="BE23" s="25">
        <f>IF(
OR(
BE$1=MONTH($AP23),
BE$1=MONTH($AQ23),
BE$1=MONTH($AR23),
BE$1=MONTH($AS23)),
IF('CF USD'!$A$8="On",$L23,$K23)/T_Bonds[[#This Row],[Coupons per annum]],0)</f>
        <v>0</v>
      </c>
      <c r="BF23">
        <f>DAY(T_Bonds[[#This Row],[Next coupon date]])</f>
        <v>18</v>
      </c>
    </row>
    <row r="24" spans="1:58" x14ac:dyDescent="0.25">
      <c r="A24" s="298" t="s">
        <v>72</v>
      </c>
      <c r="B24" s="203" t="s">
        <v>51</v>
      </c>
      <c r="C24" s="1" t="str">
        <f>IF(T_Bonds[[#This Row],[Call date]]&lt;&gt;"","Callable","Maturity")</f>
        <v>Maturity</v>
      </c>
      <c r="D24" s="1" t="s">
        <v>73</v>
      </c>
      <c r="E24" s="1" t="s">
        <v>18</v>
      </c>
      <c r="F24" s="22">
        <f>IFERROR(INDEX('V004'!D:E,MATCH(D24,'V004'!D:D,0),2),0)</f>
        <v>400000</v>
      </c>
      <c r="G24" s="22">
        <f>IFERROR(INDEX('V001'!D:E,MATCH(D24,'V001'!D:D,0),2),0)</f>
        <v>0</v>
      </c>
      <c r="H24" s="22">
        <f>IFERROR(INDEX(UBS!C:D,MATCH(D24,UBS!D:D,0),1),0)</f>
        <v>0</v>
      </c>
      <c r="I24" s="300">
        <f>SUM(T_Bonds[[#This Row],[V1412]:[UBS]])</f>
        <v>400000</v>
      </c>
      <c r="J24" s="74">
        <f t="shared" si="0"/>
        <v>8.8750000000000107E-2</v>
      </c>
      <c r="K24" s="73">
        <f t="shared" si="1"/>
        <v>35500.000000000044</v>
      </c>
      <c r="L24" s="73">
        <f t="shared" si="2"/>
        <v>35500.000000000044</v>
      </c>
      <c r="M24" s="16">
        <v>48592</v>
      </c>
      <c r="N24" s="5">
        <f>IFERROR(INDEX(Cbonds!C:H,MATCH(D24,Cbonds!C:C,0),4)/100,0)</f>
        <v>7.7144915385355006E-2</v>
      </c>
      <c r="O24" s="6">
        <f>IFERROR(INDEX(Cbonds!C:H,MATCH(D24,Cbonds!C:C,0),5),0)</f>
        <v>5.3039182426333999</v>
      </c>
      <c r="P24" s="91">
        <f>T_Bonds[[#This Row],[Market price]]-T_Bonds[[#This Row],[Cost price]]</f>
        <v>5.754260000000011E-2</v>
      </c>
      <c r="Q24" s="91">
        <f>T_Bonds[[#This Row],[Coupon]]/T_Bonds[[#This Row],[Cost price]]</f>
        <v>8.7701320233440766E-2</v>
      </c>
      <c r="R24" s="97">
        <f t="shared" si="3"/>
        <v>30857.966154142003</v>
      </c>
      <c r="S24" s="222">
        <f>IFERROR(INDEX('V004'!D:J,MATCH(D24,'V004'!D:D,0),7),0)</f>
        <v>1.0119574</v>
      </c>
      <c r="T24" s="222">
        <f>IFERROR(INDEX('V001'!D:J,MATCH(D24,'V001'!D:D,0),7),0)</f>
        <v>0</v>
      </c>
      <c r="U24" s="223">
        <f>IFERROR(S24*T_Bonds[[#This Row],[V1412]]/(T_Bonds[[#This Row],[V1412]]+T_Bonds[[#This Row],[V1430]])+T24*T_Bonds[[#This Row],[V1430]]/(T_Bonds[[#This Row],[V1412]]+T_Bonds[[#This Row],[V1430]]),0)</f>
        <v>1.0119574</v>
      </c>
      <c r="V24" s="73">
        <f t="shared" si="4"/>
        <v>35080.528093376306</v>
      </c>
      <c r="W24" s="1" t="s">
        <v>257</v>
      </c>
      <c r="X24" s="299">
        <f>IFERROR(INDEX(Cbonds!C:AF,MATCH(D24,Cbonds!C:C,0),30)/100,0)</f>
        <v>1.0695000000000001</v>
      </c>
      <c r="Y24" s="4">
        <f>INDEX('Tech list'!A:C,MATCH(T_Bonds[[#This Row],[Risk CCY]],'Tech list'!A:A,0),3)</f>
        <v>1</v>
      </c>
      <c r="Z24" s="100">
        <f>T_Bonds[[#This Row],[Market price]]*T_Bonds[[#This Row],[Quantity]]</f>
        <v>427800.00000000006</v>
      </c>
      <c r="AA24" s="73">
        <f t="shared" si="5"/>
        <v>427800.00000000006</v>
      </c>
      <c r="AB24" s="73">
        <f ca="1">T_Bonds[[#This Row],[Market value in CCY]]+T_Bonds[[#This Row],[AI, CCY]]</f>
        <v>433322.22222222231</v>
      </c>
      <c r="AC24" s="73">
        <f ca="1">T_Bonds[[#This Row],[Market value in USD]]+T_Bonds[[#This Row],[AI, USD]]</f>
        <v>433322.22222222231</v>
      </c>
      <c r="AD24" s="73">
        <f t="shared" si="6"/>
        <v>404782.96</v>
      </c>
      <c r="AE24" s="75">
        <f ca="1">(T_Bonds[[#This Row],[Coupon in Loc.Curr]]/T_Bonds[[#This Row],[Coupons per annum]])*((TODAY()-EDATE(T_Bonds[[#This Row],[Next coupon date]],-12/T_Bonds[[#This Row],[Coupons per annum]])))/(360/T_Bonds[[#This Row],[Coupons per annum]])</f>
        <v>5522.222222222229</v>
      </c>
      <c r="AF24" s="73">
        <f ca="1">T_Bonds[[#This Row],[AI, CCY]]*T_Bonds[[#This Row],[Exchange rate, N]]</f>
        <v>5522.222222222229</v>
      </c>
      <c r="AG24" s="311">
        <f>IFERROR(IF(INDEX(Cbonds!C:AC,MATCH(D24,Cbonds!C:C,0),27)&gt;5000,0,INDEX(Cbonds!C:AC,MATCH(D24,Cbonds!C:C,0),27)),0)</f>
        <v>385.51337083669</v>
      </c>
      <c r="AH24" s="73">
        <v>30</v>
      </c>
      <c r="AK24" t="s">
        <v>258</v>
      </c>
      <c r="AL24" t="s">
        <v>270</v>
      </c>
      <c r="AM24" t="s">
        <v>2476</v>
      </c>
      <c r="AN24" t="s">
        <v>271</v>
      </c>
      <c r="AO24" s="320">
        <v>2</v>
      </c>
      <c r="AP24" s="17">
        <f>IFERROR(INDEX(Cbonds!C:H,MATCH(D24,Cbonds!C:C,0),3),0)</f>
        <v>46216</v>
      </c>
      <c r="AQ24" s="17">
        <f>EDATE(T_Bonds[[#This Row],[Next coupon date]],12/T_Bonds[[#This Row],[Coupons per annum]])</f>
        <v>46400</v>
      </c>
      <c r="AR24" s="17">
        <f>EDATE(T_Bonds[[#This Row],[Second next coupon date]],12/$AO24)</f>
        <v>46581</v>
      </c>
      <c r="AS24" s="17">
        <f>EDATE(T_Bonds[[#This Row],[Coupon date 3]],12/$AO24)</f>
        <v>46765</v>
      </c>
      <c r="AT24" s="25">
        <f>IF(
OR(
AT$1=MONTH($AP24),
AT$1=MONTH($AQ24),
AT$1=MONTH($AR24),
AT$1=MONTH($AS24)),
IF('CF USD'!$A$8="On",$L24,$K24)/T_Bonds[[#This Row],[Coupons per annum]],0)</f>
        <v>17750.000000000022</v>
      </c>
      <c r="AU24" s="25">
        <f>IF(
OR(
AU$1=MONTH($AP24),
AU$1=MONTH($AQ24),
AU$1=MONTH($AR24),
AU$1=MONTH($AS24)),
IF('CF USD'!$A$8="On",$L24,$K24)/T_Bonds[[#This Row],[Coupons per annum]],0)</f>
        <v>0</v>
      </c>
      <c r="AV24" s="25">
        <f>IF(
OR(
AV$1=MONTH($AP24),
AV$1=MONTH($AQ24),
AV$1=MONTH($AR24),
AV$1=MONTH($AS24)),
IF('CF USD'!$A$8="On",$L24,$K24)/T_Bonds[[#This Row],[Coupons per annum]],0)</f>
        <v>0</v>
      </c>
      <c r="AW24" s="25">
        <f>IF(
OR(
AW$1=MONTH($AP24),
AW$1=MONTH($AQ24),
AW$1=MONTH($AR24),
AW$1=MONTH($AS24)),
IF('CF USD'!$A$8="On",$L24,$K24)/T_Bonds[[#This Row],[Coupons per annum]],0)</f>
        <v>0</v>
      </c>
      <c r="AX24" s="25">
        <f>IF(
OR(
AX$1=MONTH($AP24),
AX$1=MONTH($AQ24),
AX$1=MONTH($AR24),
AX$1=MONTH($AS24)),
IF('CF USD'!$A$8="On",$L24,$K24)/T_Bonds[[#This Row],[Coupons per annum]],0)</f>
        <v>0</v>
      </c>
      <c r="AY24" s="25">
        <f>IF(
OR(
AY$1=MONTH($AP24),
AY$1=MONTH($AQ24),
AY$1=MONTH($AR24),
AY$1=MONTH($AS24)),
IF('CF USD'!$A$8="On",$L24,$K24)/T_Bonds[[#This Row],[Coupons per annum]],0)</f>
        <v>0</v>
      </c>
      <c r="AZ24" s="25">
        <f>IF(
OR(
AZ$1=MONTH($AP24),
AZ$1=MONTH($AQ24),
AZ$1=MONTH($AR24),
AZ$1=MONTH($AS24)),
IF('CF USD'!$A$8="On",$L24,$K24)/T_Bonds[[#This Row],[Coupons per annum]],0)</f>
        <v>17750.000000000022</v>
      </c>
      <c r="BA24" s="25">
        <f>IF(
OR(
BA$1=MONTH($AP24),
BA$1=MONTH($AQ24),
BA$1=MONTH($AR24),
BA$1=MONTH($AS24)),
IF('CF USD'!$A$8="On",$L24,$K24)/T_Bonds[[#This Row],[Coupons per annum]],0)</f>
        <v>0</v>
      </c>
      <c r="BB24" s="25">
        <f>IF(
OR(
BB$1=MONTH($AP24),
BB$1=MONTH($AQ24),
BB$1=MONTH($AR24),
BB$1=MONTH($AS24)),
IF('CF USD'!$A$8="On",$L24,$K24)/T_Bonds[[#This Row],[Coupons per annum]],0)</f>
        <v>0</v>
      </c>
      <c r="BC24" s="25">
        <f>IF(
OR(
BC$1=MONTH($AP24),
BC$1=MONTH($AQ24),
BC$1=MONTH($AR24),
BC$1=MONTH($AS24)),
IF('CF USD'!$A$8="On",$L24,$K24)/T_Bonds[[#This Row],[Coupons per annum]],0)</f>
        <v>0</v>
      </c>
      <c r="BD24" s="25">
        <f>IF(
OR(
BD$1=MONTH($AP24),
BD$1=MONTH($AQ24),
BD$1=MONTH($AR24),
BD$1=MONTH($AS24)),
IF('CF USD'!$A$8="On",$L24,$K24)/T_Bonds[[#This Row],[Coupons per annum]],0)</f>
        <v>0</v>
      </c>
      <c r="BE24" s="25">
        <f>IF(
OR(
BE$1=MONTH($AP24),
BE$1=MONTH($AQ24),
BE$1=MONTH($AR24),
BE$1=MONTH($AS24)),
IF('CF USD'!$A$8="On",$L24,$K24)/T_Bonds[[#This Row],[Coupons per annum]],0)</f>
        <v>0</v>
      </c>
      <c r="BF24">
        <f>DAY(T_Bonds[[#This Row],[Next coupon date]])</f>
        <v>13</v>
      </c>
    </row>
    <row r="25" spans="1:58" x14ac:dyDescent="0.25">
      <c r="A25" s="298" t="s">
        <v>74</v>
      </c>
      <c r="B25" s="203" t="s">
        <v>51</v>
      </c>
      <c r="C25" s="1" t="str">
        <f>IF(T_Bonds[[#This Row],[Call date]]&lt;&gt;"","Callable","Maturity")</f>
        <v>Maturity</v>
      </c>
      <c r="D25" s="1" t="s">
        <v>75</v>
      </c>
      <c r="E25" s="1" t="s">
        <v>18</v>
      </c>
      <c r="F25" s="22">
        <f>IFERROR(INDEX('V004'!D:E,MATCH(D25,'V004'!D:D,0),2),0)</f>
        <v>3000000</v>
      </c>
      <c r="G25" s="22">
        <f>IFERROR(INDEX('V001'!D:E,MATCH(D25,'V001'!D:D,0),2),0)</f>
        <v>0</v>
      </c>
      <c r="H25" s="22">
        <f>IFERROR(INDEX(UBS!C:D,MATCH(D25,UBS!D:D,0),1),0)</f>
        <v>0</v>
      </c>
      <c r="I25" s="300">
        <f>SUM(T_Bonds[[#This Row],[V1412]:[UBS]])</f>
        <v>3000000</v>
      </c>
      <c r="J25" s="198">
        <f t="shared" si="0"/>
        <v>6.624999999999992E-2</v>
      </c>
      <c r="K25" s="100">
        <f t="shared" si="1"/>
        <v>198749.99999999977</v>
      </c>
      <c r="L25" s="100">
        <f t="shared" si="2"/>
        <v>198749.99999999977</v>
      </c>
      <c r="M25" s="16">
        <v>53010</v>
      </c>
      <c r="N25" s="5">
        <f>IFERROR(INDEX(Cbonds!C:H,MATCH(D25,Cbonds!C:C,0),4)/100,0)</f>
        <v>7.6524650613769007E-2</v>
      </c>
      <c r="O25" s="6">
        <f>IFERROR(INDEX(Cbonds!C:H,MATCH(D25,Cbonds!C:C,0),5),0)</f>
        <v>10.217624045335</v>
      </c>
      <c r="P25" s="91">
        <f>T_Bonds[[#This Row],[Market price]]-T_Bonds[[#This Row],[Cost price]]</f>
        <v>2.352183666666674E-2</v>
      </c>
      <c r="Q25" s="91">
        <f>T_Bonds[[#This Row],[Coupon]]/T_Bonds[[#This Row],[Cost price]]</f>
        <v>7.465813644899652E-2</v>
      </c>
      <c r="R25" s="109">
        <f t="shared" si="3"/>
        <v>229573.95184130702</v>
      </c>
      <c r="S25" s="222">
        <f>IFERROR(INDEX('V004'!D:J,MATCH(D25,'V004'!D:D,0),7),0)</f>
        <v>0.8873781633333333</v>
      </c>
      <c r="T25" s="222">
        <f>IFERROR(INDEX('V001'!D:J,MATCH(D25,'V001'!D:D,0),7),0)</f>
        <v>0</v>
      </c>
      <c r="U25" s="223">
        <f>IFERROR(S25*T_Bonds[[#This Row],[V1412]]/(T_Bonds[[#This Row],[V1412]]+T_Bonds[[#This Row],[V1430]])+T25*T_Bonds[[#This Row],[V1430]]/(T_Bonds[[#This Row],[V1412]]+T_Bonds[[#This Row],[V1430]]),0)</f>
        <v>0.8873781633333333</v>
      </c>
      <c r="V25" s="100">
        <f t="shared" si="4"/>
        <v>223974.40934698956</v>
      </c>
      <c r="W25" s="4"/>
      <c r="X25" s="299">
        <f>IFERROR(INDEX(Cbonds!C:AF,MATCH(D25,Cbonds!C:C,0),30)/100,0)</f>
        <v>0.91090000000000004</v>
      </c>
      <c r="Y25" s="4">
        <f>INDEX('Tech list'!A:C,MATCH(T_Bonds[[#This Row],[Risk CCY]],'Tech list'!A:A,0),3)</f>
        <v>1</v>
      </c>
      <c r="Z25" s="105">
        <f>T_Bonds[[#This Row],[Market price]]*T_Bonds[[#This Row],[Quantity]]</f>
        <v>2732700</v>
      </c>
      <c r="AA25" s="73">
        <f t="shared" si="5"/>
        <v>2732700</v>
      </c>
      <c r="AB25" s="73">
        <f ca="1">T_Bonds[[#This Row],[Market value in CCY]]+T_Bonds[[#This Row],[AI, CCY]]</f>
        <v>2845877.083333333</v>
      </c>
      <c r="AC25" s="73">
        <f ca="1">T_Bonds[[#This Row],[Market value in USD]]+T_Bonds[[#This Row],[AI, USD]]</f>
        <v>2845877.083333333</v>
      </c>
      <c r="AD25" s="199">
        <f t="shared" si="6"/>
        <v>2662134.4899999998</v>
      </c>
      <c r="AE25" s="75">
        <f ca="1">(T_Bonds[[#This Row],[Coupon in Loc.Curr]]/T_Bonds[[#This Row],[Coupons per annum]])*((TODAY()-EDATE(T_Bonds[[#This Row],[Next coupon date]],-12/T_Bonds[[#This Row],[Coupons per annum]])))/(360/T_Bonds[[#This Row],[Coupons per annum]])</f>
        <v>113177.08333333321</v>
      </c>
      <c r="AF25" s="73">
        <f ca="1">T_Bonds[[#This Row],[AI, CCY]]*T_Bonds[[#This Row],[Exchange rate, N]]</f>
        <v>113177.08333333321</v>
      </c>
      <c r="AG25" s="311">
        <f>IFERROR(IF(INDEX(Cbonds!C:AC,MATCH(D25,Cbonds!C:C,0),27)&gt;5000,0,INDEX(Cbonds!C:AC,MATCH(D25,Cbonds!C:C,0),27)),0)</f>
        <v>330.77743719586999</v>
      </c>
      <c r="AH25" s="73">
        <v>0</v>
      </c>
      <c r="AJ25" s="74"/>
      <c r="AK25" s="79" t="s">
        <v>280</v>
      </c>
      <c r="AL25" s="99" t="s">
        <v>281</v>
      </c>
      <c r="AM25" t="s">
        <v>2476</v>
      </c>
      <c r="AN25" s="99" t="s">
        <v>281</v>
      </c>
      <c r="AO25" s="320">
        <v>2</v>
      </c>
      <c r="AP25" s="17">
        <f>IFERROR(INDEX(Cbonds!C:H,MATCH(D25,Cbonds!C:C,0),3),0)</f>
        <v>46070</v>
      </c>
      <c r="AQ25" s="17">
        <f>EDATE(T_Bonds[[#This Row],[Next coupon date]],12/T_Bonds[[#This Row],[Coupons per annum]])</f>
        <v>46251</v>
      </c>
      <c r="AR25" s="17">
        <f>EDATE(T_Bonds[[#This Row],[Second next coupon date]],12/$AO25)</f>
        <v>46435</v>
      </c>
      <c r="AS25" s="17">
        <f>EDATE(T_Bonds[[#This Row],[Coupon date 3]],12/$AO25)</f>
        <v>46616</v>
      </c>
      <c r="AT25" s="25">
        <f>IF(
OR(
AT$1=MONTH($AP25),
AT$1=MONTH($AQ25),
AT$1=MONTH($AR25),
AT$1=MONTH($AS25)),
IF('CF USD'!$A$8="On",$L25,$K25)/T_Bonds[[#This Row],[Coupons per annum]],0)</f>
        <v>0</v>
      </c>
      <c r="AU25" s="25">
        <f>IF(
OR(
AU$1=MONTH($AP25),
AU$1=MONTH($AQ25),
AU$1=MONTH($AR25),
AU$1=MONTH($AS25)),
IF('CF USD'!$A$8="On",$L25,$K25)/T_Bonds[[#This Row],[Coupons per annum]],0)</f>
        <v>99374.999999999884</v>
      </c>
      <c r="AV25" s="25">
        <f>IF(
OR(
AV$1=MONTH($AP25),
AV$1=MONTH($AQ25),
AV$1=MONTH($AR25),
AV$1=MONTH($AS25)),
IF('CF USD'!$A$8="On",$L25,$K25)/T_Bonds[[#This Row],[Coupons per annum]],0)</f>
        <v>0</v>
      </c>
      <c r="AW25" s="25">
        <f>IF(
OR(
AW$1=MONTH($AP25),
AW$1=MONTH($AQ25),
AW$1=MONTH($AR25),
AW$1=MONTH($AS25)),
IF('CF USD'!$A$8="On",$L25,$K25)/T_Bonds[[#This Row],[Coupons per annum]],0)</f>
        <v>0</v>
      </c>
      <c r="AX25" s="25">
        <f>IF(
OR(
AX$1=MONTH($AP25),
AX$1=MONTH($AQ25),
AX$1=MONTH($AR25),
AX$1=MONTH($AS25)),
IF('CF USD'!$A$8="On",$L25,$K25)/T_Bonds[[#This Row],[Coupons per annum]],0)</f>
        <v>0</v>
      </c>
      <c r="AY25" s="25">
        <f>IF(
OR(
AY$1=MONTH($AP25),
AY$1=MONTH($AQ25),
AY$1=MONTH($AR25),
AY$1=MONTH($AS25)),
IF('CF USD'!$A$8="On",$L25,$K25)/T_Bonds[[#This Row],[Coupons per annum]],0)</f>
        <v>0</v>
      </c>
      <c r="AZ25" s="25">
        <f>IF(
OR(
AZ$1=MONTH($AP25),
AZ$1=MONTH($AQ25),
AZ$1=MONTH($AR25),
AZ$1=MONTH($AS25)),
IF('CF USD'!$A$8="On",$L25,$K25)/T_Bonds[[#This Row],[Coupons per annum]],0)</f>
        <v>0</v>
      </c>
      <c r="BA25" s="25">
        <f>IF(
OR(
BA$1=MONTH($AP25),
BA$1=MONTH($AQ25),
BA$1=MONTH($AR25),
BA$1=MONTH($AS25)),
IF('CF USD'!$A$8="On",$L25,$K25)/T_Bonds[[#This Row],[Coupons per annum]],0)</f>
        <v>99374.999999999884</v>
      </c>
      <c r="BB25" s="25">
        <f>IF(
OR(
BB$1=MONTH($AP25),
BB$1=MONTH($AQ25),
BB$1=MONTH($AR25),
BB$1=MONTH($AS25)),
IF('CF USD'!$A$8="On",$L25,$K25)/T_Bonds[[#This Row],[Coupons per annum]],0)</f>
        <v>0</v>
      </c>
      <c r="BC25" s="25">
        <f>IF(
OR(
BC$1=MONTH($AP25),
BC$1=MONTH($AQ25),
BC$1=MONTH($AR25),
BC$1=MONTH($AS25)),
IF('CF USD'!$A$8="On",$L25,$K25)/T_Bonds[[#This Row],[Coupons per annum]],0)</f>
        <v>0</v>
      </c>
      <c r="BD25" s="25">
        <f>IF(
OR(
BD$1=MONTH($AP25),
BD$1=MONTH($AQ25),
BD$1=MONTH($AR25),
BD$1=MONTH($AS25)),
IF('CF USD'!$A$8="On",$L25,$K25)/T_Bonds[[#This Row],[Coupons per annum]],0)</f>
        <v>0</v>
      </c>
      <c r="BE25" s="25">
        <f>IF(
OR(
BE$1=MONTH($AP25),
BE$1=MONTH($AQ25),
BE$1=MONTH($AR25),
BE$1=MONTH($AS25)),
IF('CF USD'!$A$8="On",$L25,$K25)/T_Bonds[[#This Row],[Coupons per annum]],0)</f>
        <v>0</v>
      </c>
      <c r="BF25">
        <f>DAY(T_Bonds[[#This Row],[Next coupon date]])</f>
        <v>17</v>
      </c>
    </row>
    <row r="26" spans="1:58" x14ac:dyDescent="0.25">
      <c r="A26" s="298" t="s">
        <v>76</v>
      </c>
      <c r="B26" s="203" t="s">
        <v>51</v>
      </c>
      <c r="C26" s="1" t="str">
        <f>IF(T_Bonds[[#This Row],[Call date]]&lt;&gt;"","Callable","Maturity")</f>
        <v>Maturity</v>
      </c>
      <c r="D26" s="1" t="s">
        <v>77</v>
      </c>
      <c r="E26" s="1" t="s">
        <v>18</v>
      </c>
      <c r="F26" s="22">
        <f>IFERROR(INDEX('V004'!D:E,MATCH(D26,'V004'!D:D,0),2),0)</f>
        <v>600000</v>
      </c>
      <c r="G26" s="22">
        <f>IFERROR(INDEX('V001'!D:E,MATCH(D26,'V001'!D:D,0),2),0)</f>
        <v>0</v>
      </c>
      <c r="H26" s="22">
        <f>IFERROR(INDEX(UBS!C:D,MATCH(D26,UBS!D:D,0),1),0)</f>
        <v>0</v>
      </c>
      <c r="I26" s="300">
        <f>SUM(T_Bonds[[#This Row],[V1412]:[UBS]])</f>
        <v>600000</v>
      </c>
      <c r="J26" s="98">
        <f t="shared" si="0"/>
        <v>7.3749999999999982E-2</v>
      </c>
      <c r="K26" s="100">
        <f t="shared" si="1"/>
        <v>44249.999999999993</v>
      </c>
      <c r="L26" s="100">
        <f t="shared" si="2"/>
        <v>44249.999999999993</v>
      </c>
      <c r="M26" s="16">
        <v>50301</v>
      </c>
      <c r="N26" s="5">
        <f>IFERROR(INDEX(Cbonds!C:H,MATCH(D26,Cbonds!C:C,0),4)/100,0)</f>
        <v>7.5118810979692002E-2</v>
      </c>
      <c r="O26" s="6">
        <f>IFERROR(INDEX(Cbonds!C:H,MATCH(D26,Cbonds!C:C,0),5),0)</f>
        <v>7.6928063307604999</v>
      </c>
      <c r="P26" s="91">
        <f>T_Bonds[[#This Row],[Market price]]-T_Bonds[[#This Row],[Cost price]]</f>
        <v>7.1645666666668717E-3</v>
      </c>
      <c r="Q26" s="91">
        <f>T_Bonds[[#This Row],[Coupon]]/T_Bonds[[#This Row],[Cost price]]</f>
        <v>7.3475537029794327E-2</v>
      </c>
      <c r="R26" s="109">
        <f t="shared" si="3"/>
        <v>45071.286587815201</v>
      </c>
      <c r="S26" s="222">
        <f>IFERROR(INDEX('V004'!D:J,MATCH(D26,'V004'!D:D,0),7),0)</f>
        <v>1.0037354333333333</v>
      </c>
      <c r="T26" s="222">
        <f>IFERROR(INDEX('V001'!D:J,MATCH(D26,'V001'!D:D,0),7),0)</f>
        <v>0</v>
      </c>
      <c r="U26" s="223">
        <f>IFERROR(S26*T_Bonds[[#This Row],[V1412]]/(T_Bonds[[#This Row],[V1412]]+T_Bonds[[#This Row],[V1430]])+T26*T_Bonds[[#This Row],[V1430]]/(T_Bonds[[#This Row],[V1412]]+T_Bonds[[#This Row],[V1430]]),0)</f>
        <v>1.0037354333333333</v>
      </c>
      <c r="V26" s="100">
        <f t="shared" si="4"/>
        <v>44085.322217876601</v>
      </c>
      <c r="W26" s="1" t="s">
        <v>257</v>
      </c>
      <c r="X26" s="299">
        <f>IFERROR(INDEX(Cbonds!C:AF,MATCH(D26,Cbonds!C:C,0),30)/100,0)</f>
        <v>1.0109000000000001</v>
      </c>
      <c r="Y26" s="4">
        <f>INDEX('Tech list'!A:C,MATCH(T_Bonds[[#This Row],[Risk CCY]],'Tech list'!A:A,0),3)</f>
        <v>1</v>
      </c>
      <c r="Z26" s="97">
        <f>T_Bonds[[#This Row],[Market price]]*T_Bonds[[#This Row],[Quantity]]</f>
        <v>606540.00000000012</v>
      </c>
      <c r="AA26" s="106">
        <f t="shared" si="5"/>
        <v>606540.00000000012</v>
      </c>
      <c r="AB26" s="73">
        <f ca="1">T_Bonds[[#This Row],[Market value in CCY]]+T_Bonds[[#This Row],[AI, CCY]]</f>
        <v>627804.58333333349</v>
      </c>
      <c r="AC26" s="73">
        <f ca="1">T_Bonds[[#This Row],[Market value in USD]]+T_Bonds[[#This Row],[AI, USD]]</f>
        <v>627804.58333333349</v>
      </c>
      <c r="AD26" s="97">
        <f t="shared" si="6"/>
        <v>602241.26</v>
      </c>
      <c r="AE26" s="75">
        <f ca="1">(T_Bonds[[#This Row],[Coupon in Loc.Curr]]/T_Bonds[[#This Row],[Coupons per annum]])*((TODAY()-EDATE(T_Bonds[[#This Row],[Next coupon date]],-12/T_Bonds[[#This Row],[Coupons per annum]])))/(360/T_Bonds[[#This Row],[Coupons per annum]])</f>
        <v>21264.583333333332</v>
      </c>
      <c r="AF26" s="73">
        <f ca="1">T_Bonds[[#This Row],[AI, CCY]]*T_Bonds[[#This Row],[Exchange rate, N]]</f>
        <v>21264.583333333332</v>
      </c>
      <c r="AG26" s="311">
        <f>IFERROR(IF(INDEX(Cbonds!C:AC,MATCH(D26,Cbonds!C:C,0),27)&gt;5000,0,INDEX(Cbonds!C:AC,MATCH(D26,Cbonds!C:C,0),27)),0)</f>
        <v>340.29279491911001</v>
      </c>
      <c r="AH26" s="73">
        <v>45</v>
      </c>
      <c r="AJ26" s="10"/>
      <c r="AK26" s="78" t="s">
        <v>280</v>
      </c>
      <c r="AL26" s="78" t="s">
        <v>270</v>
      </c>
      <c r="AM26" t="s">
        <v>2476</v>
      </c>
      <c r="AN26" s="78" t="s">
        <v>270</v>
      </c>
      <c r="AO26" s="320">
        <v>2</v>
      </c>
      <c r="AP26" s="17">
        <f>IFERROR(INDEX(Cbonds!C:H,MATCH(D26,Cbonds!C:C,0),3),0)</f>
        <v>46099</v>
      </c>
      <c r="AQ26" s="17">
        <f>EDATE(T_Bonds[[#This Row],[Next coupon date]],12/T_Bonds[[#This Row],[Coupons per annum]])</f>
        <v>46283</v>
      </c>
      <c r="AR26" s="17">
        <f>EDATE(T_Bonds[[#This Row],[Second next coupon date]],12/$AO26)</f>
        <v>46464</v>
      </c>
      <c r="AS26" s="17">
        <f>EDATE(T_Bonds[[#This Row],[Coupon date 3]],12/$AO26)</f>
        <v>46648</v>
      </c>
      <c r="AT26" s="25">
        <f>IF(
OR(
AT$1=MONTH($AP26),
AT$1=MONTH($AQ26),
AT$1=MONTH($AR26),
AT$1=MONTH($AS26)),
IF('CF USD'!$A$8="On",$L26,$K26)/T_Bonds[[#This Row],[Coupons per annum]],0)</f>
        <v>0</v>
      </c>
      <c r="AU26" s="25">
        <f>IF(
OR(
AU$1=MONTH($AP26),
AU$1=MONTH($AQ26),
AU$1=MONTH($AR26),
AU$1=MONTH($AS26)),
IF('CF USD'!$A$8="On",$L26,$K26)/T_Bonds[[#This Row],[Coupons per annum]],0)</f>
        <v>0</v>
      </c>
      <c r="AV26" s="25">
        <f>IF(
OR(
AV$1=MONTH($AP26),
AV$1=MONTH($AQ26),
AV$1=MONTH($AR26),
AV$1=MONTH($AS26)),
IF('CF USD'!$A$8="On",$L26,$K26)/T_Bonds[[#This Row],[Coupons per annum]],0)</f>
        <v>22124.999999999996</v>
      </c>
      <c r="AW26" s="25">
        <f>IF(
OR(
AW$1=MONTH($AP26),
AW$1=MONTH($AQ26),
AW$1=MONTH($AR26),
AW$1=MONTH($AS26)),
IF('CF USD'!$A$8="On",$L26,$K26)/T_Bonds[[#This Row],[Coupons per annum]],0)</f>
        <v>0</v>
      </c>
      <c r="AX26" s="25">
        <f>IF(
OR(
AX$1=MONTH($AP26),
AX$1=MONTH($AQ26),
AX$1=MONTH($AR26),
AX$1=MONTH($AS26)),
IF('CF USD'!$A$8="On",$L26,$K26)/T_Bonds[[#This Row],[Coupons per annum]],0)</f>
        <v>0</v>
      </c>
      <c r="AY26" s="25">
        <f>IF(
OR(
AY$1=MONTH($AP26),
AY$1=MONTH($AQ26),
AY$1=MONTH($AR26),
AY$1=MONTH($AS26)),
IF('CF USD'!$A$8="On",$L26,$K26)/T_Bonds[[#This Row],[Coupons per annum]],0)</f>
        <v>0</v>
      </c>
      <c r="AZ26" s="25">
        <f>IF(
OR(
AZ$1=MONTH($AP26),
AZ$1=MONTH($AQ26),
AZ$1=MONTH($AR26),
AZ$1=MONTH($AS26)),
IF('CF USD'!$A$8="On",$L26,$K26)/T_Bonds[[#This Row],[Coupons per annum]],0)</f>
        <v>0</v>
      </c>
      <c r="BA26" s="25">
        <f>IF(
OR(
BA$1=MONTH($AP26),
BA$1=MONTH($AQ26),
BA$1=MONTH($AR26),
BA$1=MONTH($AS26)),
IF('CF USD'!$A$8="On",$L26,$K26)/T_Bonds[[#This Row],[Coupons per annum]],0)</f>
        <v>0</v>
      </c>
      <c r="BB26" s="25">
        <f>IF(
OR(
BB$1=MONTH($AP26),
BB$1=MONTH($AQ26),
BB$1=MONTH($AR26),
BB$1=MONTH($AS26)),
IF('CF USD'!$A$8="On",$L26,$K26)/T_Bonds[[#This Row],[Coupons per annum]],0)</f>
        <v>22124.999999999996</v>
      </c>
      <c r="BC26" s="25">
        <f>IF(
OR(
BC$1=MONTH($AP26),
BC$1=MONTH($AQ26),
BC$1=MONTH($AR26),
BC$1=MONTH($AS26)),
IF('CF USD'!$A$8="On",$L26,$K26)/T_Bonds[[#This Row],[Coupons per annum]],0)</f>
        <v>0</v>
      </c>
      <c r="BD26" s="25">
        <f>IF(
OR(
BD$1=MONTH($AP26),
BD$1=MONTH($AQ26),
BD$1=MONTH($AR26),
BD$1=MONTH($AS26)),
IF('CF USD'!$A$8="On",$L26,$K26)/T_Bonds[[#This Row],[Coupons per annum]],0)</f>
        <v>0</v>
      </c>
      <c r="BE26" s="25">
        <f>IF(
OR(
BE$1=MONTH($AP26),
BE$1=MONTH($AQ26),
BE$1=MONTH($AR26),
BE$1=MONTH($AS26)),
IF('CF USD'!$A$8="On",$L26,$K26)/T_Bonds[[#This Row],[Coupons per annum]],0)</f>
        <v>0</v>
      </c>
      <c r="BF26">
        <f>DAY(T_Bonds[[#This Row],[Next coupon date]])</f>
        <v>18</v>
      </c>
    </row>
    <row r="27" spans="1:58" x14ac:dyDescent="0.25">
      <c r="A27" s="298" t="s">
        <v>78</v>
      </c>
      <c r="B27" s="203" t="s">
        <v>51</v>
      </c>
      <c r="C27" s="1" t="str">
        <f>IF(T_Bonds[[#This Row],[Call date]]&lt;&gt;"","Callable","Maturity")</f>
        <v>Maturity</v>
      </c>
      <c r="D27" s="1" t="s">
        <v>79</v>
      </c>
      <c r="E27" s="1" t="s">
        <v>18</v>
      </c>
      <c r="F27" s="22">
        <f>IFERROR(INDEX('V004'!D:E,MATCH(D27,'V004'!D:D,0),2),0)</f>
        <v>1200000</v>
      </c>
      <c r="G27" s="22">
        <f>IFERROR(INDEX('V001'!D:E,MATCH(D27,'V001'!D:D,0),2),0)</f>
        <v>0</v>
      </c>
      <c r="H27" s="22">
        <f>IFERROR(INDEX(UBS!C:D,MATCH(D27,UBS!D:D,0),1),0)</f>
        <v>0</v>
      </c>
      <c r="I27" s="300">
        <f>SUM(T_Bonds[[#This Row],[V1412]:[UBS]])</f>
        <v>1200000</v>
      </c>
      <c r="J27" s="98">
        <f t="shared" si="0"/>
        <v>3.8750000000000062E-2</v>
      </c>
      <c r="K27" s="100">
        <f t="shared" si="1"/>
        <v>46500.000000000073</v>
      </c>
      <c r="L27" s="100">
        <f t="shared" si="2"/>
        <v>46500.000000000073</v>
      </c>
      <c r="M27" s="16">
        <v>58852</v>
      </c>
      <c r="N27" s="5">
        <f>IFERROR(INDEX(Cbonds!C:H,MATCH(D27,Cbonds!C:C,0),4)/100,0)</f>
        <v>7.3510426860870004E-2</v>
      </c>
      <c r="O27" s="6">
        <f>IFERROR(INDEX(Cbonds!C:H,MATCH(D27,Cbonds!C:C,0),5),0)</f>
        <v>13.994037650052</v>
      </c>
      <c r="P27" s="91">
        <f>T_Bonds[[#This Row],[Market price]]-T_Bonds[[#This Row],[Cost price]]</f>
        <v>1.4140233333333363E-2</v>
      </c>
      <c r="Q27" s="91">
        <f>T_Bonds[[#This Row],[Coupon]]/T_Bonds[[#This Row],[Cost price]]</f>
        <v>6.7719920660797406E-2</v>
      </c>
      <c r="R27" s="109">
        <f t="shared" si="3"/>
        <v>88212.512233044006</v>
      </c>
      <c r="S27" s="222">
        <f>IFERROR(INDEX('V004'!D:J,MATCH(D27,'V004'!D:D,0),7),0)</f>
        <v>0.57220976666666667</v>
      </c>
      <c r="T27" s="222">
        <f>IFERROR(INDEX('V001'!D:J,MATCH(D27,'V001'!D:D,0),7),0)</f>
        <v>0</v>
      </c>
      <c r="U27" s="223">
        <f>IFERROR(S27*T_Bonds[[#This Row],[V1412]]/(T_Bonds[[#This Row],[V1412]]+T_Bonds[[#This Row],[V1430]])+T27*T_Bonds[[#This Row],[V1430]]/(T_Bonds[[#This Row],[V1412]]+T_Bonds[[#This Row],[V1430]]),0)</f>
        <v>0.57220976666666667</v>
      </c>
      <c r="V27" s="100">
        <f t="shared" si="4"/>
        <v>81263.904792956877</v>
      </c>
      <c r="W27" s="1" t="s">
        <v>257</v>
      </c>
      <c r="X27" s="299">
        <f>IFERROR(INDEX(Cbonds!C:AF,MATCH(D27,Cbonds!C:C,0),30)/100,0)</f>
        <v>0.58635000000000004</v>
      </c>
      <c r="Y27" s="4">
        <f>INDEX('Tech list'!A:C,MATCH(T_Bonds[[#This Row],[Risk CCY]],'Tech list'!A:A,0),3)</f>
        <v>1</v>
      </c>
      <c r="Z27" s="97">
        <f>T_Bonds[[#This Row],[Market price]]*T_Bonds[[#This Row],[Quantity]]</f>
        <v>703620</v>
      </c>
      <c r="AA27" s="106">
        <f t="shared" si="5"/>
        <v>703620</v>
      </c>
      <c r="AB27" s="73">
        <f ca="1">T_Bonds[[#This Row],[Market value in CCY]]+T_Bonds[[#This Row],[AI, CCY]]</f>
        <v>730357.5</v>
      </c>
      <c r="AC27" s="73">
        <f ca="1">T_Bonds[[#This Row],[Market value in USD]]+T_Bonds[[#This Row],[AI, USD]]</f>
        <v>730357.5</v>
      </c>
      <c r="AD27" s="97">
        <f t="shared" si="6"/>
        <v>686651.72</v>
      </c>
      <c r="AE27" s="75">
        <f ca="1">(T_Bonds[[#This Row],[Coupon in Loc.Curr]]/T_Bonds[[#This Row],[Coupons per annum]])*((TODAY()-EDATE(T_Bonds[[#This Row],[Next coupon date]],-12/T_Bonds[[#This Row],[Coupons per annum]])))/(360/T_Bonds[[#This Row],[Coupons per annum]])</f>
        <v>26737.50000000004</v>
      </c>
      <c r="AF27" s="73">
        <f ca="1">T_Bonds[[#This Row],[AI, CCY]]*T_Bonds[[#This Row],[Exchange rate, N]]</f>
        <v>26737.50000000004</v>
      </c>
      <c r="AG27" s="311">
        <f>IFERROR(IF(INDEX(Cbonds!C:AC,MATCH(D27,Cbonds!C:C,0),27)&gt;5000,0,INDEX(Cbonds!C:AC,MATCH(D27,Cbonds!C:C,0),27)),0)</f>
        <v>272.80250211420997</v>
      </c>
      <c r="AH27" s="73">
        <v>45</v>
      </c>
      <c r="AJ27" s="208"/>
      <c r="AK27" s="78" t="s">
        <v>280</v>
      </c>
      <c r="AL27" s="79" t="s">
        <v>270</v>
      </c>
      <c r="AM27" t="s">
        <v>2476</v>
      </c>
      <c r="AN27" s="104" t="s">
        <v>270</v>
      </c>
      <c r="AO27" s="320">
        <v>2</v>
      </c>
      <c r="AP27" s="17">
        <f>IFERROR(INDEX(Cbonds!C:H,MATCH(D27,Cbonds!C:C,0),3),0)</f>
        <v>46068</v>
      </c>
      <c r="AQ27" s="17">
        <f>EDATE(T_Bonds[[#This Row],[Next coupon date]],12/T_Bonds[[#This Row],[Coupons per annum]])</f>
        <v>46249</v>
      </c>
      <c r="AR27" s="17">
        <f>EDATE(T_Bonds[[#This Row],[Second next coupon date]],12/$AO27)</f>
        <v>46433</v>
      </c>
      <c r="AS27" s="17">
        <f>EDATE(T_Bonds[[#This Row],[Coupon date 3]],12/$AO27)</f>
        <v>46614</v>
      </c>
      <c r="AT27" s="25">
        <f>IF(
OR(
AT$1=MONTH($AP27),
AT$1=MONTH($AQ27),
AT$1=MONTH($AR27),
AT$1=MONTH($AS27)),
IF('CF USD'!$A$8="On",$L27,$K27)/T_Bonds[[#This Row],[Coupons per annum]],0)</f>
        <v>0</v>
      </c>
      <c r="AU27" s="25">
        <f>IF(
OR(
AU$1=MONTH($AP27),
AU$1=MONTH($AQ27),
AU$1=MONTH($AR27),
AU$1=MONTH($AS27)),
IF('CF USD'!$A$8="On",$L27,$K27)/T_Bonds[[#This Row],[Coupons per annum]],0)</f>
        <v>23250.000000000036</v>
      </c>
      <c r="AV27" s="25">
        <f>IF(
OR(
AV$1=MONTH($AP27),
AV$1=MONTH($AQ27),
AV$1=MONTH($AR27),
AV$1=MONTH($AS27)),
IF('CF USD'!$A$8="On",$L27,$K27)/T_Bonds[[#This Row],[Coupons per annum]],0)</f>
        <v>0</v>
      </c>
      <c r="AW27" s="25">
        <f>IF(
OR(
AW$1=MONTH($AP27),
AW$1=MONTH($AQ27),
AW$1=MONTH($AR27),
AW$1=MONTH($AS27)),
IF('CF USD'!$A$8="On",$L27,$K27)/T_Bonds[[#This Row],[Coupons per annum]],0)</f>
        <v>0</v>
      </c>
      <c r="AX27" s="25">
        <f>IF(
OR(
AX$1=MONTH($AP27),
AX$1=MONTH($AQ27),
AX$1=MONTH($AR27),
AX$1=MONTH($AS27)),
IF('CF USD'!$A$8="On",$L27,$K27)/T_Bonds[[#This Row],[Coupons per annum]],0)</f>
        <v>0</v>
      </c>
      <c r="AY27" s="25">
        <f>IF(
OR(
AY$1=MONTH($AP27),
AY$1=MONTH($AQ27),
AY$1=MONTH($AR27),
AY$1=MONTH($AS27)),
IF('CF USD'!$A$8="On",$L27,$K27)/T_Bonds[[#This Row],[Coupons per annum]],0)</f>
        <v>0</v>
      </c>
      <c r="AZ27" s="25">
        <f>IF(
OR(
AZ$1=MONTH($AP27),
AZ$1=MONTH($AQ27),
AZ$1=MONTH($AR27),
AZ$1=MONTH($AS27)),
IF('CF USD'!$A$8="On",$L27,$K27)/T_Bonds[[#This Row],[Coupons per annum]],0)</f>
        <v>0</v>
      </c>
      <c r="BA27" s="25">
        <f>IF(
OR(
BA$1=MONTH($AP27),
BA$1=MONTH($AQ27),
BA$1=MONTH($AR27),
BA$1=MONTH($AS27)),
IF('CF USD'!$A$8="On",$L27,$K27)/T_Bonds[[#This Row],[Coupons per annum]],0)</f>
        <v>23250.000000000036</v>
      </c>
      <c r="BB27" s="25">
        <f>IF(
OR(
BB$1=MONTH($AP27),
BB$1=MONTH($AQ27),
BB$1=MONTH($AR27),
BB$1=MONTH($AS27)),
IF('CF USD'!$A$8="On",$L27,$K27)/T_Bonds[[#This Row],[Coupons per annum]],0)</f>
        <v>0</v>
      </c>
      <c r="BC27" s="25">
        <f>IF(
OR(
BC$1=MONTH($AP27),
BC$1=MONTH($AQ27),
BC$1=MONTH($AR27),
BC$1=MONTH($AS27)),
IF('CF USD'!$A$8="On",$L27,$K27)/T_Bonds[[#This Row],[Coupons per annum]],0)</f>
        <v>0</v>
      </c>
      <c r="BD27" s="25">
        <f>IF(
OR(
BD$1=MONTH($AP27),
BD$1=MONTH($AQ27),
BD$1=MONTH($AR27),
BD$1=MONTH($AS27)),
IF('CF USD'!$A$8="On",$L27,$K27)/T_Bonds[[#This Row],[Coupons per annum]],0)</f>
        <v>0</v>
      </c>
      <c r="BE27" s="25">
        <f>IF(
OR(
BE$1=MONTH($AP27),
BE$1=MONTH($AQ27),
BE$1=MONTH($AR27),
BE$1=MONTH($AS27)),
IF('CF USD'!$A$8="On",$L27,$K27)/T_Bonds[[#This Row],[Coupons per annum]],0)</f>
        <v>0</v>
      </c>
      <c r="BF27">
        <f>DAY(T_Bonds[[#This Row],[Next coupon date]])</f>
        <v>15</v>
      </c>
    </row>
    <row r="28" spans="1:58" x14ac:dyDescent="0.25">
      <c r="A28" s="298" t="s">
        <v>80</v>
      </c>
      <c r="B28" s="203" t="s">
        <v>51</v>
      </c>
      <c r="C28" s="1" t="str">
        <f>IF(T_Bonds[[#This Row],[Call date]]&lt;&gt;"","Callable","Maturity")</f>
        <v>Maturity</v>
      </c>
      <c r="D28" s="1" t="s">
        <v>81</v>
      </c>
      <c r="E28" s="1" t="s">
        <v>18</v>
      </c>
      <c r="F28" s="22">
        <f>IFERROR(INDEX('V004'!D:E,MATCH(D28,'V004'!D:D,0),2),0)</f>
        <v>800000</v>
      </c>
      <c r="G28" s="22">
        <f>IFERROR(INDEX('V001'!D:E,MATCH(D28,'V001'!D:D,0),2),0)</f>
        <v>0</v>
      </c>
      <c r="H28" s="22">
        <f>IFERROR(INDEX(UBS!C:D,MATCH(D28,UBS!D:D,0),1),0)</f>
        <v>0</v>
      </c>
      <c r="I28" s="300">
        <f>SUM(T_Bonds[[#This Row],[V1412]:[UBS]])</f>
        <v>800000</v>
      </c>
      <c r="J28" s="98">
        <f t="shared" si="0"/>
        <v>6.852999999999998E-2</v>
      </c>
      <c r="K28" s="100">
        <f t="shared" si="1"/>
        <v>54823.999999999985</v>
      </c>
      <c r="L28" s="100">
        <f t="shared" si="2"/>
        <v>54823.999999999985</v>
      </c>
      <c r="M28" s="16">
        <v>56336</v>
      </c>
      <c r="N28" s="5">
        <f>IFERROR(INDEX(Cbonds!C:H,MATCH(D28,Cbonds!C:C,0),4)/100,0)</f>
        <v>6.7435095301822998E-2</v>
      </c>
      <c r="O28" s="6">
        <f>IFERROR(INDEX(Cbonds!C:H,MATCH(D28,Cbonds!C:C,0),5),0)</f>
        <v>12.562563051952999</v>
      </c>
      <c r="P28" s="91">
        <f>T_Bonds[[#This Row],[Market price]]-T_Bonds[[#This Row],[Cost price]]</f>
        <v>9.1804250000000032E-2</v>
      </c>
      <c r="Q28" s="91">
        <f>T_Bonds[[#This Row],[Coupon]]/T_Bonds[[#This Row],[Cost price]]</f>
        <v>7.3223967519886676E-2</v>
      </c>
      <c r="R28" s="109">
        <f t="shared" si="3"/>
        <v>53948.076241458395</v>
      </c>
      <c r="S28" s="222">
        <f>IFERROR(INDEX('V004'!D:J,MATCH(D28,'V004'!D:D,0),7),0)</f>
        <v>0.93589574999999992</v>
      </c>
      <c r="T28" s="222">
        <f>IFERROR(INDEX('V001'!D:J,MATCH(D28,'V001'!D:D,0),7),0)</f>
        <v>0</v>
      </c>
      <c r="U28" s="223">
        <f>IFERROR(S28*T_Bonds[[#This Row],[V1412]]/(T_Bonds[[#This Row],[V1412]]+T_Bonds[[#This Row],[V1430]])+T28*T_Bonds[[#This Row],[V1430]]/(T_Bonds[[#This Row],[V1412]]+T_Bonds[[#This Row],[V1430]]),0)</f>
        <v>0.93589575000000003</v>
      </c>
      <c r="V28" s="100">
        <f t="shared" si="4"/>
        <v>58579.174015909339</v>
      </c>
      <c r="W28" s="1" t="s">
        <v>257</v>
      </c>
      <c r="X28" s="299">
        <f>IFERROR(INDEX(Cbonds!C:AF,MATCH(D28,Cbonds!C:C,0),30)/100,0)</f>
        <v>1.0277000000000001</v>
      </c>
      <c r="Y28" s="4">
        <f>INDEX('Tech list'!A:C,MATCH(T_Bonds[[#This Row],[Risk CCY]],'Tech list'!A:A,0),3)</f>
        <v>1</v>
      </c>
      <c r="Z28" s="97">
        <f>T_Bonds[[#This Row],[Market price]]*T_Bonds[[#This Row],[Quantity]]</f>
        <v>822160</v>
      </c>
      <c r="AA28" s="106">
        <f t="shared" si="5"/>
        <v>822160</v>
      </c>
      <c r="AB28" s="73">
        <f ca="1">T_Bonds[[#This Row],[Market value in CCY]]+T_Bonds[[#This Row],[AI, CCY]]</f>
        <v>846983.08888888883</v>
      </c>
      <c r="AC28" s="73">
        <f ca="1">T_Bonds[[#This Row],[Market value in USD]]+T_Bonds[[#This Row],[AI, USD]]</f>
        <v>846983.08888888883</v>
      </c>
      <c r="AD28" s="97">
        <f t="shared" si="6"/>
        <v>748716.6</v>
      </c>
      <c r="AE28" s="75">
        <f ca="1">(T_Bonds[[#This Row],[Coupon in Loc.Curr]]/T_Bonds[[#This Row],[Coupons per annum]])*((TODAY()-EDATE(T_Bonds[[#This Row],[Next coupon date]],-12/T_Bonds[[#This Row],[Coupons per annum]])))/(360/T_Bonds[[#This Row],[Coupons per annum]])</f>
        <v>24823.088888888884</v>
      </c>
      <c r="AF28" s="73">
        <f ca="1">T_Bonds[[#This Row],[AI, CCY]]*T_Bonds[[#This Row],[Exchange rate, N]]</f>
        <v>24823.088888888884</v>
      </c>
      <c r="AG28" s="311">
        <f>IFERROR(IF(INDEX(Cbonds!C:AC,MATCH(D28,Cbonds!C:C,0),27)&gt;5000,0,INDEX(Cbonds!C:AC,MATCH(D28,Cbonds!C:C,0),27)),0)</f>
        <v>221.55184992437</v>
      </c>
      <c r="AH28" s="73">
        <v>45</v>
      </c>
      <c r="AJ28" s="10"/>
      <c r="AK28" s="78" t="s">
        <v>280</v>
      </c>
      <c r="AL28" s="78" t="s">
        <v>282</v>
      </c>
      <c r="AM28" t="s">
        <v>2477</v>
      </c>
      <c r="AN28" s="78" t="s">
        <v>282</v>
      </c>
      <c r="AO28" s="320">
        <v>2</v>
      </c>
      <c r="AP28" s="17">
        <f>IFERROR(INDEX(Cbonds!C:H,MATCH(D28,Cbonds!C:C,0),3),0)</f>
        <v>46109</v>
      </c>
      <c r="AQ28" s="17">
        <f>EDATE(T_Bonds[[#This Row],[Next coupon date]],12/T_Bonds[[#This Row],[Coupons per annum]])</f>
        <v>46293</v>
      </c>
      <c r="AR28" s="17">
        <f>EDATE(T_Bonds[[#This Row],[Second next coupon date]],12/$AO28)</f>
        <v>46474</v>
      </c>
      <c r="AS28" s="17">
        <f>EDATE(T_Bonds[[#This Row],[Coupon date 3]],12/$AO28)</f>
        <v>46658</v>
      </c>
      <c r="AT28" s="25">
        <f>IF(
OR(
AT$1=MONTH($AP28),
AT$1=MONTH($AQ28),
AT$1=MONTH($AR28),
AT$1=MONTH($AS28)),
IF('CF USD'!$A$8="On",$L28,$K28)/T_Bonds[[#This Row],[Coupons per annum]],0)</f>
        <v>0</v>
      </c>
      <c r="AU28" s="25">
        <f>IF(
OR(
AU$1=MONTH($AP28),
AU$1=MONTH($AQ28),
AU$1=MONTH($AR28),
AU$1=MONTH($AS28)),
IF('CF USD'!$A$8="On",$L28,$K28)/T_Bonds[[#This Row],[Coupons per annum]],0)</f>
        <v>0</v>
      </c>
      <c r="AV28" s="25">
        <f>IF(
OR(
AV$1=MONTH($AP28),
AV$1=MONTH($AQ28),
AV$1=MONTH($AR28),
AV$1=MONTH($AS28)),
IF('CF USD'!$A$8="On",$L28,$K28)/T_Bonds[[#This Row],[Coupons per annum]],0)</f>
        <v>27411.999999999993</v>
      </c>
      <c r="AW28" s="25">
        <f>IF(
OR(
AW$1=MONTH($AP28),
AW$1=MONTH($AQ28),
AW$1=MONTH($AR28),
AW$1=MONTH($AS28)),
IF('CF USD'!$A$8="On",$L28,$K28)/T_Bonds[[#This Row],[Coupons per annum]],0)</f>
        <v>0</v>
      </c>
      <c r="AX28" s="25">
        <f>IF(
OR(
AX$1=MONTH($AP28),
AX$1=MONTH($AQ28),
AX$1=MONTH($AR28),
AX$1=MONTH($AS28)),
IF('CF USD'!$A$8="On",$L28,$K28)/T_Bonds[[#This Row],[Coupons per annum]],0)</f>
        <v>0</v>
      </c>
      <c r="AY28" s="25">
        <f>IF(
OR(
AY$1=MONTH($AP28),
AY$1=MONTH($AQ28),
AY$1=MONTH($AR28),
AY$1=MONTH($AS28)),
IF('CF USD'!$A$8="On",$L28,$K28)/T_Bonds[[#This Row],[Coupons per annum]],0)</f>
        <v>0</v>
      </c>
      <c r="AZ28" s="25">
        <f>IF(
OR(
AZ$1=MONTH($AP28),
AZ$1=MONTH($AQ28),
AZ$1=MONTH($AR28),
AZ$1=MONTH($AS28)),
IF('CF USD'!$A$8="On",$L28,$K28)/T_Bonds[[#This Row],[Coupons per annum]],0)</f>
        <v>0</v>
      </c>
      <c r="BA28" s="25">
        <f>IF(
OR(
BA$1=MONTH($AP28),
BA$1=MONTH($AQ28),
BA$1=MONTH($AR28),
BA$1=MONTH($AS28)),
IF('CF USD'!$A$8="On",$L28,$K28)/T_Bonds[[#This Row],[Coupons per annum]],0)</f>
        <v>0</v>
      </c>
      <c r="BB28" s="25">
        <f>IF(
OR(
BB$1=MONTH($AP28),
BB$1=MONTH($AQ28),
BB$1=MONTH($AR28),
BB$1=MONTH($AS28)),
IF('CF USD'!$A$8="On",$L28,$K28)/T_Bonds[[#This Row],[Coupons per annum]],0)</f>
        <v>27411.999999999993</v>
      </c>
      <c r="BC28" s="25">
        <f>IF(
OR(
BC$1=MONTH($AP28),
BC$1=MONTH($AQ28),
BC$1=MONTH($AR28),
BC$1=MONTH($AS28)),
IF('CF USD'!$A$8="On",$L28,$K28)/T_Bonds[[#This Row],[Coupons per annum]],0)</f>
        <v>0</v>
      </c>
      <c r="BD28" s="25">
        <f>IF(
OR(
BD$1=MONTH($AP28),
BD$1=MONTH($AQ28),
BD$1=MONTH($AR28),
BD$1=MONTH($AS28)),
IF('CF USD'!$A$8="On",$L28,$K28)/T_Bonds[[#This Row],[Coupons per annum]],0)</f>
        <v>0</v>
      </c>
      <c r="BE28" s="25">
        <f>IF(
OR(
BE$1=MONTH($AP28),
BE$1=MONTH($AQ28),
BE$1=MONTH($AR28),
BE$1=MONTH($AS28)),
IF('CF USD'!$A$8="On",$L28,$K28)/T_Bonds[[#This Row],[Coupons per annum]],0)</f>
        <v>0</v>
      </c>
      <c r="BF28">
        <f>DAY(T_Bonds[[#This Row],[Next coupon date]])</f>
        <v>28</v>
      </c>
    </row>
    <row r="29" spans="1:58" x14ac:dyDescent="0.25">
      <c r="A29" s="298" t="s">
        <v>82</v>
      </c>
      <c r="B29" s="203" t="s">
        <v>51</v>
      </c>
      <c r="C29" s="1" t="str">
        <f>IF(T_Bonds[[#This Row],[Call date]]&lt;&gt;"","Callable","Maturity")</f>
        <v>Maturity</v>
      </c>
      <c r="D29" s="1" t="s">
        <v>83</v>
      </c>
      <c r="E29" s="1" t="s">
        <v>19</v>
      </c>
      <c r="F29" s="22">
        <f>IFERROR(INDEX('V004'!D:E,MATCH(D29,'V004'!D:D,0),2),0)</f>
        <v>3700000</v>
      </c>
      <c r="G29" s="22">
        <f>IFERROR(INDEX('V001'!D:E,MATCH(D29,'V001'!D:D,0),2),0)</f>
        <v>500000</v>
      </c>
      <c r="H29" s="22">
        <f>IFERROR(INDEX(UBS!C:D,MATCH(D29,UBS!D:D,0),1),0)</f>
        <v>0</v>
      </c>
      <c r="I29" s="300">
        <f>SUM(T_Bonds[[#This Row],[V1412]:[UBS]])</f>
        <v>4200000</v>
      </c>
      <c r="J29" s="74">
        <f t="shared" si="0"/>
        <v>5.6249999999999911E-2</v>
      </c>
      <c r="K29" s="73">
        <f t="shared" si="1"/>
        <v>236249.99999999962</v>
      </c>
      <c r="L29" s="73">
        <f t="shared" ca="1" si="2"/>
        <v>315960.74999999948</v>
      </c>
      <c r="M29" s="16">
        <v>78241</v>
      </c>
      <c r="N29" s="5">
        <f>IFERROR(INDEX(Cbonds!C:H,MATCH(D29,Cbonds!C:C,0),4)/100,0)</f>
        <v>7.1110151636205002E-2</v>
      </c>
      <c r="O29" s="6">
        <f>IFERROR(INDEX(Cbonds!C:H,MATCH(D29,Cbonds!C:C,0),5),0)</f>
        <v>14.246495035096</v>
      </c>
      <c r="P29" s="91">
        <f>T_Bonds[[#This Row],[Market price]]-T_Bonds[[#This Row],[Cost price]]</f>
        <v>4.2800759523809462E-2</v>
      </c>
      <c r="Q29" s="91">
        <f>T_Bonds[[#This Row],[Coupon]]/T_Bonds[[#This Row],[Cost price]]</f>
        <v>7.4985078921485968E-2</v>
      </c>
      <c r="R29" s="97">
        <f t="shared" si="3"/>
        <v>298662.636872061</v>
      </c>
      <c r="S29" s="222">
        <f>IFERROR(INDEX('V004'!D:J,MATCH(D29,'V004'!D:D,0),7),0)</f>
        <v>0.75596265135135143</v>
      </c>
      <c r="T29" s="222">
        <f>IFERROR(INDEX('V001'!D:J,MATCH(D29,'V001'!D:D,0),7),0)</f>
        <v>0.70712999999999993</v>
      </c>
      <c r="U29" s="223">
        <f>IFERROR(S29*T_Bonds[[#This Row],[V1412]]/(T_Bonds[[#This Row],[V1412]]+T_Bonds[[#This Row],[V1430]])+T29*T_Bonds[[#This Row],[V1430]]/(T_Bonds[[#This Row],[V1412]]+T_Bonds[[#This Row],[V1430]]),0)</f>
        <v>0.75014924047619058</v>
      </c>
      <c r="V29" s="73">
        <f t="shared" si="4"/>
        <v>314937.33147024107</v>
      </c>
      <c r="W29" s="4">
        <v>1.2616000000000001</v>
      </c>
      <c r="X29" s="299">
        <f>IFERROR(INDEX(Cbonds!C:AF,MATCH(D29,Cbonds!C:C,0),30)/100,0)</f>
        <v>0.79295000000000004</v>
      </c>
      <c r="Y29" s="4">
        <f ca="1">INDEX('Tech list'!A:C,MATCH(T_Bonds[[#This Row],[Risk CCY]],'Tech list'!A:A,0),3)</f>
        <v>1.3373999999999999</v>
      </c>
      <c r="Z29" s="100">
        <f>T_Bonds[[#This Row],[Market price]]*T_Bonds[[#This Row],[Quantity]]</f>
        <v>3330390</v>
      </c>
      <c r="AA29" s="73">
        <f t="shared" ca="1" si="5"/>
        <v>4454063.5860000001</v>
      </c>
      <c r="AB29" s="73">
        <f ca="1">T_Bonds[[#This Row],[Market value in CCY]]+T_Bonds[[#This Row],[AI, CCY]]</f>
        <v>3564014.9999999995</v>
      </c>
      <c r="AC29" s="73">
        <f ca="1">T_Bonds[[#This Row],[Market value in USD]]+T_Bonds[[#This Row],[AI, USD]]</f>
        <v>4766513.6609999994</v>
      </c>
      <c r="AD29" s="73">
        <f t="shared" si="6"/>
        <v>3150626.8100000005</v>
      </c>
      <c r="AE29" s="75">
        <f ca="1">(T_Bonds[[#This Row],[Coupon in Loc.Curr]]/T_Bonds[[#This Row],[Coupons per annum]])*((TODAY()-EDATE(T_Bonds[[#This Row],[Next coupon date]],-12/T_Bonds[[#This Row],[Coupons per annum]])))/(360/T_Bonds[[#This Row],[Coupons per annum]])</f>
        <v>233624.99999999962</v>
      </c>
      <c r="AF29" s="73">
        <f ca="1">T_Bonds[[#This Row],[AI, CCY]]*T_Bonds[[#This Row],[Exchange rate, N]]</f>
        <v>312450.07499999949</v>
      </c>
      <c r="AG29" s="311">
        <f>IFERROR(IF(INDEX(Cbonds!C:AC,MATCH(D29,Cbonds!C:C,0),27)&gt;5000,0,INDEX(Cbonds!C:AC,MATCH(D29,Cbonds!C:C,0),27)),0)</f>
        <v>0</v>
      </c>
      <c r="AH29" s="73">
        <v>55</v>
      </c>
      <c r="AK29" t="s">
        <v>280</v>
      </c>
      <c r="AL29" t="s">
        <v>259</v>
      </c>
      <c r="AM29" t="s">
        <v>2476</v>
      </c>
      <c r="AN29" t="s">
        <v>259</v>
      </c>
      <c r="AO29" s="320">
        <v>1</v>
      </c>
      <c r="AP29" s="17">
        <f>IFERROR(INDEX(Cbonds!C:H,MATCH(D29,Cbonds!C:C,0),3),0)</f>
        <v>46100</v>
      </c>
      <c r="AQ29" s="17">
        <f>EDATE(T_Bonds[[#This Row],[Next coupon date]],12/T_Bonds[[#This Row],[Coupons per annum]])</f>
        <v>46465</v>
      </c>
      <c r="AR29" s="17">
        <f>EDATE(T_Bonds[[#This Row],[Second next coupon date]],12/$AO29)</f>
        <v>46831</v>
      </c>
      <c r="AS29" s="17">
        <f>EDATE(T_Bonds[[#This Row],[Coupon date 3]],12/$AO29)</f>
        <v>47196</v>
      </c>
      <c r="AT29" s="25">
        <f>IF(
OR(
AT$1=MONTH($AP29),
AT$1=MONTH($AQ29),
AT$1=MONTH($AR29),
AT$1=MONTH($AS29)),
IF('CF USD'!$A$8="On",$L29,$K29)/T_Bonds[[#This Row],[Coupons per annum]],0)</f>
        <v>0</v>
      </c>
      <c r="AU29" s="25">
        <f>IF(
OR(
AU$1=MONTH($AP29),
AU$1=MONTH($AQ29),
AU$1=MONTH($AR29),
AU$1=MONTH($AS29)),
IF('CF USD'!$A$8="On",$L29,$K29)/T_Bonds[[#This Row],[Coupons per annum]],0)</f>
        <v>0</v>
      </c>
      <c r="AV29" s="25">
        <f>IF(
OR(
AV$1=MONTH($AP29),
AV$1=MONTH($AQ29),
AV$1=MONTH($AR29),
AV$1=MONTH($AS29)),
IF('CF USD'!$A$8="On",$L29,$K29)/T_Bonds[[#This Row],[Coupons per annum]],0)</f>
        <v>236249.99999999962</v>
      </c>
      <c r="AW29" s="25">
        <f>IF(
OR(
AW$1=MONTH($AP29),
AW$1=MONTH($AQ29),
AW$1=MONTH($AR29),
AW$1=MONTH($AS29)),
IF('CF USD'!$A$8="On",$L29,$K29)/T_Bonds[[#This Row],[Coupons per annum]],0)</f>
        <v>0</v>
      </c>
      <c r="AX29" s="25">
        <f>IF(
OR(
AX$1=MONTH($AP29),
AX$1=MONTH($AQ29),
AX$1=MONTH($AR29),
AX$1=MONTH($AS29)),
IF('CF USD'!$A$8="On",$L29,$K29)/T_Bonds[[#This Row],[Coupons per annum]],0)</f>
        <v>0</v>
      </c>
      <c r="AY29" s="25">
        <f>IF(
OR(
AY$1=MONTH($AP29),
AY$1=MONTH($AQ29),
AY$1=MONTH($AR29),
AY$1=MONTH($AS29)),
IF('CF USD'!$A$8="On",$L29,$K29)/T_Bonds[[#This Row],[Coupons per annum]],0)</f>
        <v>0</v>
      </c>
      <c r="AZ29" s="25">
        <f>IF(
OR(
AZ$1=MONTH($AP29),
AZ$1=MONTH($AQ29),
AZ$1=MONTH($AR29),
AZ$1=MONTH($AS29)),
IF('CF USD'!$A$8="On",$L29,$K29)/T_Bonds[[#This Row],[Coupons per annum]],0)</f>
        <v>0</v>
      </c>
      <c r="BA29" s="25">
        <f>IF(
OR(
BA$1=MONTH($AP29),
BA$1=MONTH($AQ29),
BA$1=MONTH($AR29),
BA$1=MONTH($AS29)),
IF('CF USD'!$A$8="On",$L29,$K29)/T_Bonds[[#This Row],[Coupons per annum]],0)</f>
        <v>0</v>
      </c>
      <c r="BB29" s="25">
        <f>IF(
OR(
BB$1=MONTH($AP29),
BB$1=MONTH($AQ29),
BB$1=MONTH($AR29),
BB$1=MONTH($AS29)),
IF('CF USD'!$A$8="On",$L29,$K29)/T_Bonds[[#This Row],[Coupons per annum]],0)</f>
        <v>0</v>
      </c>
      <c r="BC29" s="25">
        <f>IF(
OR(
BC$1=MONTH($AP29),
BC$1=MONTH($AQ29),
BC$1=MONTH($AR29),
BC$1=MONTH($AS29)),
IF('CF USD'!$A$8="On",$L29,$K29)/T_Bonds[[#This Row],[Coupons per annum]],0)</f>
        <v>0</v>
      </c>
      <c r="BD29" s="25">
        <f>IF(
OR(
BD$1=MONTH($AP29),
BD$1=MONTH($AQ29),
BD$1=MONTH($AR29),
BD$1=MONTH($AS29)),
IF('CF USD'!$A$8="On",$L29,$K29)/T_Bonds[[#This Row],[Coupons per annum]],0)</f>
        <v>0</v>
      </c>
      <c r="BE29" s="25">
        <f>IF(
OR(
BE$1=MONTH($AP29),
BE$1=MONTH($AQ29),
BE$1=MONTH($AR29),
BE$1=MONTH($AS29)),
IF('CF USD'!$A$8="On",$L29,$K29)/T_Bonds[[#This Row],[Coupons per annum]],0)</f>
        <v>0</v>
      </c>
      <c r="BF29">
        <f>DAY(T_Bonds[[#This Row],[Next coupon date]])</f>
        <v>19</v>
      </c>
    </row>
    <row r="30" spans="1:58" x14ac:dyDescent="0.25">
      <c r="A30" s="298" t="s">
        <v>84</v>
      </c>
      <c r="B30" s="203" t="s">
        <v>51</v>
      </c>
      <c r="C30" s="1" t="str">
        <f>IF(T_Bonds[[#This Row],[Call date]]&lt;&gt;"","Callable","Maturity")</f>
        <v>Maturity</v>
      </c>
      <c r="D30" s="1" t="s">
        <v>85</v>
      </c>
      <c r="E30" s="1" t="s">
        <v>18</v>
      </c>
      <c r="F30" s="22">
        <f>IFERROR(INDEX('V004'!D:E,MATCH(D30,'V004'!D:D,0),2),0)</f>
        <v>400000</v>
      </c>
      <c r="G30" s="22">
        <f>IFERROR(INDEX('V001'!D:E,MATCH(D30,'V001'!D:D,0),2),0)</f>
        <v>0</v>
      </c>
      <c r="H30" s="22">
        <f>IFERROR(INDEX(UBS!C:D,MATCH(D30,UBS!D:D,0),1),0)</f>
        <v>0</v>
      </c>
      <c r="I30" s="300">
        <f>SUM(T_Bonds[[#This Row],[V1412]:[UBS]])</f>
        <v>400000</v>
      </c>
      <c r="J30" s="98">
        <f t="shared" si="0"/>
        <v>7.8750000000000098E-2</v>
      </c>
      <c r="K30" s="100">
        <f t="shared" si="1"/>
        <v>31500.00000000004</v>
      </c>
      <c r="L30" s="100">
        <f t="shared" si="2"/>
        <v>31500.00000000004</v>
      </c>
      <c r="M30" s="16">
        <v>48037</v>
      </c>
      <c r="N30" s="5">
        <f>IFERROR(INDEX(Cbonds!C:H,MATCH(D30,Cbonds!C:C,0),4)/100,0)</f>
        <v>7.4726004649617997E-2</v>
      </c>
      <c r="O30" s="6" t="str">
        <f>IFERROR(INDEX(Cbonds!C:H,MATCH(D30,Cbonds!C:C,0),5),0)</f>
        <v/>
      </c>
      <c r="P30" s="91">
        <f>T_Bonds[[#This Row],[Market price]]-T_Bonds[[#This Row],[Cost price]]</f>
        <v>4.2635025000000049E-2</v>
      </c>
      <c r="Q30" s="91">
        <f>T_Bonds[[#This Row],[Coupon]]/T_Bonds[[#This Row],[Cost price]]</f>
        <v>7.8345348235000029E-2</v>
      </c>
      <c r="R30" s="109">
        <f t="shared" si="3"/>
        <v>29890.401859847199</v>
      </c>
      <c r="S30" s="222">
        <f>IFERROR(INDEX('V004'!D:J,MATCH(D30,'V004'!D:D,0),7),0)</f>
        <v>1.005164975</v>
      </c>
      <c r="T30" s="222">
        <f>IFERROR(INDEX('V001'!D:J,MATCH(D30,'V001'!D:D,0),7),0)</f>
        <v>0</v>
      </c>
      <c r="U30" s="223">
        <f>IFERROR(S30*T_Bonds[[#This Row],[V1412]]/(T_Bonds[[#This Row],[V1412]]+T_Bonds[[#This Row],[V1430]])+T30*T_Bonds[[#This Row],[V1430]]/(T_Bonds[[#This Row],[V1412]]+T_Bonds[[#This Row],[V1430]]),0)</f>
        <v>1.005164975</v>
      </c>
      <c r="V30" s="100">
        <f t="shared" si="4"/>
        <v>31338.139294000011</v>
      </c>
      <c r="W30" s="4"/>
      <c r="X30" s="299">
        <f>IFERROR(INDEX(Cbonds!C:AF,MATCH(D30,Cbonds!C:C,0),30)/100,0)</f>
        <v>1.0478000000000001</v>
      </c>
      <c r="Y30" s="4">
        <f>INDEX('Tech list'!A:C,MATCH(T_Bonds[[#This Row],[Risk CCY]],'Tech list'!A:A,0),3)</f>
        <v>1</v>
      </c>
      <c r="Z30" s="105">
        <f>T_Bonds[[#This Row],[Market price]]*T_Bonds[[#This Row],[Quantity]]</f>
        <v>419120</v>
      </c>
      <c r="AA30" s="97">
        <f t="shared" si="5"/>
        <v>419120</v>
      </c>
      <c r="AB30" s="73">
        <f ca="1">T_Bonds[[#This Row],[Market value in CCY]]+T_Bonds[[#This Row],[AI, CCY]]</f>
        <v>424457.5</v>
      </c>
      <c r="AC30" s="73">
        <f ca="1">T_Bonds[[#This Row],[Market value in USD]]+T_Bonds[[#This Row],[AI, USD]]</f>
        <v>424457.5</v>
      </c>
      <c r="AD30" s="106">
        <f t="shared" si="6"/>
        <v>402065.99</v>
      </c>
      <c r="AE30" s="75">
        <f ca="1">(T_Bonds[[#This Row],[Coupon in Loc.Curr]]/T_Bonds[[#This Row],[Coupons per annum]])*((TODAY()-EDATE(T_Bonds[[#This Row],[Next coupon date]],-12/T_Bonds[[#This Row],[Coupons per annum]])))/(360/T_Bonds[[#This Row],[Coupons per annum]])</f>
        <v>5337.5000000000064</v>
      </c>
      <c r="AF30" s="73">
        <f ca="1">T_Bonds[[#This Row],[AI, CCY]]*T_Bonds[[#This Row],[Exchange rate, N]]</f>
        <v>5337.5000000000064</v>
      </c>
      <c r="AG30" s="311">
        <f>IFERROR(IF(INDEX(Cbonds!C:AC,MATCH(D30,Cbonds!C:C,0),27)&gt;5000,0,INDEX(Cbonds!C:AC,MATCH(D30,Cbonds!C:C,0),27)),0)</f>
        <v>0</v>
      </c>
      <c r="AH30" s="73">
        <v>30</v>
      </c>
      <c r="AJ30" s="74"/>
      <c r="AK30" s="16" t="s">
        <v>284</v>
      </c>
      <c r="AL30" s="99" t="s">
        <v>281</v>
      </c>
      <c r="AM30" t="s">
        <v>2476</v>
      </c>
      <c r="AN30" s="79" t="s">
        <v>285</v>
      </c>
      <c r="AO30" s="320">
        <v>2</v>
      </c>
      <c r="AP30" s="17">
        <f>IFERROR(INDEX(Cbonds!C:H,MATCH(D30,Cbonds!C:C,0),3),0)</f>
        <v>46211</v>
      </c>
      <c r="AQ30" s="17">
        <f>EDATE(T_Bonds[[#This Row],[Next coupon date]],12/T_Bonds[[#This Row],[Coupons per annum]])</f>
        <v>46395</v>
      </c>
      <c r="AR30" s="17">
        <f>EDATE(T_Bonds[[#This Row],[Second next coupon date]],12/$AO30)</f>
        <v>46576</v>
      </c>
      <c r="AS30" s="17">
        <f>EDATE(T_Bonds[[#This Row],[Coupon date 3]],12/$AO30)</f>
        <v>46760</v>
      </c>
      <c r="AT30" s="25">
        <f>IF(
OR(
AT$1=MONTH($AP30),
AT$1=MONTH($AQ30),
AT$1=MONTH($AR30),
AT$1=MONTH($AS30)),
IF('CF USD'!$A$8="On",$L30,$K30)/T_Bonds[[#This Row],[Coupons per annum]],0)</f>
        <v>15750.00000000002</v>
      </c>
      <c r="AU30" s="25">
        <f>IF(
OR(
AU$1=MONTH($AP30),
AU$1=MONTH($AQ30),
AU$1=MONTH($AR30),
AU$1=MONTH($AS30)),
IF('CF USD'!$A$8="On",$L30,$K30)/T_Bonds[[#This Row],[Coupons per annum]],0)</f>
        <v>0</v>
      </c>
      <c r="AV30" s="25">
        <f>IF(
OR(
AV$1=MONTH($AP30),
AV$1=MONTH($AQ30),
AV$1=MONTH($AR30),
AV$1=MONTH($AS30)),
IF('CF USD'!$A$8="On",$L30,$K30)/T_Bonds[[#This Row],[Coupons per annum]],0)</f>
        <v>0</v>
      </c>
      <c r="AW30" s="25">
        <f>IF(
OR(
AW$1=MONTH($AP30),
AW$1=MONTH($AQ30),
AW$1=MONTH($AR30),
AW$1=MONTH($AS30)),
IF('CF USD'!$A$8="On",$L30,$K30)/T_Bonds[[#This Row],[Coupons per annum]],0)</f>
        <v>0</v>
      </c>
      <c r="AX30" s="25">
        <f>IF(
OR(
AX$1=MONTH($AP30),
AX$1=MONTH($AQ30),
AX$1=MONTH($AR30),
AX$1=MONTH($AS30)),
IF('CF USD'!$A$8="On",$L30,$K30)/T_Bonds[[#This Row],[Coupons per annum]],0)</f>
        <v>0</v>
      </c>
      <c r="AY30" s="25">
        <f>IF(
OR(
AY$1=MONTH($AP30),
AY$1=MONTH($AQ30),
AY$1=MONTH($AR30),
AY$1=MONTH($AS30)),
IF('CF USD'!$A$8="On",$L30,$K30)/T_Bonds[[#This Row],[Coupons per annum]],0)</f>
        <v>0</v>
      </c>
      <c r="AZ30" s="25">
        <f>IF(
OR(
AZ$1=MONTH($AP30),
AZ$1=MONTH($AQ30),
AZ$1=MONTH($AR30),
AZ$1=MONTH($AS30)),
IF('CF USD'!$A$8="On",$L30,$K30)/T_Bonds[[#This Row],[Coupons per annum]],0)</f>
        <v>15750.00000000002</v>
      </c>
      <c r="BA30" s="25">
        <f>IF(
OR(
BA$1=MONTH($AP30),
BA$1=MONTH($AQ30),
BA$1=MONTH($AR30),
BA$1=MONTH($AS30)),
IF('CF USD'!$A$8="On",$L30,$K30)/T_Bonds[[#This Row],[Coupons per annum]],0)</f>
        <v>0</v>
      </c>
      <c r="BB30" s="25">
        <f>IF(
OR(
BB$1=MONTH($AP30),
BB$1=MONTH($AQ30),
BB$1=MONTH($AR30),
BB$1=MONTH($AS30)),
IF('CF USD'!$A$8="On",$L30,$K30)/T_Bonds[[#This Row],[Coupons per annum]],0)</f>
        <v>0</v>
      </c>
      <c r="BC30" s="25">
        <f>IF(
OR(
BC$1=MONTH($AP30),
BC$1=MONTH($AQ30),
BC$1=MONTH($AR30),
BC$1=MONTH($AS30)),
IF('CF USD'!$A$8="On",$L30,$K30)/T_Bonds[[#This Row],[Coupons per annum]],0)</f>
        <v>0</v>
      </c>
      <c r="BD30" s="25">
        <f>IF(
OR(
BD$1=MONTH($AP30),
BD$1=MONTH($AQ30),
BD$1=MONTH($AR30),
BD$1=MONTH($AS30)),
IF('CF USD'!$A$8="On",$L30,$K30)/T_Bonds[[#This Row],[Coupons per annum]],0)</f>
        <v>0</v>
      </c>
      <c r="BE30" s="25">
        <f>IF(
OR(
BE$1=MONTH($AP30),
BE$1=MONTH($AQ30),
BE$1=MONTH($AR30),
BE$1=MONTH($AS30)),
IF('CF USD'!$A$8="On",$L30,$K30)/T_Bonds[[#This Row],[Coupons per annum]],0)</f>
        <v>0</v>
      </c>
      <c r="BF30">
        <f>DAY(T_Bonds[[#This Row],[Next coupon date]])</f>
        <v>8</v>
      </c>
    </row>
    <row r="31" spans="1:58" x14ac:dyDescent="0.25">
      <c r="A31" s="298" t="s">
        <v>86</v>
      </c>
      <c r="B31" s="203" t="s">
        <v>51</v>
      </c>
      <c r="C31" s="1" t="str">
        <f>IF(T_Bonds[[#This Row],[Call date]]&lt;&gt;"","Callable","Maturity")</f>
        <v>Maturity</v>
      </c>
      <c r="D31" s="1" t="s">
        <v>87</v>
      </c>
      <c r="E31" s="80" t="s">
        <v>18</v>
      </c>
      <c r="F31" s="22">
        <f>IFERROR(INDEX('V004'!D:E,MATCH(D31,'V004'!D:D,0),2),0)</f>
        <v>600000</v>
      </c>
      <c r="G31" s="22">
        <f>IFERROR(INDEX('V001'!D:E,MATCH(D31,'V001'!D:D,0),2),0)</f>
        <v>0</v>
      </c>
      <c r="H31" s="22">
        <f>IFERROR(INDEX(UBS!C:D,MATCH(D31,UBS!D:D,0),1),0)</f>
        <v>0</v>
      </c>
      <c r="I31" s="300">
        <f>SUM(T_Bonds[[#This Row],[V1412]:[UBS]])</f>
        <v>600000</v>
      </c>
      <c r="J31" s="98">
        <f t="shared" si="0"/>
        <v>9.749999999999992E-2</v>
      </c>
      <c r="K31" s="73">
        <f t="shared" si="1"/>
        <v>58499.999999999949</v>
      </c>
      <c r="L31" s="73">
        <f t="shared" si="2"/>
        <v>58499.999999999949</v>
      </c>
      <c r="M31" s="16">
        <v>47223</v>
      </c>
      <c r="N31" s="5">
        <f>IFERROR(INDEX(Cbonds!C:H,MATCH(D31,Cbonds!C:C,0),4)/100,0)</f>
        <v>5.8561214730527E-2</v>
      </c>
      <c r="O31" s="6">
        <f>IFERROR(INDEX(Cbonds!C:H,MATCH(D31,Cbonds!C:C,0),5),0)</f>
        <v>2.7505657401522998</v>
      </c>
      <c r="P31" s="91">
        <f>T_Bonds[[#This Row],[Market price]]-T_Bonds[[#This Row],[Cost price]]</f>
        <v>0.10207900000000003</v>
      </c>
      <c r="Q31" s="91">
        <f>T_Bonds[[#This Row],[Coupon]]/T_Bonds[[#This Row],[Cost price]]</f>
        <v>9.6265776479753012E-2</v>
      </c>
      <c r="R31" s="109">
        <f t="shared" si="3"/>
        <v>35136.728838316201</v>
      </c>
      <c r="S31" s="222">
        <f>IFERROR(INDEX('V004'!D:J,MATCH(D31,'V004'!D:D,0),7),0)</f>
        <v>1.012821</v>
      </c>
      <c r="T31" s="222">
        <f>IFERROR(INDEX('V001'!D:J,MATCH(D31,'V001'!D:D,0),7),0)</f>
        <v>0</v>
      </c>
      <c r="U31" s="223">
        <f>IFERROR(S31*T_Bonds[[#This Row],[V1412]]/(T_Bonds[[#This Row],[V1412]]+T_Bonds[[#This Row],[V1430]])+T31*T_Bonds[[#This Row],[V1430]]/(T_Bonds[[#This Row],[V1412]]+T_Bonds[[#This Row],[V1430]]),0)</f>
        <v>1.012821</v>
      </c>
      <c r="V31" s="100">
        <f t="shared" si="4"/>
        <v>57759.465887851802</v>
      </c>
      <c r="W31" s="4"/>
      <c r="X31" s="299">
        <f>IFERROR(INDEX(Cbonds!C:AF,MATCH(D31,Cbonds!C:C,0),30)/100,0)</f>
        <v>1.1149</v>
      </c>
      <c r="Y31" s="4">
        <f>INDEX('Tech list'!A:C,MATCH(T_Bonds[[#This Row],[Risk CCY]],'Tech list'!A:A,0),3)</f>
        <v>1</v>
      </c>
      <c r="Z31" s="100">
        <f>T_Bonds[[#This Row],[Market price]]*T_Bonds[[#This Row],[Quantity]]</f>
        <v>668940</v>
      </c>
      <c r="AA31" s="73">
        <f t="shared" si="5"/>
        <v>668940</v>
      </c>
      <c r="AB31" s="73">
        <f ca="1">T_Bonds[[#This Row],[Market value in CCY]]+T_Bonds[[#This Row],[AI, CCY]]</f>
        <v>692665</v>
      </c>
      <c r="AC31" s="73">
        <f ca="1">T_Bonds[[#This Row],[Market value in USD]]+T_Bonds[[#This Row],[AI, USD]]</f>
        <v>692665</v>
      </c>
      <c r="AD31" s="73">
        <f t="shared" si="6"/>
        <v>607692.6</v>
      </c>
      <c r="AE31" s="75">
        <f ca="1">(T_Bonds[[#This Row],[Coupon in Loc.Curr]]/T_Bonds[[#This Row],[Coupons per annum]])*((TODAY()-EDATE(T_Bonds[[#This Row],[Next coupon date]],-12/T_Bonds[[#This Row],[Coupons per annum]])))/(360/T_Bonds[[#This Row],[Coupons per annum]])</f>
        <v>23724.999999999978</v>
      </c>
      <c r="AF31" s="73">
        <f ca="1">T_Bonds[[#This Row],[AI, CCY]]*T_Bonds[[#This Row],[Exchange rate, N]]</f>
        <v>23724.999999999978</v>
      </c>
      <c r="AG31" s="311">
        <f>IFERROR(IF(INDEX(Cbonds!C:AC,MATCH(D31,Cbonds!C:C,0),27)&gt;5000,0,INDEX(Cbonds!C:AC,MATCH(D31,Cbonds!C:C,0),27)),0)</f>
        <v>223.60620059623</v>
      </c>
      <c r="AH31" s="73">
        <v>30</v>
      </c>
      <c r="AJ31" s="74"/>
      <c r="AK31" s="1" t="s">
        <v>286</v>
      </c>
      <c r="AL31" s="1" t="s">
        <v>287</v>
      </c>
      <c r="AM31" t="s">
        <v>2475</v>
      </c>
      <c r="AN31" s="1" t="s">
        <v>288</v>
      </c>
      <c r="AO31" s="320">
        <v>2</v>
      </c>
      <c r="AP31" s="17">
        <f>IFERROR(INDEX(Cbonds!C:H,MATCH(D31,Cbonds!C:C,0),3),0)</f>
        <v>46127</v>
      </c>
      <c r="AQ31" s="17">
        <f>EDATE(T_Bonds[[#This Row],[Next coupon date]],12/T_Bonds[[#This Row],[Coupons per annum]])</f>
        <v>46310</v>
      </c>
      <c r="AR31" s="17">
        <f>EDATE(T_Bonds[[#This Row],[Second next coupon date]],12/$AO31)</f>
        <v>46492</v>
      </c>
      <c r="AS31" s="17">
        <f>EDATE(T_Bonds[[#This Row],[Coupon date 3]],12/$AO31)</f>
        <v>46675</v>
      </c>
      <c r="AT31" s="25">
        <f>IF(
OR(
AT$1=MONTH($AP31),
AT$1=MONTH($AQ31),
AT$1=MONTH($AR31),
AT$1=MONTH($AS31)),
IF('CF USD'!$A$8="On",$L31,$K31)/T_Bonds[[#This Row],[Coupons per annum]],0)</f>
        <v>0</v>
      </c>
      <c r="AU31" s="25">
        <f>IF(
OR(
AU$1=MONTH($AP31),
AU$1=MONTH($AQ31),
AU$1=MONTH($AR31),
AU$1=MONTH($AS31)),
IF('CF USD'!$A$8="On",$L31,$K31)/T_Bonds[[#This Row],[Coupons per annum]],0)</f>
        <v>0</v>
      </c>
      <c r="AV31" s="25">
        <f>IF(
OR(
AV$1=MONTH($AP31),
AV$1=MONTH($AQ31),
AV$1=MONTH($AR31),
AV$1=MONTH($AS31)),
IF('CF USD'!$A$8="On",$L31,$K31)/T_Bonds[[#This Row],[Coupons per annum]],0)</f>
        <v>0</v>
      </c>
      <c r="AW31" s="25">
        <f>IF(
OR(
AW$1=MONTH($AP31),
AW$1=MONTH($AQ31),
AW$1=MONTH($AR31),
AW$1=MONTH($AS31)),
IF('CF USD'!$A$8="On",$L31,$K31)/T_Bonds[[#This Row],[Coupons per annum]],0)</f>
        <v>29249.999999999975</v>
      </c>
      <c r="AX31" s="25">
        <f>IF(
OR(
AX$1=MONTH($AP31),
AX$1=MONTH($AQ31),
AX$1=MONTH($AR31),
AX$1=MONTH($AS31)),
IF('CF USD'!$A$8="On",$L31,$K31)/T_Bonds[[#This Row],[Coupons per annum]],0)</f>
        <v>0</v>
      </c>
      <c r="AY31" s="25">
        <f>IF(
OR(
AY$1=MONTH($AP31),
AY$1=MONTH($AQ31),
AY$1=MONTH($AR31),
AY$1=MONTH($AS31)),
IF('CF USD'!$A$8="On",$L31,$K31)/T_Bonds[[#This Row],[Coupons per annum]],0)</f>
        <v>0</v>
      </c>
      <c r="AZ31" s="25">
        <f>IF(
OR(
AZ$1=MONTH($AP31),
AZ$1=MONTH($AQ31),
AZ$1=MONTH($AR31),
AZ$1=MONTH($AS31)),
IF('CF USD'!$A$8="On",$L31,$K31)/T_Bonds[[#This Row],[Coupons per annum]],0)</f>
        <v>0</v>
      </c>
      <c r="BA31" s="25">
        <f>IF(
OR(
BA$1=MONTH($AP31),
BA$1=MONTH($AQ31),
BA$1=MONTH($AR31),
BA$1=MONTH($AS31)),
IF('CF USD'!$A$8="On",$L31,$K31)/T_Bonds[[#This Row],[Coupons per annum]],0)</f>
        <v>0</v>
      </c>
      <c r="BB31" s="25">
        <f>IF(
OR(
BB$1=MONTH($AP31),
BB$1=MONTH($AQ31),
BB$1=MONTH($AR31),
BB$1=MONTH($AS31)),
IF('CF USD'!$A$8="On",$L31,$K31)/T_Bonds[[#This Row],[Coupons per annum]],0)</f>
        <v>0</v>
      </c>
      <c r="BC31" s="25">
        <f>IF(
OR(
BC$1=MONTH($AP31),
BC$1=MONTH($AQ31),
BC$1=MONTH($AR31),
BC$1=MONTH($AS31)),
IF('CF USD'!$A$8="On",$L31,$K31)/T_Bonds[[#This Row],[Coupons per annum]],0)</f>
        <v>29249.999999999975</v>
      </c>
      <c r="BD31" s="25">
        <f>IF(
OR(
BD$1=MONTH($AP31),
BD$1=MONTH($AQ31),
BD$1=MONTH($AR31),
BD$1=MONTH($AS31)),
IF('CF USD'!$A$8="On",$L31,$K31)/T_Bonds[[#This Row],[Coupons per annum]],0)</f>
        <v>0</v>
      </c>
      <c r="BE31" s="25">
        <f>IF(
OR(
BE$1=MONTH($AP31),
BE$1=MONTH($AQ31),
BE$1=MONTH($AR31),
BE$1=MONTH($AS31)),
IF('CF USD'!$A$8="On",$L31,$K31)/T_Bonds[[#This Row],[Coupons per annum]],0)</f>
        <v>0</v>
      </c>
      <c r="BF31">
        <f>DAY(T_Bonds[[#This Row],[Next coupon date]])</f>
        <v>15</v>
      </c>
    </row>
    <row r="32" spans="1:58" x14ac:dyDescent="0.25">
      <c r="A32" s="298" t="s">
        <v>88</v>
      </c>
      <c r="B32" s="203" t="s">
        <v>51</v>
      </c>
      <c r="C32" s="1" t="str">
        <f>IF(T_Bonds[[#This Row],[Call date]]&lt;&gt;"","Callable","Maturity")</f>
        <v>Maturity</v>
      </c>
      <c r="D32" s="1" t="s">
        <v>89</v>
      </c>
      <c r="E32" s="80" t="s">
        <v>18</v>
      </c>
      <c r="F32" s="22">
        <f>IFERROR(INDEX('V004'!D:E,MATCH(D32,'V004'!D:D,0),2),0)</f>
        <v>2000000</v>
      </c>
      <c r="G32" s="22">
        <f>IFERROR(INDEX('V001'!D:E,MATCH(D32,'V001'!D:D,0),2),0)</f>
        <v>0</v>
      </c>
      <c r="H32" s="22">
        <f>IFERROR(INDEX(UBS!C:D,MATCH(D32,UBS!D:D,0),1),0)</f>
        <v>0</v>
      </c>
      <c r="I32" s="300">
        <f>SUM(T_Bonds[[#This Row],[V1412]:[UBS]])</f>
        <v>2000000</v>
      </c>
      <c r="J32" s="198">
        <f t="shared" si="0"/>
        <v>6.8500000000000005E-2</v>
      </c>
      <c r="K32" s="73">
        <f t="shared" si="1"/>
        <v>137000</v>
      </c>
      <c r="L32" s="73">
        <f t="shared" si="2"/>
        <v>137000</v>
      </c>
      <c r="M32" s="16">
        <v>78684</v>
      </c>
      <c r="N32" s="5">
        <f>IFERROR(INDEX(Cbonds!C:H,MATCH(D32,Cbonds!C:C,0),4)/100,0)</f>
        <v>7.4262050454437997E-2</v>
      </c>
      <c r="O32" s="6">
        <f>IFERROR(INDEX(Cbonds!C:H,MATCH(D32,Cbonds!C:C,0),5),0)</f>
        <v>13.853596739178</v>
      </c>
      <c r="P32" s="91">
        <f>T_Bonds[[#This Row],[Market price]]-T_Bonds[[#This Row],[Cost price]]</f>
        <v>4.2320949999999913E-3</v>
      </c>
      <c r="Q32" s="91">
        <f>T_Bonds[[#This Row],[Coupon]]/T_Bonds[[#This Row],[Cost price]]</f>
        <v>7.3264546979289094E-2</v>
      </c>
      <c r="R32" s="109">
        <f t="shared" si="3"/>
        <v>148524.10090887599</v>
      </c>
      <c r="S32" s="222">
        <f>IFERROR(INDEX('V004'!D:J,MATCH(D32,'V004'!D:D,0),7),0)</f>
        <v>0.93496790500000004</v>
      </c>
      <c r="T32" s="222">
        <f>IFERROR(INDEX('V001'!D:J,MATCH(D32,'V001'!D:D,0),7),0)</f>
        <v>0</v>
      </c>
      <c r="U32" s="223">
        <f>IFERROR(S32*T_Bonds[[#This Row],[V1412]]/(T_Bonds[[#This Row],[V1412]]+T_Bonds[[#This Row],[V1430]])+T32*T_Bonds[[#This Row],[V1430]]/(T_Bonds[[#This Row],[V1412]]+T_Bonds[[#This Row],[V1430]]),0)</f>
        <v>0.93496790500000004</v>
      </c>
      <c r="V32" s="100">
        <f t="shared" si="4"/>
        <v>146529.09395857819</v>
      </c>
      <c r="W32" s="4"/>
      <c r="X32" s="299">
        <f>IFERROR(INDEX(Cbonds!C:AF,MATCH(D32,Cbonds!C:C,0),30)/100,0)</f>
        <v>0.93920000000000003</v>
      </c>
      <c r="Y32" s="4">
        <f>INDEX('Tech list'!A:C,MATCH(T_Bonds[[#This Row],[Risk CCY]],'Tech list'!A:A,0),3)</f>
        <v>1</v>
      </c>
      <c r="Z32" s="105">
        <f>T_Bonds[[#This Row],[Market price]]*T_Bonds[[#This Row],[Quantity]]</f>
        <v>1878400</v>
      </c>
      <c r="AA32" s="105">
        <f t="shared" si="5"/>
        <v>1878400</v>
      </c>
      <c r="AB32" s="73">
        <f ca="1">T_Bonds[[#This Row],[Market value in CCY]]+T_Bonds[[#This Row],[AI, CCY]]</f>
        <v>1914552.7777777778</v>
      </c>
      <c r="AC32" s="73">
        <f ca="1">T_Bonds[[#This Row],[Market value in USD]]+T_Bonds[[#This Row],[AI, USD]]</f>
        <v>1914552.7777777778</v>
      </c>
      <c r="AD32" s="105">
        <f t="shared" si="6"/>
        <v>1869935.81</v>
      </c>
      <c r="AE32" s="75">
        <f ca="1">(T_Bonds[[#This Row],[Coupon in Loc.Curr]]/T_Bonds[[#This Row],[Coupons per annum]])*((TODAY()-EDATE(T_Bonds[[#This Row],[Next coupon date]],-12/T_Bonds[[#This Row],[Coupons per annum]])))/(360/T_Bonds[[#This Row],[Coupons per annum]])</f>
        <v>36152.777777777781</v>
      </c>
      <c r="AF32" s="73">
        <f ca="1">T_Bonds[[#This Row],[AI, CCY]]*T_Bonds[[#This Row],[Exchange rate, N]]</f>
        <v>36152.777777777781</v>
      </c>
      <c r="AG32" s="311">
        <f>IFERROR(IF(INDEX(Cbonds!C:AC,MATCH(D32,Cbonds!C:C,0),27)&gt;5000,0,INDEX(Cbonds!C:AC,MATCH(D32,Cbonds!C:C,0),27)),0)</f>
        <v>281.19654960512003</v>
      </c>
      <c r="AH32" s="73">
        <v>5</v>
      </c>
      <c r="AJ32" s="74"/>
      <c r="AK32" t="s">
        <v>258</v>
      </c>
      <c r="AL32" t="s">
        <v>276</v>
      </c>
      <c r="AM32" t="s">
        <v>2476</v>
      </c>
      <c r="AN32" t="s">
        <v>292</v>
      </c>
      <c r="AO32" s="320">
        <v>2</v>
      </c>
      <c r="AP32" s="17">
        <f>IFERROR(INDEX(Cbonds!C:H,MATCH(D32,Cbonds!C:C,0),3),0)</f>
        <v>46178</v>
      </c>
      <c r="AQ32" s="17">
        <f>EDATE(T_Bonds[[#This Row],[Next coupon date]],12/T_Bonds[[#This Row],[Coupons per annum]])</f>
        <v>46361</v>
      </c>
      <c r="AR32" s="17">
        <f>EDATE(T_Bonds[[#This Row],[Second next coupon date]],12/$AO32)</f>
        <v>46543</v>
      </c>
      <c r="AS32" s="17">
        <f>EDATE(T_Bonds[[#This Row],[Coupon date 3]],12/$AO32)</f>
        <v>46726</v>
      </c>
      <c r="AT32" s="25">
        <f>IF(
OR(
AT$1=MONTH($AP32),
AT$1=MONTH($AQ32),
AT$1=MONTH($AR32),
AT$1=MONTH($AS32)),
IF('CF USD'!$A$8="On",$L32,$K32)/T_Bonds[[#This Row],[Coupons per annum]],0)</f>
        <v>0</v>
      </c>
      <c r="AU32" s="25">
        <f>IF(
OR(
AU$1=MONTH($AP32),
AU$1=MONTH($AQ32),
AU$1=MONTH($AR32),
AU$1=MONTH($AS32)),
IF('CF USD'!$A$8="On",$L32,$K32)/T_Bonds[[#This Row],[Coupons per annum]],0)</f>
        <v>0</v>
      </c>
      <c r="AV32" s="25">
        <f>IF(
OR(
AV$1=MONTH($AP32),
AV$1=MONTH($AQ32),
AV$1=MONTH($AR32),
AV$1=MONTH($AS32)),
IF('CF USD'!$A$8="On",$L32,$K32)/T_Bonds[[#This Row],[Coupons per annum]],0)</f>
        <v>0</v>
      </c>
      <c r="AW32" s="25">
        <f>IF(
OR(
AW$1=MONTH($AP32),
AW$1=MONTH($AQ32),
AW$1=MONTH($AR32),
AW$1=MONTH($AS32)),
IF('CF USD'!$A$8="On",$L32,$K32)/T_Bonds[[#This Row],[Coupons per annum]],0)</f>
        <v>0</v>
      </c>
      <c r="AX32" s="25">
        <f>IF(
OR(
AX$1=MONTH($AP32),
AX$1=MONTH($AQ32),
AX$1=MONTH($AR32),
AX$1=MONTH($AS32)),
IF('CF USD'!$A$8="On",$L32,$K32)/T_Bonds[[#This Row],[Coupons per annum]],0)</f>
        <v>0</v>
      </c>
      <c r="AY32" s="25">
        <f>IF(
OR(
AY$1=MONTH($AP32),
AY$1=MONTH($AQ32),
AY$1=MONTH($AR32),
AY$1=MONTH($AS32)),
IF('CF USD'!$A$8="On",$L32,$K32)/T_Bonds[[#This Row],[Coupons per annum]],0)</f>
        <v>68500</v>
      </c>
      <c r="AZ32" s="25">
        <f>IF(
OR(
AZ$1=MONTH($AP32),
AZ$1=MONTH($AQ32),
AZ$1=MONTH($AR32),
AZ$1=MONTH($AS32)),
IF('CF USD'!$A$8="On",$L32,$K32)/T_Bonds[[#This Row],[Coupons per annum]],0)</f>
        <v>0</v>
      </c>
      <c r="BA32" s="25">
        <f>IF(
OR(
BA$1=MONTH($AP32),
BA$1=MONTH($AQ32),
BA$1=MONTH($AR32),
BA$1=MONTH($AS32)),
IF('CF USD'!$A$8="On",$L32,$K32)/T_Bonds[[#This Row],[Coupons per annum]],0)</f>
        <v>0</v>
      </c>
      <c r="BB32" s="25">
        <f>IF(
OR(
BB$1=MONTH($AP32),
BB$1=MONTH($AQ32),
BB$1=MONTH($AR32),
BB$1=MONTH($AS32)),
IF('CF USD'!$A$8="On",$L32,$K32)/T_Bonds[[#This Row],[Coupons per annum]],0)</f>
        <v>0</v>
      </c>
      <c r="BC32" s="25">
        <f>IF(
OR(
BC$1=MONTH($AP32),
BC$1=MONTH($AQ32),
BC$1=MONTH($AR32),
BC$1=MONTH($AS32)),
IF('CF USD'!$A$8="On",$L32,$K32)/T_Bonds[[#This Row],[Coupons per annum]],0)</f>
        <v>0</v>
      </c>
      <c r="BD32" s="25">
        <f>IF(
OR(
BD$1=MONTH($AP32),
BD$1=MONTH($AQ32),
BD$1=MONTH($AR32),
BD$1=MONTH($AS32)),
IF('CF USD'!$A$8="On",$L32,$K32)/T_Bonds[[#This Row],[Coupons per annum]],0)</f>
        <v>0</v>
      </c>
      <c r="BE32" s="25">
        <f>IF(
OR(
BE$1=MONTH($AP32),
BE$1=MONTH($AQ32),
BE$1=MONTH($AR32),
BE$1=MONTH($AS32)),
IF('CF USD'!$A$8="On",$L32,$K32)/T_Bonds[[#This Row],[Coupons per annum]],0)</f>
        <v>68500</v>
      </c>
      <c r="BF32">
        <f>DAY(T_Bonds[[#This Row],[Next coupon date]])</f>
        <v>5</v>
      </c>
    </row>
    <row r="33" spans="1:58" x14ac:dyDescent="0.25">
      <c r="A33" s="298" t="s">
        <v>91</v>
      </c>
      <c r="B33" s="203" t="s">
        <v>51</v>
      </c>
      <c r="C33" s="1" t="str">
        <f>IF(T_Bonds[[#This Row],[Call date]]&lt;&gt;"","Callable","Maturity")</f>
        <v>Maturity</v>
      </c>
      <c r="D33" s="1" t="s">
        <v>92</v>
      </c>
      <c r="E33" s="1" t="s">
        <v>18</v>
      </c>
      <c r="F33" s="22">
        <f>IFERROR(INDEX('V004'!D:E,MATCH(D33,'V004'!D:D,0),2),0)</f>
        <v>800000</v>
      </c>
      <c r="G33" s="22">
        <f>IFERROR(INDEX('V001'!D:E,MATCH(D33,'V001'!D:D,0),2),0)</f>
        <v>0</v>
      </c>
      <c r="H33" s="22">
        <f>IFERROR(INDEX(UBS!C:D,MATCH(D33,UBS!D:D,0),1),0)</f>
        <v>0</v>
      </c>
      <c r="I33" s="300">
        <f>SUM(T_Bonds[[#This Row],[V1412]:[UBS]])</f>
        <v>800000</v>
      </c>
      <c r="J33" s="76">
        <f t="shared" ref="J33:J39" si="13">LEFT(A33,FIND("%",A33,1))+1-1</f>
        <v>6.2640000000000029E-2</v>
      </c>
      <c r="K33" s="73">
        <f t="shared" si="1"/>
        <v>50112.000000000022</v>
      </c>
      <c r="L33" s="73">
        <f t="shared" si="2"/>
        <v>50112.000000000022</v>
      </c>
      <c r="M33" s="16">
        <v>55564</v>
      </c>
      <c r="N33" s="5">
        <f>IFERROR(INDEX(Cbonds!C:H,MATCH(D33,Cbonds!C:C,0),4)/100,0)</f>
        <v>7.0726756955240999E-2</v>
      </c>
      <c r="O33" s="6">
        <f>IFERROR(INDEX(Cbonds!C:H,MATCH(D33,Cbonds!C:C,0),5),0)</f>
        <v>12.075536582414999</v>
      </c>
      <c r="P33" s="91">
        <f>T_Bonds[[#This Row],[Market price]]-T_Bonds[[#This Row],[Cost price]]</f>
        <v>5.4398174999999882E-2</v>
      </c>
      <c r="Q33" s="91">
        <f>T_Bonds[[#This Row],[Coupon]]/T_Bonds[[#This Row],[Cost price]]</f>
        <v>7.0787513631808838E-2</v>
      </c>
      <c r="R33" s="108">
        <f t="shared" si="3"/>
        <v>56581.405564192799</v>
      </c>
      <c r="S33" s="222">
        <f>IFERROR(INDEX('V004'!D:J,MATCH(D33,'V004'!D:D,0),7),0)</f>
        <v>0.88490182500000003</v>
      </c>
      <c r="T33" s="222">
        <f>IFERROR(INDEX('V001'!D:J,MATCH(D33,'V001'!D:D,0),7),0)</f>
        <v>0</v>
      </c>
      <c r="U33" s="223">
        <f>IFERROR(S33*T_Bonds[[#This Row],[V1412]]/(T_Bonds[[#This Row],[V1412]]+T_Bonds[[#This Row],[V1430]])+T33*T_Bonds[[#This Row],[V1430]]/(T_Bonds[[#This Row],[V1412]]+T_Bonds[[#This Row],[V1430]]),0)</f>
        <v>0.88490182500000014</v>
      </c>
      <c r="V33" s="73">
        <f t="shared" si="4"/>
        <v>56630.010905447067</v>
      </c>
      <c r="W33" s="4" t="s">
        <v>257</v>
      </c>
      <c r="X33" s="299">
        <f>IFERROR(INDEX(Cbonds!C:AF,MATCH(D33,Cbonds!C:C,0),30)/100,0)</f>
        <v>0.93930000000000002</v>
      </c>
      <c r="Y33" s="4">
        <f>INDEX('Tech list'!A:C,MATCH(T_Bonds[[#This Row],[Risk CCY]],'Tech list'!A:A,0),3)</f>
        <v>1</v>
      </c>
      <c r="Z33" s="100">
        <f>T_Bonds[[#This Row],[Market price]]*T_Bonds[[#This Row],[Quantity]]</f>
        <v>751440</v>
      </c>
      <c r="AA33" s="73">
        <f t="shared" si="5"/>
        <v>751440</v>
      </c>
      <c r="AB33" s="73">
        <f ca="1">T_Bonds[[#This Row],[Market value in CCY]]+T_Bonds[[#This Row],[AI, CCY]]</f>
        <v>780254.4</v>
      </c>
      <c r="AC33" s="73">
        <f ca="1">T_Bonds[[#This Row],[Market value in USD]]+T_Bonds[[#This Row],[AI, USD]]</f>
        <v>780254.4</v>
      </c>
      <c r="AD33" s="73">
        <f t="shared" si="6"/>
        <v>707921.46000000008</v>
      </c>
      <c r="AE33" s="75">
        <f ca="1">(T_Bonds[[#This Row],[Coupon in Loc.Curr]]/T_Bonds[[#This Row],[Coupons per annum]])*((TODAY()-EDATE(T_Bonds[[#This Row],[Next coupon date]],-12/T_Bonds[[#This Row],[Coupons per annum]])))/(360/T_Bonds[[#This Row],[Coupons per annum]])</f>
        <v>28814.400000000009</v>
      </c>
      <c r="AF33" s="73">
        <f ca="1">T_Bonds[[#This Row],[AI, CCY]]*T_Bonds[[#This Row],[Exchange rate, N]]</f>
        <v>28814.400000000009</v>
      </c>
      <c r="AG33" s="311">
        <f>IFERROR(IF(INDEX(Cbonds!C:AC,MATCH(D33,Cbonds!C:C,0),27)&gt;5000,0,INDEX(Cbonds!C:AC,MATCH(D33,Cbonds!C:C,0),27)),0)</f>
        <v>257.98851212803999</v>
      </c>
      <c r="AH33" s="73">
        <v>75</v>
      </c>
      <c r="AK33" t="s">
        <v>295</v>
      </c>
      <c r="AL33" t="s">
        <v>259</v>
      </c>
      <c r="AM33" t="s">
        <v>2476</v>
      </c>
      <c r="AN33" t="s">
        <v>296</v>
      </c>
      <c r="AO33" s="320">
        <v>2</v>
      </c>
      <c r="AP33" s="17">
        <f>IFERROR(INDEX(Cbonds!C:H,MATCH(D33,Cbonds!C:C,0),3),0)</f>
        <v>46068</v>
      </c>
      <c r="AQ33" s="17">
        <f>EDATE(T_Bonds[[#This Row],[Next coupon date]],12/T_Bonds[[#This Row],[Coupons per annum]])</f>
        <v>46249</v>
      </c>
      <c r="AR33" s="17">
        <f>EDATE(T_Bonds[[#This Row],[Second next coupon date]],12/$AO33)</f>
        <v>46433</v>
      </c>
      <c r="AS33" s="17">
        <f>EDATE(T_Bonds[[#This Row],[Coupon date 3]],12/$AO33)</f>
        <v>46614</v>
      </c>
      <c r="AT33" s="25">
        <f>IF(
OR(
AT$1=MONTH($AP33),
AT$1=MONTH($AQ33),
AT$1=MONTH($AR33),
AT$1=MONTH($AS33)),
IF('CF USD'!$A$8="On",$L33,$K33)/T_Bonds[[#This Row],[Coupons per annum]],0)</f>
        <v>0</v>
      </c>
      <c r="AU33" s="25">
        <f>IF(
OR(
AU$1=MONTH($AP33),
AU$1=MONTH($AQ33),
AU$1=MONTH($AR33),
AU$1=MONTH($AS33)),
IF('CF USD'!$A$8="On",$L33,$K33)/T_Bonds[[#This Row],[Coupons per annum]],0)</f>
        <v>25056.000000000011</v>
      </c>
      <c r="AV33" s="25">
        <f>IF(
OR(
AV$1=MONTH($AP33),
AV$1=MONTH($AQ33),
AV$1=MONTH($AR33),
AV$1=MONTH($AS33)),
IF('CF USD'!$A$8="On",$L33,$K33)/T_Bonds[[#This Row],[Coupons per annum]],0)</f>
        <v>0</v>
      </c>
      <c r="AW33" s="25">
        <f>IF(
OR(
AW$1=MONTH($AP33),
AW$1=MONTH($AQ33),
AW$1=MONTH($AR33),
AW$1=MONTH($AS33)),
IF('CF USD'!$A$8="On",$L33,$K33)/T_Bonds[[#This Row],[Coupons per annum]],0)</f>
        <v>0</v>
      </c>
      <c r="AX33" s="25">
        <f>IF(
OR(
AX$1=MONTH($AP33),
AX$1=MONTH($AQ33),
AX$1=MONTH($AR33),
AX$1=MONTH($AS33)),
IF('CF USD'!$A$8="On",$L33,$K33)/T_Bonds[[#This Row],[Coupons per annum]],0)</f>
        <v>0</v>
      </c>
      <c r="AY33" s="25">
        <f>IF(
OR(
AY$1=MONTH($AP33),
AY$1=MONTH($AQ33),
AY$1=MONTH($AR33),
AY$1=MONTH($AS33)),
IF('CF USD'!$A$8="On",$L33,$K33)/T_Bonds[[#This Row],[Coupons per annum]],0)</f>
        <v>0</v>
      </c>
      <c r="AZ33" s="25">
        <f>IF(
OR(
AZ$1=MONTH($AP33),
AZ$1=MONTH($AQ33),
AZ$1=MONTH($AR33),
AZ$1=MONTH($AS33)),
IF('CF USD'!$A$8="On",$L33,$K33)/T_Bonds[[#This Row],[Coupons per annum]],0)</f>
        <v>0</v>
      </c>
      <c r="BA33" s="25">
        <f>IF(
OR(
BA$1=MONTH($AP33),
BA$1=MONTH($AQ33),
BA$1=MONTH($AR33),
BA$1=MONTH($AS33)),
IF('CF USD'!$A$8="On",$L33,$K33)/T_Bonds[[#This Row],[Coupons per annum]],0)</f>
        <v>25056.000000000011</v>
      </c>
      <c r="BB33" s="25">
        <f>IF(
OR(
BB$1=MONTH($AP33),
BB$1=MONTH($AQ33),
BB$1=MONTH($AR33),
BB$1=MONTH($AS33)),
IF('CF USD'!$A$8="On",$L33,$K33)/T_Bonds[[#This Row],[Coupons per annum]],0)</f>
        <v>0</v>
      </c>
      <c r="BC33" s="25">
        <f>IF(
OR(
BC$1=MONTH($AP33),
BC$1=MONTH($AQ33),
BC$1=MONTH($AR33),
BC$1=MONTH($AS33)),
IF('CF USD'!$A$8="On",$L33,$K33)/T_Bonds[[#This Row],[Coupons per annum]],0)</f>
        <v>0</v>
      </c>
      <c r="BD33" s="25">
        <f>IF(
OR(
BD$1=MONTH($AP33),
BD$1=MONTH($AQ33),
BD$1=MONTH($AR33),
BD$1=MONTH($AS33)),
IF('CF USD'!$A$8="On",$L33,$K33)/T_Bonds[[#This Row],[Coupons per annum]],0)</f>
        <v>0</v>
      </c>
      <c r="BE33" s="25">
        <f>IF(
OR(
BE$1=MONTH($AP33),
BE$1=MONTH($AQ33),
BE$1=MONTH($AR33),
BE$1=MONTH($AS33)),
IF('CF USD'!$A$8="On",$L33,$K33)/T_Bonds[[#This Row],[Coupons per annum]],0)</f>
        <v>0</v>
      </c>
      <c r="BF33">
        <f>DAY(T_Bonds[[#This Row],[Next coupon date]])</f>
        <v>15</v>
      </c>
    </row>
    <row r="34" spans="1:58" x14ac:dyDescent="0.25">
      <c r="A34" s="298" t="s">
        <v>93</v>
      </c>
      <c r="B34" s="203" t="s">
        <v>51</v>
      </c>
      <c r="C34" s="1" t="str">
        <f>IF(T_Bonds[[#This Row],[Call date]]&lt;&gt;"","Callable","Maturity")</f>
        <v>Maturity</v>
      </c>
      <c r="D34" s="1" t="s">
        <v>94</v>
      </c>
      <c r="E34" s="80" t="s">
        <v>18</v>
      </c>
      <c r="F34" s="22">
        <f>IFERROR(INDEX('V004'!D:E,MATCH(D34,'V004'!D:D,0),2),0)</f>
        <v>600000</v>
      </c>
      <c r="G34" s="22">
        <f>IFERROR(INDEX('V001'!D:E,MATCH(D34,'V001'!D:D,0),2),0)</f>
        <v>0</v>
      </c>
      <c r="H34" s="22">
        <f>IFERROR(INDEX(UBS!C:D,MATCH(D34,UBS!D:D,0),1),0)</f>
        <v>0</v>
      </c>
      <c r="I34" s="300">
        <f>SUM(T_Bonds[[#This Row],[V1412]:[UBS]])</f>
        <v>600000</v>
      </c>
      <c r="J34" s="198">
        <f t="shared" si="13"/>
        <v>7.4999999999999956E-2</v>
      </c>
      <c r="K34" s="73">
        <f t="shared" si="1"/>
        <v>44999.999999999971</v>
      </c>
      <c r="L34" s="73">
        <f t="shared" si="2"/>
        <v>44999.999999999971</v>
      </c>
      <c r="M34" s="16">
        <v>56371</v>
      </c>
      <c r="N34" s="5">
        <f>IFERROR(INDEX(Cbonds!C:H,MATCH(D34,Cbonds!C:C,0),4)/100,0)</f>
        <v>6.9266701323603005E-2</v>
      </c>
      <c r="O34" s="6">
        <f>IFERROR(INDEX(Cbonds!C:H,MATCH(D34,Cbonds!C:C,0),5),0)</f>
        <v>12.304013712762</v>
      </c>
      <c r="P34" s="91">
        <f>T_Bonds[[#This Row],[Market price]]-T_Bonds[[#This Row],[Cost price]]</f>
        <v>7.8205566666666559E-2</v>
      </c>
      <c r="Q34" s="91">
        <f>T_Bonds[[#This Row],[Coupon]]/T_Bonds[[#This Row],[Cost price]]</f>
        <v>7.443471055301909E-2</v>
      </c>
      <c r="R34" s="109">
        <f t="shared" si="3"/>
        <v>41560.020794161806</v>
      </c>
      <c r="S34" s="222">
        <f>IFERROR(INDEX('V004'!D:J,MATCH(D34,'V004'!D:D,0),7),0)</f>
        <v>1.0075944333333333</v>
      </c>
      <c r="T34" s="222">
        <f>IFERROR(INDEX('V001'!D:J,MATCH(D34,'V001'!D:D,0),7),0)</f>
        <v>0</v>
      </c>
      <c r="U34" s="223">
        <f>IFERROR(S34*T_Bonds[[#This Row],[V1412]]/(T_Bonds[[#This Row],[V1412]]+T_Bonds[[#This Row],[V1430]])+T34*T_Bonds[[#This Row],[V1430]]/(T_Bonds[[#This Row],[V1412]]+T_Bonds[[#This Row],[V1430]]),0)</f>
        <v>1.0075944333333333</v>
      </c>
      <c r="V34" s="100">
        <f t="shared" si="4"/>
        <v>44660.826331811455</v>
      </c>
      <c r="W34" s="4"/>
      <c r="X34" s="299">
        <f>IFERROR(INDEX(Cbonds!C:AF,MATCH(D34,Cbonds!C:C,0),30)/100,0)</f>
        <v>1.0857999999999999</v>
      </c>
      <c r="Y34" s="4">
        <f>INDEX('Tech list'!A:C,MATCH(T_Bonds[[#This Row],[Risk CCY]],'Tech list'!A:A,0),3)</f>
        <v>1</v>
      </c>
      <c r="Z34" s="105">
        <f>T_Bonds[[#This Row],[Market price]]*T_Bonds[[#This Row],[Quantity]]</f>
        <v>651479.99999999988</v>
      </c>
      <c r="AA34" s="105">
        <f t="shared" si="5"/>
        <v>651479.99999999988</v>
      </c>
      <c r="AB34" s="73">
        <f ca="1">T_Bonds[[#This Row],[Market value in CCY]]+T_Bonds[[#This Row],[AI, CCY]]</f>
        <v>667479.99999999988</v>
      </c>
      <c r="AC34" s="73">
        <f ca="1">T_Bonds[[#This Row],[Market value in USD]]+T_Bonds[[#This Row],[AI, USD]]</f>
        <v>667479.99999999988</v>
      </c>
      <c r="AD34" s="105">
        <f t="shared" si="6"/>
        <v>604556.66</v>
      </c>
      <c r="AE34" s="75">
        <f ca="1">(T_Bonds[[#This Row],[Coupon in Loc.Curr]]/T_Bonds[[#This Row],[Coupons per annum]])*((TODAY()-EDATE(T_Bonds[[#This Row],[Next coupon date]],-12/T_Bonds[[#This Row],[Coupons per annum]])))/(360/T_Bonds[[#This Row],[Coupons per annum]])</f>
        <v>15999.999999999989</v>
      </c>
      <c r="AF34" s="73">
        <f ca="1">T_Bonds[[#This Row],[AI, CCY]]*T_Bonds[[#This Row],[Exchange rate, N]]</f>
        <v>15999.999999999989</v>
      </c>
      <c r="AG34" s="311">
        <f>IFERROR(IF(INDEX(Cbonds!C:AC,MATCH(D34,Cbonds!C:C,0),27)&gt;5000,0,INDEX(Cbonds!C:AC,MATCH(D34,Cbonds!C:C,0),27)),0)</f>
        <v>241.71812813029001</v>
      </c>
      <c r="AH34" s="73">
        <v>30</v>
      </c>
      <c r="AJ34" s="74"/>
      <c r="AK34" t="s">
        <v>278</v>
      </c>
      <c r="AL34" t="s">
        <v>299</v>
      </c>
      <c r="AM34" t="s">
        <v>2477</v>
      </c>
      <c r="AN34" t="s">
        <v>300</v>
      </c>
      <c r="AO34" s="320">
        <v>2</v>
      </c>
      <c r="AP34" s="17">
        <f>IFERROR(INDEX(Cbonds!C:H,MATCH(D34,Cbonds!C:C,0),3),0)</f>
        <v>46144</v>
      </c>
      <c r="AQ34" s="17">
        <f>EDATE(T_Bonds[[#This Row],[Next coupon date]],12/T_Bonds[[#This Row],[Coupons per annum]])</f>
        <v>46328</v>
      </c>
      <c r="AR34" s="17">
        <f>EDATE(T_Bonds[[#This Row],[Second next coupon date]],12/$AO34)</f>
        <v>46509</v>
      </c>
      <c r="AS34" s="17">
        <f>EDATE(T_Bonds[[#This Row],[Coupon date 3]],12/$AO34)</f>
        <v>46693</v>
      </c>
      <c r="AT34" s="25">
        <f>IF(
OR(
AT$1=MONTH($AP34),
AT$1=MONTH($AQ34),
AT$1=MONTH($AR34),
AT$1=MONTH($AS34)),
IF('CF USD'!$A$8="On",$L34,$K34)/T_Bonds[[#This Row],[Coupons per annum]],0)</f>
        <v>0</v>
      </c>
      <c r="AU34" s="25">
        <f>IF(
OR(
AU$1=MONTH($AP34),
AU$1=MONTH($AQ34),
AU$1=MONTH($AR34),
AU$1=MONTH($AS34)),
IF('CF USD'!$A$8="On",$L34,$K34)/T_Bonds[[#This Row],[Coupons per annum]],0)</f>
        <v>0</v>
      </c>
      <c r="AV34" s="25">
        <f>IF(
OR(
AV$1=MONTH($AP34),
AV$1=MONTH($AQ34),
AV$1=MONTH($AR34),
AV$1=MONTH($AS34)),
IF('CF USD'!$A$8="On",$L34,$K34)/T_Bonds[[#This Row],[Coupons per annum]],0)</f>
        <v>0</v>
      </c>
      <c r="AW34" s="25">
        <f>IF(
OR(
AW$1=MONTH($AP34),
AW$1=MONTH($AQ34),
AW$1=MONTH($AR34),
AW$1=MONTH($AS34)),
IF('CF USD'!$A$8="On",$L34,$K34)/T_Bonds[[#This Row],[Coupons per annum]],0)</f>
        <v>0</v>
      </c>
      <c r="AX34" s="25">
        <f>IF(
OR(
AX$1=MONTH($AP34),
AX$1=MONTH($AQ34),
AX$1=MONTH($AR34),
AX$1=MONTH($AS34)),
IF('CF USD'!$A$8="On",$L34,$K34)/T_Bonds[[#This Row],[Coupons per annum]],0)</f>
        <v>22499.999999999985</v>
      </c>
      <c r="AY34" s="25">
        <f>IF(
OR(
AY$1=MONTH($AP34),
AY$1=MONTH($AQ34),
AY$1=MONTH($AR34),
AY$1=MONTH($AS34)),
IF('CF USD'!$A$8="On",$L34,$K34)/T_Bonds[[#This Row],[Coupons per annum]],0)</f>
        <v>0</v>
      </c>
      <c r="AZ34" s="25">
        <f>IF(
OR(
AZ$1=MONTH($AP34),
AZ$1=MONTH($AQ34),
AZ$1=MONTH($AR34),
AZ$1=MONTH($AS34)),
IF('CF USD'!$A$8="On",$L34,$K34)/T_Bonds[[#This Row],[Coupons per annum]],0)</f>
        <v>0</v>
      </c>
      <c r="BA34" s="25">
        <f>IF(
OR(
BA$1=MONTH($AP34),
BA$1=MONTH($AQ34),
BA$1=MONTH($AR34),
BA$1=MONTH($AS34)),
IF('CF USD'!$A$8="On",$L34,$K34)/T_Bonds[[#This Row],[Coupons per annum]],0)</f>
        <v>0</v>
      </c>
      <c r="BB34" s="25">
        <f>IF(
OR(
BB$1=MONTH($AP34),
BB$1=MONTH($AQ34),
BB$1=MONTH($AR34),
BB$1=MONTH($AS34)),
IF('CF USD'!$A$8="On",$L34,$K34)/T_Bonds[[#This Row],[Coupons per annum]],0)</f>
        <v>0</v>
      </c>
      <c r="BC34" s="25">
        <f>IF(
OR(
BC$1=MONTH($AP34),
BC$1=MONTH($AQ34),
BC$1=MONTH($AR34),
BC$1=MONTH($AS34)),
IF('CF USD'!$A$8="On",$L34,$K34)/T_Bonds[[#This Row],[Coupons per annum]],0)</f>
        <v>0</v>
      </c>
      <c r="BD34" s="25">
        <f>IF(
OR(
BD$1=MONTH($AP34),
BD$1=MONTH($AQ34),
BD$1=MONTH($AR34),
BD$1=MONTH($AS34)),
IF('CF USD'!$A$8="On",$L34,$K34)/T_Bonds[[#This Row],[Coupons per annum]],0)</f>
        <v>22499.999999999985</v>
      </c>
      <c r="BE34" s="25">
        <f>IF(
OR(
BE$1=MONTH($AP34),
BE$1=MONTH($AQ34),
BE$1=MONTH($AR34),
BE$1=MONTH($AS34)),
IF('CF USD'!$A$8="On",$L34,$K34)/T_Bonds[[#This Row],[Coupons per annum]],0)</f>
        <v>0</v>
      </c>
      <c r="BF34">
        <f>DAY(T_Bonds[[#This Row],[Next coupon date]])</f>
        <v>2</v>
      </c>
    </row>
    <row r="35" spans="1:58" x14ac:dyDescent="0.25">
      <c r="A35" s="298" t="s">
        <v>95</v>
      </c>
      <c r="B35" s="203" t="s">
        <v>51</v>
      </c>
      <c r="C35" s="1" t="str">
        <f>IF(T_Bonds[[#This Row],[Call date]]&lt;&gt;"","Callable","Maturity")</f>
        <v>Maturity</v>
      </c>
      <c r="D35" s="1" t="s">
        <v>96</v>
      </c>
      <c r="E35" s="1" t="s">
        <v>18</v>
      </c>
      <c r="F35" s="22">
        <f>IFERROR(INDEX('V004'!D:E,MATCH(D35,'V004'!D:D,0),2),0)</f>
        <v>1100000</v>
      </c>
      <c r="G35" s="22">
        <f>IFERROR(INDEX('V001'!D:E,MATCH(D35,'V001'!D:D,0),2),0)</f>
        <v>0</v>
      </c>
      <c r="H35" s="22">
        <f>IFERROR(INDEX(UBS!C:D,MATCH(D35,UBS!D:D,0),1),0)</f>
        <v>0</v>
      </c>
      <c r="I35" s="300">
        <f>SUM(T_Bonds[[#This Row],[V1412]:[UBS]])</f>
        <v>1100000</v>
      </c>
      <c r="J35" s="76">
        <f t="shared" si="13"/>
        <v>5.7500000000000107E-2</v>
      </c>
      <c r="K35" s="73">
        <f t="shared" si="1"/>
        <v>63250.000000000116</v>
      </c>
      <c r="L35" s="73">
        <f t="shared" si="2"/>
        <v>63250.000000000116</v>
      </c>
      <c r="M35" s="16">
        <v>55052</v>
      </c>
      <c r="N35" s="5">
        <f>IFERROR(INDEX(Cbonds!C:H,MATCH(D35,Cbonds!C:C,0),4)/100,0)</f>
        <v>7.4558883862209005E-2</v>
      </c>
      <c r="O35" s="6">
        <f>IFERROR(INDEX(Cbonds!C:H,MATCH(D35,Cbonds!C:C,0),5),0)</f>
        <v>11.863270241415</v>
      </c>
      <c r="P35" s="91">
        <f>T_Bonds[[#This Row],[Market price]]-T_Bonds[[#This Row],[Cost price]]</f>
        <v>8.0099318181818258E-2</v>
      </c>
      <c r="Q35" s="91">
        <f>T_Bonds[[#This Row],[Coupon]]/T_Bonds[[#This Row],[Cost price]]</f>
        <v>7.6825369255216158E-2</v>
      </c>
      <c r="R35" s="108">
        <f t="shared" si="3"/>
        <v>82014.772248429901</v>
      </c>
      <c r="S35" s="222">
        <f>IFERROR(INDEX('V004'!D:J,MATCH(D35,'V004'!D:D,0),7),0)</f>
        <v>0.74845068181818175</v>
      </c>
      <c r="T35" s="222">
        <f>IFERROR(INDEX('V001'!D:J,MATCH(D35,'V001'!D:D,0),7),0)</f>
        <v>0</v>
      </c>
      <c r="U35" s="223">
        <f>IFERROR(S35*T_Bonds[[#This Row],[V1412]]/(T_Bonds[[#This Row],[V1412]]+T_Bonds[[#This Row],[V1430]])+T35*T_Bonds[[#This Row],[V1430]]/(T_Bonds[[#This Row],[V1412]]+T_Bonds[[#This Row],[V1430]]),0)</f>
        <v>0.74845068181818175</v>
      </c>
      <c r="V35" s="73">
        <f t="shared" si="4"/>
        <v>84507.906180737758</v>
      </c>
      <c r="W35" s="4"/>
      <c r="X35" s="299">
        <f>IFERROR(INDEX(Cbonds!C:AF,MATCH(D35,Cbonds!C:C,0),30)/100,0)</f>
        <v>0.82855000000000001</v>
      </c>
      <c r="Y35" s="4">
        <f>INDEX('Tech list'!A:C,MATCH(T_Bonds[[#This Row],[Risk CCY]],'Tech list'!A:A,0),3)</f>
        <v>1</v>
      </c>
      <c r="Z35" s="100">
        <f>T_Bonds[[#This Row],[Market price]]*T_Bonds[[#This Row],[Quantity]]</f>
        <v>911405</v>
      </c>
      <c r="AA35" s="73">
        <f t="shared" si="5"/>
        <v>911405</v>
      </c>
      <c r="AB35" s="73">
        <f ca="1">T_Bonds[[#This Row],[Market value in CCY]]+T_Bonds[[#This Row],[AI, CCY]]</f>
        <v>941273.05555555562</v>
      </c>
      <c r="AC35" s="73">
        <f ca="1">T_Bonds[[#This Row],[Market value in USD]]+T_Bonds[[#This Row],[AI, USD]]</f>
        <v>941273.05555555562</v>
      </c>
      <c r="AD35" s="73">
        <f t="shared" si="6"/>
        <v>823295.74999999988</v>
      </c>
      <c r="AE35" s="75">
        <f ca="1">(T_Bonds[[#This Row],[Coupon in Loc.Curr]]/T_Bonds[[#This Row],[Coupons per annum]])*((TODAY()-EDATE(T_Bonds[[#This Row],[Next coupon date]],-12/T_Bonds[[#This Row],[Coupons per annum]])))/(360/T_Bonds[[#This Row],[Coupons per annum]])</f>
        <v>29868.055555555613</v>
      </c>
      <c r="AF35" s="73">
        <f ca="1">T_Bonds[[#This Row],[AI, CCY]]*T_Bonds[[#This Row],[Exchange rate, N]]</f>
        <v>29868.055555555613</v>
      </c>
      <c r="AG35" s="311">
        <f>IFERROR(IF(INDEX(Cbonds!C:AC,MATCH(D35,Cbonds!C:C,0),27)&gt;5000,0,INDEX(Cbonds!C:AC,MATCH(D35,Cbonds!C:C,0),27)),0)</f>
        <v>297.8905805334</v>
      </c>
      <c r="AH35" s="73">
        <v>30</v>
      </c>
      <c r="AK35" t="s">
        <v>284</v>
      </c>
      <c r="AL35" t="s">
        <v>276</v>
      </c>
      <c r="AM35" t="s">
        <v>2476</v>
      </c>
      <c r="AN35" t="s">
        <v>301</v>
      </c>
      <c r="AO35" s="320">
        <v>2</v>
      </c>
      <c r="AP35" s="17">
        <f>IFERROR(INDEX(Cbonds!C:H,MATCH(D35,Cbonds!C:C,0),3),0)</f>
        <v>46102</v>
      </c>
      <c r="AQ35" s="17">
        <f>EDATE(T_Bonds[[#This Row],[Next coupon date]],12/T_Bonds[[#This Row],[Coupons per annum]])</f>
        <v>46286</v>
      </c>
      <c r="AR35" s="17">
        <f>EDATE(T_Bonds[[#This Row],[Second next coupon date]],12/$AO35)</f>
        <v>46467</v>
      </c>
      <c r="AS35" s="17">
        <f>EDATE(T_Bonds[[#This Row],[Coupon date 3]],12/$AO35)</f>
        <v>46651</v>
      </c>
      <c r="AT35" s="25">
        <f>IF(
OR(
AT$1=MONTH($AP35),
AT$1=MONTH($AQ35),
AT$1=MONTH($AR35),
AT$1=MONTH($AS35)),
IF('CF USD'!$A$8="On",$L35,$K35)/T_Bonds[[#This Row],[Coupons per annum]],0)</f>
        <v>0</v>
      </c>
      <c r="AU35" s="25">
        <f>IF(
OR(
AU$1=MONTH($AP35),
AU$1=MONTH($AQ35),
AU$1=MONTH($AR35),
AU$1=MONTH($AS35)),
IF('CF USD'!$A$8="On",$L35,$K35)/T_Bonds[[#This Row],[Coupons per annum]],0)</f>
        <v>0</v>
      </c>
      <c r="AV35" s="25">
        <f>IF(
OR(
AV$1=MONTH($AP35),
AV$1=MONTH($AQ35),
AV$1=MONTH($AR35),
AV$1=MONTH($AS35)),
IF('CF USD'!$A$8="On",$L35,$K35)/T_Bonds[[#This Row],[Coupons per annum]],0)</f>
        <v>31625.000000000058</v>
      </c>
      <c r="AW35" s="25">
        <f>IF(
OR(
AW$1=MONTH($AP35),
AW$1=MONTH($AQ35),
AW$1=MONTH($AR35),
AW$1=MONTH($AS35)),
IF('CF USD'!$A$8="On",$L35,$K35)/T_Bonds[[#This Row],[Coupons per annum]],0)</f>
        <v>0</v>
      </c>
      <c r="AX35" s="25">
        <f>IF(
OR(
AX$1=MONTH($AP35),
AX$1=MONTH($AQ35),
AX$1=MONTH($AR35),
AX$1=MONTH($AS35)),
IF('CF USD'!$A$8="On",$L35,$K35)/T_Bonds[[#This Row],[Coupons per annum]],0)</f>
        <v>0</v>
      </c>
      <c r="AY35" s="25">
        <f>IF(
OR(
AY$1=MONTH($AP35),
AY$1=MONTH($AQ35),
AY$1=MONTH($AR35),
AY$1=MONTH($AS35)),
IF('CF USD'!$A$8="On",$L35,$K35)/T_Bonds[[#This Row],[Coupons per annum]],0)</f>
        <v>0</v>
      </c>
      <c r="AZ35" s="25">
        <f>IF(
OR(
AZ$1=MONTH($AP35),
AZ$1=MONTH($AQ35),
AZ$1=MONTH($AR35),
AZ$1=MONTH($AS35)),
IF('CF USD'!$A$8="On",$L35,$K35)/T_Bonds[[#This Row],[Coupons per annum]],0)</f>
        <v>0</v>
      </c>
      <c r="BA35" s="25">
        <f>IF(
OR(
BA$1=MONTH($AP35),
BA$1=MONTH($AQ35),
BA$1=MONTH($AR35),
BA$1=MONTH($AS35)),
IF('CF USD'!$A$8="On",$L35,$K35)/T_Bonds[[#This Row],[Coupons per annum]],0)</f>
        <v>0</v>
      </c>
      <c r="BB35" s="25">
        <f>IF(
OR(
BB$1=MONTH($AP35),
BB$1=MONTH($AQ35),
BB$1=MONTH($AR35),
BB$1=MONTH($AS35)),
IF('CF USD'!$A$8="On",$L35,$K35)/T_Bonds[[#This Row],[Coupons per annum]],0)</f>
        <v>31625.000000000058</v>
      </c>
      <c r="BC35" s="25">
        <f>IF(
OR(
BC$1=MONTH($AP35),
BC$1=MONTH($AQ35),
BC$1=MONTH($AR35),
BC$1=MONTH($AS35)),
IF('CF USD'!$A$8="On",$L35,$K35)/T_Bonds[[#This Row],[Coupons per annum]],0)</f>
        <v>0</v>
      </c>
      <c r="BD35" s="25">
        <f>IF(
OR(
BD$1=MONTH($AP35),
BD$1=MONTH($AQ35),
BD$1=MONTH($AR35),
BD$1=MONTH($AS35)),
IF('CF USD'!$A$8="On",$L35,$K35)/T_Bonds[[#This Row],[Coupons per annum]],0)</f>
        <v>0</v>
      </c>
      <c r="BE35" s="25">
        <f>IF(
OR(
BE$1=MONTH($AP35),
BE$1=MONTH($AQ35),
BE$1=MONTH($AR35),
BE$1=MONTH($AS35)),
IF('CF USD'!$A$8="On",$L35,$K35)/T_Bonds[[#This Row],[Coupons per annum]],0)</f>
        <v>0</v>
      </c>
      <c r="BF35">
        <f>DAY(T_Bonds[[#This Row],[Next coupon date]])</f>
        <v>21</v>
      </c>
    </row>
    <row r="36" spans="1:58" x14ac:dyDescent="0.25">
      <c r="A36" s="298" t="s">
        <v>97</v>
      </c>
      <c r="B36" s="203" t="s">
        <v>51</v>
      </c>
      <c r="C36" s="1" t="str">
        <f>IF(T_Bonds[[#This Row],[Call date]]&lt;&gt;"","Callable","Maturity")</f>
        <v>Maturity</v>
      </c>
      <c r="D36" s="1" t="s">
        <v>98</v>
      </c>
      <c r="E36" s="1" t="s">
        <v>18</v>
      </c>
      <c r="F36" s="22">
        <f>IFERROR(INDEX('V004'!D:E,MATCH(D36,'V004'!D:D,0),2),0)</f>
        <v>600000</v>
      </c>
      <c r="G36" s="22">
        <f>IFERROR(INDEX('V001'!D:E,MATCH(D36,'V001'!D:D,0),2),0)</f>
        <v>600000</v>
      </c>
      <c r="H36" s="22">
        <f>IFERROR(INDEX(UBS!C:D,MATCH(D36,UBS!D:D,0),1),0)</f>
        <v>0</v>
      </c>
      <c r="I36" s="300">
        <f>SUM(T_Bonds[[#This Row],[V1412]:[UBS]])</f>
        <v>1200000</v>
      </c>
      <c r="J36" s="76">
        <f t="shared" si="13"/>
        <v>6.8750000000000089E-2</v>
      </c>
      <c r="K36" s="73">
        <f t="shared" si="1"/>
        <v>82500.000000000102</v>
      </c>
      <c r="L36" s="73">
        <f t="shared" si="2"/>
        <v>82500.000000000102</v>
      </c>
      <c r="M36" s="16">
        <v>52712</v>
      </c>
      <c r="N36" s="5">
        <f>IFERROR(INDEX(Cbonds!C:H,MATCH(D36,Cbonds!C:C,0),4)/100,0)</f>
        <v>6.7058149295450009E-2</v>
      </c>
      <c r="O36" s="6">
        <f>IFERROR(INDEX(Cbonds!C:H,MATCH(D36,Cbonds!C:C,0),5),0)</f>
        <v>10.446439200152</v>
      </c>
      <c r="P36" s="91">
        <f>T_Bonds[[#This Row],[Market price]]-T_Bonds[[#This Row],[Cost price]]</f>
        <v>7.6188383333333443E-2</v>
      </c>
      <c r="Q36" s="91">
        <f>T_Bonds[[#This Row],[Coupon]]/T_Bonds[[#This Row],[Cost price]]</f>
        <v>7.1595072433125392E-2</v>
      </c>
      <c r="R36" s="108">
        <f t="shared" si="3"/>
        <v>80469.77915454001</v>
      </c>
      <c r="S36" s="222">
        <f>IFERROR(INDEX('V004'!D:J,MATCH(D36,'V004'!D:D,0),7),0)</f>
        <v>0.9385578</v>
      </c>
      <c r="T36" s="222">
        <f>IFERROR(INDEX('V001'!D:J,MATCH(D36,'V001'!D:D,0),7),0)</f>
        <v>0.98196543333333342</v>
      </c>
      <c r="U36" s="223">
        <f>IFERROR(S36*T_Bonds[[#This Row],[V1412]]/(T_Bonds[[#This Row],[V1412]]+T_Bonds[[#This Row],[V1430]])+T36*T_Bonds[[#This Row],[V1430]]/(T_Bonds[[#This Row],[V1412]]+T_Bonds[[#This Row],[V1430]]),0)</f>
        <v>0.96026161666666665</v>
      </c>
      <c r="V36" s="73">
        <f t="shared" si="4"/>
        <v>85914.086919750465</v>
      </c>
      <c r="W36" s="4"/>
      <c r="X36" s="299">
        <f>IFERROR(INDEX(Cbonds!C:AF,MATCH(D36,Cbonds!C:C,0),30)/100,0)</f>
        <v>1.0364500000000001</v>
      </c>
      <c r="Y36" s="4">
        <f>INDEX('Tech list'!A:C,MATCH(T_Bonds[[#This Row],[Risk CCY]],'Tech list'!A:A,0),3)</f>
        <v>1</v>
      </c>
      <c r="Z36" s="100">
        <f>T_Bonds[[#This Row],[Market price]]*T_Bonds[[#This Row],[Quantity]]</f>
        <v>1243740</v>
      </c>
      <c r="AA36" s="73">
        <f t="shared" si="5"/>
        <v>1243740</v>
      </c>
      <c r="AB36" s="73">
        <f ca="1">T_Bonds[[#This Row],[Market value in CCY]]+T_Bonds[[#This Row],[AI, CCY]]</f>
        <v>1274906.6666666667</v>
      </c>
      <c r="AC36" s="73">
        <f ca="1">T_Bonds[[#This Row],[Market value in USD]]+T_Bonds[[#This Row],[AI, USD]]</f>
        <v>1274906.6666666667</v>
      </c>
      <c r="AD36" s="73">
        <f t="shared" si="6"/>
        <v>1152313.94</v>
      </c>
      <c r="AE36" s="75">
        <f ca="1">(T_Bonds[[#This Row],[Coupon in Loc.Curr]]/T_Bonds[[#This Row],[Coupons per annum]])*((TODAY()-EDATE(T_Bonds[[#This Row],[Next coupon date]],-12/T_Bonds[[#This Row],[Coupons per annum]])))/(360/T_Bonds[[#This Row],[Coupons per annum]])</f>
        <v>31166.666666666704</v>
      </c>
      <c r="AF36" s="73">
        <f ca="1">T_Bonds[[#This Row],[AI, CCY]]*T_Bonds[[#This Row],[Exchange rate, N]]</f>
        <v>31166.666666666704</v>
      </c>
      <c r="AG36" s="311">
        <f>IFERROR(IF(INDEX(Cbonds!C:AC,MATCH(D36,Cbonds!C:C,0),27)&gt;5000,0,INDEX(Cbonds!C:AC,MATCH(D36,Cbonds!C:C,0),27)),0)</f>
        <v>234.16934892930999</v>
      </c>
      <c r="AH36" s="73">
        <v>30</v>
      </c>
      <c r="AK36" t="s">
        <v>278</v>
      </c>
      <c r="AL36" t="s">
        <v>299</v>
      </c>
      <c r="AM36" t="s">
        <v>2477</v>
      </c>
      <c r="AN36" t="s">
        <v>300</v>
      </c>
      <c r="AO36" s="320">
        <v>2</v>
      </c>
      <c r="AP36" s="17">
        <f>IFERROR(INDEX(Cbonds!C:H,MATCH(D36,Cbonds!C:C,0),3),0)</f>
        <v>46137</v>
      </c>
      <c r="AQ36" s="17">
        <f>EDATE(T_Bonds[[#This Row],[Next coupon date]],12/T_Bonds[[#This Row],[Coupons per annum]])</f>
        <v>46320</v>
      </c>
      <c r="AR36" s="17">
        <f>EDATE(T_Bonds[[#This Row],[Second next coupon date]],12/$AO36)</f>
        <v>46502</v>
      </c>
      <c r="AS36" s="17">
        <f>EDATE(T_Bonds[[#This Row],[Coupon date 3]],12/$AO36)</f>
        <v>46685</v>
      </c>
      <c r="AT36" s="25">
        <f>IF(
OR(
AT$1=MONTH($AP36),
AT$1=MONTH($AQ36),
AT$1=MONTH($AR36),
AT$1=MONTH($AS36)),
IF('CF USD'!$A$8="On",$L36,$K36)/T_Bonds[[#This Row],[Coupons per annum]],0)</f>
        <v>0</v>
      </c>
      <c r="AU36" s="25">
        <f>IF(
OR(
AU$1=MONTH($AP36),
AU$1=MONTH($AQ36),
AU$1=MONTH($AR36),
AU$1=MONTH($AS36)),
IF('CF USD'!$A$8="On",$L36,$K36)/T_Bonds[[#This Row],[Coupons per annum]],0)</f>
        <v>0</v>
      </c>
      <c r="AV36" s="25">
        <f>IF(
OR(
AV$1=MONTH($AP36),
AV$1=MONTH($AQ36),
AV$1=MONTH($AR36),
AV$1=MONTH($AS36)),
IF('CF USD'!$A$8="On",$L36,$K36)/T_Bonds[[#This Row],[Coupons per annum]],0)</f>
        <v>0</v>
      </c>
      <c r="AW36" s="25">
        <f>IF(
OR(
AW$1=MONTH($AP36),
AW$1=MONTH($AQ36),
AW$1=MONTH($AR36),
AW$1=MONTH($AS36)),
IF('CF USD'!$A$8="On",$L36,$K36)/T_Bonds[[#This Row],[Coupons per annum]],0)</f>
        <v>41250.000000000051</v>
      </c>
      <c r="AX36" s="25">
        <f>IF(
OR(
AX$1=MONTH($AP36),
AX$1=MONTH($AQ36),
AX$1=MONTH($AR36),
AX$1=MONTH($AS36)),
IF('CF USD'!$A$8="On",$L36,$K36)/T_Bonds[[#This Row],[Coupons per annum]],0)</f>
        <v>0</v>
      </c>
      <c r="AY36" s="25">
        <f>IF(
OR(
AY$1=MONTH($AP36),
AY$1=MONTH($AQ36),
AY$1=MONTH($AR36),
AY$1=MONTH($AS36)),
IF('CF USD'!$A$8="On",$L36,$K36)/T_Bonds[[#This Row],[Coupons per annum]],0)</f>
        <v>0</v>
      </c>
      <c r="AZ36" s="25">
        <f>IF(
OR(
AZ$1=MONTH($AP36),
AZ$1=MONTH($AQ36),
AZ$1=MONTH($AR36),
AZ$1=MONTH($AS36)),
IF('CF USD'!$A$8="On",$L36,$K36)/T_Bonds[[#This Row],[Coupons per annum]],0)</f>
        <v>0</v>
      </c>
      <c r="BA36" s="25">
        <f>IF(
OR(
BA$1=MONTH($AP36),
BA$1=MONTH($AQ36),
BA$1=MONTH($AR36),
BA$1=MONTH($AS36)),
IF('CF USD'!$A$8="On",$L36,$K36)/T_Bonds[[#This Row],[Coupons per annum]],0)</f>
        <v>0</v>
      </c>
      <c r="BB36" s="25">
        <f>IF(
OR(
BB$1=MONTH($AP36),
BB$1=MONTH($AQ36),
BB$1=MONTH($AR36),
BB$1=MONTH($AS36)),
IF('CF USD'!$A$8="On",$L36,$K36)/T_Bonds[[#This Row],[Coupons per annum]],0)</f>
        <v>0</v>
      </c>
      <c r="BC36" s="25">
        <f>IF(
OR(
BC$1=MONTH($AP36),
BC$1=MONTH($AQ36),
BC$1=MONTH($AR36),
BC$1=MONTH($AS36)),
IF('CF USD'!$A$8="On",$L36,$K36)/T_Bonds[[#This Row],[Coupons per annum]],0)</f>
        <v>41250.000000000051</v>
      </c>
      <c r="BD36" s="25">
        <f>IF(
OR(
BD$1=MONTH($AP36),
BD$1=MONTH($AQ36),
BD$1=MONTH($AR36),
BD$1=MONTH($AS36)),
IF('CF USD'!$A$8="On",$L36,$K36)/T_Bonds[[#This Row],[Coupons per annum]],0)</f>
        <v>0</v>
      </c>
      <c r="BE36" s="25">
        <f>IF(
OR(
BE$1=MONTH($AP36),
BE$1=MONTH($AQ36),
BE$1=MONTH($AR36),
BE$1=MONTH($AS36)),
IF('CF USD'!$A$8="On",$L36,$K36)/T_Bonds[[#This Row],[Coupons per annum]],0)</f>
        <v>0</v>
      </c>
      <c r="BF36">
        <f>DAY(T_Bonds[[#This Row],[Next coupon date]])</f>
        <v>25</v>
      </c>
    </row>
    <row r="37" spans="1:58" x14ac:dyDescent="0.25">
      <c r="A37" s="298" t="s">
        <v>99</v>
      </c>
      <c r="B37" s="203" t="s">
        <v>51</v>
      </c>
      <c r="C37" s="1" t="str">
        <f>IF(T_Bonds[[#This Row],[Call date]]&lt;&gt;"","Callable","Maturity")</f>
        <v>Callable</v>
      </c>
      <c r="D37" s="1" t="s">
        <v>100</v>
      </c>
      <c r="E37" s="1" t="s">
        <v>19</v>
      </c>
      <c r="F37" s="22">
        <f>IFERROR(INDEX('V004'!D:E,MATCH(D37,'V004'!D:D,0),2),0)</f>
        <v>1200000</v>
      </c>
      <c r="G37" s="22">
        <f>IFERROR(INDEX('V001'!D:E,MATCH(D37,'V001'!D:D,0),2),0)</f>
        <v>0</v>
      </c>
      <c r="H37" s="22">
        <f>IFERROR(INDEX(UBS!C:D,MATCH(D37,UBS!D:D,0),1),0)</f>
        <v>0</v>
      </c>
      <c r="I37" s="300">
        <f>SUM(T_Bonds[[#This Row],[V1412]:[UBS]])</f>
        <v>1200000</v>
      </c>
      <c r="J37" s="98">
        <f t="shared" si="13"/>
        <v>7.3749999999999982E-2</v>
      </c>
      <c r="K37" s="100">
        <f t="shared" si="1"/>
        <v>88499.999999999985</v>
      </c>
      <c r="L37" s="100">
        <f t="shared" ca="1" si="2"/>
        <v>118359.89999999998</v>
      </c>
      <c r="M37" s="16"/>
      <c r="N37" s="5">
        <f>IFERROR(INDEX(Cbonds!C:H,MATCH(D37,Cbonds!C:C,0),4)/100,0)</f>
        <v>6.9940199349574003E-2</v>
      </c>
      <c r="O37" s="6">
        <f>IFERROR(INDEX(Cbonds!C:H,MATCH(D37,Cbonds!C:C,0),5),0)</f>
        <v>6.8068904193583997</v>
      </c>
      <c r="P37" s="91">
        <f>T_Bonds[[#This Row],[Market price]]-T_Bonds[[#This Row],[Cost price]]</f>
        <v>1.1583558333333244E-2</v>
      </c>
      <c r="Q37" s="91">
        <f>T_Bonds[[#This Row],[Coupon]]/T_Bonds[[#This Row],[Cost price]]</f>
        <v>7.206255146721674E-2</v>
      </c>
      <c r="R37" s="109">
        <f t="shared" si="3"/>
        <v>83928.239219488809</v>
      </c>
      <c r="S37" s="222">
        <f>IFERROR(INDEX('V004'!D:J,MATCH(D37,'V004'!D:D,0),7),0)</f>
        <v>1.0234164416666667</v>
      </c>
      <c r="T37" s="222">
        <f>IFERROR(INDEX('V001'!D:J,MATCH(D37,'V001'!D:D,0),7),0)</f>
        <v>0</v>
      </c>
      <c r="U37" s="223">
        <f>IFERROR(S37*T_Bonds[[#This Row],[V1412]]/(T_Bonds[[#This Row],[V1412]]+T_Bonds[[#This Row],[V1430]])+T37*T_Bonds[[#This Row],[V1430]]/(T_Bonds[[#This Row],[V1412]]+T_Bonds[[#This Row],[V1430]]),0)</f>
        <v>1.0234164416666667</v>
      </c>
      <c r="V37" s="100">
        <f t="shared" si="4"/>
        <v>86475.061760660086</v>
      </c>
      <c r="W37" s="4">
        <v>1.3198000000000001</v>
      </c>
      <c r="X37" s="299">
        <f>IFERROR(INDEX(Cbonds!C:AF,MATCH(D37,Cbonds!C:C,0),30)/100,0)</f>
        <v>1.0349999999999999</v>
      </c>
      <c r="Y37" s="4">
        <f ca="1">INDEX('Tech list'!A:C,MATCH(T_Bonds[[#This Row],[Risk CCY]],'Tech list'!A:A,0),3)</f>
        <v>1.3373999999999999</v>
      </c>
      <c r="Z37" s="97">
        <f>T_Bonds[[#This Row],[Market price]]*T_Bonds[[#This Row],[Quantity]]</f>
        <v>1242000</v>
      </c>
      <c r="AA37" s="106">
        <f t="shared" ca="1" si="5"/>
        <v>1661050.7999999998</v>
      </c>
      <c r="AB37" s="73">
        <f ca="1">T_Bonds[[#This Row],[Market value in CCY]]+T_Bonds[[#This Row],[AI, CCY]]</f>
        <v>1284775</v>
      </c>
      <c r="AC37" s="73">
        <f ca="1">T_Bonds[[#This Row],[Market value in USD]]+T_Bonds[[#This Row],[AI, USD]]</f>
        <v>1718258.0849999997</v>
      </c>
      <c r="AD37" s="97">
        <f t="shared" si="6"/>
        <v>1228099.73</v>
      </c>
      <c r="AE37" s="75">
        <f ca="1">(T_Bonds[[#This Row],[Coupon in Loc.Curr]]/T_Bonds[[#This Row],[Coupons per annum]])*((TODAY()-EDATE(T_Bonds[[#This Row],[Next coupon date]],-12/T_Bonds[[#This Row],[Coupons per annum]])))/(360/T_Bonds[[#This Row],[Coupons per annum]])</f>
        <v>42774.999999999993</v>
      </c>
      <c r="AF37" s="73">
        <f ca="1">T_Bonds[[#This Row],[AI, CCY]]*T_Bonds[[#This Row],[Exchange rate, N]]</f>
        <v>57207.284999999989</v>
      </c>
      <c r="AG37" s="311">
        <f>IFERROR(IF(INDEX(Cbonds!C:AC,MATCH(D37,Cbonds!C:C,0),27)&gt;5000,0,INDEX(Cbonds!C:AC,MATCH(D37,Cbonds!C:C,0),27)),0)</f>
        <v>0</v>
      </c>
      <c r="AH37" s="73">
        <v>5</v>
      </c>
      <c r="AI37" s="17">
        <v>49571</v>
      </c>
      <c r="AJ37" s="10">
        <v>3.7749999999999999E-2</v>
      </c>
      <c r="AK37" s="78" t="s">
        <v>295</v>
      </c>
      <c r="AL37" s="78" t="s">
        <v>302</v>
      </c>
      <c r="AM37" t="s">
        <v>2475</v>
      </c>
      <c r="AN37" s="78" t="s">
        <v>303</v>
      </c>
      <c r="AO37" s="320">
        <v>2</v>
      </c>
      <c r="AP37" s="17">
        <f>IFERROR(INDEX(Cbonds!C:H,MATCH(D37,Cbonds!C:C,0),3),0)</f>
        <v>46098</v>
      </c>
      <c r="AQ37" s="17">
        <f>EDATE(T_Bonds[[#This Row],[Next coupon date]],12/T_Bonds[[#This Row],[Coupons per annum]])</f>
        <v>46282</v>
      </c>
      <c r="AR37" s="17">
        <f>EDATE(T_Bonds[[#This Row],[Second next coupon date]],12/$AO37)</f>
        <v>46463</v>
      </c>
      <c r="AS37" s="17">
        <f>EDATE(T_Bonds[[#This Row],[Coupon date 3]],12/$AO37)</f>
        <v>46647</v>
      </c>
      <c r="AT37" s="25">
        <f>IF(
OR(
AT$1=MONTH($AP37),
AT$1=MONTH($AQ37),
AT$1=MONTH($AR37),
AT$1=MONTH($AS37)),
IF('CF USD'!$A$8="On",$L37,$K37)/T_Bonds[[#This Row],[Coupons per annum]],0)</f>
        <v>0</v>
      </c>
      <c r="AU37" s="25">
        <f>IF(
OR(
AU$1=MONTH($AP37),
AU$1=MONTH($AQ37),
AU$1=MONTH($AR37),
AU$1=MONTH($AS37)),
IF('CF USD'!$A$8="On",$L37,$K37)/T_Bonds[[#This Row],[Coupons per annum]],0)</f>
        <v>0</v>
      </c>
      <c r="AV37" s="25">
        <f>IF(
OR(
AV$1=MONTH($AP37),
AV$1=MONTH($AQ37),
AV$1=MONTH($AR37),
AV$1=MONTH($AS37)),
IF('CF USD'!$A$8="On",$L37,$K37)/T_Bonds[[#This Row],[Coupons per annum]],0)</f>
        <v>44249.999999999993</v>
      </c>
      <c r="AW37" s="25">
        <f>IF(
OR(
AW$1=MONTH($AP37),
AW$1=MONTH($AQ37),
AW$1=MONTH($AR37),
AW$1=MONTH($AS37)),
IF('CF USD'!$A$8="On",$L37,$K37)/T_Bonds[[#This Row],[Coupons per annum]],0)</f>
        <v>0</v>
      </c>
      <c r="AX37" s="25">
        <f>IF(
OR(
AX$1=MONTH($AP37),
AX$1=MONTH($AQ37),
AX$1=MONTH($AR37),
AX$1=MONTH($AS37)),
IF('CF USD'!$A$8="On",$L37,$K37)/T_Bonds[[#This Row],[Coupons per annum]],0)</f>
        <v>0</v>
      </c>
      <c r="AY37" s="25">
        <f>IF(
OR(
AY$1=MONTH($AP37),
AY$1=MONTH($AQ37),
AY$1=MONTH($AR37),
AY$1=MONTH($AS37)),
IF('CF USD'!$A$8="On",$L37,$K37)/T_Bonds[[#This Row],[Coupons per annum]],0)</f>
        <v>0</v>
      </c>
      <c r="AZ37" s="25">
        <f>IF(
OR(
AZ$1=MONTH($AP37),
AZ$1=MONTH($AQ37),
AZ$1=MONTH($AR37),
AZ$1=MONTH($AS37)),
IF('CF USD'!$A$8="On",$L37,$K37)/T_Bonds[[#This Row],[Coupons per annum]],0)</f>
        <v>0</v>
      </c>
      <c r="BA37" s="25">
        <f>IF(
OR(
BA$1=MONTH($AP37),
BA$1=MONTH($AQ37),
BA$1=MONTH($AR37),
BA$1=MONTH($AS37)),
IF('CF USD'!$A$8="On",$L37,$K37)/T_Bonds[[#This Row],[Coupons per annum]],0)</f>
        <v>0</v>
      </c>
      <c r="BB37" s="25">
        <f>IF(
OR(
BB$1=MONTH($AP37),
BB$1=MONTH($AQ37),
BB$1=MONTH($AR37),
BB$1=MONTH($AS37)),
IF('CF USD'!$A$8="On",$L37,$K37)/T_Bonds[[#This Row],[Coupons per annum]],0)</f>
        <v>44249.999999999993</v>
      </c>
      <c r="BC37" s="25">
        <f>IF(
OR(
BC$1=MONTH($AP37),
BC$1=MONTH($AQ37),
BC$1=MONTH($AR37),
BC$1=MONTH($AS37)),
IF('CF USD'!$A$8="On",$L37,$K37)/T_Bonds[[#This Row],[Coupons per annum]],0)</f>
        <v>0</v>
      </c>
      <c r="BD37" s="25">
        <f>IF(
OR(
BD$1=MONTH($AP37),
BD$1=MONTH($AQ37),
BD$1=MONTH($AR37),
BD$1=MONTH($AS37)),
IF('CF USD'!$A$8="On",$L37,$K37)/T_Bonds[[#This Row],[Coupons per annum]],0)</f>
        <v>0</v>
      </c>
      <c r="BE37" s="25">
        <f>IF(
OR(
BE$1=MONTH($AP37),
BE$1=MONTH($AQ37),
BE$1=MONTH($AR37),
BE$1=MONTH($AS37)),
IF('CF USD'!$A$8="On",$L37,$K37)/T_Bonds[[#This Row],[Coupons per annum]],0)</f>
        <v>0</v>
      </c>
      <c r="BF37">
        <f>DAY(T_Bonds[[#This Row],[Next coupon date]])</f>
        <v>17</v>
      </c>
    </row>
    <row r="38" spans="1:58" x14ac:dyDescent="0.25">
      <c r="A38" s="298" t="s">
        <v>104</v>
      </c>
      <c r="B38" s="203" t="s">
        <v>51</v>
      </c>
      <c r="C38" s="1" t="str">
        <f>IF(T_Bonds[[#This Row],[Call date]]&lt;&gt;"","Callable","Maturity")</f>
        <v>Maturity</v>
      </c>
      <c r="D38" s="1" t="s">
        <v>105</v>
      </c>
      <c r="E38" s="80" t="s">
        <v>18</v>
      </c>
      <c r="F38" s="22">
        <f>IFERROR(INDEX('V004'!D:E,MATCH(D38,'V004'!D:D,0),2),0)</f>
        <v>800000</v>
      </c>
      <c r="G38" s="22">
        <f>IFERROR(INDEX('V001'!D:E,MATCH(D38,'V001'!D:D,0),2),0)</f>
        <v>0</v>
      </c>
      <c r="H38" s="22">
        <f>IFERROR(INDEX(UBS!C:D,MATCH(D38,UBS!D:D,0),1),0)</f>
        <v>0</v>
      </c>
      <c r="I38" s="300">
        <f>SUM(T_Bonds[[#This Row],[V1412]:[UBS]])</f>
        <v>800000</v>
      </c>
      <c r="J38" s="198">
        <f t="shared" si="13"/>
        <v>7.2500000000000009E-2</v>
      </c>
      <c r="K38" s="73">
        <f t="shared" ref="K38:K54" si="14">J38*I38</f>
        <v>58000.000000000007</v>
      </c>
      <c r="L38" s="73">
        <f t="shared" ref="L38:L54" si="15">IF(Y38&lt;&gt;1,I38*J38*Y38,I38*J38)</f>
        <v>58000.000000000007</v>
      </c>
      <c r="M38" s="16">
        <v>52673</v>
      </c>
      <c r="N38" s="5">
        <f>IFERROR(INDEX(Cbonds!C:H,MATCH(D38,Cbonds!C:C,0),4)/100,0)</f>
        <v>6.9786006089810004E-2</v>
      </c>
      <c r="O38" s="6">
        <f>IFERROR(INDEX(Cbonds!C:H,MATCH(D38,Cbonds!C:C,0),5),0)</f>
        <v>10.118927408444</v>
      </c>
      <c r="P38" s="91">
        <f>T_Bonds[[#This Row],[Market price]]-T_Bonds[[#This Row],[Cost price]]</f>
        <v>1.7227987500000097E-2</v>
      </c>
      <c r="Q38" s="91">
        <f>T_Bonds[[#This Row],[Coupon]]/T_Bonds[[#This Row],[Cost price]]</f>
        <v>7.0892719380056382E-2</v>
      </c>
      <c r="R38" s="109">
        <f t="shared" ref="R38:R55" si="16">N38*I38</f>
        <v>55828.804871848006</v>
      </c>
      <c r="S38" s="222">
        <f>IFERROR(INDEX('V004'!D:J,MATCH(D38,'V004'!D:D,0),7),0)</f>
        <v>1.0226720124999999</v>
      </c>
      <c r="T38" s="222">
        <f>IFERROR(INDEX('V001'!D:J,MATCH(D38,'V001'!D:D,0),7),0)</f>
        <v>0</v>
      </c>
      <c r="U38" s="223">
        <f>IFERROR(S38*T_Bonds[[#This Row],[V1412]]/(T_Bonds[[#This Row],[V1412]]+T_Bonds[[#This Row],[V1430]])+T38*T_Bonds[[#This Row],[V1430]]/(T_Bonds[[#This Row],[V1412]]+T_Bonds[[#This Row],[V1430]]),0)</f>
        <v>1.0226720124999999</v>
      </c>
      <c r="V38" s="100">
        <f t="shared" ref="V38:V54" si="17">I38*J38/U38</f>
        <v>56714.175504045103</v>
      </c>
      <c r="W38" s="4"/>
      <c r="X38" s="299">
        <f>IFERROR(INDEX(Cbonds!C:AF,MATCH(D38,Cbonds!C:C,0),30)/100,0)</f>
        <v>1.0399</v>
      </c>
      <c r="Y38" s="4">
        <f>INDEX('Tech list'!A:C,MATCH(T_Bonds[[#This Row],[Risk CCY]],'Tech list'!A:A,0),3)</f>
        <v>1</v>
      </c>
      <c r="Z38" s="105">
        <f>T_Bonds[[#This Row],[Market price]]*T_Bonds[[#This Row],[Quantity]]</f>
        <v>831920</v>
      </c>
      <c r="AA38" s="105">
        <f t="shared" ref="AA38:AA54" si="18">IF(E38&lt;&gt;"USD",X38*Y38*I38,X38*I38)</f>
        <v>831920</v>
      </c>
      <c r="AB38" s="73">
        <f ca="1">T_Bonds[[#This Row],[Market value in CCY]]+T_Bonds[[#This Row],[AI, CCY]]</f>
        <v>859953.33333333337</v>
      </c>
      <c r="AC38" s="73">
        <f ca="1">T_Bonds[[#This Row],[Market value in USD]]+T_Bonds[[#This Row],[AI, USD]]</f>
        <v>859953.33333333337</v>
      </c>
      <c r="AD38" s="105">
        <f t="shared" ref="AD38:AD54" si="19">U38*I38</f>
        <v>818137.61</v>
      </c>
      <c r="AE38" s="75">
        <f ca="1">(T_Bonds[[#This Row],[Coupon in Loc.Curr]]/T_Bonds[[#This Row],[Coupons per annum]])*((TODAY()-EDATE(T_Bonds[[#This Row],[Next coupon date]],-12/T_Bonds[[#This Row],[Coupons per annum]])))/(360/T_Bonds[[#This Row],[Coupons per annum]])</f>
        <v>28033.333333333339</v>
      </c>
      <c r="AF38" s="73">
        <f ca="1">T_Bonds[[#This Row],[AI, CCY]]*T_Bonds[[#This Row],[Exchange rate, N]]</f>
        <v>28033.333333333339</v>
      </c>
      <c r="AG38" s="311">
        <f>IFERROR(IF(INDEX(Cbonds!C:AC,MATCH(D38,Cbonds!C:C,0),27)&gt;5000,0,INDEX(Cbonds!C:AC,MATCH(D38,Cbonds!C:C,0),27)),0)</f>
        <v>264.23941972671997</v>
      </c>
      <c r="AH38" s="73">
        <v>30</v>
      </c>
      <c r="AJ38" s="74"/>
      <c r="AK38" t="s">
        <v>258</v>
      </c>
      <c r="AL38" t="s">
        <v>276</v>
      </c>
      <c r="AM38" t="s">
        <v>2476</v>
      </c>
      <c r="AN38" t="s">
        <v>292</v>
      </c>
      <c r="AO38" s="320">
        <v>2</v>
      </c>
      <c r="AP38" s="17">
        <f>IFERROR(INDEX(Cbonds!C:H,MATCH(D38,Cbonds!C:C,0),3),0)</f>
        <v>46098</v>
      </c>
      <c r="AQ38" s="17">
        <f>EDATE(T_Bonds[[#This Row],[Next coupon date]],12/T_Bonds[[#This Row],[Coupons per annum]])</f>
        <v>46282</v>
      </c>
      <c r="AR38" s="17">
        <f>EDATE(T_Bonds[[#This Row],[Second next coupon date]],12/$AO38)</f>
        <v>46463</v>
      </c>
      <c r="AS38" s="17">
        <f>EDATE(T_Bonds[[#This Row],[Coupon date 3]],12/$AO38)</f>
        <v>46647</v>
      </c>
      <c r="AT38" s="25">
        <f>IF(
OR(
AT$1=MONTH($AP38),
AT$1=MONTH($AQ38),
AT$1=MONTH($AR38),
AT$1=MONTH($AS38)),
IF('CF USD'!$A$8="On",$L38,$K38)/T_Bonds[[#This Row],[Coupons per annum]],0)</f>
        <v>0</v>
      </c>
      <c r="AU38" s="25">
        <f>IF(
OR(
AU$1=MONTH($AP38),
AU$1=MONTH($AQ38),
AU$1=MONTH($AR38),
AU$1=MONTH($AS38)),
IF('CF USD'!$A$8="On",$L38,$K38)/T_Bonds[[#This Row],[Coupons per annum]],0)</f>
        <v>0</v>
      </c>
      <c r="AV38" s="25">
        <f>IF(
OR(
AV$1=MONTH($AP38),
AV$1=MONTH($AQ38),
AV$1=MONTH($AR38),
AV$1=MONTH($AS38)),
IF('CF USD'!$A$8="On",$L38,$K38)/T_Bonds[[#This Row],[Coupons per annum]],0)</f>
        <v>29000.000000000004</v>
      </c>
      <c r="AW38" s="25">
        <f>IF(
OR(
AW$1=MONTH($AP38),
AW$1=MONTH($AQ38),
AW$1=MONTH($AR38),
AW$1=MONTH($AS38)),
IF('CF USD'!$A$8="On",$L38,$K38)/T_Bonds[[#This Row],[Coupons per annum]],0)</f>
        <v>0</v>
      </c>
      <c r="AX38" s="25">
        <f>IF(
OR(
AX$1=MONTH($AP38),
AX$1=MONTH($AQ38),
AX$1=MONTH($AR38),
AX$1=MONTH($AS38)),
IF('CF USD'!$A$8="On",$L38,$K38)/T_Bonds[[#This Row],[Coupons per annum]],0)</f>
        <v>0</v>
      </c>
      <c r="AY38" s="25">
        <f>IF(
OR(
AY$1=MONTH($AP38),
AY$1=MONTH($AQ38),
AY$1=MONTH($AR38),
AY$1=MONTH($AS38)),
IF('CF USD'!$A$8="On",$L38,$K38)/T_Bonds[[#This Row],[Coupons per annum]],0)</f>
        <v>0</v>
      </c>
      <c r="AZ38" s="25">
        <f>IF(
OR(
AZ$1=MONTH($AP38),
AZ$1=MONTH($AQ38),
AZ$1=MONTH($AR38),
AZ$1=MONTH($AS38)),
IF('CF USD'!$A$8="On",$L38,$K38)/T_Bonds[[#This Row],[Coupons per annum]],0)</f>
        <v>0</v>
      </c>
      <c r="BA38" s="25">
        <f>IF(
OR(
BA$1=MONTH($AP38),
BA$1=MONTH($AQ38),
BA$1=MONTH($AR38),
BA$1=MONTH($AS38)),
IF('CF USD'!$A$8="On",$L38,$K38)/T_Bonds[[#This Row],[Coupons per annum]],0)</f>
        <v>0</v>
      </c>
      <c r="BB38" s="25">
        <f>IF(
OR(
BB$1=MONTH($AP38),
BB$1=MONTH($AQ38),
BB$1=MONTH($AR38),
BB$1=MONTH($AS38)),
IF('CF USD'!$A$8="On",$L38,$K38)/T_Bonds[[#This Row],[Coupons per annum]],0)</f>
        <v>29000.000000000004</v>
      </c>
      <c r="BC38" s="25">
        <f>IF(
OR(
BC$1=MONTH($AP38),
BC$1=MONTH($AQ38),
BC$1=MONTH($AR38),
BC$1=MONTH($AS38)),
IF('CF USD'!$A$8="On",$L38,$K38)/T_Bonds[[#This Row],[Coupons per annum]],0)</f>
        <v>0</v>
      </c>
      <c r="BD38" s="25">
        <f>IF(
OR(
BD$1=MONTH($AP38),
BD$1=MONTH($AQ38),
BD$1=MONTH($AR38),
BD$1=MONTH($AS38)),
IF('CF USD'!$A$8="On",$L38,$K38)/T_Bonds[[#This Row],[Coupons per annum]],0)</f>
        <v>0</v>
      </c>
      <c r="BE38" s="25">
        <f>IF(
OR(
BE$1=MONTH($AP38),
BE$1=MONTH($AQ38),
BE$1=MONTH($AR38),
BE$1=MONTH($AS38)),
IF('CF USD'!$A$8="On",$L38,$K38)/T_Bonds[[#This Row],[Coupons per annum]],0)</f>
        <v>0</v>
      </c>
      <c r="BF38">
        <f>DAY(T_Bonds[[#This Row],[Next coupon date]])</f>
        <v>17</v>
      </c>
    </row>
    <row r="39" spans="1:58" x14ac:dyDescent="0.25">
      <c r="A39" s="298" t="s">
        <v>106</v>
      </c>
      <c r="B39" s="203" t="s">
        <v>51</v>
      </c>
      <c r="C39" s="1" t="str">
        <f>IF(T_Bonds[[#This Row],[Call date]]&lt;&gt;"","Callable","Maturity")</f>
        <v>Maturity</v>
      </c>
      <c r="D39" s="1" t="s">
        <v>107</v>
      </c>
      <c r="E39" s="1" t="s">
        <v>18</v>
      </c>
      <c r="F39" s="22">
        <f>IFERROR(INDEX('V004'!D:E,MATCH(D39,'V004'!D:D,0),2),0)</f>
        <v>200000</v>
      </c>
      <c r="G39" s="22">
        <f>IFERROR(INDEX('V001'!D:E,MATCH(D39,'V001'!D:D,0),2),0)</f>
        <v>0</v>
      </c>
      <c r="H39" s="22">
        <f>IFERROR(INDEX(UBS!C:D,MATCH(D39,UBS!D:D,0),1),0)</f>
        <v>0</v>
      </c>
      <c r="I39" s="300">
        <f>SUM(T_Bonds[[#This Row],[V1412]:[UBS]])</f>
        <v>200000</v>
      </c>
      <c r="J39" s="98">
        <f t="shared" si="13"/>
        <v>7.3749999999999982E-2</v>
      </c>
      <c r="K39" s="100">
        <f t="shared" si="14"/>
        <v>14749.999999999996</v>
      </c>
      <c r="L39" s="100">
        <f t="shared" si="15"/>
        <v>14749.999999999996</v>
      </c>
      <c r="M39" s="16">
        <v>56688</v>
      </c>
      <c r="N39" s="5">
        <f>IFERROR(INDEX(Cbonds!C:H,MATCH(D39,Cbonds!C:C,0),4)/100,0)</f>
        <v>5.7857028190717003E-2</v>
      </c>
      <c r="O39" s="6">
        <f>IFERROR(INDEX(Cbonds!C:H,MATCH(D39,Cbonds!C:C,0),5),0)</f>
        <v>3.323178280669</v>
      </c>
      <c r="P39" s="91">
        <f>T_Bonds[[#This Row],[Market price]]-T_Bonds[[#This Row],[Cost price]]</f>
        <v>4.3745749999999806E-2</v>
      </c>
      <c r="Q39" s="91">
        <f>T_Bonds[[#This Row],[Coupon]]/T_Bonds[[#This Row],[Cost price]]</f>
        <v>7.2756563690232617E-2</v>
      </c>
      <c r="R39" s="109">
        <f t="shared" si="16"/>
        <v>11571.4056381434</v>
      </c>
      <c r="S39" s="222">
        <f>IFERROR(INDEX('V004'!D:J,MATCH(D39,'V004'!D:D,0),7),0)</f>
        <v>1.0136542500000001</v>
      </c>
      <c r="T39" s="222">
        <f>IFERROR(INDEX('V001'!D:J,MATCH(D39,'V001'!D:D,0),7),0)</f>
        <v>0</v>
      </c>
      <c r="U39" s="223">
        <f>IFERROR(S39*T_Bonds[[#This Row],[V1412]]/(T_Bonds[[#This Row],[V1412]]+T_Bonds[[#This Row],[V1430]])+T39*T_Bonds[[#This Row],[V1430]]/(T_Bonds[[#This Row],[V1412]]+T_Bonds[[#This Row],[V1430]]),0)</f>
        <v>1.0136542500000001</v>
      </c>
      <c r="V39" s="100">
        <f t="shared" si="17"/>
        <v>14551.312738046523</v>
      </c>
      <c r="W39" s="4"/>
      <c r="X39" s="299">
        <f>IFERROR(INDEX(Cbonds!C:AF,MATCH(D39,Cbonds!C:C,0),30)/100,0)</f>
        <v>1.0573999999999999</v>
      </c>
      <c r="Y39" s="4">
        <f>INDEX('Tech list'!A:C,MATCH(T_Bonds[[#This Row],[Risk CCY]],'Tech list'!A:A,0),3)</f>
        <v>1</v>
      </c>
      <c r="Z39" s="106">
        <f>T_Bonds[[#This Row],[Market price]]*T_Bonds[[#This Row],[Quantity]]</f>
        <v>211479.99999999997</v>
      </c>
      <c r="AA39" s="97">
        <f t="shared" si="18"/>
        <v>211479.99999999997</v>
      </c>
      <c r="AB39" s="73">
        <f ca="1">T_Bonds[[#This Row],[Market value in CCY]]+T_Bonds[[#This Row],[AI, CCY]]</f>
        <v>218691.11111111107</v>
      </c>
      <c r="AC39" s="73">
        <f ca="1">T_Bonds[[#This Row],[Market value in USD]]+T_Bonds[[#This Row],[AI, USD]]</f>
        <v>218691.11111111107</v>
      </c>
      <c r="AD39" s="97">
        <f t="shared" si="19"/>
        <v>202730.85</v>
      </c>
      <c r="AE39" s="75">
        <f ca="1">(T_Bonds[[#This Row],[Coupon in Loc.Curr]]/T_Bonds[[#This Row],[Coupons per annum]])*((TODAY()-EDATE(T_Bonds[[#This Row],[Next coupon date]],-12/T_Bonds[[#This Row],[Coupons per annum]])))/(360/T_Bonds[[#This Row],[Coupons per annum]])</f>
        <v>7211.1111111111095</v>
      </c>
      <c r="AF39" s="73">
        <f ca="1">T_Bonds[[#This Row],[AI, CCY]]*T_Bonds[[#This Row],[Exchange rate, N]]</f>
        <v>7211.1111111111095</v>
      </c>
      <c r="AG39" s="311">
        <f>IFERROR(IF(INDEX(Cbonds!C:AC,MATCH(D39,Cbonds!C:C,0),27)&gt;5000,0,INDEX(Cbonds!C:AC,MATCH(D39,Cbonds!C:C,0),27)),0)</f>
        <v>212.16053187367001</v>
      </c>
      <c r="AH39" s="73">
        <v>75</v>
      </c>
      <c r="AJ39" s="80"/>
      <c r="AK39" s="77" t="s">
        <v>258</v>
      </c>
      <c r="AL39" t="s">
        <v>306</v>
      </c>
      <c r="AM39" t="s">
        <v>2475</v>
      </c>
      <c r="AN39" s="103" t="s">
        <v>307</v>
      </c>
      <c r="AO39" s="320">
        <v>2</v>
      </c>
      <c r="AP39" s="17">
        <f>IFERROR(INDEX(Cbonds!C:H,MATCH(D39,Cbonds!C:C,0),3),0)</f>
        <v>46096</v>
      </c>
      <c r="AQ39" s="17">
        <f>EDATE(T_Bonds[[#This Row],[Next coupon date]],12/T_Bonds[[#This Row],[Coupons per annum]])</f>
        <v>46280</v>
      </c>
      <c r="AR39" s="17">
        <f>EDATE(T_Bonds[[#This Row],[Second next coupon date]],12/$AO39)</f>
        <v>46461</v>
      </c>
      <c r="AS39" s="17">
        <f>EDATE(T_Bonds[[#This Row],[Coupon date 3]],12/$AO39)</f>
        <v>46645</v>
      </c>
      <c r="AT39" s="25">
        <f>IF(
OR(
AT$1=MONTH($AP39),
AT$1=MONTH($AQ39),
AT$1=MONTH($AR39),
AT$1=MONTH($AS39)),
IF('CF USD'!$A$8="On",$L39,$K39)/T_Bonds[[#This Row],[Coupons per annum]],0)</f>
        <v>0</v>
      </c>
      <c r="AU39" s="25">
        <f>IF(
OR(
AU$1=MONTH($AP39),
AU$1=MONTH($AQ39),
AU$1=MONTH($AR39),
AU$1=MONTH($AS39)),
IF('CF USD'!$A$8="On",$L39,$K39)/T_Bonds[[#This Row],[Coupons per annum]],0)</f>
        <v>0</v>
      </c>
      <c r="AV39" s="25">
        <f>IF(
OR(
AV$1=MONTH($AP39),
AV$1=MONTH($AQ39),
AV$1=MONTH($AR39),
AV$1=MONTH($AS39)),
IF('CF USD'!$A$8="On",$L39,$K39)/T_Bonds[[#This Row],[Coupons per annum]],0)</f>
        <v>7374.9999999999982</v>
      </c>
      <c r="AW39" s="25">
        <f>IF(
OR(
AW$1=MONTH($AP39),
AW$1=MONTH($AQ39),
AW$1=MONTH($AR39),
AW$1=MONTH($AS39)),
IF('CF USD'!$A$8="On",$L39,$K39)/T_Bonds[[#This Row],[Coupons per annum]],0)</f>
        <v>0</v>
      </c>
      <c r="AX39" s="25">
        <f>IF(
OR(
AX$1=MONTH($AP39),
AX$1=MONTH($AQ39),
AX$1=MONTH($AR39),
AX$1=MONTH($AS39)),
IF('CF USD'!$A$8="On",$L39,$K39)/T_Bonds[[#This Row],[Coupons per annum]],0)</f>
        <v>0</v>
      </c>
      <c r="AY39" s="25">
        <f>IF(
OR(
AY$1=MONTH($AP39),
AY$1=MONTH($AQ39),
AY$1=MONTH($AR39),
AY$1=MONTH($AS39)),
IF('CF USD'!$A$8="On",$L39,$K39)/T_Bonds[[#This Row],[Coupons per annum]],0)</f>
        <v>0</v>
      </c>
      <c r="AZ39" s="25">
        <f>IF(
OR(
AZ$1=MONTH($AP39),
AZ$1=MONTH($AQ39),
AZ$1=MONTH($AR39),
AZ$1=MONTH($AS39)),
IF('CF USD'!$A$8="On",$L39,$K39)/T_Bonds[[#This Row],[Coupons per annum]],0)</f>
        <v>0</v>
      </c>
      <c r="BA39" s="25">
        <f>IF(
OR(
BA$1=MONTH($AP39),
BA$1=MONTH($AQ39),
BA$1=MONTH($AR39),
BA$1=MONTH($AS39)),
IF('CF USD'!$A$8="On",$L39,$K39)/T_Bonds[[#This Row],[Coupons per annum]],0)</f>
        <v>0</v>
      </c>
      <c r="BB39" s="25">
        <f>IF(
OR(
BB$1=MONTH($AP39),
BB$1=MONTH($AQ39),
BB$1=MONTH($AR39),
BB$1=MONTH($AS39)),
IF('CF USD'!$A$8="On",$L39,$K39)/T_Bonds[[#This Row],[Coupons per annum]],0)</f>
        <v>7374.9999999999982</v>
      </c>
      <c r="BC39" s="25">
        <f>IF(
OR(
BC$1=MONTH($AP39),
BC$1=MONTH($AQ39),
BC$1=MONTH($AR39),
BC$1=MONTH($AS39)),
IF('CF USD'!$A$8="On",$L39,$K39)/T_Bonds[[#This Row],[Coupons per annum]],0)</f>
        <v>0</v>
      </c>
      <c r="BD39" s="25">
        <f>IF(
OR(
BD$1=MONTH($AP39),
BD$1=MONTH($AQ39),
BD$1=MONTH($AR39),
BD$1=MONTH($AS39)),
IF('CF USD'!$A$8="On",$L39,$K39)/T_Bonds[[#This Row],[Coupons per annum]],0)</f>
        <v>0</v>
      </c>
      <c r="BE39" s="25">
        <f>IF(
OR(
BE$1=MONTH($AP39),
BE$1=MONTH($AQ39),
BE$1=MONTH($AR39),
BE$1=MONTH($AS39)),
IF('CF USD'!$A$8="On",$L39,$K39)/T_Bonds[[#This Row],[Coupons per annum]],0)</f>
        <v>0</v>
      </c>
      <c r="BF39">
        <f>DAY(T_Bonds[[#This Row],[Next coupon date]])</f>
        <v>15</v>
      </c>
    </row>
    <row r="40" spans="1:58" x14ac:dyDescent="0.25">
      <c r="A40" s="298" t="s">
        <v>109</v>
      </c>
      <c r="B40" s="203" t="s">
        <v>51</v>
      </c>
      <c r="C40" s="1" t="str">
        <f>IF(T_Bonds[[#This Row],[Call date]]&lt;&gt;"","Callable","Maturity")</f>
        <v>Maturity</v>
      </c>
      <c r="D40" s="1" t="s">
        <v>110</v>
      </c>
      <c r="E40" s="1" t="s">
        <v>18</v>
      </c>
      <c r="F40" s="22">
        <f>IFERROR(INDEX('V004'!D:E,MATCH(D40,'V004'!D:D,0),2),0)</f>
        <v>400000</v>
      </c>
      <c r="G40" s="22">
        <f>IFERROR(INDEX('V001'!D:E,MATCH(D40,'V001'!D:D,0),2),0)</f>
        <v>0</v>
      </c>
      <c r="H40" s="22">
        <f>IFERROR(INDEX(UBS!C:D,MATCH(D40,UBS!D:D,0),1),0)</f>
        <v>0</v>
      </c>
      <c r="I40" s="300">
        <f>SUM(T_Bonds[[#This Row],[V1412]:[UBS]])</f>
        <v>400000</v>
      </c>
      <c r="J40" s="98">
        <f t="shared" ref="J40:J45" si="20">LEFT(A40,FIND("%",A40,1))+1-1</f>
        <v>6.4999999999999947E-2</v>
      </c>
      <c r="K40" s="100">
        <f t="shared" si="14"/>
        <v>25999.999999999978</v>
      </c>
      <c r="L40" s="100">
        <f t="shared" si="15"/>
        <v>25999.999999999978</v>
      </c>
      <c r="M40" s="16">
        <v>49320</v>
      </c>
      <c r="N40" s="5">
        <f>IFERROR(INDEX(Cbonds!C:H,MATCH(D40,Cbonds!C:C,0),4)/100,0)</f>
        <v>6.2620717136789003E-2</v>
      </c>
      <c r="O40" s="6">
        <f>IFERROR(INDEX(Cbonds!C:H,MATCH(D40,Cbonds!C:C,0),5),0)</f>
        <v>6.8341631293185996</v>
      </c>
      <c r="P40" s="91">
        <f>T_Bonds[[#This Row],[Market price]]-T_Bonds[[#This Row],[Cost price]]</f>
        <v>4.33522249999998E-2</v>
      </c>
      <c r="Q40" s="91">
        <f>T_Bonds[[#This Row],[Coupon]]/T_Bonds[[#This Row],[Cost price]]</f>
        <v>6.6377480408367467E-2</v>
      </c>
      <c r="R40" s="109">
        <f t="shared" si="16"/>
        <v>25048.286854715599</v>
      </c>
      <c r="S40" s="222">
        <f>IFERROR(INDEX('V004'!D:J,MATCH(D40,'V004'!D:D,0),7),0)</f>
        <v>0.97924777500000004</v>
      </c>
      <c r="T40" s="222">
        <f>IFERROR(INDEX('V001'!D:J,MATCH(D40,'V001'!D:D,0),7),0)</f>
        <v>0</v>
      </c>
      <c r="U40" s="223">
        <f>IFERROR(S40*T_Bonds[[#This Row],[V1412]]/(T_Bonds[[#This Row],[V1412]]+T_Bonds[[#This Row],[V1430]])+T40*T_Bonds[[#This Row],[V1430]]/(T_Bonds[[#This Row],[V1412]]+T_Bonds[[#This Row],[V1430]]),0)</f>
        <v>0.97924777500000015</v>
      </c>
      <c r="V40" s="100">
        <f t="shared" si="17"/>
        <v>26550.992163346986</v>
      </c>
      <c r="W40" s="1" t="s">
        <v>257</v>
      </c>
      <c r="X40" s="299">
        <f>IFERROR(INDEX(Cbonds!C:AF,MATCH(D40,Cbonds!C:C,0),30)/100,0)</f>
        <v>1.0226</v>
      </c>
      <c r="Y40" s="4">
        <f>INDEX('Tech list'!A:C,MATCH(T_Bonds[[#This Row],[Risk CCY]],'Tech list'!A:A,0),3)</f>
        <v>1</v>
      </c>
      <c r="Z40" s="97">
        <f>T_Bonds[[#This Row],[Market price]]*T_Bonds[[#This Row],[Quantity]]</f>
        <v>409040</v>
      </c>
      <c r="AA40" s="106">
        <f t="shared" si="18"/>
        <v>409040</v>
      </c>
      <c r="AB40" s="73">
        <f ca="1">T_Bonds[[#This Row],[Market value in CCY]]+T_Bonds[[#This Row],[AI, CCY]]</f>
        <v>413228.88888888888</v>
      </c>
      <c r="AC40" s="73">
        <f ca="1">T_Bonds[[#This Row],[Market value in USD]]+T_Bonds[[#This Row],[AI, USD]]</f>
        <v>413228.88888888888</v>
      </c>
      <c r="AD40" s="97">
        <f t="shared" si="19"/>
        <v>391699.11000000004</v>
      </c>
      <c r="AE40" s="75">
        <f ca="1">(T_Bonds[[#This Row],[Coupon in Loc.Curr]]/T_Bonds[[#This Row],[Coupons per annum]])*((TODAY()-EDATE(T_Bonds[[#This Row],[Next coupon date]],-12/T_Bonds[[#This Row],[Coupons per annum]])))/(360/T_Bonds[[#This Row],[Coupons per annum]])</f>
        <v>4188.888888888886</v>
      </c>
      <c r="AF40" s="73">
        <f ca="1">T_Bonds[[#This Row],[AI, CCY]]*T_Bonds[[#This Row],[Exchange rate, N]]</f>
        <v>4188.888888888886</v>
      </c>
      <c r="AG40" s="311">
        <f>IFERROR(IF(INDEX(Cbonds!C:AC,MATCH(D40,Cbonds!C:C,0),27)&gt;5000,0,INDEX(Cbonds!C:AC,MATCH(D40,Cbonds!C:C,0),27)),0)</f>
        <v>224.10611027499999</v>
      </c>
      <c r="AH40" s="73">
        <v>30</v>
      </c>
      <c r="AJ40" s="10"/>
      <c r="AK40" s="78" t="s">
        <v>295</v>
      </c>
      <c r="AL40" s="78" t="s">
        <v>276</v>
      </c>
      <c r="AM40" t="s">
        <v>2476</v>
      </c>
      <c r="AN40" s="78" t="s">
        <v>310</v>
      </c>
      <c r="AO40" s="320">
        <v>2</v>
      </c>
      <c r="AP40" s="17">
        <f>IFERROR(INDEX(Cbonds!C:H,MATCH(D40,Cbonds!C:C,0),3),0)</f>
        <v>46214</v>
      </c>
      <c r="AQ40" s="17">
        <f>EDATE(T_Bonds[[#This Row],[Next coupon date]],12/T_Bonds[[#This Row],[Coupons per annum]])</f>
        <v>46398</v>
      </c>
      <c r="AR40" s="17">
        <f>EDATE(T_Bonds[[#This Row],[Second next coupon date]],12/$AO40)</f>
        <v>46579</v>
      </c>
      <c r="AS40" s="17">
        <f>EDATE(T_Bonds[[#This Row],[Coupon date 3]],12/$AO40)</f>
        <v>46763</v>
      </c>
      <c r="AT40" s="25">
        <f>IF(
OR(
AT$1=MONTH($AP40),
AT$1=MONTH($AQ40),
AT$1=MONTH($AR40),
AT$1=MONTH($AS40)),
IF('CF USD'!$A$8="On",$L40,$K40)/T_Bonds[[#This Row],[Coupons per annum]],0)</f>
        <v>12999.999999999989</v>
      </c>
      <c r="AU40" s="25">
        <f>IF(
OR(
AU$1=MONTH($AP40),
AU$1=MONTH($AQ40),
AU$1=MONTH($AR40),
AU$1=MONTH($AS40)),
IF('CF USD'!$A$8="On",$L40,$K40)/T_Bonds[[#This Row],[Coupons per annum]],0)</f>
        <v>0</v>
      </c>
      <c r="AV40" s="25">
        <f>IF(
OR(
AV$1=MONTH($AP40),
AV$1=MONTH($AQ40),
AV$1=MONTH($AR40),
AV$1=MONTH($AS40)),
IF('CF USD'!$A$8="On",$L40,$K40)/T_Bonds[[#This Row],[Coupons per annum]],0)</f>
        <v>0</v>
      </c>
      <c r="AW40" s="25">
        <f>IF(
OR(
AW$1=MONTH($AP40),
AW$1=MONTH($AQ40),
AW$1=MONTH($AR40),
AW$1=MONTH($AS40)),
IF('CF USD'!$A$8="On",$L40,$K40)/T_Bonds[[#This Row],[Coupons per annum]],0)</f>
        <v>0</v>
      </c>
      <c r="AX40" s="25">
        <f>IF(
OR(
AX$1=MONTH($AP40),
AX$1=MONTH($AQ40),
AX$1=MONTH($AR40),
AX$1=MONTH($AS40)),
IF('CF USD'!$A$8="On",$L40,$K40)/T_Bonds[[#This Row],[Coupons per annum]],0)</f>
        <v>0</v>
      </c>
      <c r="AY40" s="25">
        <f>IF(
OR(
AY$1=MONTH($AP40),
AY$1=MONTH($AQ40),
AY$1=MONTH($AR40),
AY$1=MONTH($AS40)),
IF('CF USD'!$A$8="On",$L40,$K40)/T_Bonds[[#This Row],[Coupons per annum]],0)</f>
        <v>0</v>
      </c>
      <c r="AZ40" s="25">
        <f>IF(
OR(
AZ$1=MONTH($AP40),
AZ$1=MONTH($AQ40),
AZ$1=MONTH($AR40),
AZ$1=MONTH($AS40)),
IF('CF USD'!$A$8="On",$L40,$K40)/T_Bonds[[#This Row],[Coupons per annum]],0)</f>
        <v>12999.999999999989</v>
      </c>
      <c r="BA40" s="25">
        <f>IF(
OR(
BA$1=MONTH($AP40),
BA$1=MONTH($AQ40),
BA$1=MONTH($AR40),
BA$1=MONTH($AS40)),
IF('CF USD'!$A$8="On",$L40,$K40)/T_Bonds[[#This Row],[Coupons per annum]],0)</f>
        <v>0</v>
      </c>
      <c r="BB40" s="25">
        <f>IF(
OR(
BB$1=MONTH($AP40),
BB$1=MONTH($AQ40),
BB$1=MONTH($AR40),
BB$1=MONTH($AS40)),
IF('CF USD'!$A$8="On",$L40,$K40)/T_Bonds[[#This Row],[Coupons per annum]],0)</f>
        <v>0</v>
      </c>
      <c r="BC40" s="25">
        <f>IF(
OR(
BC$1=MONTH($AP40),
BC$1=MONTH($AQ40),
BC$1=MONTH($AR40),
BC$1=MONTH($AS40)),
IF('CF USD'!$A$8="On",$L40,$K40)/T_Bonds[[#This Row],[Coupons per annum]],0)</f>
        <v>0</v>
      </c>
      <c r="BD40" s="25">
        <f>IF(
OR(
BD$1=MONTH($AP40),
BD$1=MONTH($AQ40),
BD$1=MONTH($AR40),
BD$1=MONTH($AS40)),
IF('CF USD'!$A$8="On",$L40,$K40)/T_Bonds[[#This Row],[Coupons per annum]],0)</f>
        <v>0</v>
      </c>
      <c r="BE40" s="25">
        <f>IF(
OR(
BE$1=MONTH($AP40),
BE$1=MONTH($AQ40),
BE$1=MONTH($AR40),
BE$1=MONTH($AS40)),
IF('CF USD'!$A$8="On",$L40,$K40)/T_Bonds[[#This Row],[Coupons per annum]],0)</f>
        <v>0</v>
      </c>
      <c r="BF40">
        <f>DAY(T_Bonds[[#This Row],[Next coupon date]])</f>
        <v>11</v>
      </c>
    </row>
    <row r="41" spans="1:58" x14ac:dyDescent="0.25">
      <c r="A41" s="298" t="s">
        <v>111</v>
      </c>
      <c r="B41" s="203" t="s">
        <v>51</v>
      </c>
      <c r="C41" s="1" t="str">
        <f>IF(T_Bonds[[#This Row],[Call date]]&lt;&gt;"","Callable","Maturity")</f>
        <v>Maturity</v>
      </c>
      <c r="D41" s="1" t="s">
        <v>112</v>
      </c>
      <c r="E41" s="1" t="s">
        <v>18</v>
      </c>
      <c r="F41" s="22">
        <f>IFERROR(INDEX('V004'!D:E,MATCH(D41,'V004'!D:D,0),2),0)</f>
        <v>1000000</v>
      </c>
      <c r="G41" s="22">
        <f>IFERROR(INDEX('V001'!D:E,MATCH(D41,'V001'!D:D,0),2),0)</f>
        <v>0</v>
      </c>
      <c r="H41" s="22">
        <f>IFERROR(INDEX(UBS!C:D,MATCH(D41,UBS!D:D,0),1),0)</f>
        <v>0</v>
      </c>
      <c r="I41" s="300">
        <f>SUM(T_Bonds[[#This Row],[V1412]:[UBS]])</f>
        <v>1000000</v>
      </c>
      <c r="J41" s="76">
        <f t="shared" si="20"/>
        <v>6.3749999999999973E-2</v>
      </c>
      <c r="K41" s="73">
        <f t="shared" si="14"/>
        <v>63749.999999999971</v>
      </c>
      <c r="L41" s="73">
        <f t="shared" si="15"/>
        <v>63749.999999999971</v>
      </c>
      <c r="M41" s="16">
        <v>50556</v>
      </c>
      <c r="N41" s="5">
        <f>IFERROR(INDEX(Cbonds!C:H,MATCH(D41,Cbonds!C:C,0),4)/100,0)</f>
        <v>5.9941956603169998E-2</v>
      </c>
      <c r="O41" s="6">
        <f>IFERROR(INDEX(Cbonds!C:H,MATCH(D41,Cbonds!C:C,0),5),0)</f>
        <v>8.6014817050767007</v>
      </c>
      <c r="P41" s="91">
        <f>T_Bonds[[#This Row],[Market price]]-T_Bonds[[#This Row],[Cost price]]</f>
        <v>9.6718179999999987E-2</v>
      </c>
      <c r="Q41" s="91">
        <f>T_Bonds[[#This Row],[Coupon]]/T_Bonds[[#This Row],[Cost price]]</f>
        <v>6.7547391408747381E-2</v>
      </c>
      <c r="R41" s="108">
        <f t="shared" si="16"/>
        <v>59941.956603169994</v>
      </c>
      <c r="S41" s="222">
        <f>IFERROR(INDEX('V004'!D:J,MATCH(D41,'V004'!D:D,0),7),0)</f>
        <v>0.94378181999999999</v>
      </c>
      <c r="T41" s="222">
        <f>IFERROR(INDEX('V001'!D:J,MATCH(D41,'V001'!D:D,0),7),0)</f>
        <v>0</v>
      </c>
      <c r="U41" s="223">
        <f>IFERROR(S41*T_Bonds[[#This Row],[V1412]]/(T_Bonds[[#This Row],[V1412]]+T_Bonds[[#This Row],[V1430]])+T41*T_Bonds[[#This Row],[V1430]]/(T_Bonds[[#This Row],[V1412]]+T_Bonds[[#This Row],[V1430]]),0)</f>
        <v>0.94378181999999999</v>
      </c>
      <c r="V41" s="73">
        <f t="shared" si="17"/>
        <v>67547.391408747382</v>
      </c>
      <c r="W41" s="4" t="s">
        <v>257</v>
      </c>
      <c r="X41" s="299">
        <f>IFERROR(INDEX(Cbonds!C:AF,MATCH(D41,Cbonds!C:C,0),30)/100,0)</f>
        <v>1.0405</v>
      </c>
      <c r="Y41" s="4">
        <f>INDEX('Tech list'!A:C,MATCH(T_Bonds[[#This Row],[Risk CCY]],'Tech list'!A:A,0),3)</f>
        <v>1</v>
      </c>
      <c r="Z41" s="100">
        <f>T_Bonds[[#This Row],[Market price]]*T_Bonds[[#This Row],[Quantity]]</f>
        <v>1040500</v>
      </c>
      <c r="AA41" s="73">
        <f t="shared" si="18"/>
        <v>1040500</v>
      </c>
      <c r="AB41" s="73">
        <f ca="1">T_Bonds[[#This Row],[Market value in CCY]]+T_Bonds[[#This Row],[AI, CCY]]</f>
        <v>1058208.3333333333</v>
      </c>
      <c r="AC41" s="73">
        <f ca="1">T_Bonds[[#This Row],[Market value in USD]]+T_Bonds[[#This Row],[AI, USD]]</f>
        <v>1058208.3333333333</v>
      </c>
      <c r="AD41" s="73">
        <f t="shared" si="19"/>
        <v>943781.82</v>
      </c>
      <c r="AE41" s="75">
        <f ca="1">(T_Bonds[[#This Row],[Coupon in Loc.Curr]]/T_Bonds[[#This Row],[Coupons per annum]])*((TODAY()-EDATE(T_Bonds[[#This Row],[Next coupon date]],-12/T_Bonds[[#This Row],[Coupons per annum]])))/(360/T_Bonds[[#This Row],[Coupons per annum]])</f>
        <v>17708.333333333325</v>
      </c>
      <c r="AF41" s="73">
        <f ca="1">T_Bonds[[#This Row],[AI, CCY]]*T_Bonds[[#This Row],[Exchange rate, N]]</f>
        <v>17708.333333333325</v>
      </c>
      <c r="AG41" s="311">
        <f>IFERROR(IF(INDEX(Cbonds!C:AC,MATCH(D41,Cbonds!C:C,0),27)&gt;5000,0,INDEX(Cbonds!C:AC,MATCH(D41,Cbonds!C:C,0),27)),0)</f>
        <v>179.60892336501001</v>
      </c>
      <c r="AH41" s="73">
        <v>75</v>
      </c>
      <c r="AK41" t="s">
        <v>278</v>
      </c>
      <c r="AL41" t="s">
        <v>265</v>
      </c>
      <c r="AM41" t="s">
        <v>2475</v>
      </c>
      <c r="AN41" t="s">
        <v>311</v>
      </c>
      <c r="AO41" s="340">
        <v>2</v>
      </c>
      <c r="AP41" s="17">
        <f>IFERROR(INDEX(Cbonds!C:H,MATCH(D41,Cbonds!C:C,0),3),0)</f>
        <v>46173</v>
      </c>
      <c r="AQ41" s="17">
        <f>EDATE(T_Bonds[[#This Row],[Next coupon date]],12/T_Bonds[[#This Row],[Coupons per annum]])</f>
        <v>46356</v>
      </c>
      <c r="AR41" s="17">
        <f>EDATE(T_Bonds[[#This Row],[Second next coupon date]],12/$AO41)</f>
        <v>46537</v>
      </c>
      <c r="AS41" s="17">
        <f>EDATE(T_Bonds[[#This Row],[Coupon date 3]],12/$AO41)</f>
        <v>46721</v>
      </c>
      <c r="AT41" s="25">
        <f>IF(
OR(
AT$1=MONTH($AP41),
AT$1=MONTH($AQ41),
AT$1=MONTH($AR41),
AT$1=MONTH($AS41)),
IF('CF USD'!$A$8="On",$L41,$K41)/T_Bonds[[#This Row],[Coupons per annum]],0)</f>
        <v>0</v>
      </c>
      <c r="AU41" s="25">
        <f>IF(
OR(
AU$1=MONTH($AP41),
AU$1=MONTH($AQ41),
AU$1=MONTH($AR41),
AU$1=MONTH($AS41)),
IF('CF USD'!$A$8="On",$L41,$K41)/T_Bonds[[#This Row],[Coupons per annum]],0)</f>
        <v>0</v>
      </c>
      <c r="AV41" s="25">
        <f>IF(
OR(
AV$1=MONTH($AP41),
AV$1=MONTH($AQ41),
AV$1=MONTH($AR41),
AV$1=MONTH($AS41)),
IF('CF USD'!$A$8="On",$L41,$K41)/T_Bonds[[#This Row],[Coupons per annum]],0)</f>
        <v>0</v>
      </c>
      <c r="AW41" s="25">
        <f>IF(
OR(
AW$1=MONTH($AP41),
AW$1=MONTH($AQ41),
AW$1=MONTH($AR41),
AW$1=MONTH($AS41)),
IF('CF USD'!$A$8="On",$L41,$K41)/T_Bonds[[#This Row],[Coupons per annum]],0)</f>
        <v>0</v>
      </c>
      <c r="AX41" s="25">
        <f>IF(
OR(
AX$1=MONTH($AP41),
AX$1=MONTH($AQ41),
AX$1=MONTH($AR41),
AX$1=MONTH($AS41)),
IF('CF USD'!$A$8="On",$L41,$K41)/T_Bonds[[#This Row],[Coupons per annum]],0)</f>
        <v>31874.999999999985</v>
      </c>
      <c r="AY41" s="25">
        <f>IF(
OR(
AY$1=MONTH($AP41),
AY$1=MONTH($AQ41),
AY$1=MONTH($AR41),
AY$1=MONTH($AS41)),
IF('CF USD'!$A$8="On",$L41,$K41)/T_Bonds[[#This Row],[Coupons per annum]],0)</f>
        <v>0</v>
      </c>
      <c r="AZ41" s="25">
        <f>IF(
OR(
AZ$1=MONTH($AP41),
AZ$1=MONTH($AQ41),
AZ$1=MONTH($AR41),
AZ$1=MONTH($AS41)),
IF('CF USD'!$A$8="On",$L41,$K41)/T_Bonds[[#This Row],[Coupons per annum]],0)</f>
        <v>0</v>
      </c>
      <c r="BA41" s="25">
        <f>IF(
OR(
BA$1=MONTH($AP41),
BA$1=MONTH($AQ41),
BA$1=MONTH($AR41),
BA$1=MONTH($AS41)),
IF('CF USD'!$A$8="On",$L41,$K41)/T_Bonds[[#This Row],[Coupons per annum]],0)</f>
        <v>0</v>
      </c>
      <c r="BB41" s="25">
        <f>IF(
OR(
BB$1=MONTH($AP41),
BB$1=MONTH($AQ41),
BB$1=MONTH($AR41),
BB$1=MONTH($AS41)),
IF('CF USD'!$A$8="On",$L41,$K41)/T_Bonds[[#This Row],[Coupons per annum]],0)</f>
        <v>0</v>
      </c>
      <c r="BC41" s="25">
        <f>IF(
OR(
BC$1=MONTH($AP41),
BC$1=MONTH($AQ41),
BC$1=MONTH($AR41),
BC$1=MONTH($AS41)),
IF('CF USD'!$A$8="On",$L41,$K41)/T_Bonds[[#This Row],[Coupons per annum]],0)</f>
        <v>0</v>
      </c>
      <c r="BD41" s="25">
        <f>IF(
OR(
BD$1=MONTH($AP41),
BD$1=MONTH($AQ41),
BD$1=MONTH($AR41),
BD$1=MONTH($AS41)),
IF('CF USD'!$A$8="On",$L41,$K41)/T_Bonds[[#This Row],[Coupons per annum]],0)</f>
        <v>31874.999999999985</v>
      </c>
      <c r="BE41" s="25">
        <f>IF(
OR(
BE$1=MONTH($AP41),
BE$1=MONTH($AQ41),
BE$1=MONTH($AR41),
BE$1=MONTH($AS41)),
IF('CF USD'!$A$8="On",$L41,$K41)/T_Bonds[[#This Row],[Coupons per annum]],0)</f>
        <v>0</v>
      </c>
      <c r="BF41">
        <f>DAY(T_Bonds[[#This Row],[Next coupon date]])</f>
        <v>31</v>
      </c>
    </row>
    <row r="42" spans="1:58" x14ac:dyDescent="0.25">
      <c r="A42" s="298" t="s">
        <v>113</v>
      </c>
      <c r="B42" s="203" t="s">
        <v>51</v>
      </c>
      <c r="C42" s="1" t="str">
        <f>IF(T_Bonds[[#This Row],[Call date]]&lt;&gt;"","Callable","Maturity")</f>
        <v>Maturity</v>
      </c>
      <c r="D42" s="1" t="s">
        <v>114</v>
      </c>
      <c r="E42" s="1" t="s">
        <v>18</v>
      </c>
      <c r="F42" s="22">
        <f>IFERROR(INDEX('V004'!D:E,MATCH(D42,'V004'!D:D,0),2),0)</f>
        <v>0</v>
      </c>
      <c r="G42" s="22">
        <f>IFERROR(INDEX('V001'!D:E,MATCH(D42,'V001'!D:D,0),2),0)</f>
        <v>0</v>
      </c>
      <c r="H42" s="22">
        <f>IFERROR(INDEX(UBS!C:D,MATCH(D42,UBS!D:D,0),1),0)</f>
        <v>0</v>
      </c>
      <c r="I42" s="300">
        <f>SUM(T_Bonds[[#This Row],[V1412]:[UBS]])</f>
        <v>0</v>
      </c>
      <c r="J42" s="98">
        <f t="shared" si="20"/>
        <v>7.2500000000000009E-2</v>
      </c>
      <c r="K42" s="100">
        <f t="shared" si="14"/>
        <v>0</v>
      </c>
      <c r="L42" s="100">
        <f t="shared" si="15"/>
        <v>0</v>
      </c>
      <c r="M42" s="16">
        <v>67419</v>
      </c>
      <c r="N42" s="5">
        <f>IFERROR(INDEX(Cbonds!C:H,MATCH(D42,Cbonds!C:C,0),4)/100,0)</f>
        <v>5.9727672865499001E-2</v>
      </c>
      <c r="O42" s="6">
        <f>IFERROR(INDEX(Cbonds!C:H,MATCH(D42,Cbonds!C:C,0),5),0)</f>
        <v>3.0420375914854998</v>
      </c>
      <c r="P42" s="91">
        <f>T_Bonds[[#This Row],[Market price]]-T_Bonds[[#This Row],[Cost price]]</f>
        <v>1.0441</v>
      </c>
      <c r="Q42" s="91" t="e">
        <f>T_Bonds[[#This Row],[Coupon]]/T_Bonds[[#This Row],[Cost price]]</f>
        <v>#DIV/0!</v>
      </c>
      <c r="R42" s="109">
        <f t="shared" si="16"/>
        <v>0</v>
      </c>
      <c r="S42" s="222">
        <f>IFERROR(INDEX('V004'!D:J,MATCH(D42,'V004'!D:D,0),7),0)</f>
        <v>0</v>
      </c>
      <c r="T42" s="222">
        <f>IFERROR(INDEX('V001'!D:J,MATCH(D42,'V001'!D:D,0),7),0)</f>
        <v>0</v>
      </c>
      <c r="U42" s="223">
        <f>IFERROR(S42*T_Bonds[[#This Row],[V1412]]/(T_Bonds[[#This Row],[V1412]]+T_Bonds[[#This Row],[V1430]])+T42*T_Bonds[[#This Row],[V1430]]/(T_Bonds[[#This Row],[V1412]]+T_Bonds[[#This Row],[V1430]]),0)</f>
        <v>0</v>
      </c>
      <c r="V42" s="100" t="e">
        <f t="shared" si="17"/>
        <v>#DIV/0!</v>
      </c>
      <c r="W42" s="4"/>
      <c r="X42" s="299">
        <f>IFERROR(INDEX(Cbonds!C:AF,MATCH(D42,Cbonds!C:C,0),30)/100,0)</f>
        <v>1.0441</v>
      </c>
      <c r="Y42" s="4">
        <f>INDEX('Tech list'!A:C,MATCH(T_Bonds[[#This Row],[Risk CCY]],'Tech list'!A:A,0),3)</f>
        <v>1</v>
      </c>
      <c r="Z42" s="106">
        <f>T_Bonds[[#This Row],[Market price]]*T_Bonds[[#This Row],[Quantity]]</f>
        <v>0</v>
      </c>
      <c r="AA42" s="97">
        <f t="shared" si="18"/>
        <v>0</v>
      </c>
      <c r="AB42" s="73">
        <f ca="1">T_Bonds[[#This Row],[Market value in CCY]]+T_Bonds[[#This Row],[AI, CCY]]</f>
        <v>0</v>
      </c>
      <c r="AC42" s="73">
        <f ca="1">T_Bonds[[#This Row],[Market value in USD]]+T_Bonds[[#This Row],[AI, USD]]</f>
        <v>0</v>
      </c>
      <c r="AD42" s="97">
        <f t="shared" si="19"/>
        <v>0</v>
      </c>
      <c r="AE42" s="75">
        <f ca="1">(T_Bonds[[#This Row],[Coupon in Loc.Curr]]/T_Bonds[[#This Row],[Coupons per annum]])*((TODAY()-EDATE(T_Bonds[[#This Row],[Next coupon date]],-12/T_Bonds[[#This Row],[Coupons per annum]])))/(360/T_Bonds[[#This Row],[Coupons per annum]])</f>
        <v>0</v>
      </c>
      <c r="AF42" s="73">
        <f ca="1">T_Bonds[[#This Row],[AI, CCY]]*T_Bonds[[#This Row],[Exchange rate, N]]</f>
        <v>0</v>
      </c>
      <c r="AG42" s="311">
        <f>IFERROR(IF(INDEX(Cbonds!C:AC,MATCH(D42,Cbonds!C:C,0),27)&gt;5000,0,INDEX(Cbonds!C:AC,MATCH(D42,Cbonds!C:C,0),27)),0)</f>
        <v>233.14773920907999</v>
      </c>
      <c r="AH42" s="73">
        <v>50</v>
      </c>
      <c r="AJ42" s="80"/>
      <c r="AK42" s="77" t="s">
        <v>312</v>
      </c>
      <c r="AL42" s="104" t="s">
        <v>306</v>
      </c>
      <c r="AM42" t="s">
        <v>2475</v>
      </c>
      <c r="AN42" s="103" t="s">
        <v>313</v>
      </c>
      <c r="AO42" s="320">
        <v>4</v>
      </c>
      <c r="AP42" s="17">
        <f>IFERROR(INDEX(Cbonds!C:H,MATCH(D42,Cbonds!C:C,0),3),0)</f>
        <v>46053</v>
      </c>
      <c r="AQ42" s="17">
        <f>EDATE(T_Bonds[[#This Row],[Next coupon date]],12/T_Bonds[[#This Row],[Coupons per annum]])</f>
        <v>46142</v>
      </c>
      <c r="AR42" s="17">
        <f>EDATE(T_Bonds[[#This Row],[Second next coupon date]],12/$AO42)</f>
        <v>46233</v>
      </c>
      <c r="AS42" s="17">
        <f>EDATE(T_Bonds[[#This Row],[Coupon date 3]],12/$AO42)</f>
        <v>46325</v>
      </c>
      <c r="AT42" s="25">
        <f>IF(
OR(
AT$1=MONTH($AP42),
AT$1=MONTH($AQ42),
AT$1=MONTH($AR42),
AT$1=MONTH($AS42)),
IF('CF USD'!$A$8="On",$L42,$K42)/T_Bonds[[#This Row],[Coupons per annum]],0)</f>
        <v>0</v>
      </c>
      <c r="AU42" s="25">
        <f>IF(
OR(
AU$1=MONTH($AP42),
AU$1=MONTH($AQ42),
AU$1=MONTH($AR42),
AU$1=MONTH($AS42)),
IF('CF USD'!$A$8="On",$L42,$K42)/T_Bonds[[#This Row],[Coupons per annum]],0)</f>
        <v>0</v>
      </c>
      <c r="AV42" s="25">
        <f>IF(
OR(
AV$1=MONTH($AP42),
AV$1=MONTH($AQ42),
AV$1=MONTH($AR42),
AV$1=MONTH($AS42)),
IF('CF USD'!$A$8="On",$L42,$K42)/T_Bonds[[#This Row],[Coupons per annum]],0)</f>
        <v>0</v>
      </c>
      <c r="AW42" s="25">
        <f>IF(
OR(
AW$1=MONTH($AP42),
AW$1=MONTH($AQ42),
AW$1=MONTH($AR42),
AW$1=MONTH($AS42)),
IF('CF USD'!$A$8="On",$L42,$K42)/T_Bonds[[#This Row],[Coupons per annum]],0)</f>
        <v>0</v>
      </c>
      <c r="AX42" s="25">
        <f>IF(
OR(
AX$1=MONTH($AP42),
AX$1=MONTH($AQ42),
AX$1=MONTH($AR42),
AX$1=MONTH($AS42)),
IF('CF USD'!$A$8="On",$L42,$K42)/T_Bonds[[#This Row],[Coupons per annum]],0)</f>
        <v>0</v>
      </c>
      <c r="AY42" s="25">
        <f>IF(
OR(
AY$1=MONTH($AP42),
AY$1=MONTH($AQ42),
AY$1=MONTH($AR42),
AY$1=MONTH($AS42)),
IF('CF USD'!$A$8="On",$L42,$K42)/T_Bonds[[#This Row],[Coupons per annum]],0)</f>
        <v>0</v>
      </c>
      <c r="AZ42" s="25">
        <f>IF(
OR(
AZ$1=MONTH($AP42),
AZ$1=MONTH($AQ42),
AZ$1=MONTH($AR42),
AZ$1=MONTH($AS42)),
IF('CF USD'!$A$8="On",$L42,$K42)/T_Bonds[[#This Row],[Coupons per annum]],0)</f>
        <v>0</v>
      </c>
      <c r="BA42" s="25">
        <f>IF(
OR(
BA$1=MONTH($AP42),
BA$1=MONTH($AQ42),
BA$1=MONTH($AR42),
BA$1=MONTH($AS42)),
IF('CF USD'!$A$8="On",$L42,$K42)/T_Bonds[[#This Row],[Coupons per annum]],0)</f>
        <v>0</v>
      </c>
      <c r="BB42" s="25">
        <f>IF(
OR(
BB$1=MONTH($AP42),
BB$1=MONTH($AQ42),
BB$1=MONTH($AR42),
BB$1=MONTH($AS42)),
IF('CF USD'!$A$8="On",$L42,$K42)/T_Bonds[[#This Row],[Coupons per annum]],0)</f>
        <v>0</v>
      </c>
      <c r="BC42" s="25">
        <f>IF(
OR(
BC$1=MONTH($AP42),
BC$1=MONTH($AQ42),
BC$1=MONTH($AR42),
BC$1=MONTH($AS42)),
IF('CF USD'!$A$8="On",$L42,$K42)/T_Bonds[[#This Row],[Coupons per annum]],0)</f>
        <v>0</v>
      </c>
      <c r="BD42" s="25">
        <f>IF(
OR(
BD$1=MONTH($AP42),
BD$1=MONTH($AQ42),
BD$1=MONTH($AR42),
BD$1=MONTH($AS42)),
IF('CF USD'!$A$8="On",$L42,$K42)/T_Bonds[[#This Row],[Coupons per annum]],0)</f>
        <v>0</v>
      </c>
      <c r="BE42" s="25">
        <f>IF(
OR(
BE$1=MONTH($AP42),
BE$1=MONTH($AQ42),
BE$1=MONTH($AR42),
BE$1=MONTH($AS42)),
IF('CF USD'!$A$8="On",$L42,$K42)/T_Bonds[[#This Row],[Coupons per annum]],0)</f>
        <v>0</v>
      </c>
      <c r="BF42">
        <f>DAY(T_Bonds[[#This Row],[Next coupon date]])</f>
        <v>31</v>
      </c>
    </row>
    <row r="43" spans="1:58" s="22" customFormat="1" x14ac:dyDescent="0.25">
      <c r="A43" s="298" t="s">
        <v>117</v>
      </c>
      <c r="B43" s="203" t="s">
        <v>51</v>
      </c>
      <c r="C43" s="1" t="str">
        <f>IF(T_Bonds[[#This Row],[Call date]]&lt;&gt;"","Callable","Maturity")</f>
        <v>Maturity</v>
      </c>
      <c r="D43" s="1" t="s">
        <v>118</v>
      </c>
      <c r="E43" s="1" t="s">
        <v>18</v>
      </c>
      <c r="F43" s="22">
        <f>IFERROR(INDEX('V004'!D:E,MATCH(D43,'V004'!D:D,0),2),0)</f>
        <v>0</v>
      </c>
      <c r="G43" s="22">
        <f>IFERROR(INDEX('V001'!D:E,MATCH(D43,'V001'!D:D,0),2),0)</f>
        <v>0</v>
      </c>
      <c r="H43" s="22">
        <f>IFERROR(INDEX(UBS!C:D,MATCH(D43,UBS!D:D,0),1),0)</f>
        <v>0</v>
      </c>
      <c r="I43" s="300">
        <f>SUM(T_Bonds[[#This Row],[V1412]:[UBS]])</f>
        <v>0</v>
      </c>
      <c r="J43" s="98">
        <f t="shared" si="20"/>
        <v>6.9500000000000117E-2</v>
      </c>
      <c r="K43" s="100">
        <f t="shared" si="14"/>
        <v>0</v>
      </c>
      <c r="L43" s="100">
        <f t="shared" si="15"/>
        <v>0</v>
      </c>
      <c r="M43" s="16">
        <v>48138</v>
      </c>
      <c r="N43" s="5">
        <f>IFERROR(INDEX(Cbonds!C:H,MATCH(D43,Cbonds!C:C,0),4)/100,0)</f>
        <v>5.5506284225071999E-2</v>
      </c>
      <c r="O43" s="6">
        <f>IFERROR(INDEX(Cbonds!C:H,MATCH(D43,Cbonds!C:C,0),5),0)</f>
        <v>4.7023405210235998</v>
      </c>
      <c r="P43" s="91">
        <f>T_Bonds[[#This Row],[Market price]]-T_Bonds[[#This Row],[Cost price]]</f>
        <v>1.07145</v>
      </c>
      <c r="Q43" s="91" t="e">
        <f>T_Bonds[[#This Row],[Coupon]]/T_Bonds[[#This Row],[Cost price]]</f>
        <v>#DIV/0!</v>
      </c>
      <c r="R43" s="109">
        <f t="shared" si="16"/>
        <v>0</v>
      </c>
      <c r="S43" s="222">
        <f>IFERROR(INDEX('V004'!D:J,MATCH(D43,'V004'!D:D,0),7),0)</f>
        <v>0</v>
      </c>
      <c r="T43" s="222">
        <f>IFERROR(INDEX('V001'!D:J,MATCH(D43,'V001'!D:D,0),7),0)</f>
        <v>0</v>
      </c>
      <c r="U43" s="223">
        <f>IFERROR(S43*T_Bonds[[#This Row],[V1412]]/(T_Bonds[[#This Row],[V1412]]+T_Bonds[[#This Row],[V1430]])+T43*T_Bonds[[#This Row],[V1430]]/(T_Bonds[[#This Row],[V1412]]+T_Bonds[[#This Row],[V1430]]),0)</f>
        <v>0</v>
      </c>
      <c r="V43" s="100" t="e">
        <f t="shared" si="17"/>
        <v>#DIV/0!</v>
      </c>
      <c r="W43" s="4"/>
      <c r="X43" s="299">
        <f>IFERROR(INDEX(Cbonds!C:AF,MATCH(D43,Cbonds!C:C,0),30)/100,0)</f>
        <v>1.07145</v>
      </c>
      <c r="Y43" s="4">
        <f>INDEX('Tech list'!A:C,MATCH(T_Bonds[[#This Row],[Risk CCY]],'Tech list'!A:A,0),3)</f>
        <v>1</v>
      </c>
      <c r="Z43" s="105">
        <f>T_Bonds[[#This Row],[Market price]]*T_Bonds[[#This Row],[Quantity]]</f>
        <v>0</v>
      </c>
      <c r="AA43" s="105">
        <f t="shared" si="18"/>
        <v>0</v>
      </c>
      <c r="AB43" s="73">
        <f ca="1">T_Bonds[[#This Row],[Market value in CCY]]+T_Bonds[[#This Row],[AI, CCY]]</f>
        <v>0</v>
      </c>
      <c r="AC43" s="73">
        <f ca="1">T_Bonds[[#This Row],[Market value in USD]]+T_Bonds[[#This Row],[AI, USD]]</f>
        <v>0</v>
      </c>
      <c r="AD43" s="106">
        <f t="shared" si="19"/>
        <v>0</v>
      </c>
      <c r="AE43" s="75">
        <f ca="1">(T_Bonds[[#This Row],[Coupon in Loc.Curr]]/T_Bonds[[#This Row],[Coupons per annum]])*((TODAY()-EDATE(T_Bonds[[#This Row],[Next coupon date]],-12/T_Bonds[[#This Row],[Coupons per annum]])))/(360/T_Bonds[[#This Row],[Coupons per annum]])</f>
        <v>0</v>
      </c>
      <c r="AF43" s="73">
        <f ca="1">T_Bonds[[#This Row],[AI, CCY]]*T_Bonds[[#This Row],[Exchange rate, N]]</f>
        <v>0</v>
      </c>
      <c r="AG43" s="311">
        <f>IFERROR(IF(INDEX(Cbonds!C:AC,MATCH(D43,Cbonds!C:C,0),27)&gt;5000,0,INDEX(Cbonds!C:AC,MATCH(D43,Cbonds!C:C,0),27)),0)</f>
        <v>175.42675491825</v>
      </c>
      <c r="AH43" s="73">
        <v>30</v>
      </c>
      <c r="AI43" s="17"/>
      <c r="AJ43" s="74"/>
      <c r="AK43" s="113" t="s">
        <v>272</v>
      </c>
      <c r="AL43" s="99" t="s">
        <v>316</v>
      </c>
      <c r="AM43" t="s">
        <v>2477</v>
      </c>
      <c r="AN43" s="112" t="s">
        <v>317</v>
      </c>
      <c r="AO43" s="320">
        <v>2</v>
      </c>
      <c r="AP43" s="17">
        <f>IFERROR(INDEX(Cbonds!C:H,MATCH(D43,Cbonds!C:C,0),3),0)</f>
        <v>46129</v>
      </c>
      <c r="AQ43" s="17">
        <f>EDATE(T_Bonds[[#This Row],[Next coupon date]],12/T_Bonds[[#This Row],[Coupons per annum]])</f>
        <v>46312</v>
      </c>
      <c r="AR43" s="17">
        <f>EDATE(T_Bonds[[#This Row],[Second next coupon date]],12/$AO43)</f>
        <v>46494</v>
      </c>
      <c r="AS43" s="17">
        <f>EDATE(T_Bonds[[#This Row],[Coupon date 3]],12/$AO43)</f>
        <v>46677</v>
      </c>
      <c r="AT43" s="25">
        <f>IF(
OR(
AT$1=MONTH($AP43),
AT$1=MONTH($AQ43),
AT$1=MONTH($AR43),
AT$1=MONTH($AS43)),
IF('CF USD'!$A$8="On",$L43,$K43)/T_Bonds[[#This Row],[Coupons per annum]],0)</f>
        <v>0</v>
      </c>
      <c r="AU43" s="25">
        <f>IF(
OR(
AU$1=MONTH($AP43),
AU$1=MONTH($AQ43),
AU$1=MONTH($AR43),
AU$1=MONTH($AS43)),
IF('CF USD'!$A$8="On",$L43,$K43)/T_Bonds[[#This Row],[Coupons per annum]],0)</f>
        <v>0</v>
      </c>
      <c r="AV43" s="25">
        <f>IF(
OR(
AV$1=MONTH($AP43),
AV$1=MONTH($AQ43),
AV$1=MONTH($AR43),
AV$1=MONTH($AS43)),
IF('CF USD'!$A$8="On",$L43,$K43)/T_Bonds[[#This Row],[Coupons per annum]],0)</f>
        <v>0</v>
      </c>
      <c r="AW43" s="25">
        <f>IF(
OR(
AW$1=MONTH($AP43),
AW$1=MONTH($AQ43),
AW$1=MONTH($AR43),
AW$1=MONTH($AS43)),
IF('CF USD'!$A$8="On",$L43,$K43)/T_Bonds[[#This Row],[Coupons per annum]],0)</f>
        <v>0</v>
      </c>
      <c r="AX43" s="25">
        <f>IF(
OR(
AX$1=MONTH($AP43),
AX$1=MONTH($AQ43),
AX$1=MONTH($AR43),
AX$1=MONTH($AS43)),
IF('CF USD'!$A$8="On",$L43,$K43)/T_Bonds[[#This Row],[Coupons per annum]],0)</f>
        <v>0</v>
      </c>
      <c r="AY43" s="25">
        <f>IF(
OR(
AY$1=MONTH($AP43),
AY$1=MONTH($AQ43),
AY$1=MONTH($AR43),
AY$1=MONTH($AS43)),
IF('CF USD'!$A$8="On",$L43,$K43)/T_Bonds[[#This Row],[Coupons per annum]],0)</f>
        <v>0</v>
      </c>
      <c r="AZ43" s="25">
        <f>IF(
OR(
AZ$1=MONTH($AP43),
AZ$1=MONTH($AQ43),
AZ$1=MONTH($AR43),
AZ$1=MONTH($AS43)),
IF('CF USD'!$A$8="On",$L43,$K43)/T_Bonds[[#This Row],[Coupons per annum]],0)</f>
        <v>0</v>
      </c>
      <c r="BA43" s="25">
        <f>IF(
OR(
BA$1=MONTH($AP43),
BA$1=MONTH($AQ43),
BA$1=MONTH($AR43),
BA$1=MONTH($AS43)),
IF('CF USD'!$A$8="On",$L43,$K43)/T_Bonds[[#This Row],[Coupons per annum]],0)</f>
        <v>0</v>
      </c>
      <c r="BB43" s="25">
        <f>IF(
OR(
BB$1=MONTH($AP43),
BB$1=MONTH($AQ43),
BB$1=MONTH($AR43),
BB$1=MONTH($AS43)),
IF('CF USD'!$A$8="On",$L43,$K43)/T_Bonds[[#This Row],[Coupons per annum]],0)</f>
        <v>0</v>
      </c>
      <c r="BC43" s="25">
        <f>IF(
OR(
BC$1=MONTH($AP43),
BC$1=MONTH($AQ43),
BC$1=MONTH($AR43),
BC$1=MONTH($AS43)),
IF('CF USD'!$A$8="On",$L43,$K43)/T_Bonds[[#This Row],[Coupons per annum]],0)</f>
        <v>0</v>
      </c>
      <c r="BD43" s="25">
        <f>IF(
OR(
BD$1=MONTH($AP43),
BD$1=MONTH($AQ43),
BD$1=MONTH($AR43),
BD$1=MONTH($AS43)),
IF('CF USD'!$A$8="On",$L43,$K43)/T_Bonds[[#This Row],[Coupons per annum]],0)</f>
        <v>0</v>
      </c>
      <c r="BE43" s="25">
        <f>IF(
OR(
BE$1=MONTH($AP43),
BE$1=MONTH($AQ43),
BE$1=MONTH($AR43),
BE$1=MONTH($AS43)),
IF('CF USD'!$A$8="On",$L43,$K43)/T_Bonds[[#This Row],[Coupons per annum]],0)</f>
        <v>0</v>
      </c>
      <c r="BF43">
        <f>DAY(T_Bonds[[#This Row],[Next coupon date]])</f>
        <v>17</v>
      </c>
    </row>
    <row r="44" spans="1:58" x14ac:dyDescent="0.25">
      <c r="A44" s="298" t="s">
        <v>119</v>
      </c>
      <c r="B44" s="203" t="s">
        <v>51</v>
      </c>
      <c r="C44" s="1" t="str">
        <f>IF(T_Bonds[[#This Row],[Call date]]&lt;&gt;"","Callable","Maturity")</f>
        <v>Maturity</v>
      </c>
      <c r="D44" s="1" t="s">
        <v>120</v>
      </c>
      <c r="E44" s="1" t="s">
        <v>18</v>
      </c>
      <c r="F44" s="22">
        <f>IFERROR(INDEX('V004'!D:E,MATCH(D44,'V004'!D:D,0),2),0)</f>
        <v>1000000</v>
      </c>
      <c r="G44" s="22">
        <f>IFERROR(INDEX('V001'!D:E,MATCH(D44,'V001'!D:D,0),2),0)</f>
        <v>0</v>
      </c>
      <c r="H44" s="22">
        <f>IFERROR(INDEX(UBS!C:D,MATCH(D44,UBS!D:D,0),1),0)</f>
        <v>0</v>
      </c>
      <c r="I44" s="300">
        <f>SUM(T_Bonds[[#This Row],[V1412]:[UBS]])</f>
        <v>1000000</v>
      </c>
      <c r="J44" s="98">
        <f t="shared" si="20"/>
        <v>7.0000000000000062E-2</v>
      </c>
      <c r="K44" s="100">
        <f t="shared" si="14"/>
        <v>70000.000000000058</v>
      </c>
      <c r="L44" s="100">
        <f t="shared" si="15"/>
        <v>70000.000000000058</v>
      </c>
      <c r="M44" s="16">
        <v>48037</v>
      </c>
      <c r="N44" s="5">
        <f>IFERROR(INDEX(Cbonds!C:H,MATCH(D44,Cbonds!C:C,0),4)/100,0)</f>
        <v>6.9089839676354001E-2</v>
      </c>
      <c r="O44" s="6">
        <f>IFERROR(INDEX(Cbonds!C:H,MATCH(D44,Cbonds!C:C,0),5),0)</f>
        <v>4.5415147132425</v>
      </c>
      <c r="P44" s="91">
        <f>T_Bonds[[#This Row],[Market price]]-T_Bonds[[#This Row],[Cost price]]</f>
        <v>8.2000000000002071E-3</v>
      </c>
      <c r="Q44" s="91">
        <f>T_Bonds[[#This Row],[Coupon]]/T_Bonds[[#This Row],[Cost price]]</f>
        <v>6.9930069930070005E-2</v>
      </c>
      <c r="R44" s="109">
        <f t="shared" si="16"/>
        <v>69089.839676354008</v>
      </c>
      <c r="S44" s="222">
        <f>IFERROR(INDEX('V004'!D:J,MATCH(D44,'V004'!D:D,0),7),0)</f>
        <v>1.0009999999999999</v>
      </c>
      <c r="T44" s="222">
        <f>IFERROR(INDEX('V001'!D:J,MATCH(D44,'V001'!D:D,0),7),0)</f>
        <v>0</v>
      </c>
      <c r="U44" s="223">
        <f>IFERROR(S44*T_Bonds[[#This Row],[V1412]]/(T_Bonds[[#This Row],[V1412]]+T_Bonds[[#This Row],[V1430]])+T44*T_Bonds[[#This Row],[V1430]]/(T_Bonds[[#This Row],[V1412]]+T_Bonds[[#This Row],[V1430]]),0)</f>
        <v>1.0009999999999999</v>
      </c>
      <c r="V44" s="100">
        <f t="shared" si="17"/>
        <v>69930.069930069993</v>
      </c>
      <c r="W44" s="4"/>
      <c r="X44" s="299">
        <f>IFERROR(INDEX(Cbonds!C:AF,MATCH(D44,Cbonds!C:C,0),30)/100,0)</f>
        <v>1.0092000000000001</v>
      </c>
      <c r="Y44" s="4">
        <f>INDEX('Tech list'!A:C,MATCH(T_Bonds[[#This Row],[Risk CCY]],'Tech list'!A:A,0),3)</f>
        <v>1</v>
      </c>
      <c r="Z44" s="105">
        <f>T_Bonds[[#This Row],[Market price]]*T_Bonds[[#This Row],[Quantity]]</f>
        <v>1009200.0000000001</v>
      </c>
      <c r="AA44" s="97">
        <f t="shared" si="18"/>
        <v>1009200.0000000001</v>
      </c>
      <c r="AB44" s="73">
        <f ca="1">T_Bonds[[#This Row],[Market value in CCY]]+T_Bonds[[#This Row],[AI, CCY]]</f>
        <v>1021061.1111111112</v>
      </c>
      <c r="AC44" s="73">
        <f ca="1">T_Bonds[[#This Row],[Market value in USD]]+T_Bonds[[#This Row],[AI, USD]]</f>
        <v>1021061.1111111112</v>
      </c>
      <c r="AD44" s="106">
        <f t="shared" si="19"/>
        <v>1000999.9999999999</v>
      </c>
      <c r="AE44" s="75">
        <f ca="1">(T_Bonds[[#This Row],[Coupon in Loc.Curr]]/T_Bonds[[#This Row],[Coupons per annum]])*((TODAY()-EDATE(T_Bonds[[#This Row],[Next coupon date]],-12/T_Bonds[[#This Row],[Coupons per annum]])))/(360/T_Bonds[[#This Row],[Coupons per annum]])</f>
        <v>11861.111111111122</v>
      </c>
      <c r="AF44" s="73">
        <f ca="1">T_Bonds[[#This Row],[AI, CCY]]*T_Bonds[[#This Row],[Exchange rate, N]]</f>
        <v>11861.111111111122</v>
      </c>
      <c r="AG44" s="311">
        <f>IFERROR(IF(INDEX(Cbonds!C:AC,MATCH(D44,Cbonds!C:C,0),27)&gt;5000,0,INDEX(Cbonds!C:AC,MATCH(D44,Cbonds!C:C,0),27)),0)</f>
        <v>312.91506116524999</v>
      </c>
      <c r="AH44" s="73">
        <v>30</v>
      </c>
      <c r="AJ44" s="74"/>
      <c r="AK44" s="79" t="s">
        <v>312</v>
      </c>
      <c r="AL44" s="99" t="s">
        <v>287</v>
      </c>
      <c r="AM44" t="s">
        <v>2475</v>
      </c>
      <c r="AN44" s="79" t="s">
        <v>318</v>
      </c>
      <c r="AO44" s="320">
        <v>2</v>
      </c>
      <c r="AP44" s="17">
        <f>IFERROR(INDEX(Cbonds!C:H,MATCH(D44,Cbonds!C:C,0),3),0)</f>
        <v>46211</v>
      </c>
      <c r="AQ44" s="17">
        <f>EDATE(T_Bonds[[#This Row],[Next coupon date]],12/T_Bonds[[#This Row],[Coupons per annum]])</f>
        <v>46395</v>
      </c>
      <c r="AR44" s="17">
        <f>EDATE(T_Bonds[[#This Row],[Second next coupon date]],12/$AO44)</f>
        <v>46576</v>
      </c>
      <c r="AS44" s="17">
        <f>EDATE(T_Bonds[[#This Row],[Coupon date 3]],12/$AO44)</f>
        <v>46760</v>
      </c>
      <c r="AT44" s="25">
        <f>IF(
OR(
AT$1=MONTH($AP44),
AT$1=MONTH($AQ44),
AT$1=MONTH($AR44),
AT$1=MONTH($AS44)),
IF('CF USD'!$A$8="On",$L44,$K44)/T_Bonds[[#This Row],[Coupons per annum]],0)</f>
        <v>35000.000000000029</v>
      </c>
      <c r="AU44" s="25">
        <f>IF(
OR(
AU$1=MONTH($AP44),
AU$1=MONTH($AQ44),
AU$1=MONTH($AR44),
AU$1=MONTH($AS44)),
IF('CF USD'!$A$8="On",$L44,$K44)/T_Bonds[[#This Row],[Coupons per annum]],0)</f>
        <v>0</v>
      </c>
      <c r="AV44" s="25">
        <f>IF(
OR(
AV$1=MONTH($AP44),
AV$1=MONTH($AQ44),
AV$1=MONTH($AR44),
AV$1=MONTH($AS44)),
IF('CF USD'!$A$8="On",$L44,$K44)/T_Bonds[[#This Row],[Coupons per annum]],0)</f>
        <v>0</v>
      </c>
      <c r="AW44" s="25">
        <f>IF(
OR(
AW$1=MONTH($AP44),
AW$1=MONTH($AQ44),
AW$1=MONTH($AR44),
AW$1=MONTH($AS44)),
IF('CF USD'!$A$8="On",$L44,$K44)/T_Bonds[[#This Row],[Coupons per annum]],0)</f>
        <v>0</v>
      </c>
      <c r="AX44" s="25">
        <f>IF(
OR(
AX$1=MONTH($AP44),
AX$1=MONTH($AQ44),
AX$1=MONTH($AR44),
AX$1=MONTH($AS44)),
IF('CF USD'!$A$8="On",$L44,$K44)/T_Bonds[[#This Row],[Coupons per annum]],0)</f>
        <v>0</v>
      </c>
      <c r="AY44" s="25">
        <f>IF(
OR(
AY$1=MONTH($AP44),
AY$1=MONTH($AQ44),
AY$1=MONTH($AR44),
AY$1=MONTH($AS44)),
IF('CF USD'!$A$8="On",$L44,$K44)/T_Bonds[[#This Row],[Coupons per annum]],0)</f>
        <v>0</v>
      </c>
      <c r="AZ44" s="25">
        <f>IF(
OR(
AZ$1=MONTH($AP44),
AZ$1=MONTH($AQ44),
AZ$1=MONTH($AR44),
AZ$1=MONTH($AS44)),
IF('CF USD'!$A$8="On",$L44,$K44)/T_Bonds[[#This Row],[Coupons per annum]],0)</f>
        <v>35000.000000000029</v>
      </c>
      <c r="BA44" s="25">
        <f>IF(
OR(
BA$1=MONTH($AP44),
BA$1=MONTH($AQ44),
BA$1=MONTH($AR44),
BA$1=MONTH($AS44)),
IF('CF USD'!$A$8="On",$L44,$K44)/T_Bonds[[#This Row],[Coupons per annum]],0)</f>
        <v>0</v>
      </c>
      <c r="BB44" s="25">
        <f>IF(
OR(
BB$1=MONTH($AP44),
BB$1=MONTH($AQ44),
BB$1=MONTH($AR44),
BB$1=MONTH($AS44)),
IF('CF USD'!$A$8="On",$L44,$K44)/T_Bonds[[#This Row],[Coupons per annum]],0)</f>
        <v>0</v>
      </c>
      <c r="BC44" s="25">
        <f>IF(
OR(
BC$1=MONTH($AP44),
BC$1=MONTH($AQ44),
BC$1=MONTH($AR44),
BC$1=MONTH($AS44)),
IF('CF USD'!$A$8="On",$L44,$K44)/T_Bonds[[#This Row],[Coupons per annum]],0)</f>
        <v>0</v>
      </c>
      <c r="BD44" s="25">
        <f>IF(
OR(
BD$1=MONTH($AP44),
BD$1=MONTH($AQ44),
BD$1=MONTH($AR44),
BD$1=MONTH($AS44)),
IF('CF USD'!$A$8="On",$L44,$K44)/T_Bonds[[#This Row],[Coupons per annum]],0)</f>
        <v>0</v>
      </c>
      <c r="BE44" s="25">
        <f>IF(
OR(
BE$1=MONTH($AP44),
BE$1=MONTH($AQ44),
BE$1=MONTH($AR44),
BE$1=MONTH($AS44)),
IF('CF USD'!$A$8="On",$L44,$K44)/T_Bonds[[#This Row],[Coupons per annum]],0)</f>
        <v>0</v>
      </c>
      <c r="BF44">
        <f>DAY(T_Bonds[[#This Row],[Next coupon date]])</f>
        <v>8</v>
      </c>
    </row>
    <row r="45" spans="1:58" x14ac:dyDescent="0.25">
      <c r="A45" s="298" t="s">
        <v>122</v>
      </c>
      <c r="B45" s="203" t="s">
        <v>51</v>
      </c>
      <c r="C45" s="1" t="str">
        <f>IF(T_Bonds[[#This Row],[Call date]]&lt;&gt;"","Callable","Maturity")</f>
        <v>Maturity</v>
      </c>
      <c r="D45" s="1" t="s">
        <v>123</v>
      </c>
      <c r="E45" s="1" t="s">
        <v>18</v>
      </c>
      <c r="F45" s="22">
        <f>IFERROR(INDEX('V004'!D:E,MATCH(D45,'V004'!D:D,0),2),0)</f>
        <v>800000</v>
      </c>
      <c r="G45" s="22">
        <f>IFERROR(INDEX('V001'!D:E,MATCH(D45,'V001'!D:D,0),2),0)</f>
        <v>0</v>
      </c>
      <c r="H45" s="22">
        <f>IFERROR(INDEX(UBS!C:D,MATCH(D45,UBS!D:D,0),1),0)</f>
        <v>0</v>
      </c>
      <c r="I45" s="300">
        <f>SUM(T_Bonds[[#This Row],[V1412]:[UBS]])</f>
        <v>800000</v>
      </c>
      <c r="J45" s="198">
        <f t="shared" si="20"/>
        <v>5.0000000000000044E-2</v>
      </c>
      <c r="K45" s="100">
        <f>J45*I45</f>
        <v>40000.000000000036</v>
      </c>
      <c r="L45" s="100">
        <f>IF(Y45&lt;&gt;1,I45*J45*Y45,I45*J45)</f>
        <v>40000.000000000036</v>
      </c>
      <c r="M45" s="16">
        <v>51715</v>
      </c>
      <c r="N45" s="5">
        <f>IFERROR(INDEX(Cbonds!C:H,MATCH(D45,Cbonds!C:C,0),4)/100,0)</f>
        <v>6.4976296503678005E-2</v>
      </c>
      <c r="O45" s="6">
        <f>IFERROR(INDEX(Cbonds!C:H,MATCH(D45,Cbonds!C:C,0),5),0)</f>
        <v>10.142886702287001</v>
      </c>
      <c r="P45" s="91">
        <f>T_Bonds[[#This Row],[Market price]]-T_Bonds[[#This Row],[Cost price]]</f>
        <v>6.4554575000000169E-2</v>
      </c>
      <c r="Q45" s="91">
        <f>T_Bonds[[#This Row],[Coupon]]/T_Bonds[[#This Row],[Cost price]]</f>
        <v>6.2543356227224706E-2</v>
      </c>
      <c r="R45" s="109">
        <f>N45*I45</f>
        <v>51981.037202942403</v>
      </c>
      <c r="S45" s="222">
        <f>IFERROR(INDEX('V004'!D:J,MATCH(D45,'V004'!D:D,0),7),0)</f>
        <v>0.79944542499999993</v>
      </c>
      <c r="T45" s="222">
        <f>IFERROR(INDEX('V001'!D:J,MATCH(D45,'V001'!D:D,0),7),0)</f>
        <v>0</v>
      </c>
      <c r="U45" s="223">
        <f>IFERROR(S45*T_Bonds[[#This Row],[V1412]]/(T_Bonds[[#This Row],[V1412]]+T_Bonds[[#This Row],[V1430]])+T45*T_Bonds[[#This Row],[V1430]]/(T_Bonds[[#This Row],[V1412]]+T_Bonds[[#This Row],[V1430]]),0)</f>
        <v>0.79944542499999993</v>
      </c>
      <c r="V45" s="100">
        <f>I45*J45/U45</f>
        <v>50034.684981779763</v>
      </c>
      <c r="W45" s="4"/>
      <c r="X45" s="299">
        <f>IFERROR(INDEX(Cbonds!C:AF,MATCH(D45,Cbonds!C:C,0),30)/100,0)</f>
        <v>0.8640000000000001</v>
      </c>
      <c r="Y45" s="4">
        <f>INDEX('Tech list'!A:C,MATCH(T_Bonds[[#This Row],[Risk CCY]],'Tech list'!A:A,0),3)</f>
        <v>1</v>
      </c>
      <c r="Z45" s="105">
        <f>T_Bonds[[#This Row],[Market price]]*T_Bonds[[#This Row],[Quantity]]</f>
        <v>691200.00000000012</v>
      </c>
      <c r="AA45" s="73">
        <f>IF(E45&lt;&gt;"USD",X45*Y45*I45,X45*I45)</f>
        <v>691200.00000000012</v>
      </c>
      <c r="AB45" s="73">
        <f ca="1">T_Bonds[[#This Row],[Market value in CCY]]+T_Bonds[[#This Row],[AI, CCY]]</f>
        <v>715644.44444444461</v>
      </c>
      <c r="AC45" s="73">
        <f ca="1">T_Bonds[[#This Row],[Market value in USD]]+T_Bonds[[#This Row],[AI, USD]]</f>
        <v>715644.44444444461</v>
      </c>
      <c r="AD45" s="199">
        <f>U45*I45</f>
        <v>639556.34</v>
      </c>
      <c r="AE45" s="75">
        <f ca="1">(T_Bonds[[#This Row],[Coupon in Loc.Curr]]/T_Bonds[[#This Row],[Coupons per annum]])*((TODAY()-EDATE(T_Bonds[[#This Row],[Next coupon date]],-12/T_Bonds[[#This Row],[Coupons per annum]])))/(360/T_Bonds[[#This Row],[Coupons per annum]])</f>
        <v>24444.444444444463</v>
      </c>
      <c r="AF45" s="73">
        <f ca="1">T_Bonds[[#This Row],[AI, CCY]]*T_Bonds[[#This Row],[Exchange rate, N]]</f>
        <v>24444.444444444463</v>
      </c>
      <c r="AG45" s="311">
        <f>IFERROR(IF(INDEX(Cbonds!C:AC,MATCH(D45,Cbonds!C:C,0),27)&gt;5000,0,INDEX(Cbonds!C:AC,MATCH(D45,Cbonds!C:C,0),27)),0)</f>
        <v>215.93579224793999</v>
      </c>
      <c r="AH45" s="73">
        <v>75</v>
      </c>
      <c r="AJ45" s="74"/>
      <c r="AK45" t="s">
        <v>319</v>
      </c>
      <c r="AL45" t="s">
        <v>262</v>
      </c>
      <c r="AM45" t="s">
        <v>2476</v>
      </c>
      <c r="AN45" t="s">
        <v>320</v>
      </c>
      <c r="AO45" s="320">
        <v>2</v>
      </c>
      <c r="AP45" s="17">
        <f>IFERROR(INDEX(Cbonds!C:H,MATCH(D45,Cbonds!C:C,0),3),0)</f>
        <v>46055</v>
      </c>
      <c r="AQ45" s="17">
        <f>EDATE(T_Bonds[[#This Row],[Next coupon date]],12/T_Bonds[[#This Row],[Coupons per annum]])</f>
        <v>46236</v>
      </c>
      <c r="AR45" s="17">
        <f>EDATE(T_Bonds[[#This Row],[Second next coupon date]],12/$AO45)</f>
        <v>46420</v>
      </c>
      <c r="AS45" s="17">
        <f>EDATE(T_Bonds[[#This Row],[Coupon date 3]],12/$AO45)</f>
        <v>46601</v>
      </c>
      <c r="AT45" s="25">
        <f>IF(
OR(
AT$1=MONTH($AP45),
AT$1=MONTH($AQ45),
AT$1=MONTH($AR45),
AT$1=MONTH($AS45)),
IF('CF USD'!$A$8="On",$L45,$K45)/T_Bonds[[#This Row],[Coupons per annum]],0)</f>
        <v>0</v>
      </c>
      <c r="AU45" s="25">
        <f>IF(
OR(
AU$1=MONTH($AP45),
AU$1=MONTH($AQ45),
AU$1=MONTH($AR45),
AU$1=MONTH($AS45)),
IF('CF USD'!$A$8="On",$L45,$K45)/T_Bonds[[#This Row],[Coupons per annum]],0)</f>
        <v>20000.000000000018</v>
      </c>
      <c r="AV45" s="25">
        <f>IF(
OR(
AV$1=MONTH($AP45),
AV$1=MONTH($AQ45),
AV$1=MONTH($AR45),
AV$1=MONTH($AS45)),
IF('CF USD'!$A$8="On",$L45,$K45)/T_Bonds[[#This Row],[Coupons per annum]],0)</f>
        <v>0</v>
      </c>
      <c r="AW45" s="25">
        <f>IF(
OR(
AW$1=MONTH($AP45),
AW$1=MONTH($AQ45),
AW$1=MONTH($AR45),
AW$1=MONTH($AS45)),
IF('CF USD'!$A$8="On",$L45,$K45)/T_Bonds[[#This Row],[Coupons per annum]],0)</f>
        <v>0</v>
      </c>
      <c r="AX45" s="25">
        <f>IF(
OR(
AX$1=MONTH($AP45),
AX$1=MONTH($AQ45),
AX$1=MONTH($AR45),
AX$1=MONTH($AS45)),
IF('CF USD'!$A$8="On",$L45,$K45)/T_Bonds[[#This Row],[Coupons per annum]],0)</f>
        <v>0</v>
      </c>
      <c r="AY45" s="25">
        <f>IF(
OR(
AY$1=MONTH($AP45),
AY$1=MONTH($AQ45),
AY$1=MONTH($AR45),
AY$1=MONTH($AS45)),
IF('CF USD'!$A$8="On",$L45,$K45)/T_Bonds[[#This Row],[Coupons per annum]],0)</f>
        <v>0</v>
      </c>
      <c r="AZ45" s="25">
        <f>IF(
OR(
AZ$1=MONTH($AP45),
AZ$1=MONTH($AQ45),
AZ$1=MONTH($AR45),
AZ$1=MONTH($AS45)),
IF('CF USD'!$A$8="On",$L45,$K45)/T_Bonds[[#This Row],[Coupons per annum]],0)</f>
        <v>0</v>
      </c>
      <c r="BA45" s="25">
        <f>IF(
OR(
BA$1=MONTH($AP45),
BA$1=MONTH($AQ45),
BA$1=MONTH($AR45),
BA$1=MONTH($AS45)),
IF('CF USD'!$A$8="On",$L45,$K45)/T_Bonds[[#This Row],[Coupons per annum]],0)</f>
        <v>20000.000000000018</v>
      </c>
      <c r="BB45" s="25">
        <f>IF(
OR(
BB$1=MONTH($AP45),
BB$1=MONTH($AQ45),
BB$1=MONTH($AR45),
BB$1=MONTH($AS45)),
IF('CF USD'!$A$8="On",$L45,$K45)/T_Bonds[[#This Row],[Coupons per annum]],0)</f>
        <v>0</v>
      </c>
      <c r="BC45" s="25">
        <f>IF(
OR(
BC$1=MONTH($AP45),
BC$1=MONTH($AQ45),
BC$1=MONTH($AR45),
BC$1=MONTH($AS45)),
IF('CF USD'!$A$8="On",$L45,$K45)/T_Bonds[[#This Row],[Coupons per annum]],0)</f>
        <v>0</v>
      </c>
      <c r="BD45" s="25">
        <f>IF(
OR(
BD$1=MONTH($AP45),
BD$1=MONTH($AQ45),
BD$1=MONTH($AR45),
BD$1=MONTH($AS45)),
IF('CF USD'!$A$8="On",$L45,$K45)/T_Bonds[[#This Row],[Coupons per annum]],0)</f>
        <v>0</v>
      </c>
      <c r="BE45" s="25">
        <f>IF(
OR(
BE$1=MONTH($AP45),
BE$1=MONTH($AQ45),
BE$1=MONTH($AR45),
BE$1=MONTH($AS45)),
IF('CF USD'!$A$8="On",$L45,$K45)/T_Bonds[[#This Row],[Coupons per annum]],0)</f>
        <v>0</v>
      </c>
      <c r="BF45">
        <f>DAY(T_Bonds[[#This Row],[Next coupon date]])</f>
        <v>2</v>
      </c>
    </row>
    <row r="46" spans="1:58" x14ac:dyDescent="0.25">
      <c r="A46" s="298" t="s">
        <v>124</v>
      </c>
      <c r="B46" s="203" t="s">
        <v>51</v>
      </c>
      <c r="C46" s="1" t="str">
        <f>IF(T_Bonds[[#This Row],[Call date]]&lt;&gt;"","Callable","Maturity")</f>
        <v>Maturity</v>
      </c>
      <c r="D46" s="1" t="s">
        <v>125</v>
      </c>
      <c r="E46" s="1" t="s">
        <v>18</v>
      </c>
      <c r="F46" s="22">
        <f>IFERROR(INDEX('V004'!D:E,MATCH(D46,'V004'!D:D,0),2),0)</f>
        <v>600000</v>
      </c>
      <c r="G46" s="22">
        <f>IFERROR(INDEX('V001'!D:E,MATCH(D46,'V001'!D:D,0),2),0)</f>
        <v>0</v>
      </c>
      <c r="H46" s="22">
        <f>IFERROR(INDEX(UBS!C:D,MATCH(D46,UBS!D:D,0),1),0)</f>
        <v>0</v>
      </c>
      <c r="I46" s="300">
        <f>SUM(T_Bonds[[#This Row],[V1412]:[UBS]])</f>
        <v>600000</v>
      </c>
      <c r="J46" s="74">
        <f t="shared" ref="J46:J52" si="21">LEFT(A46,FIND("%",A46,1))+1-1</f>
        <v>4.9870000000000081E-2</v>
      </c>
      <c r="K46" s="73">
        <f t="shared" si="14"/>
        <v>29922.000000000047</v>
      </c>
      <c r="L46" s="73">
        <f t="shared" si="15"/>
        <v>29922.000000000047</v>
      </c>
      <c r="M46" s="16">
        <v>55537</v>
      </c>
      <c r="N46" s="5">
        <f>IFERROR(INDEX(Cbonds!C:H,MATCH(D46,Cbonds!C:C,0),4)/100,0)</f>
        <v>6.6984384271653E-2</v>
      </c>
      <c r="O46" s="6">
        <f>IFERROR(INDEX(Cbonds!C:H,MATCH(D46,Cbonds!C:C,0),5),0)</f>
        <v>13.301310284783</v>
      </c>
      <c r="P46" s="91">
        <f>T_Bonds[[#This Row],[Market price]]-T_Bonds[[#This Row],[Cost price]]</f>
        <v>6.9662166666666692E-2</v>
      </c>
      <c r="Q46" s="91">
        <f>T_Bonds[[#This Row],[Coupon]]/T_Bonds[[#This Row],[Cost price]]</f>
        <v>6.8106286960042922E-2</v>
      </c>
      <c r="R46" s="97">
        <f t="shared" si="16"/>
        <v>40190.630562991799</v>
      </c>
      <c r="S46" s="222">
        <f>IFERROR(INDEX('V004'!D:J,MATCH(D46,'V004'!D:D,0),7),0)</f>
        <v>0.73223783333333325</v>
      </c>
      <c r="T46" s="222">
        <f>IFERROR(INDEX('V001'!D:J,MATCH(D46,'V001'!D:D,0),7),0)</f>
        <v>0</v>
      </c>
      <c r="U46" s="223">
        <f>IFERROR(S46*T_Bonds[[#This Row],[V1412]]/(T_Bonds[[#This Row],[V1412]]+T_Bonds[[#This Row],[V1430]])+T46*T_Bonds[[#This Row],[V1430]]/(T_Bonds[[#This Row],[V1412]]+T_Bonds[[#This Row],[V1430]]),0)</f>
        <v>0.73223783333333325</v>
      </c>
      <c r="V46" s="73">
        <f t="shared" si="17"/>
        <v>40863.772176025755</v>
      </c>
      <c r="W46" s="1" t="s">
        <v>257</v>
      </c>
      <c r="X46" s="299">
        <f>IFERROR(INDEX(Cbonds!C:AF,MATCH(D46,Cbonds!C:C,0),30)/100,0)</f>
        <v>0.80189999999999995</v>
      </c>
      <c r="Y46" s="4">
        <f>INDEX('Tech list'!A:C,MATCH(T_Bonds[[#This Row],[Risk CCY]],'Tech list'!A:A,0),3)</f>
        <v>1</v>
      </c>
      <c r="Z46" s="100">
        <f>T_Bonds[[#This Row],[Market price]]*T_Bonds[[#This Row],[Quantity]]</f>
        <v>481139.99999999994</v>
      </c>
      <c r="AA46" s="73">
        <f t="shared" si="18"/>
        <v>481139.99999999994</v>
      </c>
      <c r="AB46" s="73">
        <f ca="1">T_Bonds[[#This Row],[Market value in CCY]]+T_Bonds[[#This Row],[AI, CCY]]</f>
        <v>485295.83333333326</v>
      </c>
      <c r="AC46" s="73">
        <f ca="1">T_Bonds[[#This Row],[Market value in USD]]+T_Bonds[[#This Row],[AI, USD]]</f>
        <v>485295.83333333326</v>
      </c>
      <c r="AD46" s="73">
        <f t="shared" si="19"/>
        <v>439342.69999999995</v>
      </c>
      <c r="AE46" s="75">
        <f ca="1">(T_Bonds[[#This Row],[Coupon in Loc.Curr]]/T_Bonds[[#This Row],[Coupons per annum]])*((TODAY()-EDATE(T_Bonds[[#This Row],[Next coupon date]],-12/T_Bonds[[#This Row],[Coupons per annum]])))/(360/T_Bonds[[#This Row],[Coupons per annum]])</f>
        <v>4155.8333333333394</v>
      </c>
      <c r="AF46" s="73">
        <f ca="1">T_Bonds[[#This Row],[AI, CCY]]*T_Bonds[[#This Row],[Exchange rate, N]]</f>
        <v>4155.8333333333394</v>
      </c>
      <c r="AG46" s="311">
        <f>IFERROR(IF(INDEX(Cbonds!C:AC,MATCH(D46,Cbonds!C:C,0),27)&gt;5000,0,INDEX(Cbonds!C:AC,MATCH(D46,Cbonds!C:C,0),27)),0)</f>
        <v>211.98574578333</v>
      </c>
      <c r="AH46" s="73">
        <v>75</v>
      </c>
      <c r="AK46" t="s">
        <v>321</v>
      </c>
      <c r="AL46" t="s">
        <v>273</v>
      </c>
      <c r="AM46" t="s">
        <v>2476</v>
      </c>
      <c r="AN46" t="s">
        <v>322</v>
      </c>
      <c r="AO46" s="320">
        <v>2</v>
      </c>
      <c r="AP46" s="17">
        <f>IFERROR(INDEX(Cbonds!C:H,MATCH(D46,Cbonds!C:C,0),3),0)</f>
        <v>46222</v>
      </c>
      <c r="AQ46" s="17">
        <f>EDATE(T_Bonds[[#This Row],[Next coupon date]],12/T_Bonds[[#This Row],[Coupons per annum]])</f>
        <v>46406</v>
      </c>
      <c r="AR46" s="17">
        <f>EDATE(T_Bonds[[#This Row],[Second next coupon date]],12/$AO46)</f>
        <v>46587</v>
      </c>
      <c r="AS46" s="17">
        <f>EDATE(T_Bonds[[#This Row],[Coupon date 3]],12/$AO46)</f>
        <v>46771</v>
      </c>
      <c r="AT46" s="25">
        <f>IF(
OR(
AT$1=MONTH($AP46),
AT$1=MONTH($AQ46),
AT$1=MONTH($AR46),
AT$1=MONTH($AS46)),
IF('CF USD'!$A$8="On",$L46,$K46)/T_Bonds[[#This Row],[Coupons per annum]],0)</f>
        <v>14961.000000000024</v>
      </c>
      <c r="AU46" s="25">
        <f>IF(
OR(
AU$1=MONTH($AP46),
AU$1=MONTH($AQ46),
AU$1=MONTH($AR46),
AU$1=MONTH($AS46)),
IF('CF USD'!$A$8="On",$L46,$K46)/T_Bonds[[#This Row],[Coupons per annum]],0)</f>
        <v>0</v>
      </c>
      <c r="AV46" s="25">
        <f>IF(
OR(
AV$1=MONTH($AP46),
AV$1=MONTH($AQ46),
AV$1=MONTH($AR46),
AV$1=MONTH($AS46)),
IF('CF USD'!$A$8="On",$L46,$K46)/T_Bonds[[#This Row],[Coupons per annum]],0)</f>
        <v>0</v>
      </c>
      <c r="AW46" s="25">
        <f>IF(
OR(
AW$1=MONTH($AP46),
AW$1=MONTH($AQ46),
AW$1=MONTH($AR46),
AW$1=MONTH($AS46)),
IF('CF USD'!$A$8="On",$L46,$K46)/T_Bonds[[#This Row],[Coupons per annum]],0)</f>
        <v>0</v>
      </c>
      <c r="AX46" s="25">
        <f>IF(
OR(
AX$1=MONTH($AP46),
AX$1=MONTH($AQ46),
AX$1=MONTH($AR46),
AX$1=MONTH($AS46)),
IF('CF USD'!$A$8="On",$L46,$K46)/T_Bonds[[#This Row],[Coupons per annum]],0)</f>
        <v>0</v>
      </c>
      <c r="AY46" s="25">
        <f>IF(
OR(
AY$1=MONTH($AP46),
AY$1=MONTH($AQ46),
AY$1=MONTH($AR46),
AY$1=MONTH($AS46)),
IF('CF USD'!$A$8="On",$L46,$K46)/T_Bonds[[#This Row],[Coupons per annum]],0)</f>
        <v>0</v>
      </c>
      <c r="AZ46" s="25">
        <f>IF(
OR(
AZ$1=MONTH($AP46),
AZ$1=MONTH($AQ46),
AZ$1=MONTH($AR46),
AZ$1=MONTH($AS46)),
IF('CF USD'!$A$8="On",$L46,$K46)/T_Bonds[[#This Row],[Coupons per annum]],0)</f>
        <v>14961.000000000024</v>
      </c>
      <c r="BA46" s="25">
        <f>IF(
OR(
BA$1=MONTH($AP46),
BA$1=MONTH($AQ46),
BA$1=MONTH($AR46),
BA$1=MONTH($AS46)),
IF('CF USD'!$A$8="On",$L46,$K46)/T_Bonds[[#This Row],[Coupons per annum]],0)</f>
        <v>0</v>
      </c>
      <c r="BB46" s="25">
        <f>IF(
OR(
BB$1=MONTH($AP46),
BB$1=MONTH($AQ46),
BB$1=MONTH($AR46),
BB$1=MONTH($AS46)),
IF('CF USD'!$A$8="On",$L46,$K46)/T_Bonds[[#This Row],[Coupons per annum]],0)</f>
        <v>0</v>
      </c>
      <c r="BC46" s="25">
        <f>IF(
OR(
BC$1=MONTH($AP46),
BC$1=MONTH($AQ46),
BC$1=MONTH($AR46),
BC$1=MONTH($AS46)),
IF('CF USD'!$A$8="On",$L46,$K46)/T_Bonds[[#This Row],[Coupons per annum]],0)</f>
        <v>0</v>
      </c>
      <c r="BD46" s="25">
        <f>IF(
OR(
BD$1=MONTH($AP46),
BD$1=MONTH($AQ46),
BD$1=MONTH($AR46),
BD$1=MONTH($AS46)),
IF('CF USD'!$A$8="On",$L46,$K46)/T_Bonds[[#This Row],[Coupons per annum]],0)</f>
        <v>0</v>
      </c>
      <c r="BE46" s="25">
        <f>IF(
OR(
BE$1=MONTH($AP46),
BE$1=MONTH($AQ46),
BE$1=MONTH($AR46),
BE$1=MONTH($AS46)),
IF('CF USD'!$A$8="On",$L46,$K46)/T_Bonds[[#This Row],[Coupons per annum]],0)</f>
        <v>0</v>
      </c>
      <c r="BF46">
        <f>DAY(T_Bonds[[#This Row],[Next coupon date]])</f>
        <v>19</v>
      </c>
    </row>
    <row r="47" spans="1:58" x14ac:dyDescent="0.25">
      <c r="A47" s="298" t="s">
        <v>127</v>
      </c>
      <c r="B47" s="203" t="s">
        <v>51</v>
      </c>
      <c r="C47" s="1" t="str">
        <f>IF(T_Bonds[[#This Row],[Call date]]&lt;&gt;"","Callable","Maturity")</f>
        <v>Maturity</v>
      </c>
      <c r="D47" s="1" t="s">
        <v>128</v>
      </c>
      <c r="E47" s="1" t="s">
        <v>18</v>
      </c>
      <c r="F47" s="22">
        <f>IFERROR(INDEX('V004'!D:E,MATCH(D47,'V004'!D:D,0),2),0)</f>
        <v>600000</v>
      </c>
      <c r="G47" s="22">
        <f>IFERROR(INDEX('V001'!D:E,MATCH(D47,'V001'!D:D,0),2),0)</f>
        <v>0</v>
      </c>
      <c r="H47" s="22">
        <f>IFERROR(INDEX(UBS!C:D,MATCH(D47,UBS!D:D,0),1),0)</f>
        <v>0</v>
      </c>
      <c r="I47" s="300">
        <f>SUM(T_Bonds[[#This Row],[V1412]:[UBS]])</f>
        <v>600000</v>
      </c>
      <c r="J47" s="74">
        <f t="shared" si="21"/>
        <v>4.0270000000000028E-2</v>
      </c>
      <c r="K47" s="73">
        <f t="shared" si="14"/>
        <v>24162.000000000018</v>
      </c>
      <c r="L47" s="73">
        <f t="shared" si="15"/>
        <v>24162.000000000018</v>
      </c>
      <c r="M47" s="16">
        <v>55003</v>
      </c>
      <c r="N47" s="5">
        <f>IFERROR(INDEX(Cbonds!C:H,MATCH(D47,Cbonds!C:C,0),4)/100,0)</f>
        <v>6.5908891416267004E-2</v>
      </c>
      <c r="O47" s="6">
        <f>IFERROR(INDEX(Cbonds!C:H,MATCH(D47,Cbonds!C:C,0),5),0)</f>
        <v>13.372143006298</v>
      </c>
      <c r="P47" s="91">
        <f>T_Bonds[[#This Row],[Market price]]-T_Bonds[[#This Row],[Cost price]]</f>
        <v>8.8335033333333257E-2</v>
      </c>
      <c r="Q47" s="91">
        <f>T_Bonds[[#This Row],[Coupon]]/T_Bonds[[#This Row],[Cost price]]</f>
        <v>6.5815175232836004E-2</v>
      </c>
      <c r="R47" s="97">
        <f t="shared" si="16"/>
        <v>39545.334849760206</v>
      </c>
      <c r="S47" s="222">
        <f>IFERROR(INDEX('V004'!D:J,MATCH(D47,'V004'!D:D,0),7),0)</f>
        <v>0.61186496666666668</v>
      </c>
      <c r="T47" s="222">
        <f>IFERROR(INDEX('V001'!D:J,MATCH(D47,'V001'!D:D,0),7),0)</f>
        <v>0</v>
      </c>
      <c r="U47" s="223">
        <f>IFERROR(S47*T_Bonds[[#This Row],[V1412]]/(T_Bonds[[#This Row],[V1412]]+T_Bonds[[#This Row],[V1430]])+T47*T_Bonds[[#This Row],[V1430]]/(T_Bonds[[#This Row],[V1412]]+T_Bonds[[#This Row],[V1430]]),0)</f>
        <v>0.61186496666666668</v>
      </c>
      <c r="V47" s="73">
        <f t="shared" si="17"/>
        <v>39489.105139701605</v>
      </c>
      <c r="W47" s="1" t="s">
        <v>257</v>
      </c>
      <c r="X47" s="299">
        <f>IFERROR(INDEX(Cbonds!C:AF,MATCH(D47,Cbonds!C:C,0),30)/100,0)</f>
        <v>0.70019999999999993</v>
      </c>
      <c r="Y47" s="4">
        <f>INDEX('Tech list'!A:C,MATCH(T_Bonds[[#This Row],[Risk CCY]],'Tech list'!A:A,0),3)</f>
        <v>1</v>
      </c>
      <c r="Z47" s="100">
        <f>T_Bonds[[#This Row],[Market price]]*T_Bonds[[#This Row],[Quantity]]</f>
        <v>420119.99999999994</v>
      </c>
      <c r="AA47" s="73">
        <f t="shared" si="18"/>
        <v>420119.99999999994</v>
      </c>
      <c r="AB47" s="73">
        <f ca="1">T_Bonds[[#This Row],[Market value in CCY]]+T_Bonds[[#This Row],[AI, CCY]]</f>
        <v>434818.54999999993</v>
      </c>
      <c r="AC47" s="73">
        <f ca="1">T_Bonds[[#This Row],[Market value in USD]]+T_Bonds[[#This Row],[AI, USD]]</f>
        <v>434818.54999999993</v>
      </c>
      <c r="AD47" s="73">
        <f t="shared" si="19"/>
        <v>367118.98</v>
      </c>
      <c r="AE47" s="75">
        <f ca="1">(T_Bonds[[#This Row],[Coupon in Loc.Curr]]/T_Bonds[[#This Row],[Coupons per annum]])*((TODAY()-EDATE(T_Bonds[[#This Row],[Next coupon date]],-12/T_Bonds[[#This Row],[Coupons per annum]])))/(360/T_Bonds[[#This Row],[Coupons per annum]])</f>
        <v>14698.55000000001</v>
      </c>
      <c r="AF47" s="73">
        <f ca="1">T_Bonds[[#This Row],[AI, CCY]]*T_Bonds[[#This Row],[Exchange rate, N]]</f>
        <v>14698.55000000001</v>
      </c>
      <c r="AG47" s="311">
        <f>IFERROR(IF(INDEX(Cbonds!C:AC,MATCH(D47,Cbonds!C:C,0),27)&gt;5000,0,INDEX(Cbonds!C:AC,MATCH(D47,Cbonds!C:C,0),27)),0)</f>
        <v>200.76324757341001</v>
      </c>
      <c r="AH47" s="73">
        <v>75</v>
      </c>
      <c r="AK47" t="s">
        <v>321</v>
      </c>
      <c r="AL47" t="s">
        <v>273</v>
      </c>
      <c r="AM47" t="s">
        <v>2476</v>
      </c>
      <c r="AN47" t="s">
        <v>322</v>
      </c>
      <c r="AO47" s="320">
        <v>2</v>
      </c>
      <c r="AP47" s="17">
        <f>IFERROR(INDEX(Cbonds!C:H,MATCH(D47,Cbonds!C:C,0),3),0)</f>
        <v>46056</v>
      </c>
      <c r="AQ47" s="17">
        <f>EDATE(T_Bonds[[#This Row],[Next coupon date]],12/T_Bonds[[#This Row],[Coupons per annum]])</f>
        <v>46237</v>
      </c>
      <c r="AR47" s="17">
        <f>EDATE(T_Bonds[[#This Row],[Second next coupon date]],12/$AO47)</f>
        <v>46421</v>
      </c>
      <c r="AS47" s="17">
        <f>EDATE(T_Bonds[[#This Row],[Coupon date 3]],12/$AO47)</f>
        <v>46602</v>
      </c>
      <c r="AT47" s="25">
        <f>IF(
OR(
AT$1=MONTH($AP47),
AT$1=MONTH($AQ47),
AT$1=MONTH($AR47),
AT$1=MONTH($AS47)),
IF('CF USD'!$A$8="On",$L47,$K47)/T_Bonds[[#This Row],[Coupons per annum]],0)</f>
        <v>0</v>
      </c>
      <c r="AU47" s="25">
        <f>IF(
OR(
AU$1=MONTH($AP47),
AU$1=MONTH($AQ47),
AU$1=MONTH($AR47),
AU$1=MONTH($AS47)),
IF('CF USD'!$A$8="On",$L47,$K47)/T_Bonds[[#This Row],[Coupons per annum]],0)</f>
        <v>12081.000000000009</v>
      </c>
      <c r="AV47" s="25">
        <f>IF(
OR(
AV$1=MONTH($AP47),
AV$1=MONTH($AQ47),
AV$1=MONTH($AR47),
AV$1=MONTH($AS47)),
IF('CF USD'!$A$8="On",$L47,$K47)/T_Bonds[[#This Row],[Coupons per annum]],0)</f>
        <v>0</v>
      </c>
      <c r="AW47" s="25">
        <f>IF(
OR(
AW$1=MONTH($AP47),
AW$1=MONTH($AQ47),
AW$1=MONTH($AR47),
AW$1=MONTH($AS47)),
IF('CF USD'!$A$8="On",$L47,$K47)/T_Bonds[[#This Row],[Coupons per annum]],0)</f>
        <v>0</v>
      </c>
      <c r="AX47" s="25">
        <f>IF(
OR(
AX$1=MONTH($AP47),
AX$1=MONTH($AQ47),
AX$1=MONTH($AR47),
AX$1=MONTH($AS47)),
IF('CF USD'!$A$8="On",$L47,$K47)/T_Bonds[[#This Row],[Coupons per annum]],0)</f>
        <v>0</v>
      </c>
      <c r="AY47" s="25">
        <f>IF(
OR(
AY$1=MONTH($AP47),
AY$1=MONTH($AQ47),
AY$1=MONTH($AR47),
AY$1=MONTH($AS47)),
IF('CF USD'!$A$8="On",$L47,$K47)/T_Bonds[[#This Row],[Coupons per annum]],0)</f>
        <v>0</v>
      </c>
      <c r="AZ47" s="25">
        <f>IF(
OR(
AZ$1=MONTH($AP47),
AZ$1=MONTH($AQ47),
AZ$1=MONTH($AR47),
AZ$1=MONTH($AS47)),
IF('CF USD'!$A$8="On",$L47,$K47)/T_Bonds[[#This Row],[Coupons per annum]],0)</f>
        <v>0</v>
      </c>
      <c r="BA47" s="25">
        <f>IF(
OR(
BA$1=MONTH($AP47),
BA$1=MONTH($AQ47),
BA$1=MONTH($AR47),
BA$1=MONTH($AS47)),
IF('CF USD'!$A$8="On",$L47,$K47)/T_Bonds[[#This Row],[Coupons per annum]],0)</f>
        <v>12081.000000000009</v>
      </c>
      <c r="BB47" s="25">
        <f>IF(
OR(
BB$1=MONTH($AP47),
BB$1=MONTH($AQ47),
BB$1=MONTH($AR47),
BB$1=MONTH($AS47)),
IF('CF USD'!$A$8="On",$L47,$K47)/T_Bonds[[#This Row],[Coupons per annum]],0)</f>
        <v>0</v>
      </c>
      <c r="BC47" s="25">
        <f>IF(
OR(
BC$1=MONTH($AP47),
BC$1=MONTH($AQ47),
BC$1=MONTH($AR47),
BC$1=MONTH($AS47)),
IF('CF USD'!$A$8="On",$L47,$K47)/T_Bonds[[#This Row],[Coupons per annum]],0)</f>
        <v>0</v>
      </c>
      <c r="BD47" s="25">
        <f>IF(
OR(
BD$1=MONTH($AP47),
BD$1=MONTH($AQ47),
BD$1=MONTH($AR47),
BD$1=MONTH($AS47)),
IF('CF USD'!$A$8="On",$L47,$K47)/T_Bonds[[#This Row],[Coupons per annum]],0)</f>
        <v>0</v>
      </c>
      <c r="BE47" s="25">
        <f>IF(
OR(
BE$1=MONTH($AP47),
BE$1=MONTH($AQ47),
BE$1=MONTH($AR47),
BE$1=MONTH($AS47)),
IF('CF USD'!$A$8="On",$L47,$K47)/T_Bonds[[#This Row],[Coupons per annum]],0)</f>
        <v>0</v>
      </c>
      <c r="BF47">
        <f>DAY(T_Bonds[[#This Row],[Next coupon date]])</f>
        <v>3</v>
      </c>
    </row>
    <row r="48" spans="1:58" x14ac:dyDescent="0.25">
      <c r="A48" s="298" t="s">
        <v>131</v>
      </c>
      <c r="B48" s="203" t="s">
        <v>51</v>
      </c>
      <c r="C48" s="1" t="str">
        <f>IF(T_Bonds[[#This Row],[Call date]]&lt;&gt;"","Callable","Maturity")</f>
        <v>Maturity</v>
      </c>
      <c r="D48" s="1" t="s">
        <v>132</v>
      </c>
      <c r="E48" s="1" t="s">
        <v>18</v>
      </c>
      <c r="F48" s="22">
        <f>IFERROR(INDEX('V004'!D:E,MATCH(D48,'V004'!D:D,0),2),0)</f>
        <v>600000</v>
      </c>
      <c r="G48" s="22">
        <f>IFERROR(INDEX('V001'!D:E,MATCH(D48,'V001'!D:D,0),2),0)</f>
        <v>0</v>
      </c>
      <c r="H48" s="22">
        <f>IFERROR(INDEX(UBS!C:D,MATCH(D48,UBS!D:D,0),1),0)</f>
        <v>0</v>
      </c>
      <c r="I48" s="300">
        <f>SUM(T_Bonds[[#This Row],[V1412]:[UBS]])</f>
        <v>600000</v>
      </c>
      <c r="J48" s="76">
        <f t="shared" si="21"/>
        <v>6.2999999999999945E-2</v>
      </c>
      <c r="K48" s="73">
        <f t="shared" si="14"/>
        <v>37799.999999999964</v>
      </c>
      <c r="L48" s="73">
        <f t="shared" si="15"/>
        <v>37799.999999999964</v>
      </c>
      <c r="M48" s="16">
        <v>56135</v>
      </c>
      <c r="N48" s="5">
        <f>IFERROR(INDEX(Cbonds!C:H,MATCH(D48,Cbonds!C:C,0),4)/100,0)</f>
        <v>6.3004384815147002E-2</v>
      </c>
      <c r="O48" s="6">
        <f>IFERROR(INDEX(Cbonds!C:H,MATCH(D48,Cbonds!C:C,0),5),0)</f>
        <v>13.002885659036</v>
      </c>
      <c r="P48" s="91">
        <f>T_Bonds[[#This Row],[Market price]]-T_Bonds[[#This Row],[Cost price]]</f>
        <v>3.3930449999999945E-2</v>
      </c>
      <c r="Q48" s="91">
        <f>T_Bonds[[#This Row],[Coupon]]/T_Bonds[[#This Row],[Cost price]]</f>
        <v>6.4379685633994987E-2</v>
      </c>
      <c r="R48" s="108">
        <f t="shared" si="16"/>
        <v>37802.630889088199</v>
      </c>
      <c r="S48" s="222">
        <f>IFERROR(INDEX('V004'!D:J,MATCH(D48,'V004'!D:D,0),7),0)</f>
        <v>0.97856955000000001</v>
      </c>
      <c r="T48" s="222">
        <f>IFERROR(INDEX('V001'!D:J,MATCH(D48,'V001'!D:D,0),7),0)</f>
        <v>0</v>
      </c>
      <c r="U48" s="223">
        <f>IFERROR(S48*T_Bonds[[#This Row],[V1412]]/(T_Bonds[[#This Row],[V1412]]+T_Bonds[[#This Row],[V1430]])+T48*T_Bonds[[#This Row],[V1430]]/(T_Bonds[[#This Row],[V1412]]+T_Bonds[[#This Row],[V1430]]),0)</f>
        <v>0.97856955000000001</v>
      </c>
      <c r="V48" s="73">
        <f t="shared" si="17"/>
        <v>38627.81138039699</v>
      </c>
      <c r="W48" s="4" t="s">
        <v>257</v>
      </c>
      <c r="X48" s="299">
        <f>IFERROR(INDEX(Cbonds!C:AF,MATCH(D48,Cbonds!C:C,0),30)/100,0)</f>
        <v>1.0125</v>
      </c>
      <c r="Y48" s="4">
        <f>INDEX('Tech list'!A:C,MATCH(T_Bonds[[#This Row],[Risk CCY]],'Tech list'!A:A,0),3)</f>
        <v>1</v>
      </c>
      <c r="Z48" s="100">
        <f>T_Bonds[[#This Row],[Market price]]*T_Bonds[[#This Row],[Quantity]]</f>
        <v>607500</v>
      </c>
      <c r="AA48" s="73">
        <f t="shared" si="18"/>
        <v>607500</v>
      </c>
      <c r="AB48" s="73">
        <f ca="1">T_Bonds[[#This Row],[Market value in CCY]]+T_Bonds[[#This Row],[AI, CCY]]</f>
        <v>626715</v>
      </c>
      <c r="AC48" s="73">
        <f ca="1">T_Bonds[[#This Row],[Market value in USD]]+T_Bonds[[#This Row],[AI, USD]]</f>
        <v>626715</v>
      </c>
      <c r="AD48" s="73">
        <f t="shared" si="19"/>
        <v>587141.73</v>
      </c>
      <c r="AE48" s="75">
        <f ca="1">(T_Bonds[[#This Row],[Coupon in Loc.Curr]]/T_Bonds[[#This Row],[Coupons per annum]])*((TODAY()-EDATE(T_Bonds[[#This Row],[Next coupon date]],-12/T_Bonds[[#This Row],[Coupons per annum]])))/(360/T_Bonds[[#This Row],[Coupons per annum]])</f>
        <v>19214.999999999982</v>
      </c>
      <c r="AF48" s="73">
        <f ca="1">T_Bonds[[#This Row],[AI, CCY]]*T_Bonds[[#This Row],[Exchange rate, N]]</f>
        <v>19214.999999999982</v>
      </c>
      <c r="AG48" s="311">
        <f>IFERROR(IF(INDEX(Cbonds!C:AC,MATCH(D48,Cbonds!C:C,0),27)&gt;5000,0,INDEX(Cbonds!C:AC,MATCH(D48,Cbonds!C:C,0),27)),0)</f>
        <v>174.18910909189</v>
      </c>
      <c r="AH48" s="73">
        <v>75</v>
      </c>
      <c r="AK48" t="s">
        <v>261</v>
      </c>
      <c r="AL48" t="s">
        <v>323</v>
      </c>
      <c r="AM48" t="s">
        <v>2476</v>
      </c>
      <c r="AN48" t="s">
        <v>324</v>
      </c>
      <c r="AO48" s="320">
        <v>2</v>
      </c>
      <c r="AP48" s="17">
        <f>IFERROR(INDEX(Cbonds!C:H,MATCH(D48,Cbonds!C:C,0),3),0)</f>
        <v>46089</v>
      </c>
      <c r="AQ48" s="17">
        <f>EDATE(T_Bonds[[#This Row],[Next coupon date]],12/T_Bonds[[#This Row],[Coupons per annum]])</f>
        <v>46273</v>
      </c>
      <c r="AR48" s="17">
        <f>EDATE(T_Bonds[[#This Row],[Second next coupon date]],12/$AO48)</f>
        <v>46454</v>
      </c>
      <c r="AS48" s="17">
        <f>EDATE(T_Bonds[[#This Row],[Coupon date 3]],12/$AO48)</f>
        <v>46638</v>
      </c>
      <c r="AT48" s="25">
        <f>IF(
OR(
AT$1=MONTH($AP48),
AT$1=MONTH($AQ48),
AT$1=MONTH($AR48),
AT$1=MONTH($AS48)),
IF('CF USD'!$A$8="On",$L48,$K48)/T_Bonds[[#This Row],[Coupons per annum]],0)</f>
        <v>0</v>
      </c>
      <c r="AU48" s="25">
        <f>IF(
OR(
AU$1=MONTH($AP48),
AU$1=MONTH($AQ48),
AU$1=MONTH($AR48),
AU$1=MONTH($AS48)),
IF('CF USD'!$A$8="On",$L48,$K48)/T_Bonds[[#This Row],[Coupons per annum]],0)</f>
        <v>0</v>
      </c>
      <c r="AV48" s="25">
        <f>IF(
OR(
AV$1=MONTH($AP48),
AV$1=MONTH($AQ48),
AV$1=MONTH($AR48),
AV$1=MONTH($AS48)),
IF('CF USD'!$A$8="On",$L48,$K48)/T_Bonds[[#This Row],[Coupons per annum]],0)</f>
        <v>18899.999999999982</v>
      </c>
      <c r="AW48" s="25">
        <f>IF(
OR(
AW$1=MONTH($AP48),
AW$1=MONTH($AQ48),
AW$1=MONTH($AR48),
AW$1=MONTH($AS48)),
IF('CF USD'!$A$8="On",$L48,$K48)/T_Bonds[[#This Row],[Coupons per annum]],0)</f>
        <v>0</v>
      </c>
      <c r="AX48" s="25">
        <f>IF(
OR(
AX$1=MONTH($AP48),
AX$1=MONTH($AQ48),
AX$1=MONTH($AR48),
AX$1=MONTH($AS48)),
IF('CF USD'!$A$8="On",$L48,$K48)/T_Bonds[[#This Row],[Coupons per annum]],0)</f>
        <v>0</v>
      </c>
      <c r="AY48" s="25">
        <f>IF(
OR(
AY$1=MONTH($AP48),
AY$1=MONTH($AQ48),
AY$1=MONTH($AR48),
AY$1=MONTH($AS48)),
IF('CF USD'!$A$8="On",$L48,$K48)/T_Bonds[[#This Row],[Coupons per annum]],0)</f>
        <v>0</v>
      </c>
      <c r="AZ48" s="25">
        <f>IF(
OR(
AZ$1=MONTH($AP48),
AZ$1=MONTH($AQ48),
AZ$1=MONTH($AR48),
AZ$1=MONTH($AS48)),
IF('CF USD'!$A$8="On",$L48,$K48)/T_Bonds[[#This Row],[Coupons per annum]],0)</f>
        <v>0</v>
      </c>
      <c r="BA48" s="25">
        <f>IF(
OR(
BA$1=MONTH($AP48),
BA$1=MONTH($AQ48),
BA$1=MONTH($AR48),
BA$1=MONTH($AS48)),
IF('CF USD'!$A$8="On",$L48,$K48)/T_Bonds[[#This Row],[Coupons per annum]],0)</f>
        <v>0</v>
      </c>
      <c r="BB48" s="25">
        <f>IF(
OR(
BB$1=MONTH($AP48),
BB$1=MONTH($AQ48),
BB$1=MONTH($AR48),
BB$1=MONTH($AS48)),
IF('CF USD'!$A$8="On",$L48,$K48)/T_Bonds[[#This Row],[Coupons per annum]],0)</f>
        <v>18899.999999999982</v>
      </c>
      <c r="BC48" s="25">
        <f>IF(
OR(
BC$1=MONTH($AP48),
BC$1=MONTH($AQ48),
BC$1=MONTH($AR48),
BC$1=MONTH($AS48)),
IF('CF USD'!$A$8="On",$L48,$K48)/T_Bonds[[#This Row],[Coupons per annum]],0)</f>
        <v>0</v>
      </c>
      <c r="BD48" s="25">
        <f>IF(
OR(
BD$1=MONTH($AP48),
BD$1=MONTH($AQ48),
BD$1=MONTH($AR48),
BD$1=MONTH($AS48)),
IF('CF USD'!$A$8="On",$L48,$K48)/T_Bonds[[#This Row],[Coupons per annum]],0)</f>
        <v>0</v>
      </c>
      <c r="BE48" s="25">
        <f>IF(
OR(
BE$1=MONTH($AP48),
BE$1=MONTH($AQ48),
BE$1=MONTH($AR48),
BE$1=MONTH($AS48)),
IF('CF USD'!$A$8="On",$L48,$K48)/T_Bonds[[#This Row],[Coupons per annum]],0)</f>
        <v>0</v>
      </c>
      <c r="BF48">
        <f>DAY(T_Bonds[[#This Row],[Next coupon date]])</f>
        <v>8</v>
      </c>
    </row>
    <row r="49" spans="1:58" x14ac:dyDescent="0.25">
      <c r="A49" s="203" t="s">
        <v>133</v>
      </c>
      <c r="B49" s="203" t="s">
        <v>51</v>
      </c>
      <c r="C49" s="1" t="str">
        <f>IF(T_Bonds[[#This Row],[Call date]]&lt;&gt;"","Callable","Maturity")</f>
        <v>Maturity</v>
      </c>
      <c r="D49" t="s">
        <v>134</v>
      </c>
      <c r="E49" t="s">
        <v>18</v>
      </c>
      <c r="F49" s="22">
        <f>IFERROR(INDEX('V004'!D:E,MATCH(D49,'V004'!D:D,0),2),0)</f>
        <v>0</v>
      </c>
      <c r="G49" s="22">
        <f>IFERROR(INDEX('V001'!D:E,MATCH(D49,'V001'!D:D,0),2),0)</f>
        <v>0</v>
      </c>
      <c r="H49" s="22">
        <f>IFERROR(INDEX(UBS!C:D,MATCH(D49,UBS!D:D,0),1),0)</f>
        <v>0</v>
      </c>
      <c r="I49" s="300">
        <f>SUM(T_Bonds[[#This Row],[V1412]:[UBS]])</f>
        <v>0</v>
      </c>
      <c r="J49" s="76">
        <f t="shared" si="21"/>
        <v>5.8049999999999935E-2</v>
      </c>
      <c r="K49" s="73">
        <f t="shared" si="14"/>
        <v>0</v>
      </c>
      <c r="L49" s="73">
        <f t="shared" si="15"/>
        <v>0</v>
      </c>
      <c r="M49" s="17"/>
      <c r="N49" s="5">
        <f>IFERROR(INDEX(Cbonds!C:H,MATCH(D49,Cbonds!C:C,0),4)/100,0)</f>
        <v>6.0164693732721999E-2</v>
      </c>
      <c r="O49" s="6">
        <f>IFERROR(INDEX(Cbonds!C:H,MATCH(D49,Cbonds!C:C,0),5),0)</f>
        <v>12.851198625124001</v>
      </c>
      <c r="P49" s="91">
        <f>T_Bonds[[#This Row],[Market price]]-T_Bonds[[#This Row],[Cost price]]</f>
        <v>0.99065000000000003</v>
      </c>
      <c r="Q49" s="91" t="e">
        <f>T_Bonds[[#This Row],[Coupon]]/T_Bonds[[#This Row],[Cost price]]</f>
        <v>#DIV/0!</v>
      </c>
      <c r="R49" s="108">
        <f t="shared" si="16"/>
        <v>0</v>
      </c>
      <c r="S49" s="222">
        <f>IFERROR(INDEX('V004'!D:J,MATCH(D49,'V004'!D:D,0),7),0)</f>
        <v>0</v>
      </c>
      <c r="T49" s="222">
        <f>IFERROR(INDEX('V001'!D:J,MATCH(D49,'V001'!D:D,0),7),0)</f>
        <v>0</v>
      </c>
      <c r="U49" s="223">
        <f>IFERROR(S49*T_Bonds[[#This Row],[V1412]]/(T_Bonds[[#This Row],[V1412]]+T_Bonds[[#This Row],[V1430]])+T49*T_Bonds[[#This Row],[V1430]]/(T_Bonds[[#This Row],[V1412]]+T_Bonds[[#This Row],[V1430]]),0)</f>
        <v>0</v>
      </c>
      <c r="V49" s="73" t="e">
        <f t="shared" si="17"/>
        <v>#DIV/0!</v>
      </c>
      <c r="W49" s="4">
        <v>1</v>
      </c>
      <c r="X49" s="299">
        <f>IFERROR(INDEX(Cbonds!C:AF,MATCH(D49,Cbonds!C:C,0),30)/100,0)</f>
        <v>0.99065000000000003</v>
      </c>
      <c r="Y49" s="4">
        <f>INDEX('Tech list'!A:C,MATCH(T_Bonds[[#This Row],[Risk CCY]],'Tech list'!A:A,0),3)</f>
        <v>1</v>
      </c>
      <c r="Z49" s="100">
        <f>T_Bonds[[#This Row],[Market price]]*T_Bonds[[#This Row],[Quantity]]</f>
        <v>0</v>
      </c>
      <c r="AA49" s="73">
        <f t="shared" si="18"/>
        <v>0</v>
      </c>
      <c r="AB49" s="73">
        <f ca="1">T_Bonds[[#This Row],[Market value in CCY]]+T_Bonds[[#This Row],[AI, CCY]]</f>
        <v>0</v>
      </c>
      <c r="AC49" s="73">
        <f ca="1">T_Bonds[[#This Row],[Market value in USD]]+T_Bonds[[#This Row],[AI, USD]]</f>
        <v>0</v>
      </c>
      <c r="AD49" s="73">
        <f t="shared" si="19"/>
        <v>0</v>
      </c>
      <c r="AE49" s="75">
        <f ca="1">(T_Bonds[[#This Row],[Coupon in Loc.Curr]]/T_Bonds[[#This Row],[Coupons per annum]])*((TODAY()-EDATE(T_Bonds[[#This Row],[Next coupon date]],-12/T_Bonds[[#This Row],[Coupons per annum]])))/(360/T_Bonds[[#This Row],[Coupons per annum]])</f>
        <v>0</v>
      </c>
      <c r="AF49" s="73">
        <f ca="1">T_Bonds[[#This Row],[AI, CCY]]*T_Bonds[[#This Row],[Exchange rate, N]]</f>
        <v>0</v>
      </c>
      <c r="AG49" s="311">
        <f>IFERROR(IF(INDEX(Cbonds!C:AC,MATCH(D49,Cbonds!C:C,0),27)&gt;5000,0,INDEX(Cbonds!C:AC,MATCH(D49,Cbonds!C:C,0),27)),0)</f>
        <v>146.83134633648001</v>
      </c>
      <c r="AH49" s="73">
        <v>75</v>
      </c>
      <c r="AK49" t="s">
        <v>325</v>
      </c>
      <c r="AL49" t="s">
        <v>283</v>
      </c>
      <c r="AM49" t="s">
        <v>2476</v>
      </c>
      <c r="AN49" t="s">
        <v>326</v>
      </c>
      <c r="AO49" s="320">
        <v>2</v>
      </c>
      <c r="AP49" s="17">
        <f>IFERROR(INDEX(Cbonds!C:H,MATCH(D49,Cbonds!C:C,0),3),0)</f>
        <v>46143</v>
      </c>
      <c r="AQ49" s="17">
        <f>EDATE(T_Bonds[[#This Row],[Next coupon date]],12/T_Bonds[[#This Row],[Coupons per annum]])</f>
        <v>46327</v>
      </c>
      <c r="AR49" s="17">
        <f>EDATE(T_Bonds[[#This Row],[Second next coupon date]],12/$AO49)</f>
        <v>46508</v>
      </c>
      <c r="AS49" s="17">
        <f>EDATE(T_Bonds[[#This Row],[Coupon date 3]],12/$AO49)</f>
        <v>46692</v>
      </c>
      <c r="AT49" s="25">
        <f>IF(
OR(
AT$1=MONTH($AP49),
AT$1=MONTH($AQ49),
AT$1=MONTH($AR49),
AT$1=MONTH($AS49)),
IF('CF USD'!$A$8="On",$L49,$K49)/T_Bonds[[#This Row],[Coupons per annum]],0)</f>
        <v>0</v>
      </c>
      <c r="AU49" s="25">
        <f>IF(
OR(
AU$1=MONTH($AP49),
AU$1=MONTH($AQ49),
AU$1=MONTH($AR49),
AU$1=MONTH($AS49)),
IF('CF USD'!$A$8="On",$L49,$K49)/T_Bonds[[#This Row],[Coupons per annum]],0)</f>
        <v>0</v>
      </c>
      <c r="AV49" s="25">
        <f>IF(
OR(
AV$1=MONTH($AP49),
AV$1=MONTH($AQ49),
AV$1=MONTH($AR49),
AV$1=MONTH($AS49)),
IF('CF USD'!$A$8="On",$L49,$K49)/T_Bonds[[#This Row],[Coupons per annum]],0)</f>
        <v>0</v>
      </c>
      <c r="AW49" s="25">
        <f>IF(
OR(
AW$1=MONTH($AP49),
AW$1=MONTH($AQ49),
AW$1=MONTH($AR49),
AW$1=MONTH($AS49)),
IF('CF USD'!$A$8="On",$L49,$K49)/T_Bonds[[#This Row],[Coupons per annum]],0)</f>
        <v>0</v>
      </c>
      <c r="AX49" s="25">
        <f>IF(
OR(
AX$1=MONTH($AP49),
AX$1=MONTH($AQ49),
AX$1=MONTH($AR49),
AX$1=MONTH($AS49)),
IF('CF USD'!$A$8="On",$L49,$K49)/T_Bonds[[#This Row],[Coupons per annum]],0)</f>
        <v>0</v>
      </c>
      <c r="AY49" s="25">
        <f>IF(
OR(
AY$1=MONTH($AP49),
AY$1=MONTH($AQ49),
AY$1=MONTH($AR49),
AY$1=MONTH($AS49)),
IF('CF USD'!$A$8="On",$L49,$K49)/T_Bonds[[#This Row],[Coupons per annum]],0)</f>
        <v>0</v>
      </c>
      <c r="AZ49" s="25">
        <f>IF(
OR(
AZ$1=MONTH($AP49),
AZ$1=MONTH($AQ49),
AZ$1=MONTH($AR49),
AZ$1=MONTH($AS49)),
IF('CF USD'!$A$8="On",$L49,$K49)/T_Bonds[[#This Row],[Coupons per annum]],0)</f>
        <v>0</v>
      </c>
      <c r="BA49" s="25">
        <f>IF(
OR(
BA$1=MONTH($AP49),
BA$1=MONTH($AQ49),
BA$1=MONTH($AR49),
BA$1=MONTH($AS49)),
IF('CF USD'!$A$8="On",$L49,$K49)/T_Bonds[[#This Row],[Coupons per annum]],0)</f>
        <v>0</v>
      </c>
      <c r="BB49" s="25">
        <f>IF(
OR(
BB$1=MONTH($AP49),
BB$1=MONTH($AQ49),
BB$1=MONTH($AR49),
BB$1=MONTH($AS49)),
IF('CF USD'!$A$8="On",$L49,$K49)/T_Bonds[[#This Row],[Coupons per annum]],0)</f>
        <v>0</v>
      </c>
      <c r="BC49" s="25">
        <f>IF(
OR(
BC$1=MONTH($AP49),
BC$1=MONTH($AQ49),
BC$1=MONTH($AR49),
BC$1=MONTH($AS49)),
IF('CF USD'!$A$8="On",$L49,$K49)/T_Bonds[[#This Row],[Coupons per annum]],0)</f>
        <v>0</v>
      </c>
      <c r="BD49" s="25">
        <f>IF(
OR(
BD$1=MONTH($AP49),
BD$1=MONTH($AQ49),
BD$1=MONTH($AR49),
BD$1=MONTH($AS49)),
IF('CF USD'!$A$8="On",$L49,$K49)/T_Bonds[[#This Row],[Coupons per annum]],0)</f>
        <v>0</v>
      </c>
      <c r="BE49" s="25">
        <f>IF(
OR(
BE$1=MONTH($AP49),
BE$1=MONTH($AQ49),
BE$1=MONTH($AR49),
BE$1=MONTH($AS49)),
IF('CF USD'!$A$8="On",$L49,$K49)/T_Bonds[[#This Row],[Coupons per annum]],0)</f>
        <v>0</v>
      </c>
      <c r="BF49">
        <f>DAY(T_Bonds[[#This Row],[Next coupon date]])</f>
        <v>1</v>
      </c>
    </row>
    <row r="50" spans="1:58" x14ac:dyDescent="0.25">
      <c r="A50" s="298" t="s">
        <v>135</v>
      </c>
      <c r="B50" s="203" t="s">
        <v>51</v>
      </c>
      <c r="C50" s="1" t="str">
        <f>IF(T_Bonds[[#This Row],[Call date]]&lt;&gt;"","Callable","Maturity")</f>
        <v>Maturity</v>
      </c>
      <c r="D50" s="1" t="s">
        <v>136</v>
      </c>
      <c r="E50" s="1" t="s">
        <v>18</v>
      </c>
      <c r="F50" s="22">
        <f>IFERROR(INDEX('V004'!D:E,MATCH(D50,'V004'!D:D,0),2),0)</f>
        <v>0</v>
      </c>
      <c r="G50" s="22">
        <f>IFERROR(INDEX('V001'!D:E,MATCH(D50,'V001'!D:D,0),2),0)</f>
        <v>0</v>
      </c>
      <c r="H50" s="22">
        <f>IFERROR(INDEX(UBS!C:D,MATCH(D50,UBS!D:D,0),1),0)</f>
        <v>0</v>
      </c>
      <c r="I50" s="300">
        <f>SUM(T_Bonds[[#This Row],[V1412]:[UBS]])</f>
        <v>0</v>
      </c>
      <c r="J50" s="74">
        <f t="shared" si="21"/>
        <v>3.8280000000000092E-2</v>
      </c>
      <c r="K50" s="73">
        <f t="shared" si="14"/>
        <v>0</v>
      </c>
      <c r="L50" s="73">
        <f t="shared" si="15"/>
        <v>0</v>
      </c>
      <c r="M50" s="16">
        <v>48246</v>
      </c>
      <c r="N50" s="5">
        <f>IFERROR(INDEX(Cbonds!C:H,MATCH(D50,Cbonds!C:C,0),4)/100,0)</f>
        <v>5.7018091264524999E-2</v>
      </c>
      <c r="O50" s="6">
        <f>IFERROR(INDEX(Cbonds!C:H,MATCH(D50,Cbonds!C:C,0),5),0)</f>
        <v>5.2076568527539999</v>
      </c>
      <c r="P50" s="91">
        <f>T_Bonds[[#This Row],[Market price]]-T_Bonds[[#This Row],[Cost price]]</f>
        <v>0.90954999999999997</v>
      </c>
      <c r="Q50" s="91" t="e">
        <f>T_Bonds[[#This Row],[Coupon]]/T_Bonds[[#This Row],[Cost price]]</f>
        <v>#DIV/0!</v>
      </c>
      <c r="R50" s="97">
        <f t="shared" si="16"/>
        <v>0</v>
      </c>
      <c r="S50" s="222">
        <f>IFERROR(INDEX('V004'!D:J,MATCH(D50,'V004'!D:D,0),7),0)</f>
        <v>0</v>
      </c>
      <c r="T50" s="222">
        <f>IFERROR(INDEX('V001'!D:J,MATCH(D50,'V001'!D:D,0),7),0)</f>
        <v>0</v>
      </c>
      <c r="U50" s="223">
        <f>IFERROR(S50*T_Bonds[[#This Row],[V1412]]/(T_Bonds[[#This Row],[V1412]]+T_Bonds[[#This Row],[V1430]])+T50*T_Bonds[[#This Row],[V1430]]/(T_Bonds[[#This Row],[V1412]]+T_Bonds[[#This Row],[V1430]]),0)</f>
        <v>0</v>
      </c>
      <c r="V50" s="73" t="e">
        <f t="shared" si="17"/>
        <v>#DIV/0!</v>
      </c>
      <c r="W50" s="1" t="s">
        <v>257</v>
      </c>
      <c r="X50" s="299">
        <f>IFERROR(INDEX(Cbonds!C:AF,MATCH(D50,Cbonds!C:C,0),30)/100,0)</f>
        <v>0.90954999999999997</v>
      </c>
      <c r="Y50" s="4">
        <f>INDEX('Tech list'!A:C,MATCH(T_Bonds[[#This Row],[Risk CCY]],'Tech list'!A:A,0),3)</f>
        <v>1</v>
      </c>
      <c r="Z50" s="100">
        <f>T_Bonds[[#This Row],[Market price]]*T_Bonds[[#This Row],[Quantity]]</f>
        <v>0</v>
      </c>
      <c r="AA50" s="73">
        <f t="shared" si="18"/>
        <v>0</v>
      </c>
      <c r="AB50" s="73">
        <f ca="1">T_Bonds[[#This Row],[Market value in CCY]]+T_Bonds[[#This Row],[AI, CCY]]</f>
        <v>0</v>
      </c>
      <c r="AC50" s="73">
        <f ca="1">T_Bonds[[#This Row],[Market value in USD]]+T_Bonds[[#This Row],[AI, USD]]</f>
        <v>0</v>
      </c>
      <c r="AD50" s="73">
        <f t="shared" si="19"/>
        <v>0</v>
      </c>
      <c r="AE50" s="75">
        <f ca="1">(T_Bonds[[#This Row],[Coupon in Loc.Curr]]/T_Bonds[[#This Row],[Coupons per annum]])*((TODAY()-EDATE(T_Bonds[[#This Row],[Next coupon date]],-12/T_Bonds[[#This Row],[Coupons per annum]])))/(360/T_Bonds[[#This Row],[Coupons per annum]])</f>
        <v>0</v>
      </c>
      <c r="AF50" s="73">
        <f ca="1">T_Bonds[[#This Row],[AI, CCY]]*T_Bonds[[#This Row],[Exchange rate, N]]</f>
        <v>0</v>
      </c>
      <c r="AG50" s="311">
        <f>IFERROR(IF(INDEX(Cbonds!C:AC,MATCH(D50,Cbonds!C:C,0),27)&gt;5000,0,INDEX(Cbonds!C:AC,MATCH(D50,Cbonds!C:C,0),27)),0)</f>
        <v>185.26189331526999</v>
      </c>
      <c r="AH50" s="73">
        <v>75</v>
      </c>
      <c r="AK50" t="s">
        <v>319</v>
      </c>
      <c r="AL50" t="s">
        <v>262</v>
      </c>
      <c r="AM50" t="s">
        <v>2476</v>
      </c>
      <c r="AN50" t="s">
        <v>320</v>
      </c>
      <c r="AO50" s="320">
        <v>2</v>
      </c>
      <c r="AP50" s="17">
        <f>IFERROR(INDEX(Cbonds!C:H,MATCH(D50,Cbonds!C:C,0),3),0)</f>
        <v>46055</v>
      </c>
      <c r="AQ50" s="17">
        <f>EDATE(T_Bonds[[#This Row],[Next coupon date]],12/T_Bonds[[#This Row],[Coupons per annum]])</f>
        <v>46236</v>
      </c>
      <c r="AR50" s="17">
        <f>EDATE(T_Bonds[[#This Row],[Second next coupon date]],12/$AO50)</f>
        <v>46420</v>
      </c>
      <c r="AS50" s="17">
        <f>EDATE(T_Bonds[[#This Row],[Coupon date 3]],12/$AO50)</f>
        <v>46601</v>
      </c>
      <c r="AT50" s="25">
        <f>IF(
OR(
AT$1=MONTH($AP50),
AT$1=MONTH($AQ50),
AT$1=MONTH($AR50),
AT$1=MONTH($AS50)),
IF('CF USD'!$A$8="On",$L50,$K50)/T_Bonds[[#This Row],[Coupons per annum]],0)</f>
        <v>0</v>
      </c>
      <c r="AU50" s="25">
        <f>IF(
OR(
AU$1=MONTH($AP50),
AU$1=MONTH($AQ50),
AU$1=MONTH($AR50),
AU$1=MONTH($AS50)),
IF('CF USD'!$A$8="On",$L50,$K50)/T_Bonds[[#This Row],[Coupons per annum]],0)</f>
        <v>0</v>
      </c>
      <c r="AV50" s="25">
        <f>IF(
OR(
AV$1=MONTH($AP50),
AV$1=MONTH($AQ50),
AV$1=MONTH($AR50),
AV$1=MONTH($AS50)),
IF('CF USD'!$A$8="On",$L50,$K50)/T_Bonds[[#This Row],[Coupons per annum]],0)</f>
        <v>0</v>
      </c>
      <c r="AW50" s="25">
        <f>IF(
OR(
AW$1=MONTH($AP50),
AW$1=MONTH($AQ50),
AW$1=MONTH($AR50),
AW$1=MONTH($AS50)),
IF('CF USD'!$A$8="On",$L50,$K50)/T_Bonds[[#This Row],[Coupons per annum]],0)</f>
        <v>0</v>
      </c>
      <c r="AX50" s="25">
        <f>IF(
OR(
AX$1=MONTH($AP50),
AX$1=MONTH($AQ50),
AX$1=MONTH($AR50),
AX$1=MONTH($AS50)),
IF('CF USD'!$A$8="On",$L50,$K50)/T_Bonds[[#This Row],[Coupons per annum]],0)</f>
        <v>0</v>
      </c>
      <c r="AY50" s="25">
        <f>IF(
OR(
AY$1=MONTH($AP50),
AY$1=MONTH($AQ50),
AY$1=MONTH($AR50),
AY$1=MONTH($AS50)),
IF('CF USD'!$A$8="On",$L50,$K50)/T_Bonds[[#This Row],[Coupons per annum]],0)</f>
        <v>0</v>
      </c>
      <c r="AZ50" s="25">
        <f>IF(
OR(
AZ$1=MONTH($AP50),
AZ$1=MONTH($AQ50),
AZ$1=MONTH($AR50),
AZ$1=MONTH($AS50)),
IF('CF USD'!$A$8="On",$L50,$K50)/T_Bonds[[#This Row],[Coupons per annum]],0)</f>
        <v>0</v>
      </c>
      <c r="BA50" s="25">
        <f>IF(
OR(
BA$1=MONTH($AP50),
BA$1=MONTH($AQ50),
BA$1=MONTH($AR50),
BA$1=MONTH($AS50)),
IF('CF USD'!$A$8="On",$L50,$K50)/T_Bonds[[#This Row],[Coupons per annum]],0)</f>
        <v>0</v>
      </c>
      <c r="BB50" s="25">
        <f>IF(
OR(
BB$1=MONTH($AP50),
BB$1=MONTH($AQ50),
BB$1=MONTH($AR50),
BB$1=MONTH($AS50)),
IF('CF USD'!$A$8="On",$L50,$K50)/T_Bonds[[#This Row],[Coupons per annum]],0)</f>
        <v>0</v>
      </c>
      <c r="BC50" s="25">
        <f>IF(
OR(
BC$1=MONTH($AP50),
BC$1=MONTH($AQ50),
BC$1=MONTH($AR50),
BC$1=MONTH($AS50)),
IF('CF USD'!$A$8="On",$L50,$K50)/T_Bonds[[#This Row],[Coupons per annum]],0)</f>
        <v>0</v>
      </c>
      <c r="BD50" s="25">
        <f>IF(
OR(
BD$1=MONTH($AP50),
BD$1=MONTH($AQ50),
BD$1=MONTH($AR50),
BD$1=MONTH($AS50)),
IF('CF USD'!$A$8="On",$L50,$K50)/T_Bonds[[#This Row],[Coupons per annum]],0)</f>
        <v>0</v>
      </c>
      <c r="BE50" s="25">
        <f>IF(
OR(
BE$1=MONTH($AP50),
BE$1=MONTH($AQ50),
BE$1=MONTH($AR50),
BE$1=MONTH($AS50)),
IF('CF USD'!$A$8="On",$L50,$K50)/T_Bonds[[#This Row],[Coupons per annum]],0)</f>
        <v>0</v>
      </c>
      <c r="BF50">
        <f>DAY(T_Bonds[[#This Row],[Next coupon date]])</f>
        <v>2</v>
      </c>
    </row>
    <row r="51" spans="1:58" x14ac:dyDescent="0.25">
      <c r="A51" s="298" t="s">
        <v>137</v>
      </c>
      <c r="B51" s="203" t="s">
        <v>51</v>
      </c>
      <c r="C51" s="1" t="str">
        <f>IF(T_Bonds[[#This Row],[Call date]]&lt;&gt;"","Callable","Maturity")</f>
        <v>Callable</v>
      </c>
      <c r="D51" s="1" t="s">
        <v>138</v>
      </c>
      <c r="E51" s="1" t="s">
        <v>21</v>
      </c>
      <c r="F51" s="22">
        <f>IFERROR(INDEX('V004'!D:E,MATCH(D51,'V004'!D:D,0),2),0)</f>
        <v>800000</v>
      </c>
      <c r="G51" s="22">
        <f>IFERROR(INDEX('V001'!D:E,MATCH(D51,'V001'!D:D,0),2),0)</f>
        <v>0</v>
      </c>
      <c r="H51" s="22">
        <f>IFERROR(INDEX(UBS!C:D,MATCH(D51,UBS!D:D,0),1),0)</f>
        <v>0</v>
      </c>
      <c r="I51" s="300">
        <f>SUM(T_Bonds[[#This Row],[V1412]:[UBS]])</f>
        <v>800000</v>
      </c>
      <c r="J51" s="98">
        <f t="shared" si="21"/>
        <v>6.4999999999999947E-2</v>
      </c>
      <c r="K51" s="100">
        <f t="shared" si="14"/>
        <v>51999.999999999956</v>
      </c>
      <c r="L51" s="100">
        <f t="shared" ca="1" si="15"/>
        <v>60169.199999999953</v>
      </c>
      <c r="M51" s="16"/>
      <c r="N51" s="5">
        <f>IFERROR(INDEX(Cbonds!C:H,MATCH(D51,Cbonds!C:C,0),4)/100,0)</f>
        <v>5.7182399778897997E-2</v>
      </c>
      <c r="O51" s="6">
        <f>IFERROR(INDEX(Cbonds!C:H,MATCH(D51,Cbonds!C:C,0),5),0)</f>
        <v>6.3814476931259998</v>
      </c>
      <c r="P51" s="91">
        <f>T_Bonds[[#This Row],[Market price]]-T_Bonds[[#This Row],[Cost price]]</f>
        <v>5.3523725000000022E-2</v>
      </c>
      <c r="Q51" s="91">
        <f>T_Bonds[[#This Row],[Coupon]]/T_Bonds[[#This Row],[Cost price]]</f>
        <v>6.4313372746382061E-2</v>
      </c>
      <c r="R51" s="109">
        <f t="shared" si="16"/>
        <v>45745.919823118398</v>
      </c>
      <c r="S51" s="222">
        <f>IFERROR(INDEX('V004'!D:J,MATCH(D51,'V004'!D:D,0),7),0)</f>
        <v>1.010676275</v>
      </c>
      <c r="T51" s="222">
        <f>IFERROR(INDEX('V001'!D:J,MATCH(D51,'V001'!D:D,0),7),0)</f>
        <v>0</v>
      </c>
      <c r="U51" s="223">
        <f>IFERROR(S51*T_Bonds[[#This Row],[V1412]]/(T_Bonds[[#This Row],[V1412]]+T_Bonds[[#This Row],[V1430]])+T51*T_Bonds[[#This Row],[V1430]]/(T_Bonds[[#This Row],[V1412]]+T_Bonds[[#This Row],[V1430]]),0)</f>
        <v>1.010676275</v>
      </c>
      <c r="V51" s="100">
        <f t="shared" si="17"/>
        <v>51450.698197105652</v>
      </c>
      <c r="W51" s="200">
        <v>1.107</v>
      </c>
      <c r="X51" s="299">
        <f>IFERROR(INDEX(Cbonds!C:AF,MATCH(D51,Cbonds!C:C,0),30)/100,0)</f>
        <v>1.0642</v>
      </c>
      <c r="Y51" s="4">
        <f ca="1">INDEX('Tech list'!A:C,MATCH(T_Bonds[[#This Row],[Risk CCY]],'Tech list'!A:A,0),3)</f>
        <v>1.1571</v>
      </c>
      <c r="Z51" s="97">
        <f>T_Bonds[[#This Row],[Market price]]*T_Bonds[[#This Row],[Quantity]]</f>
        <v>851360</v>
      </c>
      <c r="AA51" s="106">
        <f t="shared" ca="1" si="18"/>
        <v>985108.65600000008</v>
      </c>
      <c r="AB51" s="73">
        <f ca="1">T_Bonds[[#This Row],[Market value in CCY]]+T_Bonds[[#This Row],[AI, CCY]]</f>
        <v>859015.5555555555</v>
      </c>
      <c r="AC51" s="73">
        <f ca="1">T_Bonds[[#This Row],[Market value in USD]]+T_Bonds[[#This Row],[AI, USD]]</f>
        <v>993966.89933333336</v>
      </c>
      <c r="AD51" s="97">
        <f t="shared" si="19"/>
        <v>808541.02</v>
      </c>
      <c r="AE51" s="75">
        <f ca="1">(T_Bonds[[#This Row],[Coupon in Loc.Curr]]/T_Bonds[[#This Row],[Coupons per annum]])*((TODAY()-EDATE(T_Bonds[[#This Row],[Next coupon date]],-12/T_Bonds[[#This Row],[Coupons per annum]])))/(360/T_Bonds[[#This Row],[Coupons per annum]])</f>
        <v>7655.5555555555493</v>
      </c>
      <c r="AF51" s="73">
        <f ca="1">T_Bonds[[#This Row],[AI, CCY]]*T_Bonds[[#This Row],[Exchange rate, N]]</f>
        <v>8858.2433333333265</v>
      </c>
      <c r="AG51" s="311">
        <f>IFERROR(IF(INDEX(Cbonds!C:AC,MATCH(D51,Cbonds!C:C,0),27)&gt;5000,0,INDEX(Cbonds!C:AC,MATCH(D51,Cbonds!C:C,0),27)),0)</f>
        <v>316.55017257601997</v>
      </c>
      <c r="AH51" s="73">
        <v>50</v>
      </c>
      <c r="AI51" s="17">
        <v>48960</v>
      </c>
      <c r="AJ51" s="74">
        <v>0</v>
      </c>
      <c r="AK51" s="78" t="s">
        <v>327</v>
      </c>
      <c r="AL51" s="78" t="s">
        <v>302</v>
      </c>
      <c r="AM51" t="s">
        <v>2475</v>
      </c>
      <c r="AN51" s="78" t="s">
        <v>328</v>
      </c>
      <c r="AO51" s="320">
        <v>2</v>
      </c>
      <c r="AP51" s="17">
        <f>IFERROR(INDEX(Cbonds!C:H,MATCH(D51,Cbonds!C:C,0),3),0)</f>
        <v>46219</v>
      </c>
      <c r="AQ51" s="17">
        <f>EDATE(T_Bonds[[#This Row],[Next coupon date]],12/T_Bonds[[#This Row],[Coupons per annum]])</f>
        <v>46403</v>
      </c>
      <c r="AR51" s="17">
        <f>EDATE(T_Bonds[[#This Row],[Second next coupon date]],12/$AO51)</f>
        <v>46584</v>
      </c>
      <c r="AS51" s="17">
        <f>EDATE(T_Bonds[[#This Row],[Coupon date 3]],12/$AO51)</f>
        <v>46768</v>
      </c>
      <c r="AT51" s="25">
        <f>IF(
OR(
AT$1=MONTH($AP51),
AT$1=MONTH($AQ51),
AT$1=MONTH($AR51),
AT$1=MONTH($AS51)),
IF('CF USD'!$A$8="On",$L51,$K51)/T_Bonds[[#This Row],[Coupons per annum]],0)</f>
        <v>25999.999999999978</v>
      </c>
      <c r="AU51" s="25">
        <f>IF(
OR(
AU$1=MONTH($AP51),
AU$1=MONTH($AQ51),
AU$1=MONTH($AR51),
AU$1=MONTH($AS51)),
IF('CF USD'!$A$8="On",$L51,$K51)/T_Bonds[[#This Row],[Coupons per annum]],0)</f>
        <v>0</v>
      </c>
      <c r="AV51" s="25">
        <f>IF(
OR(
AV$1=MONTH($AP51),
AV$1=MONTH($AQ51),
AV$1=MONTH($AR51),
AV$1=MONTH($AS51)),
IF('CF USD'!$A$8="On",$L51,$K51)/T_Bonds[[#This Row],[Coupons per annum]],0)</f>
        <v>0</v>
      </c>
      <c r="AW51" s="25">
        <f>IF(
OR(
AW$1=MONTH($AP51),
AW$1=MONTH($AQ51),
AW$1=MONTH($AR51),
AW$1=MONTH($AS51)),
IF('CF USD'!$A$8="On",$L51,$K51)/T_Bonds[[#This Row],[Coupons per annum]],0)</f>
        <v>0</v>
      </c>
      <c r="AX51" s="25">
        <f>IF(
OR(
AX$1=MONTH($AP51),
AX$1=MONTH($AQ51),
AX$1=MONTH($AR51),
AX$1=MONTH($AS51)),
IF('CF USD'!$A$8="On",$L51,$K51)/T_Bonds[[#This Row],[Coupons per annum]],0)</f>
        <v>0</v>
      </c>
      <c r="AY51" s="25">
        <f>IF(
OR(
AY$1=MONTH($AP51),
AY$1=MONTH($AQ51),
AY$1=MONTH($AR51),
AY$1=MONTH($AS51)),
IF('CF USD'!$A$8="On",$L51,$K51)/T_Bonds[[#This Row],[Coupons per annum]],0)</f>
        <v>0</v>
      </c>
      <c r="AZ51" s="25">
        <f>IF(
OR(
AZ$1=MONTH($AP51),
AZ$1=MONTH($AQ51),
AZ$1=MONTH($AR51),
AZ$1=MONTH($AS51)),
IF('CF USD'!$A$8="On",$L51,$K51)/T_Bonds[[#This Row],[Coupons per annum]],0)</f>
        <v>25999.999999999978</v>
      </c>
      <c r="BA51" s="25">
        <f>IF(
OR(
BA$1=MONTH($AP51),
BA$1=MONTH($AQ51),
BA$1=MONTH($AR51),
BA$1=MONTH($AS51)),
IF('CF USD'!$A$8="On",$L51,$K51)/T_Bonds[[#This Row],[Coupons per annum]],0)</f>
        <v>0</v>
      </c>
      <c r="BB51" s="25">
        <f>IF(
OR(
BB$1=MONTH($AP51),
BB$1=MONTH($AQ51),
BB$1=MONTH($AR51),
BB$1=MONTH($AS51)),
IF('CF USD'!$A$8="On",$L51,$K51)/T_Bonds[[#This Row],[Coupons per annum]],0)</f>
        <v>0</v>
      </c>
      <c r="BC51" s="25">
        <f>IF(
OR(
BC$1=MONTH($AP51),
BC$1=MONTH($AQ51),
BC$1=MONTH($AR51),
BC$1=MONTH($AS51)),
IF('CF USD'!$A$8="On",$L51,$K51)/T_Bonds[[#This Row],[Coupons per annum]],0)</f>
        <v>0</v>
      </c>
      <c r="BD51" s="25">
        <f>IF(
OR(
BD$1=MONTH($AP51),
BD$1=MONTH($AQ51),
BD$1=MONTH($AR51),
BD$1=MONTH($AS51)),
IF('CF USD'!$A$8="On",$L51,$K51)/T_Bonds[[#This Row],[Coupons per annum]],0)</f>
        <v>0</v>
      </c>
      <c r="BE51" s="25">
        <f>IF(
OR(
BE$1=MONTH($AP51),
BE$1=MONTH($AQ51),
BE$1=MONTH($AR51),
BE$1=MONTH($AS51)),
IF('CF USD'!$A$8="On",$L51,$K51)/T_Bonds[[#This Row],[Coupons per annum]],0)</f>
        <v>0</v>
      </c>
      <c r="BF51">
        <f>DAY(T_Bonds[[#This Row],[Next coupon date]])</f>
        <v>16</v>
      </c>
    </row>
    <row r="52" spans="1:58" x14ac:dyDescent="0.25">
      <c r="A52" s="298" t="s">
        <v>139</v>
      </c>
      <c r="B52" s="203" t="s">
        <v>51</v>
      </c>
      <c r="C52" s="1" t="str">
        <f>IF(T_Bonds[[#This Row],[Call date]]&lt;&gt;"","Callable","Maturity")</f>
        <v>Maturity</v>
      </c>
      <c r="D52" s="1" t="s">
        <v>140</v>
      </c>
      <c r="E52" s="1" t="s">
        <v>18</v>
      </c>
      <c r="F52" s="22">
        <f>IFERROR(INDEX('V004'!D:E,MATCH(D52,'V004'!D:D,0),2),0)</f>
        <v>600000</v>
      </c>
      <c r="G52" s="22">
        <f>IFERROR(INDEX('V001'!D:E,MATCH(D52,'V001'!D:D,0),2),0)</f>
        <v>0</v>
      </c>
      <c r="H52" s="22">
        <f>IFERROR(INDEX(UBS!C:D,MATCH(D52,UBS!D:D,0),1),0)</f>
        <v>0</v>
      </c>
      <c r="I52" s="300">
        <f>SUM(T_Bonds[[#This Row],[V1412]:[UBS]])</f>
        <v>600000</v>
      </c>
      <c r="J52" s="74">
        <f t="shared" si="21"/>
        <v>5.9499999999999886E-2</v>
      </c>
      <c r="K52" s="73">
        <f t="shared" si="14"/>
        <v>35699.999999999935</v>
      </c>
      <c r="L52" s="73">
        <f t="shared" si="15"/>
        <v>35699.999999999935</v>
      </c>
      <c r="M52" s="16">
        <v>54514</v>
      </c>
      <c r="N52" s="5">
        <f>IFERROR(INDEX(Cbonds!C:H,MATCH(D52,Cbonds!C:C,0),4)/100,0)</f>
        <v>6.3037491608282994E-2</v>
      </c>
      <c r="O52" s="6">
        <f>IFERROR(INDEX(Cbonds!C:H,MATCH(D52,Cbonds!C:C,0),5),0)</f>
        <v>12.623614319629</v>
      </c>
      <c r="P52" s="91">
        <f>T_Bonds[[#This Row],[Market price]]-T_Bonds[[#This Row],[Cost price]]</f>
        <v>9.5205516666666767E-2</v>
      </c>
      <c r="Q52" s="91">
        <f>T_Bonds[[#This Row],[Coupon]]/T_Bonds[[#This Row],[Cost price]]</f>
        <v>6.8203090616364578E-2</v>
      </c>
      <c r="R52" s="97">
        <f t="shared" si="16"/>
        <v>37822.494964969796</v>
      </c>
      <c r="S52" s="222">
        <f>IFERROR(INDEX('V004'!D:J,MATCH(D52,'V004'!D:D,0),7),0)</f>
        <v>0.87239448333333325</v>
      </c>
      <c r="T52" s="222">
        <f>IFERROR(INDEX('V001'!D:J,MATCH(D52,'V001'!D:D,0),7),0)</f>
        <v>0</v>
      </c>
      <c r="U52" s="223">
        <f>IFERROR(S52*T_Bonds[[#This Row],[V1412]]/(T_Bonds[[#This Row],[V1412]]+T_Bonds[[#This Row],[V1430]])+T52*T_Bonds[[#This Row],[V1430]]/(T_Bonds[[#This Row],[V1412]]+T_Bonds[[#This Row],[V1430]]),0)</f>
        <v>0.87239448333333325</v>
      </c>
      <c r="V52" s="73">
        <f t="shared" si="17"/>
        <v>40921.85436981875</v>
      </c>
      <c r="W52" s="1" t="s">
        <v>257</v>
      </c>
      <c r="X52" s="299">
        <f>IFERROR(INDEX(Cbonds!C:AF,MATCH(D52,Cbonds!C:C,0),30)/100,0)</f>
        <v>0.96760000000000002</v>
      </c>
      <c r="Y52" s="4">
        <f>INDEX('Tech list'!A:C,MATCH(T_Bonds[[#This Row],[Risk CCY]],'Tech list'!A:A,0),3)</f>
        <v>1</v>
      </c>
      <c r="Z52" s="100">
        <f>T_Bonds[[#This Row],[Market price]]*T_Bonds[[#This Row],[Quantity]]</f>
        <v>580560</v>
      </c>
      <c r="AA52" s="73">
        <f t="shared" si="18"/>
        <v>580560</v>
      </c>
      <c r="AB52" s="73">
        <f ca="1">T_Bonds[[#This Row],[Market value in CCY]]+T_Bonds[[#This Row],[AI, CCY]]</f>
        <v>596426.66666666663</v>
      </c>
      <c r="AC52" s="73">
        <f ca="1">T_Bonds[[#This Row],[Market value in USD]]+T_Bonds[[#This Row],[AI, USD]]</f>
        <v>596426.66666666663</v>
      </c>
      <c r="AD52" s="73">
        <f t="shared" si="19"/>
        <v>523436.68999999994</v>
      </c>
      <c r="AE52" s="75">
        <f ca="1">(T_Bonds[[#This Row],[Coupon in Loc.Curr]]/T_Bonds[[#This Row],[Coupons per annum]])*((TODAY()-EDATE(T_Bonds[[#This Row],[Next coupon date]],-12/T_Bonds[[#This Row],[Coupons per annum]])))/(360/T_Bonds[[#This Row],[Coupons per annum]])</f>
        <v>15866.666666666639</v>
      </c>
      <c r="AF52" s="73">
        <f ca="1">T_Bonds[[#This Row],[AI, CCY]]*T_Bonds[[#This Row],[Exchange rate, N]]</f>
        <v>15866.666666666639</v>
      </c>
      <c r="AG52" s="311">
        <f>IFERROR(IF(INDEX(Cbonds!C:AC,MATCH(D52,Cbonds!C:C,0),27)&gt;5000,0,INDEX(Cbonds!C:AC,MATCH(D52,Cbonds!C:C,0),27)),0)</f>
        <v>195.32204686876</v>
      </c>
      <c r="AH52" s="73">
        <v>75</v>
      </c>
      <c r="AK52" t="s">
        <v>293</v>
      </c>
      <c r="AL52" t="s">
        <v>283</v>
      </c>
      <c r="AM52" t="s">
        <v>2475</v>
      </c>
      <c r="AN52" t="s">
        <v>329</v>
      </c>
      <c r="AO52" s="320">
        <v>2</v>
      </c>
      <c r="AP52" s="17">
        <f>IFERROR(INDEX(Cbonds!C:H,MATCH(D52,Cbonds!C:C,0),3),0)</f>
        <v>46113</v>
      </c>
      <c r="AQ52" s="17">
        <f>EDATE(T_Bonds[[#This Row],[Next coupon date]],12/T_Bonds[[#This Row],[Coupons per annum]])</f>
        <v>46296</v>
      </c>
      <c r="AR52" s="17">
        <f>EDATE(T_Bonds[[#This Row],[Second next coupon date]],12/$AO52)</f>
        <v>46478</v>
      </c>
      <c r="AS52" s="17">
        <f>EDATE(T_Bonds[[#This Row],[Coupon date 3]],12/$AO52)</f>
        <v>46661</v>
      </c>
      <c r="AT52" s="25">
        <f>IF(
OR(
AT$1=MONTH($AP52),
AT$1=MONTH($AQ52),
AT$1=MONTH($AR52),
AT$1=MONTH($AS52)),
IF('CF USD'!$A$8="On",$L52,$K52)/T_Bonds[[#This Row],[Coupons per annum]],0)</f>
        <v>0</v>
      </c>
      <c r="AU52" s="25">
        <f>IF(
OR(
AU$1=MONTH($AP52),
AU$1=MONTH($AQ52),
AU$1=MONTH($AR52),
AU$1=MONTH($AS52)),
IF('CF USD'!$A$8="On",$L52,$K52)/T_Bonds[[#This Row],[Coupons per annum]],0)</f>
        <v>0</v>
      </c>
      <c r="AV52" s="25">
        <f>IF(
OR(
AV$1=MONTH($AP52),
AV$1=MONTH($AQ52),
AV$1=MONTH($AR52),
AV$1=MONTH($AS52)),
IF('CF USD'!$A$8="On",$L52,$K52)/T_Bonds[[#This Row],[Coupons per annum]],0)</f>
        <v>0</v>
      </c>
      <c r="AW52" s="25">
        <f>IF(
OR(
AW$1=MONTH($AP52),
AW$1=MONTH($AQ52),
AW$1=MONTH($AR52),
AW$1=MONTH($AS52)),
IF('CF USD'!$A$8="On",$L52,$K52)/T_Bonds[[#This Row],[Coupons per annum]],0)</f>
        <v>17849.999999999967</v>
      </c>
      <c r="AX52" s="25">
        <f>IF(
OR(
AX$1=MONTH($AP52),
AX$1=MONTH($AQ52),
AX$1=MONTH($AR52),
AX$1=MONTH($AS52)),
IF('CF USD'!$A$8="On",$L52,$K52)/T_Bonds[[#This Row],[Coupons per annum]],0)</f>
        <v>0</v>
      </c>
      <c r="AY52" s="25">
        <f>IF(
OR(
AY$1=MONTH($AP52),
AY$1=MONTH($AQ52),
AY$1=MONTH($AR52),
AY$1=MONTH($AS52)),
IF('CF USD'!$A$8="On",$L52,$K52)/T_Bonds[[#This Row],[Coupons per annum]],0)</f>
        <v>0</v>
      </c>
      <c r="AZ52" s="25">
        <f>IF(
OR(
AZ$1=MONTH($AP52),
AZ$1=MONTH($AQ52),
AZ$1=MONTH($AR52),
AZ$1=MONTH($AS52)),
IF('CF USD'!$A$8="On",$L52,$K52)/T_Bonds[[#This Row],[Coupons per annum]],0)</f>
        <v>0</v>
      </c>
      <c r="BA52" s="25">
        <f>IF(
OR(
BA$1=MONTH($AP52),
BA$1=MONTH($AQ52),
BA$1=MONTH($AR52),
BA$1=MONTH($AS52)),
IF('CF USD'!$A$8="On",$L52,$K52)/T_Bonds[[#This Row],[Coupons per annum]],0)</f>
        <v>0</v>
      </c>
      <c r="BB52" s="25">
        <f>IF(
OR(
BB$1=MONTH($AP52),
BB$1=MONTH($AQ52),
BB$1=MONTH($AR52),
BB$1=MONTH($AS52)),
IF('CF USD'!$A$8="On",$L52,$K52)/T_Bonds[[#This Row],[Coupons per annum]],0)</f>
        <v>0</v>
      </c>
      <c r="BC52" s="25">
        <f>IF(
OR(
BC$1=MONTH($AP52),
BC$1=MONTH($AQ52),
BC$1=MONTH($AR52),
BC$1=MONTH($AS52)),
IF('CF USD'!$A$8="On",$L52,$K52)/T_Bonds[[#This Row],[Coupons per annum]],0)</f>
        <v>17849.999999999967</v>
      </c>
      <c r="BD52" s="25">
        <f>IF(
OR(
BD$1=MONTH($AP52),
BD$1=MONTH($AQ52),
BD$1=MONTH($AR52),
BD$1=MONTH($AS52)),
IF('CF USD'!$A$8="On",$L52,$K52)/T_Bonds[[#This Row],[Coupons per annum]],0)</f>
        <v>0</v>
      </c>
      <c r="BE52" s="25">
        <f>IF(
OR(
BE$1=MONTH($AP52),
BE$1=MONTH($AQ52),
BE$1=MONTH($AR52),
BE$1=MONTH($AS52)),
IF('CF USD'!$A$8="On",$L52,$K52)/T_Bonds[[#This Row],[Coupons per annum]],0)</f>
        <v>0</v>
      </c>
      <c r="BF52">
        <f>DAY(T_Bonds[[#This Row],[Next coupon date]])</f>
        <v>1</v>
      </c>
    </row>
    <row r="53" spans="1:58" x14ac:dyDescent="0.25">
      <c r="A53" s="298" t="s">
        <v>144</v>
      </c>
      <c r="B53" s="203" t="s">
        <v>51</v>
      </c>
      <c r="C53" s="1" t="str">
        <f>IF(T_Bonds[[#This Row],[Call date]]&lt;&gt;"","Callable","Maturity")</f>
        <v>Callable</v>
      </c>
      <c r="D53" s="1" t="s">
        <v>145</v>
      </c>
      <c r="E53" s="1" t="s">
        <v>21</v>
      </c>
      <c r="F53" s="22">
        <f>IFERROR(INDEX('V004'!D:E,MATCH(D53,'V004'!D:D,0),2),0)</f>
        <v>2000000</v>
      </c>
      <c r="G53" s="22">
        <f>IFERROR(INDEX('V001'!D:E,MATCH(D53,'V001'!D:D,0),2),0)</f>
        <v>0</v>
      </c>
      <c r="H53" s="22">
        <f>IFERROR(INDEX(UBS!C:D,MATCH(D53,UBS!D:D,0),1),0)</f>
        <v>0</v>
      </c>
      <c r="I53" s="300">
        <f>SUM(T_Bonds[[#This Row],[V1412]:[UBS]])</f>
        <v>2000000</v>
      </c>
      <c r="J53" s="98">
        <f>LEFT(A53,FIND("%",A53,1))+1-1</f>
        <v>6.3749999999999973E-2</v>
      </c>
      <c r="K53" s="100">
        <f t="shared" si="14"/>
        <v>127499.99999999994</v>
      </c>
      <c r="L53" s="100">
        <f t="shared" ca="1" si="15"/>
        <v>147530.24999999994</v>
      </c>
      <c r="M53" s="16"/>
      <c r="N53" s="5">
        <f>IFERROR(INDEX(Cbonds!C:H,MATCH(D53,Cbonds!C:C,0),4)/100,0)</f>
        <v>5.4084430753825997E-2</v>
      </c>
      <c r="O53" s="6">
        <f>IFERROR(INDEX(Cbonds!C:H,MATCH(D53,Cbonds!C:C,0),5),0)</f>
        <v>6.7171282969904</v>
      </c>
      <c r="P53" s="91">
        <f>T_Bonds[[#This Row],[Market price]]-T_Bonds[[#This Row],[Cost price]]</f>
        <v>5.9156685000000042E-2</v>
      </c>
      <c r="Q53" s="91">
        <f>T_Bonds[[#This Row],[Coupon]]/T_Bonds[[#This Row],[Cost price]]</f>
        <v>6.2960269507087677E-2</v>
      </c>
      <c r="R53" s="109">
        <f t="shared" si="16"/>
        <v>108168.86150765199</v>
      </c>
      <c r="S53" s="222">
        <f>IFERROR(INDEX('V004'!D:J,MATCH(D53,'V004'!D:D,0),7),0)</f>
        <v>1.0125433150000001</v>
      </c>
      <c r="T53" s="222">
        <f>IFERROR(INDEX('V001'!D:J,MATCH(D53,'V001'!D:D,0),7),0)</f>
        <v>0</v>
      </c>
      <c r="U53" s="223">
        <f>IFERROR(S53*T_Bonds[[#This Row],[V1412]]/(T_Bonds[[#This Row],[V1412]]+T_Bonds[[#This Row],[V1430]])+T53*T_Bonds[[#This Row],[V1430]]/(T_Bonds[[#This Row],[V1412]]+T_Bonds[[#This Row],[V1430]]),0)</f>
        <v>1.0125433150000001</v>
      </c>
      <c r="V53" s="100">
        <f t="shared" si="17"/>
        <v>125920.53901417535</v>
      </c>
      <c r="W53" s="4">
        <v>1.1102000000000001</v>
      </c>
      <c r="X53" s="299">
        <f>IFERROR(INDEX(Cbonds!C:AF,MATCH(D53,Cbonds!C:C,0),30)/100,0)</f>
        <v>1.0717000000000001</v>
      </c>
      <c r="Y53" s="4">
        <f ca="1">INDEX('Tech list'!A:C,MATCH(T_Bonds[[#This Row],[Risk CCY]],'Tech list'!A:A,0),3)</f>
        <v>1.1571</v>
      </c>
      <c r="Z53" s="97">
        <f>T_Bonds[[#This Row],[Market price]]*T_Bonds[[#This Row],[Quantity]]</f>
        <v>2143400</v>
      </c>
      <c r="AA53" s="106">
        <f t="shared" ca="1" si="18"/>
        <v>2480128.14</v>
      </c>
      <c r="AB53" s="73">
        <f ca="1">T_Bonds[[#This Row],[Market value in CCY]]+T_Bonds[[#This Row],[AI, CCY]]</f>
        <v>2203254.1666666665</v>
      </c>
      <c r="AC53" s="73">
        <f ca="1">T_Bonds[[#This Row],[Market value in USD]]+T_Bonds[[#This Row],[AI, USD]]</f>
        <v>2549385.3962500002</v>
      </c>
      <c r="AD53" s="97">
        <f t="shared" si="19"/>
        <v>2025086.6300000001</v>
      </c>
      <c r="AE53" s="75">
        <f ca="1">(T_Bonds[[#This Row],[Coupon in Loc.Curr]]/T_Bonds[[#This Row],[Coupons per annum]])*((TODAY()-EDATE(T_Bonds[[#This Row],[Next coupon date]],-12/T_Bonds[[#This Row],[Coupons per annum]])))/(360/T_Bonds[[#This Row],[Coupons per annum]])</f>
        <v>59854.166666666635</v>
      </c>
      <c r="AF53" s="73">
        <f ca="1">T_Bonds[[#This Row],[AI, CCY]]*T_Bonds[[#This Row],[Exchange rate, N]]</f>
        <v>69257.256249999962</v>
      </c>
      <c r="AG53" s="311">
        <f>IFERROR(IF(INDEX(Cbonds!C:AC,MATCH(D53,Cbonds!C:C,0),27)&gt;5000,0,INDEX(Cbonds!C:AC,MATCH(D53,Cbonds!C:C,0),27)),0)</f>
        <v>281.82579585471001</v>
      </c>
      <c r="AH53" s="73">
        <v>50</v>
      </c>
      <c r="AI53" s="17">
        <v>49209</v>
      </c>
      <c r="AJ53" s="208">
        <v>3.9019999999999999E-2</v>
      </c>
      <c r="AK53" s="78" t="s">
        <v>312</v>
      </c>
      <c r="AL53" s="78" t="s">
        <v>309</v>
      </c>
      <c r="AM53" t="s">
        <v>2475</v>
      </c>
      <c r="AN53" s="78" t="s">
        <v>331</v>
      </c>
      <c r="AO53" s="320">
        <v>2</v>
      </c>
      <c r="AP53" s="17">
        <f>IFERROR(INDEX(Cbonds!C:H,MATCH(D53,Cbonds!C:C,0),3),0)</f>
        <v>46103</v>
      </c>
      <c r="AQ53" s="17">
        <f>EDATE(T_Bonds[[#This Row],[Next coupon date]],12/T_Bonds[[#This Row],[Coupons per annum]])</f>
        <v>46287</v>
      </c>
      <c r="AR53" s="17">
        <f>EDATE(T_Bonds[[#This Row],[Second next coupon date]],12/$AO53)</f>
        <v>46468</v>
      </c>
      <c r="AS53" s="17">
        <f>EDATE(T_Bonds[[#This Row],[Coupon date 3]],12/$AO53)</f>
        <v>46652</v>
      </c>
      <c r="AT53" s="25">
        <f>IF(
OR(
AT$1=MONTH($AP53),
AT$1=MONTH($AQ53),
AT$1=MONTH($AR53),
AT$1=MONTH($AS53)),
IF('CF USD'!$A$8="On",$L53,$K53)/T_Bonds[[#This Row],[Coupons per annum]],0)</f>
        <v>0</v>
      </c>
      <c r="AU53" s="25">
        <f>IF(
OR(
AU$1=MONTH($AP53),
AU$1=MONTH($AQ53),
AU$1=MONTH($AR53),
AU$1=MONTH($AS53)),
IF('CF USD'!$A$8="On",$L53,$K53)/T_Bonds[[#This Row],[Coupons per annum]],0)</f>
        <v>0</v>
      </c>
      <c r="AV53" s="25">
        <f>IF(
OR(
AV$1=MONTH($AP53),
AV$1=MONTH($AQ53),
AV$1=MONTH($AR53),
AV$1=MONTH($AS53)),
IF('CF USD'!$A$8="On",$L53,$K53)/T_Bonds[[#This Row],[Coupons per annum]],0)</f>
        <v>63749.999999999971</v>
      </c>
      <c r="AW53" s="25">
        <f>IF(
OR(
AW$1=MONTH($AP53),
AW$1=MONTH($AQ53),
AW$1=MONTH($AR53),
AW$1=MONTH($AS53)),
IF('CF USD'!$A$8="On",$L53,$K53)/T_Bonds[[#This Row],[Coupons per annum]],0)</f>
        <v>0</v>
      </c>
      <c r="AX53" s="25">
        <f>IF(
OR(
AX$1=MONTH($AP53),
AX$1=MONTH($AQ53),
AX$1=MONTH($AR53),
AX$1=MONTH($AS53)),
IF('CF USD'!$A$8="On",$L53,$K53)/T_Bonds[[#This Row],[Coupons per annum]],0)</f>
        <v>0</v>
      </c>
      <c r="AY53" s="25">
        <f>IF(
OR(
AY$1=MONTH($AP53),
AY$1=MONTH($AQ53),
AY$1=MONTH($AR53),
AY$1=MONTH($AS53)),
IF('CF USD'!$A$8="On",$L53,$K53)/T_Bonds[[#This Row],[Coupons per annum]],0)</f>
        <v>0</v>
      </c>
      <c r="AZ53" s="25">
        <f>IF(
OR(
AZ$1=MONTH($AP53),
AZ$1=MONTH($AQ53),
AZ$1=MONTH($AR53),
AZ$1=MONTH($AS53)),
IF('CF USD'!$A$8="On",$L53,$K53)/T_Bonds[[#This Row],[Coupons per annum]],0)</f>
        <v>0</v>
      </c>
      <c r="BA53" s="25">
        <f>IF(
OR(
BA$1=MONTH($AP53),
BA$1=MONTH($AQ53),
BA$1=MONTH($AR53),
BA$1=MONTH($AS53)),
IF('CF USD'!$A$8="On",$L53,$K53)/T_Bonds[[#This Row],[Coupons per annum]],0)</f>
        <v>0</v>
      </c>
      <c r="BB53" s="25">
        <f>IF(
OR(
BB$1=MONTH($AP53),
BB$1=MONTH($AQ53),
BB$1=MONTH($AR53),
BB$1=MONTH($AS53)),
IF('CF USD'!$A$8="On",$L53,$K53)/T_Bonds[[#This Row],[Coupons per annum]],0)</f>
        <v>63749.999999999971</v>
      </c>
      <c r="BC53" s="25">
        <f>IF(
OR(
BC$1=MONTH($AP53),
BC$1=MONTH($AQ53),
BC$1=MONTH($AR53),
BC$1=MONTH($AS53)),
IF('CF USD'!$A$8="On",$L53,$K53)/T_Bonds[[#This Row],[Coupons per annum]],0)</f>
        <v>0</v>
      </c>
      <c r="BD53" s="25">
        <f>IF(
OR(
BD$1=MONTH($AP53),
BD$1=MONTH($AQ53),
BD$1=MONTH($AR53),
BD$1=MONTH($AS53)),
IF('CF USD'!$A$8="On",$L53,$K53)/T_Bonds[[#This Row],[Coupons per annum]],0)</f>
        <v>0</v>
      </c>
      <c r="BE53" s="25">
        <f>IF(
OR(
BE$1=MONTH($AP53),
BE$1=MONTH($AQ53),
BE$1=MONTH($AR53),
BE$1=MONTH($AS53)),
IF('CF USD'!$A$8="On",$L53,$K53)/T_Bonds[[#This Row],[Coupons per annum]],0)</f>
        <v>0</v>
      </c>
      <c r="BF53">
        <f>DAY(T_Bonds[[#This Row],[Next coupon date]])</f>
        <v>22</v>
      </c>
    </row>
    <row r="54" spans="1:58" x14ac:dyDescent="0.25">
      <c r="A54" s="298" t="s">
        <v>146</v>
      </c>
      <c r="B54" s="203" t="s">
        <v>51</v>
      </c>
      <c r="C54" s="1" t="str">
        <f>IF(T_Bonds[[#This Row],[Call date]]&lt;&gt;"","Callable","Maturity")</f>
        <v>Maturity</v>
      </c>
      <c r="D54" s="1" t="s">
        <v>147</v>
      </c>
      <c r="E54" s="1" t="s">
        <v>18</v>
      </c>
      <c r="F54" s="22">
        <f>IFERROR(INDEX('V004'!D:E,MATCH(D54,'V004'!D:D,0),2),0)</f>
        <v>400000</v>
      </c>
      <c r="G54" s="22">
        <f>IFERROR(INDEX('V001'!D:E,MATCH(D54,'V001'!D:D,0),2),0)</f>
        <v>0</v>
      </c>
      <c r="H54" s="22">
        <f>IFERROR(INDEX(UBS!C:D,MATCH(D54,UBS!D:D,0),1),0)</f>
        <v>0</v>
      </c>
      <c r="I54" s="300">
        <f>SUM(T_Bonds[[#This Row],[V1412]:[UBS]])</f>
        <v>400000</v>
      </c>
      <c r="J54" s="74">
        <f>LEFT(A54,FIND("%",A54,1))+1-1</f>
        <v>6.2000000000000055E-2</v>
      </c>
      <c r="K54" s="73">
        <f t="shared" si="14"/>
        <v>24800.000000000022</v>
      </c>
      <c r="L54" s="73">
        <f t="shared" si="15"/>
        <v>24800.000000000022</v>
      </c>
      <c r="M54" s="16">
        <v>55623</v>
      </c>
      <c r="N54" s="5">
        <f>IFERROR(INDEX(Cbonds!C:H,MATCH(D54,Cbonds!C:C,0),4)/100,0)</f>
        <v>6.1363167408386002E-2</v>
      </c>
      <c r="O54" s="6">
        <f>IFERROR(INDEX(Cbonds!C:H,MATCH(D54,Cbonds!C:C,0),5),0)</f>
        <v>12.986615094938999</v>
      </c>
      <c r="P54" s="91">
        <f>T_Bonds[[#This Row],[Market price]]-T_Bonds[[#This Row],[Cost price]]</f>
        <v>0.14616510000000016</v>
      </c>
      <c r="Q54" s="91">
        <f>T_Bonds[[#This Row],[Coupon]]/T_Bonds[[#This Row],[Cost price]]</f>
        <v>7.0939440715737836E-2</v>
      </c>
      <c r="R54" s="97">
        <f t="shared" si="16"/>
        <v>24545.266963354399</v>
      </c>
      <c r="S54" s="222">
        <f>IFERROR(INDEX('V004'!D:J,MATCH(D54,'V004'!D:D,0),7),0)</f>
        <v>0.87398489999999995</v>
      </c>
      <c r="T54" s="222">
        <f>IFERROR(INDEX('V001'!D:J,MATCH(D54,'V001'!D:D,0),7),0)</f>
        <v>0</v>
      </c>
      <c r="U54" s="223">
        <f>IFERROR(S54*T_Bonds[[#This Row],[V1412]]/(T_Bonds[[#This Row],[V1412]]+T_Bonds[[#This Row],[V1430]])+T54*T_Bonds[[#This Row],[V1430]]/(T_Bonds[[#This Row],[V1412]]+T_Bonds[[#This Row],[V1430]]),0)</f>
        <v>0.87398489999999995</v>
      </c>
      <c r="V54" s="73">
        <f t="shared" si="17"/>
        <v>28375.776286295131</v>
      </c>
      <c r="W54" s="1" t="s">
        <v>257</v>
      </c>
      <c r="X54" s="299">
        <f>IFERROR(INDEX(Cbonds!C:AF,MATCH(D54,Cbonds!C:C,0),30)/100,0)</f>
        <v>1.0201500000000001</v>
      </c>
      <c r="Y54" s="4">
        <f>INDEX('Tech list'!A:C,MATCH(T_Bonds[[#This Row],[Risk CCY]],'Tech list'!A:A,0),3)</f>
        <v>1</v>
      </c>
      <c r="Z54" s="100">
        <f>T_Bonds[[#This Row],[Market price]]*T_Bonds[[#This Row],[Quantity]]</f>
        <v>408060.00000000006</v>
      </c>
      <c r="AA54" s="73">
        <f t="shared" si="18"/>
        <v>408060.00000000006</v>
      </c>
      <c r="AB54" s="73">
        <f ca="1">T_Bonds[[#This Row],[Market value in CCY]]+T_Bonds[[#This Row],[AI, CCY]]</f>
        <v>418186.66666666674</v>
      </c>
      <c r="AC54" s="73">
        <f ca="1">T_Bonds[[#This Row],[Market value in USD]]+T_Bonds[[#This Row],[AI, USD]]</f>
        <v>418186.66666666674</v>
      </c>
      <c r="AD54" s="73">
        <f t="shared" si="19"/>
        <v>349593.95999999996</v>
      </c>
      <c r="AE54" s="75">
        <f ca="1">(T_Bonds[[#This Row],[Coupon in Loc.Curr]]/T_Bonds[[#This Row],[Coupons per annum]])*((TODAY()-EDATE(T_Bonds[[#This Row],[Next coupon date]],-12/T_Bonds[[#This Row],[Coupons per annum]])))/(360/T_Bonds[[#This Row],[Coupons per annum]])</f>
        <v>10126.666666666675</v>
      </c>
      <c r="AF54" s="73">
        <f ca="1">T_Bonds[[#This Row],[AI, CCY]]*T_Bonds[[#This Row],[Exchange rate, N]]</f>
        <v>10126.666666666675</v>
      </c>
      <c r="AG54" s="311">
        <f>IFERROR(IF(INDEX(Cbonds!C:AC,MATCH(D54,Cbonds!C:C,0),27)&gt;5000,0,INDEX(Cbonds!C:AC,MATCH(D54,Cbonds!C:C,0),27)),0)</f>
        <v>157.88772265494001</v>
      </c>
      <c r="AH54" s="73">
        <v>75</v>
      </c>
      <c r="AK54" t="s">
        <v>332</v>
      </c>
      <c r="AL54" t="s">
        <v>333</v>
      </c>
      <c r="AM54" t="s">
        <v>2476</v>
      </c>
      <c r="AN54" t="s">
        <v>334</v>
      </c>
      <c r="AO54" s="340">
        <v>2</v>
      </c>
      <c r="AP54" s="17">
        <f>IFERROR(INDEX(Cbonds!C:H,MATCH(D54,Cbonds!C:C,0),3),0)</f>
        <v>46126</v>
      </c>
      <c r="AQ54" s="17">
        <f>EDATE(T_Bonds[[#This Row],[Next coupon date]],12/T_Bonds[[#This Row],[Coupons per annum]])</f>
        <v>46309</v>
      </c>
      <c r="AR54" s="17">
        <f>EDATE(T_Bonds[[#This Row],[Second next coupon date]],12/$AO54)</f>
        <v>46491</v>
      </c>
      <c r="AS54" s="17">
        <f>EDATE(T_Bonds[[#This Row],[Coupon date 3]],12/$AO54)</f>
        <v>46674</v>
      </c>
      <c r="AT54" s="25">
        <f>IF(
OR(
AT$1=MONTH($AP54),
AT$1=MONTH($AQ54),
AT$1=MONTH($AR54),
AT$1=MONTH($AS54)),
IF('CF USD'!$A$8="On",$L54,$K54)/T_Bonds[[#This Row],[Coupons per annum]],0)</f>
        <v>0</v>
      </c>
      <c r="AU54" s="25">
        <f>IF(
OR(
AU$1=MONTH($AP54),
AU$1=MONTH($AQ54),
AU$1=MONTH($AR54),
AU$1=MONTH($AS54)),
IF('CF USD'!$A$8="On",$L54,$K54)/T_Bonds[[#This Row],[Coupons per annum]],0)</f>
        <v>0</v>
      </c>
      <c r="AV54" s="25">
        <f>IF(
OR(
AV$1=MONTH($AP54),
AV$1=MONTH($AQ54),
AV$1=MONTH($AR54),
AV$1=MONTH($AS54)),
IF('CF USD'!$A$8="On",$L54,$K54)/T_Bonds[[#This Row],[Coupons per annum]],0)</f>
        <v>0</v>
      </c>
      <c r="AW54" s="25">
        <f>IF(
OR(
AW$1=MONTH($AP54),
AW$1=MONTH($AQ54),
AW$1=MONTH($AR54),
AW$1=MONTH($AS54)),
IF('CF USD'!$A$8="On",$L54,$K54)/T_Bonds[[#This Row],[Coupons per annum]],0)</f>
        <v>12400.000000000011</v>
      </c>
      <c r="AX54" s="25">
        <f>IF(
OR(
AX$1=MONTH($AP54),
AX$1=MONTH($AQ54),
AX$1=MONTH($AR54),
AX$1=MONTH($AS54)),
IF('CF USD'!$A$8="On",$L54,$K54)/T_Bonds[[#This Row],[Coupons per annum]],0)</f>
        <v>0</v>
      </c>
      <c r="AY54" s="25">
        <f>IF(
OR(
AY$1=MONTH($AP54),
AY$1=MONTH($AQ54),
AY$1=MONTH($AR54),
AY$1=MONTH($AS54)),
IF('CF USD'!$A$8="On",$L54,$K54)/T_Bonds[[#This Row],[Coupons per annum]],0)</f>
        <v>0</v>
      </c>
      <c r="AZ54" s="25">
        <f>IF(
OR(
AZ$1=MONTH($AP54),
AZ$1=MONTH($AQ54),
AZ$1=MONTH($AR54),
AZ$1=MONTH($AS54)),
IF('CF USD'!$A$8="On",$L54,$K54)/T_Bonds[[#This Row],[Coupons per annum]],0)</f>
        <v>0</v>
      </c>
      <c r="BA54" s="25">
        <f>IF(
OR(
BA$1=MONTH($AP54),
BA$1=MONTH($AQ54),
BA$1=MONTH($AR54),
BA$1=MONTH($AS54)),
IF('CF USD'!$A$8="On",$L54,$K54)/T_Bonds[[#This Row],[Coupons per annum]],0)</f>
        <v>0</v>
      </c>
      <c r="BB54" s="25">
        <f>IF(
OR(
BB$1=MONTH($AP54),
BB$1=MONTH($AQ54),
BB$1=MONTH($AR54),
BB$1=MONTH($AS54)),
IF('CF USD'!$A$8="On",$L54,$K54)/T_Bonds[[#This Row],[Coupons per annum]],0)</f>
        <v>0</v>
      </c>
      <c r="BC54" s="25">
        <f>IF(
OR(
BC$1=MONTH($AP54),
BC$1=MONTH($AQ54),
BC$1=MONTH($AR54),
BC$1=MONTH($AS54)),
IF('CF USD'!$A$8="On",$L54,$K54)/T_Bonds[[#This Row],[Coupons per annum]],0)</f>
        <v>12400.000000000011</v>
      </c>
      <c r="BD54" s="25">
        <f>IF(
OR(
BD$1=MONTH($AP54),
BD$1=MONTH($AQ54),
BD$1=MONTH($AR54),
BD$1=MONTH($AS54)),
IF('CF USD'!$A$8="On",$L54,$K54)/T_Bonds[[#This Row],[Coupons per annum]],0)</f>
        <v>0</v>
      </c>
      <c r="BE54" s="25">
        <f>IF(
OR(
BE$1=MONTH($AP54),
BE$1=MONTH($AQ54),
BE$1=MONTH($AR54),
BE$1=MONTH($AS54)),
IF('CF USD'!$A$8="On",$L54,$K54)/T_Bonds[[#This Row],[Coupons per annum]],0)</f>
        <v>0</v>
      </c>
      <c r="BF54">
        <f>DAY(T_Bonds[[#This Row],[Next coupon date]])</f>
        <v>14</v>
      </c>
    </row>
    <row r="55" spans="1:58" x14ac:dyDescent="0.25">
      <c r="A55" s="1" t="s">
        <v>152</v>
      </c>
      <c r="B55" t="s">
        <v>51</v>
      </c>
      <c r="C55" s="1" t="str">
        <f>IF(T_Bonds[[#This Row],[Call date]]&lt;&gt;"","Callable","Maturity")</f>
        <v>Maturity</v>
      </c>
      <c r="D55" s="1" t="s">
        <v>153</v>
      </c>
      <c r="E55" s="1" t="s">
        <v>18</v>
      </c>
      <c r="F55" s="22">
        <f>IFERROR(INDEX('V004'!D:E,MATCH(D55,'V004'!D:D,0),2),0)</f>
        <v>600000</v>
      </c>
      <c r="G55" s="22">
        <f>IFERROR(INDEX('V001'!D:E,MATCH(D55,'V001'!D:D,0),2),0)</f>
        <v>0</v>
      </c>
      <c r="H55" s="22">
        <f>IFERROR(INDEX(UBS!C:D,MATCH(D55,UBS!D:D,0),1),0)</f>
        <v>0</v>
      </c>
      <c r="I55" s="300">
        <f>SUM(T_Bonds[[#This Row],[V1412]:[UBS]])</f>
        <v>600000</v>
      </c>
      <c r="J55" s="74">
        <f>LEFT(A55,FIND("%",A55,1))+1-1</f>
        <v>6.8750000000000089E-2</v>
      </c>
      <c r="K55" s="73">
        <f t="shared" ref="K55:K71" si="22">J55*I55</f>
        <v>41250.000000000051</v>
      </c>
      <c r="L55" s="73">
        <f t="shared" ref="L55:L71" si="23">IF(Y55&lt;&gt;1,I55*J55*Y55,I55*J55)</f>
        <v>41250.000000000051</v>
      </c>
      <c r="M55" s="16">
        <v>51084</v>
      </c>
      <c r="N55" s="5">
        <f>IFERROR(INDEX(Cbonds!C:H,MATCH(D55,Cbonds!C:C,0),4)/100,0)</f>
        <v>5.5211032536012998E-2</v>
      </c>
      <c r="O55" s="6">
        <f>IFERROR(INDEX(Cbonds!C:H,MATCH(D55,Cbonds!C:C,0),5),0)</f>
        <v>9.1875614821510005</v>
      </c>
      <c r="P55" s="91">
        <f>T_Bonds[[#This Row],[Market price]]-T_Bonds[[#This Row],[Cost price]]</f>
        <v>8.2270083333333188E-2</v>
      </c>
      <c r="Q55" s="91">
        <f>T_Bonds[[#This Row],[Coupon]]/T_Bonds[[#This Row],[Cost price]]</f>
        <v>6.5179473853905934E-2</v>
      </c>
      <c r="R55" s="97">
        <f t="shared" si="16"/>
        <v>33126.619521607798</v>
      </c>
      <c r="S55" s="222">
        <f>IFERROR(INDEX('V004'!D:J,MATCH(D55,'V004'!D:D,0),7),0)</f>
        <v>1.0547799166666667</v>
      </c>
      <c r="T55" s="222">
        <f>IFERROR(INDEX('V001'!D:J,MATCH(D55,'V001'!D:D,0),7),0)</f>
        <v>0</v>
      </c>
      <c r="U55" s="223">
        <f>IFERROR(S55*T_Bonds[[#This Row],[V1412]]/(T_Bonds[[#This Row],[V1412]]+T_Bonds[[#This Row],[V1430]])+T55*T_Bonds[[#This Row],[V1430]]/(T_Bonds[[#This Row],[V1412]]+T_Bonds[[#This Row],[V1430]]),0)</f>
        <v>1.0547799166666667</v>
      </c>
      <c r="V55" s="73">
        <f t="shared" ref="V55:V71" si="24">I55*J55/U55</f>
        <v>39107.684312343561</v>
      </c>
      <c r="W55" s="1" t="s">
        <v>257</v>
      </c>
      <c r="X55" s="299">
        <f>IFERROR(INDEX(Cbonds!C:AF,MATCH(D55,Cbonds!C:C,0),30)/100,0)</f>
        <v>1.1370499999999999</v>
      </c>
      <c r="Y55" s="4">
        <f>INDEX('Tech list'!A:C,MATCH(T_Bonds[[#This Row],[Risk CCY]],'Tech list'!A:A,0),3)</f>
        <v>1</v>
      </c>
      <c r="Z55" s="100">
        <f>T_Bonds[[#This Row],[Market price]]*T_Bonds[[#This Row],[Quantity]]</f>
        <v>682229.99999999988</v>
      </c>
      <c r="AA55" s="73">
        <f t="shared" ref="AA55:AA71" si="25">IF(E55&lt;&gt;"USD",X55*Y55*I55,X55*I55)</f>
        <v>682229.99999999988</v>
      </c>
      <c r="AB55" s="73">
        <f ca="1">T_Bonds[[#This Row],[Market value in CCY]]+T_Bonds[[#This Row],[AI, CCY]]</f>
        <v>695979.99999999988</v>
      </c>
      <c r="AC55" s="73">
        <f ca="1">T_Bonds[[#This Row],[Market value in USD]]+T_Bonds[[#This Row],[AI, USD]]</f>
        <v>695979.99999999988</v>
      </c>
      <c r="AD55" s="73">
        <f t="shared" ref="AD55:AD71" si="26">U55*I55</f>
        <v>632867.95000000007</v>
      </c>
      <c r="AE55" s="75">
        <f ca="1">(T_Bonds[[#This Row],[Coupon in Loc.Curr]]/T_Bonds[[#This Row],[Coupons per annum]])*((TODAY()-EDATE(T_Bonds[[#This Row],[Next coupon date]],-12/T_Bonds[[#This Row],[Coupons per annum]])))/(360/T_Bonds[[#This Row],[Coupons per annum]])</f>
        <v>13750.000000000018</v>
      </c>
      <c r="AF55" s="73">
        <f ca="1">T_Bonds[[#This Row],[AI, CCY]]*T_Bonds[[#This Row],[Exchange rate, N]]</f>
        <v>13750.000000000018</v>
      </c>
      <c r="AG55" s="311">
        <f>IFERROR(IF(INDEX(Cbonds!C:AC,MATCH(D55,Cbonds!C:C,0),27)&gt;5000,0,INDEX(Cbonds!C:AC,MATCH(D55,Cbonds!C:C,0),27)),0)</f>
        <v>126.79838630371999</v>
      </c>
      <c r="AH55" s="73">
        <v>75</v>
      </c>
      <c r="AK55" t="s">
        <v>275</v>
      </c>
      <c r="AL55" t="s">
        <v>276</v>
      </c>
      <c r="AM55" t="s">
        <v>2476</v>
      </c>
      <c r="AN55" t="s">
        <v>339</v>
      </c>
      <c r="AO55" s="320">
        <v>2</v>
      </c>
      <c r="AP55" s="17">
        <f>IFERROR(INDEX(Cbonds!C:H,MATCH(D55,Cbonds!C:C,0),3),0)</f>
        <v>46152</v>
      </c>
      <c r="AQ55" s="17">
        <f>EDATE(T_Bonds[[#This Row],[Next coupon date]],12/T_Bonds[[#This Row],[Coupons per annum]])</f>
        <v>46336</v>
      </c>
      <c r="AR55" s="17">
        <f>EDATE(T_Bonds[[#This Row],[Second next coupon date]],12/$AO55)</f>
        <v>46517</v>
      </c>
      <c r="AS55" s="17">
        <f>EDATE(T_Bonds[[#This Row],[Coupon date 3]],12/$AO55)</f>
        <v>46701</v>
      </c>
      <c r="AT55" s="25">
        <f>IF(
OR(
AT$1=MONTH($AP55),
AT$1=MONTH($AQ55),
AT$1=MONTH($AR55),
AT$1=MONTH($AS55)),
IF('CF USD'!$A$8="On",$L55,$K55)/T_Bonds[[#This Row],[Coupons per annum]],0)</f>
        <v>0</v>
      </c>
      <c r="AU55" s="25">
        <f>IF(
OR(
AU$1=MONTH($AP55),
AU$1=MONTH($AQ55),
AU$1=MONTH($AR55),
AU$1=MONTH($AS55)),
IF('CF USD'!$A$8="On",$L55,$K55)/T_Bonds[[#This Row],[Coupons per annum]],0)</f>
        <v>0</v>
      </c>
      <c r="AV55" s="25">
        <f>IF(
OR(
AV$1=MONTH($AP55),
AV$1=MONTH($AQ55),
AV$1=MONTH($AR55),
AV$1=MONTH($AS55)),
IF('CF USD'!$A$8="On",$L55,$K55)/T_Bonds[[#This Row],[Coupons per annum]],0)</f>
        <v>0</v>
      </c>
      <c r="AW55" s="25">
        <f>IF(
OR(
AW$1=MONTH($AP55),
AW$1=MONTH($AQ55),
AW$1=MONTH($AR55),
AW$1=MONTH($AS55)),
IF('CF USD'!$A$8="On",$L55,$K55)/T_Bonds[[#This Row],[Coupons per annum]],0)</f>
        <v>0</v>
      </c>
      <c r="AX55" s="25">
        <f>IF(
OR(
AX$1=MONTH($AP55),
AX$1=MONTH($AQ55),
AX$1=MONTH($AR55),
AX$1=MONTH($AS55)),
IF('CF USD'!$A$8="On",$L55,$K55)/T_Bonds[[#This Row],[Coupons per annum]],0)</f>
        <v>20625.000000000025</v>
      </c>
      <c r="AY55" s="25">
        <f>IF(
OR(
AY$1=MONTH($AP55),
AY$1=MONTH($AQ55),
AY$1=MONTH($AR55),
AY$1=MONTH($AS55)),
IF('CF USD'!$A$8="On",$L55,$K55)/T_Bonds[[#This Row],[Coupons per annum]],0)</f>
        <v>0</v>
      </c>
      <c r="AZ55" s="25">
        <f>IF(
OR(
AZ$1=MONTH($AP55),
AZ$1=MONTH($AQ55),
AZ$1=MONTH($AR55),
AZ$1=MONTH($AS55)),
IF('CF USD'!$A$8="On",$L55,$K55)/T_Bonds[[#This Row],[Coupons per annum]],0)</f>
        <v>0</v>
      </c>
      <c r="BA55" s="25">
        <f>IF(
OR(
BA$1=MONTH($AP55),
BA$1=MONTH($AQ55),
BA$1=MONTH($AR55),
BA$1=MONTH($AS55)),
IF('CF USD'!$A$8="On",$L55,$K55)/T_Bonds[[#This Row],[Coupons per annum]],0)</f>
        <v>0</v>
      </c>
      <c r="BB55" s="25">
        <f>IF(
OR(
BB$1=MONTH($AP55),
BB$1=MONTH($AQ55),
BB$1=MONTH($AR55),
BB$1=MONTH($AS55)),
IF('CF USD'!$A$8="On",$L55,$K55)/T_Bonds[[#This Row],[Coupons per annum]],0)</f>
        <v>0</v>
      </c>
      <c r="BC55" s="25">
        <f>IF(
OR(
BC$1=MONTH($AP55),
BC$1=MONTH($AQ55),
BC$1=MONTH($AR55),
BC$1=MONTH($AS55)),
IF('CF USD'!$A$8="On",$L55,$K55)/T_Bonds[[#This Row],[Coupons per annum]],0)</f>
        <v>0</v>
      </c>
      <c r="BD55" s="25">
        <f>IF(
OR(
BD$1=MONTH($AP55),
BD$1=MONTH($AQ55),
BD$1=MONTH($AR55),
BD$1=MONTH($AS55)),
IF('CF USD'!$A$8="On",$L55,$K55)/T_Bonds[[#This Row],[Coupons per annum]],0)</f>
        <v>20625.000000000025</v>
      </c>
      <c r="BE55" s="25">
        <f>IF(
OR(
BE$1=MONTH($AP55),
BE$1=MONTH($AQ55),
BE$1=MONTH($AR55),
BE$1=MONTH($AS55)),
IF('CF USD'!$A$8="On",$L55,$K55)/T_Bonds[[#This Row],[Coupons per annum]],0)</f>
        <v>0</v>
      </c>
      <c r="BF55">
        <f>DAY(T_Bonds[[#This Row],[Next coupon date]])</f>
        <v>10</v>
      </c>
    </row>
    <row r="56" spans="1:58" x14ac:dyDescent="0.25">
      <c r="A56" s="1" t="s">
        <v>154</v>
      </c>
      <c r="B56" t="s">
        <v>51</v>
      </c>
      <c r="C56" s="1" t="str">
        <f>IF(T_Bonds[[#This Row],[Call date]]&lt;&gt;"","Callable","Maturity")</f>
        <v>Maturity</v>
      </c>
      <c r="D56" s="1" t="s">
        <v>155</v>
      </c>
      <c r="E56" s="1" t="s">
        <v>21</v>
      </c>
      <c r="F56" s="22">
        <f>IFERROR(INDEX('V004'!D:E,MATCH(D56,'V004'!D:D,0),2),0)</f>
        <v>1000000</v>
      </c>
      <c r="G56" s="22">
        <f>IFERROR(INDEX('V001'!D:E,MATCH(D56,'V001'!D:D,0),2),0)</f>
        <v>0</v>
      </c>
      <c r="H56" s="22">
        <f>IFERROR(INDEX(UBS!C:D,MATCH(D56,UBS!D:D,0),1),0)</f>
        <v>0</v>
      </c>
      <c r="I56" s="300">
        <f>SUM(T_Bonds[[#This Row],[V1412]:[UBS]])</f>
        <v>1000000</v>
      </c>
      <c r="J56" s="74">
        <f t="shared" ref="J56:J71" si="27">LEFT(A56,FIND("%",A56,1))+1-1</f>
        <v>6.4999999999999947E-2</v>
      </c>
      <c r="K56" s="73">
        <f t="shared" si="22"/>
        <v>64999.999999999949</v>
      </c>
      <c r="L56" s="73">
        <f t="shared" ca="1" si="23"/>
        <v>75211.499999999942</v>
      </c>
      <c r="M56" s="16" t="s">
        <v>257</v>
      </c>
      <c r="N56" s="5">
        <f>IFERROR(INDEX(Cbonds!C:H,MATCH(D56,Cbonds!C:C,0),4)/100,0)</f>
        <v>0</v>
      </c>
      <c r="O56" s="6" t="str">
        <f>IFERROR(INDEX(Cbonds!C:H,MATCH(D56,Cbonds!C:C,0),5),0)</f>
        <v/>
      </c>
      <c r="P56" s="91">
        <f>T_Bonds[[#This Row],[Market price]]-T_Bonds[[#This Row],[Cost price]]</f>
        <v>0.10899484000000004</v>
      </c>
      <c r="Q56" s="91">
        <f>T_Bonds[[#This Row],[Coupon]]/T_Bonds[[#This Row],[Cost price]]</f>
        <v>6.1954611174957139E-2</v>
      </c>
      <c r="R56" s="108" t="s">
        <v>342</v>
      </c>
      <c r="S56" s="222">
        <f>IFERROR(INDEX('V004'!D:J,MATCH(D56,'V004'!D:D,0),7),0)</f>
        <v>1.04915516</v>
      </c>
      <c r="T56" s="222">
        <f>IFERROR(INDEX('V001'!D:J,MATCH(D56,'V001'!D:D,0),7),0)</f>
        <v>0</v>
      </c>
      <c r="U56" s="223">
        <f>IFERROR(S56*T_Bonds[[#This Row],[V1412]]/(T_Bonds[[#This Row],[V1412]]+T_Bonds[[#This Row],[V1430]])+T56*T_Bonds[[#This Row],[V1430]]/(T_Bonds[[#This Row],[V1412]]+T_Bonds[[#This Row],[V1430]]),0)</f>
        <v>1.04915516</v>
      </c>
      <c r="V56" s="73">
        <f t="shared" si="24"/>
        <v>61954.611174957143</v>
      </c>
      <c r="W56" s="4">
        <v>1.0786</v>
      </c>
      <c r="X56" s="299">
        <f>IFERROR(INDEX(Cbonds!C:AF,MATCH(D56,Cbonds!C:C,0),30)/100,0)</f>
        <v>1.15815</v>
      </c>
      <c r="Y56" s="4">
        <f ca="1">INDEX('Tech list'!A:C,MATCH(T_Bonds[[#This Row],[Risk CCY]],'Tech list'!A:A,0),3)</f>
        <v>1.1571</v>
      </c>
      <c r="Z56" s="100">
        <f>T_Bonds[[#This Row],[Market price]]*T_Bonds[[#This Row],[Quantity]]</f>
        <v>1158150</v>
      </c>
      <c r="AA56" s="73">
        <f t="shared" ca="1" si="25"/>
        <v>1340095.365</v>
      </c>
      <c r="AB56" s="73">
        <f ca="1">T_Bonds[[#This Row],[Market value in CCY]]+T_Bonds[[#This Row],[AI, CCY]]</f>
        <v>1170969.4444444445</v>
      </c>
      <c r="AC56" s="73">
        <f ca="1">T_Bonds[[#This Row],[Market value in USD]]+T_Bonds[[#This Row],[AI, USD]]</f>
        <v>1354928.7441666666</v>
      </c>
      <c r="AD56" s="73">
        <f t="shared" si="26"/>
        <v>1049155.1599999999</v>
      </c>
      <c r="AE56" s="75">
        <f ca="1">(T_Bonds[[#This Row],[Coupon in Loc.Curr]]/T_Bonds[[#This Row],[Coupons per annum]])*((TODAY()-EDATE(T_Bonds[[#This Row],[Next coupon date]],-12/T_Bonds[[#This Row],[Coupons per annum]])))/(360/T_Bonds[[#This Row],[Coupons per annum]])</f>
        <v>12819.444444444434</v>
      </c>
      <c r="AF56" s="73">
        <f ca="1">T_Bonds[[#This Row],[AI, CCY]]*T_Bonds[[#This Row],[Exchange rate, N]]</f>
        <v>14833.379166666655</v>
      </c>
      <c r="AG56" s="311">
        <f>IFERROR(IF(INDEX(Cbonds!C:AC,MATCH(D56,Cbonds!C:C,0),27)&gt;5000,0,INDEX(Cbonds!C:AC,MATCH(D56,Cbonds!C:C,0),27)),0)</f>
        <v>0</v>
      </c>
      <c r="AH56" s="73">
        <v>0</v>
      </c>
      <c r="AK56" t="s">
        <v>312</v>
      </c>
      <c r="AL56" t="s">
        <v>309</v>
      </c>
      <c r="AM56" t="s">
        <v>2475</v>
      </c>
      <c r="AN56" t="s">
        <v>343</v>
      </c>
      <c r="AO56" s="320">
        <v>4</v>
      </c>
      <c r="AP56" s="17">
        <f>IFERROR(INDEX(Cbonds!C:H,MATCH(D56,Cbonds!C:C,0),3),0)</f>
        <v>46110</v>
      </c>
      <c r="AQ56" s="17">
        <f>EDATE(T_Bonds[[#This Row],[Next coupon date]],12/T_Bonds[[#This Row],[Coupons per annum]])</f>
        <v>46202</v>
      </c>
      <c r="AR56" s="17">
        <f>EDATE(T_Bonds[[#This Row],[Second next coupon date]],12/$AO56)</f>
        <v>46294</v>
      </c>
      <c r="AS56" s="17">
        <f>EDATE(T_Bonds[[#This Row],[Coupon date 3]],12/$AO56)</f>
        <v>46385</v>
      </c>
      <c r="AT56" s="25">
        <f>IF(
OR(
AT$1=MONTH($AP56),
AT$1=MONTH($AQ56),
AT$1=MONTH($AR56),
AT$1=MONTH($AS56)),
IF('CF USD'!$A$8="On",$L56,$K56)/T_Bonds[[#This Row],[Coupons per annum]],0)</f>
        <v>0</v>
      </c>
      <c r="AU56" s="25">
        <f>IF(
OR(
AU$1=MONTH($AP56),
AU$1=MONTH($AQ56),
AU$1=MONTH($AR56),
AU$1=MONTH($AS56)),
IF('CF USD'!$A$8="On",$L56,$K56)/T_Bonds[[#This Row],[Coupons per annum]],0)</f>
        <v>0</v>
      </c>
      <c r="AV56" s="25">
        <f>IF(
OR(
AV$1=MONTH($AP56),
AV$1=MONTH($AQ56),
AV$1=MONTH($AR56),
AV$1=MONTH($AS56)),
IF('CF USD'!$A$8="On",$L56,$K56)/T_Bonds[[#This Row],[Coupons per annum]],0)</f>
        <v>16249.999999999987</v>
      </c>
      <c r="AW56" s="25">
        <f>IF(
OR(
AW$1=MONTH($AP56),
AW$1=MONTH($AQ56),
AW$1=MONTH($AR56),
AW$1=MONTH($AS56)),
IF('CF USD'!$A$8="On",$L56,$K56)/T_Bonds[[#This Row],[Coupons per annum]],0)</f>
        <v>0</v>
      </c>
      <c r="AX56" s="25">
        <f>IF(
OR(
AX$1=MONTH($AP56),
AX$1=MONTH($AQ56),
AX$1=MONTH($AR56),
AX$1=MONTH($AS56)),
IF('CF USD'!$A$8="On",$L56,$K56)/T_Bonds[[#This Row],[Coupons per annum]],0)</f>
        <v>0</v>
      </c>
      <c r="AY56" s="25">
        <f>IF(
OR(
AY$1=MONTH($AP56),
AY$1=MONTH($AQ56),
AY$1=MONTH($AR56),
AY$1=MONTH($AS56)),
IF('CF USD'!$A$8="On",$L56,$K56)/T_Bonds[[#This Row],[Coupons per annum]],0)</f>
        <v>16249.999999999987</v>
      </c>
      <c r="AZ56" s="25">
        <f>IF(
OR(
AZ$1=MONTH($AP56),
AZ$1=MONTH($AQ56),
AZ$1=MONTH($AR56),
AZ$1=MONTH($AS56)),
IF('CF USD'!$A$8="On",$L56,$K56)/T_Bonds[[#This Row],[Coupons per annum]],0)</f>
        <v>0</v>
      </c>
      <c r="BA56" s="25">
        <f>IF(
OR(
BA$1=MONTH($AP56),
BA$1=MONTH($AQ56),
BA$1=MONTH($AR56),
BA$1=MONTH($AS56)),
IF('CF USD'!$A$8="On",$L56,$K56)/T_Bonds[[#This Row],[Coupons per annum]],0)</f>
        <v>0</v>
      </c>
      <c r="BB56" s="25">
        <f>IF(
OR(
BB$1=MONTH($AP56),
BB$1=MONTH($AQ56),
BB$1=MONTH($AR56),
BB$1=MONTH($AS56)),
IF('CF USD'!$A$8="On",$L56,$K56)/T_Bonds[[#This Row],[Coupons per annum]],0)</f>
        <v>16249.999999999987</v>
      </c>
      <c r="BC56" s="25">
        <f>IF(
OR(
BC$1=MONTH($AP56),
BC$1=MONTH($AQ56),
BC$1=MONTH($AR56),
BC$1=MONTH($AS56)),
IF('CF USD'!$A$8="On",$L56,$K56)/T_Bonds[[#This Row],[Coupons per annum]],0)</f>
        <v>0</v>
      </c>
      <c r="BD56" s="25">
        <f>IF(
OR(
BD$1=MONTH($AP56),
BD$1=MONTH($AQ56),
BD$1=MONTH($AR56),
BD$1=MONTH($AS56)),
IF('CF USD'!$A$8="On",$L56,$K56)/T_Bonds[[#This Row],[Coupons per annum]],0)</f>
        <v>0</v>
      </c>
      <c r="BE56" s="25">
        <f>IF(
OR(
BE$1=MONTH($AP56),
BE$1=MONTH($AQ56),
BE$1=MONTH($AR56),
BE$1=MONTH($AS56)),
IF('CF USD'!$A$8="On",$L56,$K56)/T_Bonds[[#This Row],[Coupons per annum]],0)</f>
        <v>16249.999999999987</v>
      </c>
      <c r="BF56">
        <f>DAY(T_Bonds[[#This Row],[Next coupon date]])</f>
        <v>29</v>
      </c>
    </row>
    <row r="57" spans="1:58" x14ac:dyDescent="0.25">
      <c r="A57" s="1" t="s">
        <v>156</v>
      </c>
      <c r="B57" t="s">
        <v>51</v>
      </c>
      <c r="C57" s="1" t="str">
        <f>IF(T_Bonds[[#This Row],[Call date]]&lt;&gt;"","Callable","Maturity")</f>
        <v>Maturity</v>
      </c>
      <c r="D57" s="1" t="s">
        <v>157</v>
      </c>
      <c r="E57" s="1" t="s">
        <v>18</v>
      </c>
      <c r="F57" s="22">
        <f>IFERROR(INDEX('V004'!D:E,MATCH(D57,'V004'!D:D,0),2),0)</f>
        <v>0</v>
      </c>
      <c r="G57" s="22">
        <f>IFERROR(INDEX('V001'!D:E,MATCH(D57,'V001'!D:D,0),2),0)</f>
        <v>0</v>
      </c>
      <c r="H57" s="22">
        <f>IFERROR(INDEX(UBS!C:D,MATCH(D57,UBS!D:D,0),1),0)</f>
        <v>0</v>
      </c>
      <c r="I57" s="300">
        <f>SUM(T_Bonds[[#This Row],[V1412]:[UBS]])</f>
        <v>0</v>
      </c>
      <c r="J57" s="74">
        <f t="shared" si="27"/>
        <v>7.0000000000000062E-2</v>
      </c>
      <c r="K57" s="73">
        <f t="shared" si="22"/>
        <v>0</v>
      </c>
      <c r="L57" s="73">
        <f t="shared" si="23"/>
        <v>0</v>
      </c>
      <c r="M57" s="16">
        <v>51058</v>
      </c>
      <c r="N57" s="5">
        <f>IFERROR(INDEX(Cbonds!C:H,MATCH(D57,Cbonds!C:C,0),4)/100,0)</f>
        <v>0</v>
      </c>
      <c r="O57" s="6" t="str">
        <f>IFERROR(INDEX(Cbonds!C:H,MATCH(D57,Cbonds!C:C,0),5),0)</f>
        <v/>
      </c>
      <c r="P57" s="91">
        <f>T_Bonds[[#This Row],[Market price]]-T_Bonds[[#This Row],[Cost price]]</f>
        <v>1.1283350000000001</v>
      </c>
      <c r="Q57" s="91" t="e">
        <f>T_Bonds[[#This Row],[Coupon]]/T_Bonds[[#This Row],[Cost price]]</f>
        <v>#DIV/0!</v>
      </c>
      <c r="R57" s="97">
        <f t="shared" ref="R57:R80" si="28">N57*I57</f>
        <v>0</v>
      </c>
      <c r="S57" s="222">
        <f>IFERROR(INDEX('V004'!D:J,MATCH(D57,'V004'!D:D,0),7),0)</f>
        <v>0</v>
      </c>
      <c r="T57" s="222">
        <f>IFERROR(INDEX('V001'!D:J,MATCH(D57,'V001'!D:D,0),7),0)</f>
        <v>0</v>
      </c>
      <c r="U57" s="223">
        <f>IFERROR(S57*T_Bonds[[#This Row],[V1412]]/(T_Bonds[[#This Row],[V1412]]+T_Bonds[[#This Row],[V1430]])+T57*T_Bonds[[#This Row],[V1430]]/(T_Bonds[[#This Row],[V1412]]+T_Bonds[[#This Row],[V1430]]),0)</f>
        <v>0</v>
      </c>
      <c r="V57" s="73" t="e">
        <f t="shared" si="24"/>
        <v>#DIV/0!</v>
      </c>
      <c r="W57" s="1" t="s">
        <v>257</v>
      </c>
      <c r="X57" s="299">
        <f>IFERROR(INDEX(Cbonds!C:AF,MATCH(D57,Cbonds!C:C,0),30)/100,0)</f>
        <v>1.1283350000000001</v>
      </c>
      <c r="Y57" s="4">
        <f>INDEX('Tech list'!A:C,MATCH(T_Bonds[[#This Row],[Risk CCY]],'Tech list'!A:A,0),3)</f>
        <v>1</v>
      </c>
      <c r="Z57" s="100">
        <f>T_Bonds[[#This Row],[Market price]]*T_Bonds[[#This Row],[Quantity]]</f>
        <v>0</v>
      </c>
      <c r="AA57" s="73">
        <f t="shared" si="25"/>
        <v>0</v>
      </c>
      <c r="AB57" s="73">
        <f ca="1">T_Bonds[[#This Row],[Market value in CCY]]+T_Bonds[[#This Row],[AI, CCY]]</f>
        <v>0</v>
      </c>
      <c r="AC57" s="73">
        <f ca="1">T_Bonds[[#This Row],[Market value in USD]]+T_Bonds[[#This Row],[AI, USD]]</f>
        <v>0</v>
      </c>
      <c r="AD57" s="73">
        <f t="shared" si="26"/>
        <v>0</v>
      </c>
      <c r="AE57" s="75">
        <f ca="1">(T_Bonds[[#This Row],[Coupon in Loc.Curr]]/T_Bonds[[#This Row],[Coupons per annum]])*((TODAY()-EDATE(T_Bonds[[#This Row],[Next coupon date]],-12/T_Bonds[[#This Row],[Coupons per annum]])))/(360/T_Bonds[[#This Row],[Coupons per annum]])</f>
        <v>0</v>
      </c>
      <c r="AF57" s="73">
        <f ca="1">T_Bonds[[#This Row],[AI, CCY]]*T_Bonds[[#This Row],[Exchange rate, N]]</f>
        <v>0</v>
      </c>
      <c r="AG57" s="311">
        <f>IFERROR(IF(INDEX(Cbonds!C:AC,MATCH(D57,Cbonds!C:C,0),27)&gt;5000,0,INDEX(Cbonds!C:AC,MATCH(D57,Cbonds!C:C,0),27)),0)</f>
        <v>0</v>
      </c>
      <c r="AH57" s="73">
        <v>75</v>
      </c>
      <c r="AK57" t="s">
        <v>275</v>
      </c>
      <c r="AL57" t="s">
        <v>344</v>
      </c>
      <c r="AM57" t="s">
        <v>2475</v>
      </c>
      <c r="AN57" t="s">
        <v>345</v>
      </c>
      <c r="AO57" s="320">
        <v>2</v>
      </c>
      <c r="AP57" s="17">
        <f>IFERROR(INDEX(Cbonds!C:H,MATCH(D57,Cbonds!C:C,0),3),0)</f>
        <v>46127</v>
      </c>
      <c r="AQ57" s="17">
        <f>EDATE(T_Bonds[[#This Row],[Next coupon date]],12/T_Bonds[[#This Row],[Coupons per annum]])</f>
        <v>46310</v>
      </c>
      <c r="AR57" s="17">
        <f>EDATE(T_Bonds[[#This Row],[Second next coupon date]],12/$AO57)</f>
        <v>46492</v>
      </c>
      <c r="AS57" s="17">
        <f>EDATE(T_Bonds[[#This Row],[Coupon date 3]],12/$AO57)</f>
        <v>46675</v>
      </c>
      <c r="AT57" s="25">
        <f>IF(
OR(
AT$1=MONTH($AP57),
AT$1=MONTH($AQ57),
AT$1=MONTH($AR57),
AT$1=MONTH($AS57)),
IF('CF USD'!$A$8="On",$L57,$K57)/T_Bonds[[#This Row],[Coupons per annum]],0)</f>
        <v>0</v>
      </c>
      <c r="AU57" s="25">
        <f>IF(
OR(
AU$1=MONTH($AP57),
AU$1=MONTH($AQ57),
AU$1=MONTH($AR57),
AU$1=MONTH($AS57)),
IF('CF USD'!$A$8="On",$L57,$K57)/T_Bonds[[#This Row],[Coupons per annum]],0)</f>
        <v>0</v>
      </c>
      <c r="AV57" s="25">
        <f>IF(
OR(
AV$1=MONTH($AP57),
AV$1=MONTH($AQ57),
AV$1=MONTH($AR57),
AV$1=MONTH($AS57)),
IF('CF USD'!$A$8="On",$L57,$K57)/T_Bonds[[#This Row],[Coupons per annum]],0)</f>
        <v>0</v>
      </c>
      <c r="AW57" s="25">
        <f>IF(
OR(
AW$1=MONTH($AP57),
AW$1=MONTH($AQ57),
AW$1=MONTH($AR57),
AW$1=MONTH($AS57)),
IF('CF USD'!$A$8="On",$L57,$K57)/T_Bonds[[#This Row],[Coupons per annum]],0)</f>
        <v>0</v>
      </c>
      <c r="AX57" s="25">
        <f>IF(
OR(
AX$1=MONTH($AP57),
AX$1=MONTH($AQ57),
AX$1=MONTH($AR57),
AX$1=MONTH($AS57)),
IF('CF USD'!$A$8="On",$L57,$K57)/T_Bonds[[#This Row],[Coupons per annum]],0)</f>
        <v>0</v>
      </c>
      <c r="AY57" s="25">
        <f>IF(
OR(
AY$1=MONTH($AP57),
AY$1=MONTH($AQ57),
AY$1=MONTH($AR57),
AY$1=MONTH($AS57)),
IF('CF USD'!$A$8="On",$L57,$K57)/T_Bonds[[#This Row],[Coupons per annum]],0)</f>
        <v>0</v>
      </c>
      <c r="AZ57" s="25">
        <f>IF(
OR(
AZ$1=MONTH($AP57),
AZ$1=MONTH($AQ57),
AZ$1=MONTH($AR57),
AZ$1=MONTH($AS57)),
IF('CF USD'!$A$8="On",$L57,$K57)/T_Bonds[[#This Row],[Coupons per annum]],0)</f>
        <v>0</v>
      </c>
      <c r="BA57" s="25">
        <f>IF(
OR(
BA$1=MONTH($AP57),
BA$1=MONTH($AQ57),
BA$1=MONTH($AR57),
BA$1=MONTH($AS57)),
IF('CF USD'!$A$8="On",$L57,$K57)/T_Bonds[[#This Row],[Coupons per annum]],0)</f>
        <v>0</v>
      </c>
      <c r="BB57" s="25">
        <f>IF(
OR(
BB$1=MONTH($AP57),
BB$1=MONTH($AQ57),
BB$1=MONTH($AR57),
BB$1=MONTH($AS57)),
IF('CF USD'!$A$8="On",$L57,$K57)/T_Bonds[[#This Row],[Coupons per annum]],0)</f>
        <v>0</v>
      </c>
      <c r="BC57" s="25">
        <f>IF(
OR(
BC$1=MONTH($AP57),
BC$1=MONTH($AQ57),
BC$1=MONTH($AR57),
BC$1=MONTH($AS57)),
IF('CF USD'!$A$8="On",$L57,$K57)/T_Bonds[[#This Row],[Coupons per annum]],0)</f>
        <v>0</v>
      </c>
      <c r="BD57" s="25">
        <f>IF(
OR(
BD$1=MONTH($AP57),
BD$1=MONTH($AQ57),
BD$1=MONTH($AR57),
BD$1=MONTH($AS57)),
IF('CF USD'!$A$8="On",$L57,$K57)/T_Bonds[[#This Row],[Coupons per annum]],0)</f>
        <v>0</v>
      </c>
      <c r="BE57" s="25">
        <f>IF(
OR(
BE$1=MONTH($AP57),
BE$1=MONTH($AQ57),
BE$1=MONTH($AR57),
BE$1=MONTH($AS57)),
IF('CF USD'!$A$8="On",$L57,$K57)/T_Bonds[[#This Row],[Coupons per annum]],0)</f>
        <v>0</v>
      </c>
      <c r="BF57">
        <f>DAY(T_Bonds[[#This Row],[Next coupon date]])</f>
        <v>15</v>
      </c>
    </row>
    <row r="58" spans="1:58" x14ac:dyDescent="0.25">
      <c r="A58" s="1" t="s">
        <v>158</v>
      </c>
      <c r="B58" t="s">
        <v>51</v>
      </c>
      <c r="C58" s="1" t="str">
        <f>IF(T_Bonds[[#This Row],[Call date]]&lt;&gt;"","Callable","Maturity")</f>
        <v>Callable</v>
      </c>
      <c r="D58" s="1" t="s">
        <v>159</v>
      </c>
      <c r="E58" s="80" t="s">
        <v>21</v>
      </c>
      <c r="F58" s="22">
        <f>IFERROR(INDEX('V004'!D:E,MATCH(D58,'V004'!D:D,0),2),0)</f>
        <v>1400000</v>
      </c>
      <c r="G58" s="22">
        <f>IFERROR(INDEX('V001'!D:E,MATCH(D58,'V001'!D:D,0),2),0)</f>
        <v>0</v>
      </c>
      <c r="H58" s="22">
        <f>IFERROR(INDEX(UBS!C:D,MATCH(D58,UBS!D:D,0),1),0)</f>
        <v>0</v>
      </c>
      <c r="I58" s="300">
        <f>SUM(T_Bonds[[#This Row],[V1412]:[UBS]])</f>
        <v>1400000</v>
      </c>
      <c r="J58" s="74">
        <f t="shared" si="27"/>
        <v>7.0000000000000062E-2</v>
      </c>
      <c r="K58" s="73">
        <f t="shared" si="22"/>
        <v>98000.000000000087</v>
      </c>
      <c r="L58" s="73">
        <f t="shared" ca="1" si="23"/>
        <v>113395.8000000001</v>
      </c>
      <c r="M58" s="16"/>
      <c r="N58" s="5">
        <f>IFERROR(INDEX(Cbonds!C:H,MATCH(D58,Cbonds!C:C,0),4)/100,0)</f>
        <v>0</v>
      </c>
      <c r="O58" s="6" t="str">
        <f>IFERROR(INDEX(Cbonds!C:H,MATCH(D58,Cbonds!C:C,0),5),0)</f>
        <v/>
      </c>
      <c r="P58" s="91">
        <f>T_Bonds[[#This Row],[Market price]]-T_Bonds[[#This Row],[Cost price]]</f>
        <v>7.1367514285714417E-2</v>
      </c>
      <c r="Q58" s="91">
        <f>T_Bonds[[#This Row],[Coupon]]/T_Bonds[[#This Row],[Cost price]]</f>
        <v>6.8753331204131587E-2</v>
      </c>
      <c r="R58" s="109">
        <f t="shared" si="28"/>
        <v>0</v>
      </c>
      <c r="S58" s="222">
        <f>IFERROR(INDEX('V004'!D:J,MATCH(D58,'V004'!D:D,0),7),0)</f>
        <v>1.0181324857142857</v>
      </c>
      <c r="T58" s="222">
        <f>IFERROR(INDEX('V001'!D:J,MATCH(D58,'V001'!D:D,0),7),0)</f>
        <v>0</v>
      </c>
      <c r="U58" s="223">
        <f>IFERROR(S58*T_Bonds[[#This Row],[V1412]]/(T_Bonds[[#This Row],[V1412]]+T_Bonds[[#This Row],[V1430]])+T58*T_Bonds[[#This Row],[V1430]]/(T_Bonds[[#This Row],[V1412]]+T_Bonds[[#This Row],[V1430]]),0)</f>
        <v>1.0181324857142857</v>
      </c>
      <c r="V58" s="100">
        <f t="shared" si="24"/>
        <v>96254.663685784224</v>
      </c>
      <c r="W58" s="4">
        <v>1.0777000000000001</v>
      </c>
      <c r="X58" s="299">
        <f>IFERROR(INDEX(Cbonds!C:AF,MATCH(D58,Cbonds!C:C,0),30)/100,0)</f>
        <v>1.0895000000000001</v>
      </c>
      <c r="Y58" s="4">
        <f ca="1">INDEX('Tech list'!A:C,MATCH(T_Bonds[[#This Row],[Risk CCY]],'Tech list'!A:A,0),3)</f>
        <v>1.1571</v>
      </c>
      <c r="Z58" s="100">
        <f>T_Bonds[[#This Row],[Market price]]*T_Bonds[[#This Row],[Quantity]]</f>
        <v>1525300.0000000002</v>
      </c>
      <c r="AA58" s="73">
        <f t="shared" ca="1" si="25"/>
        <v>1764924.6300000004</v>
      </c>
      <c r="AB58" s="73">
        <f ca="1">T_Bonds[[#This Row],[Market value in CCY]]+T_Bonds[[#This Row],[AI, CCY]]</f>
        <v>1565044.4444444447</v>
      </c>
      <c r="AC58" s="73">
        <f ca="1">T_Bonds[[#This Row],[Market value in USD]]+T_Bonds[[#This Row],[AI, USD]]</f>
        <v>1810912.926666667</v>
      </c>
      <c r="AD58" s="73">
        <f t="shared" si="26"/>
        <v>1425385.48</v>
      </c>
      <c r="AE58" s="75">
        <f ca="1">(T_Bonds[[#This Row],[Coupon in Loc.Curr]]/T_Bonds[[#This Row],[Coupons per annum]])*((TODAY()-EDATE(T_Bonds[[#This Row],[Next coupon date]],-12/T_Bonds[[#This Row],[Coupons per annum]])))/(360/T_Bonds[[#This Row],[Coupons per annum]])</f>
        <v>39744.444444444482</v>
      </c>
      <c r="AF58" s="73">
        <f ca="1">T_Bonds[[#This Row],[AI, CCY]]*T_Bonds[[#This Row],[Exchange rate, N]]</f>
        <v>45988.296666666713</v>
      </c>
      <c r="AG58" s="311">
        <f>IFERROR(IF(INDEX(Cbonds!C:AC,MATCH(D58,Cbonds!C:C,0),27)&gt;5000,0,INDEX(Cbonds!C:AC,MATCH(D58,Cbonds!C:C,0),27)),0)</f>
        <v>0</v>
      </c>
      <c r="AH58" s="73">
        <v>50</v>
      </c>
      <c r="AI58" s="17">
        <v>48136</v>
      </c>
      <c r="AJ58" s="74"/>
      <c r="AK58" t="s">
        <v>289</v>
      </c>
      <c r="AL58" t="s">
        <v>340</v>
      </c>
      <c r="AM58" t="s">
        <v>2475</v>
      </c>
      <c r="AN58" t="s">
        <v>341</v>
      </c>
      <c r="AO58" s="320">
        <v>2</v>
      </c>
      <c r="AP58" s="17">
        <f>IFERROR(INDEX(Cbonds!C:H,MATCH(D58,Cbonds!C:C,0),3),0)</f>
        <v>46127</v>
      </c>
      <c r="AQ58" s="17">
        <f>EDATE(T_Bonds[[#This Row],[Next coupon date]],12/T_Bonds[[#This Row],[Coupons per annum]])</f>
        <v>46310</v>
      </c>
      <c r="AR58" s="17">
        <f>EDATE(T_Bonds[[#This Row],[Second next coupon date]],12/$AO58)</f>
        <v>46492</v>
      </c>
      <c r="AS58" s="17">
        <f>EDATE(T_Bonds[[#This Row],[Coupon date 3]],12/$AO58)</f>
        <v>46675</v>
      </c>
      <c r="AT58" s="25">
        <f>IF(
OR(
AT$1=MONTH($AP58),
AT$1=MONTH($AQ58),
AT$1=MONTH($AR58),
AT$1=MONTH($AS58)),
IF('CF USD'!$A$8="On",$L58,$K58)/T_Bonds[[#This Row],[Coupons per annum]],0)</f>
        <v>0</v>
      </c>
      <c r="AU58" s="25">
        <f>IF(
OR(
AU$1=MONTH($AP58),
AU$1=MONTH($AQ58),
AU$1=MONTH($AR58),
AU$1=MONTH($AS58)),
IF('CF USD'!$A$8="On",$L58,$K58)/T_Bonds[[#This Row],[Coupons per annum]],0)</f>
        <v>0</v>
      </c>
      <c r="AV58" s="25">
        <f>IF(
OR(
AV$1=MONTH($AP58),
AV$1=MONTH($AQ58),
AV$1=MONTH($AR58),
AV$1=MONTH($AS58)),
IF('CF USD'!$A$8="On",$L58,$K58)/T_Bonds[[#This Row],[Coupons per annum]],0)</f>
        <v>0</v>
      </c>
      <c r="AW58" s="25">
        <f>IF(
OR(
AW$1=MONTH($AP58),
AW$1=MONTH($AQ58),
AW$1=MONTH($AR58),
AW$1=MONTH($AS58)),
IF('CF USD'!$A$8="On",$L58,$K58)/T_Bonds[[#This Row],[Coupons per annum]],0)</f>
        <v>49000.000000000044</v>
      </c>
      <c r="AX58" s="25">
        <f>IF(
OR(
AX$1=MONTH($AP58),
AX$1=MONTH($AQ58),
AX$1=MONTH($AR58),
AX$1=MONTH($AS58)),
IF('CF USD'!$A$8="On",$L58,$K58)/T_Bonds[[#This Row],[Coupons per annum]],0)</f>
        <v>0</v>
      </c>
      <c r="AY58" s="25">
        <f>IF(
OR(
AY$1=MONTH($AP58),
AY$1=MONTH($AQ58),
AY$1=MONTH($AR58),
AY$1=MONTH($AS58)),
IF('CF USD'!$A$8="On",$L58,$K58)/T_Bonds[[#This Row],[Coupons per annum]],0)</f>
        <v>0</v>
      </c>
      <c r="AZ58" s="25">
        <f>IF(
OR(
AZ$1=MONTH($AP58),
AZ$1=MONTH($AQ58),
AZ$1=MONTH($AR58),
AZ$1=MONTH($AS58)),
IF('CF USD'!$A$8="On",$L58,$K58)/T_Bonds[[#This Row],[Coupons per annum]],0)</f>
        <v>0</v>
      </c>
      <c r="BA58" s="25">
        <f>IF(
OR(
BA$1=MONTH($AP58),
BA$1=MONTH($AQ58),
BA$1=MONTH($AR58),
BA$1=MONTH($AS58)),
IF('CF USD'!$A$8="On",$L58,$K58)/T_Bonds[[#This Row],[Coupons per annum]],0)</f>
        <v>0</v>
      </c>
      <c r="BB58" s="25">
        <f>IF(
OR(
BB$1=MONTH($AP58),
BB$1=MONTH($AQ58),
BB$1=MONTH($AR58),
BB$1=MONTH($AS58)),
IF('CF USD'!$A$8="On",$L58,$K58)/T_Bonds[[#This Row],[Coupons per annum]],0)</f>
        <v>0</v>
      </c>
      <c r="BC58" s="25">
        <f>IF(
OR(
BC$1=MONTH($AP58),
BC$1=MONTH($AQ58),
BC$1=MONTH($AR58),
BC$1=MONTH($AS58)),
IF('CF USD'!$A$8="On",$L58,$K58)/T_Bonds[[#This Row],[Coupons per annum]],0)</f>
        <v>49000.000000000044</v>
      </c>
      <c r="BD58" s="25">
        <f>IF(
OR(
BD$1=MONTH($AP58),
BD$1=MONTH($AQ58),
BD$1=MONTH($AR58),
BD$1=MONTH($AS58)),
IF('CF USD'!$A$8="On",$L58,$K58)/T_Bonds[[#This Row],[Coupons per annum]],0)</f>
        <v>0</v>
      </c>
      <c r="BE58" s="25">
        <f>IF(
OR(
BE$1=MONTH($AP58),
BE$1=MONTH($AQ58),
BE$1=MONTH($AR58),
BE$1=MONTH($AS58)),
IF('CF USD'!$A$8="On",$L58,$K58)/T_Bonds[[#This Row],[Coupons per annum]],0)</f>
        <v>0</v>
      </c>
      <c r="BF58">
        <f>DAY(T_Bonds[[#This Row],[Next coupon date]])</f>
        <v>15</v>
      </c>
    </row>
    <row r="59" spans="1:58" x14ac:dyDescent="0.25">
      <c r="A59" s="1" t="s">
        <v>160</v>
      </c>
      <c r="B59" t="s">
        <v>51</v>
      </c>
      <c r="C59" s="1" t="str">
        <f>IF(T_Bonds[[#This Row],[Call date]]&lt;&gt;"","Callable","Maturity")</f>
        <v>Maturity</v>
      </c>
      <c r="D59" s="1" t="s">
        <v>161</v>
      </c>
      <c r="E59" s="1" t="s">
        <v>21</v>
      </c>
      <c r="F59" s="22">
        <f>IFERROR(INDEX('V004'!D:E,MATCH(D59,'V004'!D:D,0),2),0)</f>
        <v>700000</v>
      </c>
      <c r="G59" s="22">
        <f>IFERROR(INDEX('V001'!D:E,MATCH(D59,'V001'!D:D,0),2),0)</f>
        <v>0</v>
      </c>
      <c r="H59" s="22">
        <f>IFERROR(INDEX(UBS!C:D,MATCH(D59,UBS!D:D,0),1),0)</f>
        <v>0</v>
      </c>
      <c r="I59" s="300">
        <f>SUM(T_Bonds[[#This Row],[V1412]:[UBS]])</f>
        <v>700000</v>
      </c>
      <c r="J59" s="74">
        <f t="shared" si="27"/>
        <v>6.7499999999999893E-2</v>
      </c>
      <c r="K59" s="100">
        <f t="shared" si="22"/>
        <v>47249.999999999927</v>
      </c>
      <c r="L59" s="73">
        <f t="shared" ca="1" si="23"/>
        <v>54672.974999999919</v>
      </c>
      <c r="M59" s="16"/>
      <c r="N59" s="5">
        <f>IFERROR(INDEX(Cbonds!C:H,MATCH(D59,Cbonds!C:C,0),4)/100,0)</f>
        <v>5.6948311706363997E-2</v>
      </c>
      <c r="O59" s="6">
        <f>IFERROR(INDEX(Cbonds!C:H,MATCH(D59,Cbonds!C:C,0),5),0)</f>
        <v>6.3489504211929004</v>
      </c>
      <c r="P59" s="91">
        <f>T_Bonds[[#This Row],[Market price]]-T_Bonds[[#This Row],[Cost price]]</f>
        <v>6.8278057142857174E-2</v>
      </c>
      <c r="Q59" s="91">
        <f>T_Bonds[[#This Row],[Coupon]]/T_Bonds[[#This Row],[Cost price]]</f>
        <v>6.7196142881668586E-2</v>
      </c>
      <c r="R59" s="109">
        <f t="shared" si="28"/>
        <v>39863.818194454798</v>
      </c>
      <c r="S59" s="222">
        <f>IFERROR(INDEX('V004'!D:J,MATCH(D59,'V004'!D:D,0),7),0)</f>
        <v>1.0045219428571428</v>
      </c>
      <c r="T59" s="222">
        <f>IFERROR(INDEX('V001'!D:J,MATCH(D59,'V001'!D:D,0),7),0)</f>
        <v>0</v>
      </c>
      <c r="U59" s="223">
        <f>IFERROR(S59*T_Bonds[[#This Row],[V1412]]/(T_Bonds[[#This Row],[V1412]]+T_Bonds[[#This Row],[V1430]])+T59*T_Bonds[[#This Row],[V1430]]/(T_Bonds[[#This Row],[V1412]]+T_Bonds[[#This Row],[V1430]]),0)</f>
        <v>1.0045219428571428</v>
      </c>
      <c r="V59" s="105">
        <f t="shared" si="24"/>
        <v>47037.300017168011</v>
      </c>
      <c r="W59" s="4">
        <v>1.0879000000000001</v>
      </c>
      <c r="X59" s="299">
        <f>IFERROR(INDEX(Cbonds!C:AF,MATCH(D59,Cbonds!C:C,0),30)/100,0)</f>
        <v>1.0728</v>
      </c>
      <c r="Y59" s="4">
        <f ca="1">INDEX('Tech list'!A:C,MATCH(T_Bonds[[#This Row],[Risk CCY]],'Tech list'!A:A,0),3)</f>
        <v>1.1571</v>
      </c>
      <c r="Z59" s="106">
        <f>T_Bonds[[#This Row],[Market price]]*T_Bonds[[#This Row],[Quantity]]</f>
        <v>750960</v>
      </c>
      <c r="AA59" s="97">
        <f t="shared" ca="1" si="25"/>
        <v>868935.81599999999</v>
      </c>
      <c r="AB59" s="73">
        <f ca="1">T_Bonds[[#This Row],[Market value in CCY]]+T_Bonds[[#This Row],[AI, CCY]]</f>
        <v>757785</v>
      </c>
      <c r="AC59" s="73">
        <f ca="1">T_Bonds[[#This Row],[Market value in USD]]+T_Bonds[[#This Row],[AI, USD]]</f>
        <v>876833.02350000001</v>
      </c>
      <c r="AD59" s="106">
        <f t="shared" si="26"/>
        <v>703165.36</v>
      </c>
      <c r="AE59" s="75">
        <f ca="1">(T_Bonds[[#This Row],[Coupon in Loc.Curr]]/T_Bonds[[#This Row],[Coupons per annum]])*((TODAY()-EDATE(T_Bonds[[#This Row],[Next coupon date]],-12/T_Bonds[[#This Row],[Coupons per annum]])))/(360/T_Bonds[[#This Row],[Coupons per annum]])</f>
        <v>6824.99999999999</v>
      </c>
      <c r="AF59" s="73">
        <f ca="1">T_Bonds[[#This Row],[AI, CCY]]*T_Bonds[[#This Row],[Exchange rate, N]]</f>
        <v>7897.2074999999886</v>
      </c>
      <c r="AG59" s="311">
        <f>IFERROR(IF(INDEX(Cbonds!C:AC,MATCH(D59,Cbonds!C:C,0),27)&gt;5000,0,INDEX(Cbonds!C:AC,MATCH(D59,Cbonds!C:C,0),27)),0)</f>
        <v>314.57569031578998</v>
      </c>
      <c r="AH59" s="73">
        <v>50</v>
      </c>
      <c r="AJ59" s="80"/>
      <c r="AK59" s="77" t="s">
        <v>327</v>
      </c>
      <c r="AL59" s="3" t="s">
        <v>302</v>
      </c>
      <c r="AM59" t="s">
        <v>2475</v>
      </c>
      <c r="AN59" s="103" t="s">
        <v>346</v>
      </c>
      <c r="AO59" s="320">
        <v>2</v>
      </c>
      <c r="AP59" s="17">
        <f>IFERROR(INDEX(Cbonds!C:H,MATCH(D59,Cbonds!C:C,0),3),0)</f>
        <v>46220</v>
      </c>
      <c r="AQ59" s="17">
        <f>EDATE(T_Bonds[[#This Row],[Next coupon date]],12/T_Bonds[[#This Row],[Coupons per annum]])</f>
        <v>46404</v>
      </c>
      <c r="AR59" s="17">
        <f>EDATE(T_Bonds[[#This Row],[Second next coupon date]],12/$AO59)</f>
        <v>46585</v>
      </c>
      <c r="AS59" s="17">
        <f>EDATE(T_Bonds[[#This Row],[Coupon date 3]],12/$AO59)</f>
        <v>46769</v>
      </c>
      <c r="AT59" s="25">
        <f>IF(
OR(
AT$1=MONTH($AP59),
AT$1=MONTH($AQ59),
AT$1=MONTH($AR59),
AT$1=MONTH($AS59)),
IF('CF USD'!$A$8="On",$L59,$K59)/T_Bonds[[#This Row],[Coupons per annum]],0)</f>
        <v>23624.999999999964</v>
      </c>
      <c r="AU59" s="25">
        <f>IF(
OR(
AU$1=MONTH($AP59),
AU$1=MONTH($AQ59),
AU$1=MONTH($AR59),
AU$1=MONTH($AS59)),
IF('CF USD'!$A$8="On",$L59,$K59)/T_Bonds[[#This Row],[Coupons per annum]],0)</f>
        <v>0</v>
      </c>
      <c r="AV59" s="25">
        <f>IF(
OR(
AV$1=MONTH($AP59),
AV$1=MONTH($AQ59),
AV$1=MONTH($AR59),
AV$1=MONTH($AS59)),
IF('CF USD'!$A$8="On",$L59,$K59)/T_Bonds[[#This Row],[Coupons per annum]],0)</f>
        <v>0</v>
      </c>
      <c r="AW59" s="25">
        <f>IF(
OR(
AW$1=MONTH($AP59),
AW$1=MONTH($AQ59),
AW$1=MONTH($AR59),
AW$1=MONTH($AS59)),
IF('CF USD'!$A$8="On",$L59,$K59)/T_Bonds[[#This Row],[Coupons per annum]],0)</f>
        <v>0</v>
      </c>
      <c r="AX59" s="25">
        <f>IF(
OR(
AX$1=MONTH($AP59),
AX$1=MONTH($AQ59),
AX$1=MONTH($AR59),
AX$1=MONTH($AS59)),
IF('CF USD'!$A$8="On",$L59,$K59)/T_Bonds[[#This Row],[Coupons per annum]],0)</f>
        <v>0</v>
      </c>
      <c r="AY59" s="25">
        <f>IF(
OR(
AY$1=MONTH($AP59),
AY$1=MONTH($AQ59),
AY$1=MONTH($AR59),
AY$1=MONTH($AS59)),
IF('CF USD'!$A$8="On",$L59,$K59)/T_Bonds[[#This Row],[Coupons per annum]],0)</f>
        <v>0</v>
      </c>
      <c r="AZ59" s="25">
        <f>IF(
OR(
AZ$1=MONTH($AP59),
AZ$1=MONTH($AQ59),
AZ$1=MONTH($AR59),
AZ$1=MONTH($AS59)),
IF('CF USD'!$A$8="On",$L59,$K59)/T_Bonds[[#This Row],[Coupons per annum]],0)</f>
        <v>23624.999999999964</v>
      </c>
      <c r="BA59" s="25">
        <f>IF(
OR(
BA$1=MONTH($AP59),
BA$1=MONTH($AQ59),
BA$1=MONTH($AR59),
BA$1=MONTH($AS59)),
IF('CF USD'!$A$8="On",$L59,$K59)/T_Bonds[[#This Row],[Coupons per annum]],0)</f>
        <v>0</v>
      </c>
      <c r="BB59" s="25">
        <f>IF(
OR(
BB$1=MONTH($AP59),
BB$1=MONTH($AQ59),
BB$1=MONTH($AR59),
BB$1=MONTH($AS59)),
IF('CF USD'!$A$8="On",$L59,$K59)/T_Bonds[[#This Row],[Coupons per annum]],0)</f>
        <v>0</v>
      </c>
      <c r="BC59" s="25">
        <f>IF(
OR(
BC$1=MONTH($AP59),
BC$1=MONTH($AQ59),
BC$1=MONTH($AR59),
BC$1=MONTH($AS59)),
IF('CF USD'!$A$8="On",$L59,$K59)/T_Bonds[[#This Row],[Coupons per annum]],0)</f>
        <v>0</v>
      </c>
      <c r="BD59" s="25">
        <f>IF(
OR(
BD$1=MONTH($AP59),
BD$1=MONTH($AQ59),
BD$1=MONTH($AR59),
BD$1=MONTH($AS59)),
IF('CF USD'!$A$8="On",$L59,$K59)/T_Bonds[[#This Row],[Coupons per annum]],0)</f>
        <v>0</v>
      </c>
      <c r="BE59" s="25">
        <f>IF(
OR(
BE$1=MONTH($AP59),
BE$1=MONTH($AQ59),
BE$1=MONTH($AR59),
BE$1=MONTH($AS59)),
IF('CF USD'!$A$8="On",$L59,$K59)/T_Bonds[[#This Row],[Coupons per annum]],0)</f>
        <v>0</v>
      </c>
      <c r="BF59">
        <f>DAY(T_Bonds[[#This Row],[Next coupon date]])</f>
        <v>17</v>
      </c>
    </row>
    <row r="60" spans="1:58" x14ac:dyDescent="0.25">
      <c r="A60" s="1" t="s">
        <v>162</v>
      </c>
      <c r="B60" t="s">
        <v>51</v>
      </c>
      <c r="C60" s="1" t="str">
        <f>IF(T_Bonds[[#This Row],[Call date]]&lt;&gt;"","Callable","Maturity")</f>
        <v>Maturity</v>
      </c>
      <c r="D60" s="1" t="s">
        <v>163</v>
      </c>
      <c r="E60" s="1" t="s">
        <v>18</v>
      </c>
      <c r="F60" s="22">
        <f>IFERROR(INDEX('V004'!D:E,MATCH(D60,'V004'!D:D,0),2),0)</f>
        <v>600000</v>
      </c>
      <c r="G60" s="22">
        <f>IFERROR(INDEX('V001'!D:E,MATCH(D60,'V001'!D:D,0),2),0)</f>
        <v>0</v>
      </c>
      <c r="H60" s="22">
        <f>IFERROR(INDEX(UBS!C:D,MATCH(D60,UBS!D:D,0),1),0)</f>
        <v>0</v>
      </c>
      <c r="I60" s="300">
        <f>SUM(T_Bonds[[#This Row],[V1412]:[UBS]])</f>
        <v>600000</v>
      </c>
      <c r="J60" s="74">
        <f t="shared" si="27"/>
        <v>0.11250000000000004</v>
      </c>
      <c r="K60" s="100">
        <f t="shared" si="22"/>
        <v>67500.000000000029</v>
      </c>
      <c r="L60" s="73">
        <f t="shared" si="23"/>
        <v>67500.000000000029</v>
      </c>
      <c r="M60" s="16">
        <v>48185</v>
      </c>
      <c r="N60" s="5">
        <f>IFERROR(INDEX(Cbonds!C:H,MATCH(D60,Cbonds!C:C,0),4)/100,0)</f>
        <v>9.0119851126569991E-2</v>
      </c>
      <c r="O60" s="6">
        <f>IFERROR(INDEX(Cbonds!C:H,MATCH(D60,Cbonds!C:C,0),5),0)</f>
        <v>4.3890660133332</v>
      </c>
      <c r="P60" s="91">
        <f>T_Bonds[[#This Row],[Market price]]-T_Bonds[[#This Row],[Cost price]]</f>
        <v>0.10179380000000005</v>
      </c>
      <c r="Q60" s="91">
        <f>T_Bonds[[#This Row],[Coupon]]/T_Bonds[[#This Row],[Cost price]]</f>
        <v>0.11169510275055897</v>
      </c>
      <c r="R60" s="109">
        <f t="shared" si="28"/>
        <v>54071.910675941996</v>
      </c>
      <c r="S60" s="222">
        <f>IFERROR(INDEX('V004'!D:J,MATCH(D60,'V004'!D:D,0),7),0)</f>
        <v>1.0072061999999999</v>
      </c>
      <c r="T60" s="222">
        <f>IFERROR(INDEX('V001'!D:J,MATCH(D60,'V001'!D:D,0),7),0)</f>
        <v>0</v>
      </c>
      <c r="U60" s="223">
        <f>IFERROR(S60*T_Bonds[[#This Row],[V1412]]/(T_Bonds[[#This Row],[V1412]]+T_Bonds[[#This Row],[V1430]])+T60*T_Bonds[[#This Row],[V1430]]/(T_Bonds[[#This Row],[V1412]]+T_Bonds[[#This Row],[V1430]]),0)</f>
        <v>1.0072061999999999</v>
      </c>
      <c r="V60" s="105">
        <f t="shared" si="24"/>
        <v>67017.061650335381</v>
      </c>
      <c r="W60" s="1" t="s">
        <v>257</v>
      </c>
      <c r="X60" s="299">
        <f>IFERROR(INDEX(Cbonds!C:AF,MATCH(D60,Cbonds!C:C,0),30)/100,0)</f>
        <v>1.109</v>
      </c>
      <c r="Y60" s="4">
        <f>INDEX('Tech list'!A:C,MATCH(T_Bonds[[#This Row],[Risk CCY]],'Tech list'!A:A,0),3)</f>
        <v>1</v>
      </c>
      <c r="Z60" s="105">
        <f>T_Bonds[[#This Row],[Market price]]*T_Bonds[[#This Row],[Quantity]]</f>
        <v>665400</v>
      </c>
      <c r="AA60" s="97">
        <f t="shared" si="25"/>
        <v>665400</v>
      </c>
      <c r="AB60" s="73">
        <f ca="1">T_Bonds[[#This Row],[Market value in CCY]]+T_Bonds[[#This Row],[AI, CCY]]</f>
        <v>683587.5</v>
      </c>
      <c r="AC60" s="73">
        <f ca="1">T_Bonds[[#This Row],[Market value in USD]]+T_Bonds[[#This Row],[AI, USD]]</f>
        <v>683587.5</v>
      </c>
      <c r="AD60" s="106">
        <f t="shared" si="26"/>
        <v>604323.72</v>
      </c>
      <c r="AE60" s="75">
        <f ca="1">(T_Bonds[[#This Row],[Coupon in Loc.Curr]]/T_Bonds[[#This Row],[Coupons per annum]])*((TODAY()-EDATE(T_Bonds[[#This Row],[Next coupon date]],-12/T_Bonds[[#This Row],[Coupons per annum]])))/(360/T_Bonds[[#This Row],[Coupons per annum]])</f>
        <v>18187.500000000007</v>
      </c>
      <c r="AF60" s="73">
        <f ca="1">T_Bonds[[#This Row],[AI, CCY]]*T_Bonds[[#This Row],[Exchange rate, N]]</f>
        <v>18187.500000000007</v>
      </c>
      <c r="AG60" s="311">
        <f>IFERROR(IF(INDEX(Cbonds!C:AC,MATCH(D60,Cbonds!C:C,0),27)&gt;5000,0,INDEX(Cbonds!C:AC,MATCH(D60,Cbonds!C:C,0),27)),0)</f>
        <v>524.76390568500995</v>
      </c>
      <c r="AH60" s="73">
        <v>0</v>
      </c>
      <c r="AJ60" s="74"/>
      <c r="AK60" t="s">
        <v>261</v>
      </c>
      <c r="AL60" t="s">
        <v>262</v>
      </c>
      <c r="AM60" t="s">
        <v>2476</v>
      </c>
      <c r="AN60" t="s">
        <v>263</v>
      </c>
      <c r="AO60" s="320">
        <v>2</v>
      </c>
      <c r="AP60" s="17">
        <f>IFERROR(INDEX(Cbonds!C:H,MATCH(D60,Cbonds!C:C,0),3),0)</f>
        <v>46176</v>
      </c>
      <c r="AQ60" s="17">
        <f>EDATE(T_Bonds[[#This Row],[Next coupon date]],12/T_Bonds[[#This Row],[Coupons per annum]])</f>
        <v>46359</v>
      </c>
      <c r="AR60" s="17">
        <f>EDATE(T_Bonds[[#This Row],[Second next coupon date]],12/$AO60)</f>
        <v>46541</v>
      </c>
      <c r="AS60" s="17">
        <f>EDATE(T_Bonds[[#This Row],[Coupon date 3]],12/$AO60)</f>
        <v>46724</v>
      </c>
      <c r="AT60" s="25">
        <f>IF(
OR(
AT$1=MONTH($AP60),
AT$1=MONTH($AQ60),
AT$1=MONTH($AR60),
AT$1=MONTH($AS60)),
IF('CF USD'!$A$8="On",$L60,$K60)/T_Bonds[[#This Row],[Coupons per annum]],0)</f>
        <v>0</v>
      </c>
      <c r="AU60" s="25">
        <f>IF(
OR(
AU$1=MONTH($AP60),
AU$1=MONTH($AQ60),
AU$1=MONTH($AR60),
AU$1=MONTH($AS60)),
IF('CF USD'!$A$8="On",$L60,$K60)/T_Bonds[[#This Row],[Coupons per annum]],0)</f>
        <v>0</v>
      </c>
      <c r="AV60" s="25">
        <f>IF(
OR(
AV$1=MONTH($AP60),
AV$1=MONTH($AQ60),
AV$1=MONTH($AR60),
AV$1=MONTH($AS60)),
IF('CF USD'!$A$8="On",$L60,$K60)/T_Bonds[[#This Row],[Coupons per annum]],0)</f>
        <v>0</v>
      </c>
      <c r="AW60" s="25">
        <f>IF(
OR(
AW$1=MONTH($AP60),
AW$1=MONTH($AQ60),
AW$1=MONTH($AR60),
AW$1=MONTH($AS60)),
IF('CF USD'!$A$8="On",$L60,$K60)/T_Bonds[[#This Row],[Coupons per annum]],0)</f>
        <v>0</v>
      </c>
      <c r="AX60" s="25">
        <f>IF(
OR(
AX$1=MONTH($AP60),
AX$1=MONTH($AQ60),
AX$1=MONTH($AR60),
AX$1=MONTH($AS60)),
IF('CF USD'!$A$8="On",$L60,$K60)/T_Bonds[[#This Row],[Coupons per annum]],0)</f>
        <v>0</v>
      </c>
      <c r="AY60" s="25">
        <f>IF(
OR(
AY$1=MONTH($AP60),
AY$1=MONTH($AQ60),
AY$1=MONTH($AR60),
AY$1=MONTH($AS60)),
IF('CF USD'!$A$8="On",$L60,$K60)/T_Bonds[[#This Row],[Coupons per annum]],0)</f>
        <v>33750.000000000015</v>
      </c>
      <c r="AZ60" s="25">
        <f>IF(
OR(
AZ$1=MONTH($AP60),
AZ$1=MONTH($AQ60),
AZ$1=MONTH($AR60),
AZ$1=MONTH($AS60)),
IF('CF USD'!$A$8="On",$L60,$K60)/T_Bonds[[#This Row],[Coupons per annum]],0)</f>
        <v>0</v>
      </c>
      <c r="BA60" s="25">
        <f>IF(
OR(
BA$1=MONTH($AP60),
BA$1=MONTH($AQ60),
BA$1=MONTH($AR60),
BA$1=MONTH($AS60)),
IF('CF USD'!$A$8="On",$L60,$K60)/T_Bonds[[#This Row],[Coupons per annum]],0)</f>
        <v>0</v>
      </c>
      <c r="BB60" s="25">
        <f>IF(
OR(
BB$1=MONTH($AP60),
BB$1=MONTH($AQ60),
BB$1=MONTH($AR60),
BB$1=MONTH($AS60)),
IF('CF USD'!$A$8="On",$L60,$K60)/T_Bonds[[#This Row],[Coupons per annum]],0)</f>
        <v>0</v>
      </c>
      <c r="BC60" s="25">
        <f>IF(
OR(
BC$1=MONTH($AP60),
BC$1=MONTH($AQ60),
BC$1=MONTH($AR60),
BC$1=MONTH($AS60)),
IF('CF USD'!$A$8="On",$L60,$K60)/T_Bonds[[#This Row],[Coupons per annum]],0)</f>
        <v>0</v>
      </c>
      <c r="BD60" s="25">
        <f>IF(
OR(
BD$1=MONTH($AP60),
BD$1=MONTH($AQ60),
BD$1=MONTH($AR60),
BD$1=MONTH($AS60)),
IF('CF USD'!$A$8="On",$L60,$K60)/T_Bonds[[#This Row],[Coupons per annum]],0)</f>
        <v>0</v>
      </c>
      <c r="BE60" s="25">
        <f>IF(
OR(
BE$1=MONTH($AP60),
BE$1=MONTH($AQ60),
BE$1=MONTH($AR60),
BE$1=MONTH($AS60)),
IF('CF USD'!$A$8="On",$L60,$K60)/T_Bonds[[#This Row],[Coupons per annum]],0)</f>
        <v>33750.000000000015</v>
      </c>
      <c r="BF60">
        <f>DAY(T_Bonds[[#This Row],[Next coupon date]])</f>
        <v>3</v>
      </c>
    </row>
    <row r="61" spans="1:58" x14ac:dyDescent="0.25">
      <c r="A61" s="1" t="s">
        <v>166</v>
      </c>
      <c r="B61" t="s">
        <v>51</v>
      </c>
      <c r="C61" s="1" t="str">
        <f>IF(T_Bonds[[#This Row],[Call date]]&lt;&gt;"","Callable","Maturity")</f>
        <v>Maturity</v>
      </c>
      <c r="D61" s="1" t="s">
        <v>167</v>
      </c>
      <c r="E61" s="1" t="s">
        <v>18</v>
      </c>
      <c r="F61" s="22">
        <f>IFERROR(INDEX('V004'!D:E,MATCH(D61,'V004'!D:D,0),2),0)</f>
        <v>0</v>
      </c>
      <c r="G61" s="22">
        <f>IFERROR(INDEX('V001'!D:E,MATCH(D61,'V001'!D:D,0),2),0)</f>
        <v>1000000</v>
      </c>
      <c r="H61" s="22">
        <f>IFERROR(INDEX(UBS!C:D,MATCH(D61,UBS!D:D,0),1),0)</f>
        <v>0</v>
      </c>
      <c r="I61" s="300">
        <f>SUM(T_Bonds[[#This Row],[V1412]:[UBS]])</f>
        <v>1000000</v>
      </c>
      <c r="J61" s="74">
        <f t="shared" si="27"/>
        <v>5.7500000000000107E-2</v>
      </c>
      <c r="K61" s="100">
        <f t="shared" si="22"/>
        <v>57500.000000000109</v>
      </c>
      <c r="L61" s="73">
        <f t="shared" si="23"/>
        <v>57500.000000000109</v>
      </c>
      <c r="M61" s="16">
        <v>49392</v>
      </c>
      <c r="N61" s="5">
        <f>IFERROR(INDEX(Cbonds!C:H,MATCH(D61,Cbonds!C:C,0),4)/100,0)</f>
        <v>5.9754686417231001E-2</v>
      </c>
      <c r="O61" s="6">
        <f>IFERROR(INDEX(Cbonds!C:H,MATCH(D61,Cbonds!C:C,0),5),0)</f>
        <v>6.9935218003364001</v>
      </c>
      <c r="P61" s="91">
        <f>T_Bonds[[#This Row],[Market price]]-T_Bonds[[#This Row],[Cost price]]</f>
        <v>8.8237969999999888E-2</v>
      </c>
      <c r="Q61" s="91">
        <f>T_Bonds[[#This Row],[Coupon]]/T_Bonds[[#This Row],[Cost price]]</f>
        <v>6.3749911955828228E-2</v>
      </c>
      <c r="R61" s="109">
        <f t="shared" si="28"/>
        <v>59754.686417231002</v>
      </c>
      <c r="S61" s="222">
        <f>IFERROR(INDEX('V004'!D:J,MATCH(D61,'V004'!D:D,0),7),0)</f>
        <v>0</v>
      </c>
      <c r="T61" s="222">
        <f>IFERROR(INDEX('V001'!D:J,MATCH(D61,'V001'!D:D,0),7),0)</f>
        <v>0.90196202999999997</v>
      </c>
      <c r="U61" s="223">
        <f>IFERROR(S61*T_Bonds[[#This Row],[V1412]]/(T_Bonds[[#This Row],[V1412]]+T_Bonds[[#This Row],[V1430]])+T61*T_Bonds[[#This Row],[V1430]]/(T_Bonds[[#This Row],[V1412]]+T_Bonds[[#This Row],[V1430]]),0)</f>
        <v>0.90196203000000008</v>
      </c>
      <c r="V61" s="105">
        <f t="shared" si="24"/>
        <v>63749.911955828233</v>
      </c>
      <c r="W61" s="1" t="s">
        <v>257</v>
      </c>
      <c r="X61" s="299">
        <f>IFERROR(INDEX(Cbonds!C:AF,MATCH(D61,Cbonds!C:C,0),30)/100,0)</f>
        <v>0.99019999999999997</v>
      </c>
      <c r="Y61" s="4">
        <f>INDEX('Tech list'!A:C,MATCH(T_Bonds[[#This Row],[Risk CCY]],'Tech list'!A:A,0),3)</f>
        <v>1</v>
      </c>
      <c r="Z61" s="105">
        <f>T_Bonds[[#This Row],[Market price]]*T_Bonds[[#This Row],[Quantity]]</f>
        <v>990200</v>
      </c>
      <c r="AA61" s="97">
        <f t="shared" si="25"/>
        <v>990200</v>
      </c>
      <c r="AB61" s="73">
        <f ca="1">T_Bonds[[#This Row],[Market value in CCY]]+T_Bonds[[#This Row],[AI, CCY]]</f>
        <v>1016873.6111111111</v>
      </c>
      <c r="AC61" s="73">
        <f ca="1">T_Bonds[[#This Row],[Market value in USD]]+T_Bonds[[#This Row],[AI, USD]]</f>
        <v>1016873.6111111111</v>
      </c>
      <c r="AD61" s="106">
        <f t="shared" si="26"/>
        <v>901962.03</v>
      </c>
      <c r="AE61" s="75">
        <f ca="1">(T_Bonds[[#This Row],[Coupon in Loc.Curr]]/T_Bonds[[#This Row],[Coupons per annum]])*((TODAY()-EDATE(T_Bonds[[#This Row],[Next coupon date]],-12/T_Bonds[[#This Row],[Coupons per annum]])))/(360/T_Bonds[[#This Row],[Coupons per annum]])</f>
        <v>26673.611111111164</v>
      </c>
      <c r="AF61" s="73">
        <f ca="1">T_Bonds[[#This Row],[AI, CCY]]*T_Bonds[[#This Row],[Exchange rate, N]]</f>
        <v>26673.611111111164</v>
      </c>
      <c r="AG61" s="311">
        <f>IFERROR(IF(INDEX(Cbonds!C:AC,MATCH(D61,Cbonds!C:C,0),27)&gt;5000,0,INDEX(Cbonds!C:AC,MATCH(D61,Cbonds!C:C,0),27)),0)</f>
        <v>193.79086593023999</v>
      </c>
      <c r="AH61" s="73">
        <v>80</v>
      </c>
      <c r="AJ61" s="74"/>
      <c r="AK61" t="s">
        <v>280</v>
      </c>
      <c r="AL61" t="s">
        <v>349</v>
      </c>
      <c r="AM61" t="s">
        <v>2476</v>
      </c>
      <c r="AN61" t="s">
        <v>349</v>
      </c>
      <c r="AO61" s="320">
        <v>2</v>
      </c>
      <c r="AP61" s="17">
        <f>IFERROR(INDEX(Cbonds!C:H,MATCH(D61,Cbonds!C:C,0),3),0)</f>
        <v>46105</v>
      </c>
      <c r="AQ61" s="17">
        <f>EDATE(T_Bonds[[#This Row],[Next coupon date]],12/T_Bonds[[#This Row],[Coupons per annum]])</f>
        <v>46289</v>
      </c>
      <c r="AR61" s="17">
        <f>EDATE(T_Bonds[[#This Row],[Second next coupon date]],12/$AO61)</f>
        <v>46470</v>
      </c>
      <c r="AS61" s="17">
        <f>EDATE(T_Bonds[[#This Row],[Coupon date 3]],12/$AO61)</f>
        <v>46654</v>
      </c>
      <c r="AT61" s="25">
        <f>IF(
OR(
AT$1=MONTH($AP61),
AT$1=MONTH($AQ61),
AT$1=MONTH($AR61),
AT$1=MONTH($AS61)),
IF('CF USD'!$A$8="On",$L61,$K61)/T_Bonds[[#This Row],[Coupons per annum]],0)</f>
        <v>0</v>
      </c>
      <c r="AU61" s="25">
        <f>IF(
OR(
AU$1=MONTH($AP61),
AU$1=MONTH($AQ61),
AU$1=MONTH($AR61),
AU$1=MONTH($AS61)),
IF('CF USD'!$A$8="On",$L61,$K61)/T_Bonds[[#This Row],[Coupons per annum]],0)</f>
        <v>0</v>
      </c>
      <c r="AV61" s="25">
        <f>IF(
OR(
AV$1=MONTH($AP61),
AV$1=MONTH($AQ61),
AV$1=MONTH($AR61),
AV$1=MONTH($AS61)),
IF('CF USD'!$A$8="On",$L61,$K61)/T_Bonds[[#This Row],[Coupons per annum]],0)</f>
        <v>28750.000000000055</v>
      </c>
      <c r="AW61" s="25">
        <f>IF(
OR(
AW$1=MONTH($AP61),
AW$1=MONTH($AQ61),
AW$1=MONTH($AR61),
AW$1=MONTH($AS61)),
IF('CF USD'!$A$8="On",$L61,$K61)/T_Bonds[[#This Row],[Coupons per annum]],0)</f>
        <v>0</v>
      </c>
      <c r="AX61" s="25">
        <f>IF(
OR(
AX$1=MONTH($AP61),
AX$1=MONTH($AQ61),
AX$1=MONTH($AR61),
AX$1=MONTH($AS61)),
IF('CF USD'!$A$8="On",$L61,$K61)/T_Bonds[[#This Row],[Coupons per annum]],0)</f>
        <v>0</v>
      </c>
      <c r="AY61" s="25">
        <f>IF(
OR(
AY$1=MONTH($AP61),
AY$1=MONTH($AQ61),
AY$1=MONTH($AR61),
AY$1=MONTH($AS61)),
IF('CF USD'!$A$8="On",$L61,$K61)/T_Bonds[[#This Row],[Coupons per annum]],0)</f>
        <v>0</v>
      </c>
      <c r="AZ61" s="25">
        <f>IF(
OR(
AZ$1=MONTH($AP61),
AZ$1=MONTH($AQ61),
AZ$1=MONTH($AR61),
AZ$1=MONTH($AS61)),
IF('CF USD'!$A$8="On",$L61,$K61)/T_Bonds[[#This Row],[Coupons per annum]],0)</f>
        <v>0</v>
      </c>
      <c r="BA61" s="25">
        <f>IF(
OR(
BA$1=MONTH($AP61),
BA$1=MONTH($AQ61),
BA$1=MONTH($AR61),
BA$1=MONTH($AS61)),
IF('CF USD'!$A$8="On",$L61,$K61)/T_Bonds[[#This Row],[Coupons per annum]],0)</f>
        <v>0</v>
      </c>
      <c r="BB61" s="25">
        <f>IF(
OR(
BB$1=MONTH($AP61),
BB$1=MONTH($AQ61),
BB$1=MONTH($AR61),
BB$1=MONTH($AS61)),
IF('CF USD'!$A$8="On",$L61,$K61)/T_Bonds[[#This Row],[Coupons per annum]],0)</f>
        <v>28750.000000000055</v>
      </c>
      <c r="BC61" s="25">
        <f>IF(
OR(
BC$1=MONTH($AP61),
BC$1=MONTH($AQ61),
BC$1=MONTH($AR61),
BC$1=MONTH($AS61)),
IF('CF USD'!$A$8="On",$L61,$K61)/T_Bonds[[#This Row],[Coupons per annum]],0)</f>
        <v>0</v>
      </c>
      <c r="BD61" s="25">
        <f>IF(
OR(
BD$1=MONTH($AP61),
BD$1=MONTH($AQ61),
BD$1=MONTH($AR61),
BD$1=MONTH($AS61)),
IF('CF USD'!$A$8="On",$L61,$K61)/T_Bonds[[#This Row],[Coupons per annum]],0)</f>
        <v>0</v>
      </c>
      <c r="BE61" s="25">
        <f>IF(
OR(
BE$1=MONTH($AP61),
BE$1=MONTH($AQ61),
BE$1=MONTH($AR61),
BE$1=MONTH($AS61)),
IF('CF USD'!$A$8="On",$L61,$K61)/T_Bonds[[#This Row],[Coupons per annum]],0)</f>
        <v>0</v>
      </c>
      <c r="BF61">
        <f>DAY(T_Bonds[[#This Row],[Next coupon date]])</f>
        <v>24</v>
      </c>
    </row>
    <row r="62" spans="1:58" x14ac:dyDescent="0.25">
      <c r="A62" s="1" t="s">
        <v>168</v>
      </c>
      <c r="B62" t="s">
        <v>51</v>
      </c>
      <c r="C62" s="1" t="str">
        <f>IF(T_Bonds[[#This Row],[Call date]]&lt;&gt;"","Callable","Maturity")</f>
        <v>Callable</v>
      </c>
      <c r="D62" s="1" t="s">
        <v>169</v>
      </c>
      <c r="E62" s="1" t="s">
        <v>18</v>
      </c>
      <c r="F62" s="22">
        <f>IFERROR(INDEX('V004'!D:E,MATCH(D62,'V004'!D:D,0),2),0)</f>
        <v>0</v>
      </c>
      <c r="G62" s="22">
        <f>IFERROR(INDEX('V001'!D:E,MATCH(D62,'V001'!D:D,0),2),0)</f>
        <v>0</v>
      </c>
      <c r="H62" s="22">
        <f>IFERROR(INDEX(UBS!C:D,MATCH(D62,UBS!D:D,0),1),0)</f>
        <v>0</v>
      </c>
      <c r="I62" s="300">
        <f>SUM(T_Bonds[[#This Row],[V1412]:[UBS]])</f>
        <v>0</v>
      </c>
      <c r="J62" s="74">
        <f t="shared" si="27"/>
        <v>6.2999999999999945E-2</v>
      </c>
      <c r="K62" s="100">
        <f t="shared" si="22"/>
        <v>0</v>
      </c>
      <c r="L62" s="73">
        <f t="shared" si="23"/>
        <v>0</v>
      </c>
      <c r="M62" s="16" t="s">
        <v>257</v>
      </c>
      <c r="N62" s="5">
        <f>IFERROR(INDEX(Cbonds!C:H,MATCH(D62,Cbonds!C:C,0),4)/100,0)</f>
        <v>6.0407035809654001E-2</v>
      </c>
      <c r="O62" s="6">
        <f>IFERROR(INDEX(Cbonds!C:H,MATCH(D62,Cbonds!C:C,0),5),0)</f>
        <v>4.6878437199857999</v>
      </c>
      <c r="P62" s="91">
        <f>T_Bonds[[#This Row],[Market price]]-T_Bonds[[#This Row],[Cost price]]</f>
        <v>1.0164</v>
      </c>
      <c r="Q62" s="91" t="e">
        <f>T_Bonds[[#This Row],[Coupon]]/T_Bonds[[#This Row],[Cost price]]</f>
        <v>#DIV/0!</v>
      </c>
      <c r="R62" s="109">
        <f t="shared" si="28"/>
        <v>0</v>
      </c>
      <c r="S62" s="222">
        <f>IFERROR(INDEX('V004'!D:J,MATCH(D62,'V004'!D:D,0),7),0)</f>
        <v>0</v>
      </c>
      <c r="T62" s="222">
        <f>IFERROR(INDEX('V001'!D:J,MATCH(D62,'V001'!D:D,0),7),0)</f>
        <v>0</v>
      </c>
      <c r="U62" s="223">
        <f>IFERROR(S62*T_Bonds[[#This Row],[V1412]]/(T_Bonds[[#This Row],[V1412]]+T_Bonds[[#This Row],[V1430]])+T62*T_Bonds[[#This Row],[V1430]]/(T_Bonds[[#This Row],[V1412]]+T_Bonds[[#This Row],[V1430]]),0)</f>
        <v>0</v>
      </c>
      <c r="V62" s="105" t="e">
        <f t="shared" si="24"/>
        <v>#DIV/0!</v>
      </c>
      <c r="W62" s="1" t="s">
        <v>257</v>
      </c>
      <c r="X62" s="299">
        <f>IFERROR(INDEX(Cbonds!C:AF,MATCH(D62,Cbonds!C:C,0),30)/100,0)</f>
        <v>1.0164</v>
      </c>
      <c r="Y62" s="4">
        <f>INDEX('Tech list'!A:C,MATCH(T_Bonds[[#This Row],[Risk CCY]],'Tech list'!A:A,0),3)</f>
        <v>1</v>
      </c>
      <c r="Z62" s="105">
        <f>T_Bonds[[#This Row],[Market price]]*T_Bonds[[#This Row],[Quantity]]</f>
        <v>0</v>
      </c>
      <c r="AA62" s="97">
        <f t="shared" si="25"/>
        <v>0</v>
      </c>
      <c r="AB62" s="73">
        <f ca="1">T_Bonds[[#This Row],[Market value in CCY]]+T_Bonds[[#This Row],[AI, CCY]]</f>
        <v>0</v>
      </c>
      <c r="AC62" s="73">
        <f ca="1">T_Bonds[[#This Row],[Market value in USD]]+T_Bonds[[#This Row],[AI, USD]]</f>
        <v>0</v>
      </c>
      <c r="AD62" s="106">
        <f t="shared" si="26"/>
        <v>0</v>
      </c>
      <c r="AE62" s="75">
        <f ca="1">(T_Bonds[[#This Row],[Coupon in Loc.Curr]]/T_Bonds[[#This Row],[Coupons per annum]])*((TODAY()-EDATE(T_Bonds[[#This Row],[Next coupon date]],-12/T_Bonds[[#This Row],[Coupons per annum]])))/(360/T_Bonds[[#This Row],[Coupons per annum]])</f>
        <v>0</v>
      </c>
      <c r="AF62" s="73">
        <f ca="1">T_Bonds[[#This Row],[AI, CCY]]*T_Bonds[[#This Row],[Exchange rate, N]]</f>
        <v>0</v>
      </c>
      <c r="AG62" s="311">
        <f>IFERROR(IF(INDEX(Cbonds!C:AC,MATCH(D62,Cbonds!C:C,0),27)&gt;5000,0,INDEX(Cbonds!C:AC,MATCH(D62,Cbonds!C:C,0),27)),0)</f>
        <v>224.583955699</v>
      </c>
      <c r="AH62" s="73">
        <v>50</v>
      </c>
      <c r="AI62" s="17">
        <v>48298</v>
      </c>
      <c r="AJ62" s="74">
        <v>2.6599999999999999E-2</v>
      </c>
      <c r="AK62" t="s">
        <v>289</v>
      </c>
      <c r="AL62" t="s">
        <v>350</v>
      </c>
      <c r="AM62" t="s">
        <v>2475</v>
      </c>
      <c r="AN62" t="s">
        <v>351</v>
      </c>
      <c r="AO62" s="320">
        <v>2</v>
      </c>
      <c r="AP62" s="17">
        <f>IFERROR(INDEX(Cbonds!C:H,MATCH(D62,Cbonds!C:C,0),3),0)</f>
        <v>46106</v>
      </c>
      <c r="AQ62" s="17">
        <f>EDATE(T_Bonds[[#This Row],[Next coupon date]],12/T_Bonds[[#This Row],[Coupons per annum]])</f>
        <v>46290</v>
      </c>
      <c r="AR62" s="17">
        <f>EDATE(T_Bonds[[#This Row],[Second next coupon date]],12/$AO62)</f>
        <v>46471</v>
      </c>
      <c r="AS62" s="17">
        <f>EDATE(T_Bonds[[#This Row],[Coupon date 3]],12/$AO62)</f>
        <v>46655</v>
      </c>
      <c r="AT62" s="25">
        <f>IF(
OR(
AT$1=MONTH($AP62),
AT$1=MONTH($AQ62),
AT$1=MONTH($AR62),
AT$1=MONTH($AS62)),
IF('CF USD'!$A$8="On",$L62,$K62)/T_Bonds[[#This Row],[Coupons per annum]],0)</f>
        <v>0</v>
      </c>
      <c r="AU62" s="25">
        <f>IF(
OR(
AU$1=MONTH($AP62),
AU$1=MONTH($AQ62),
AU$1=MONTH($AR62),
AU$1=MONTH($AS62)),
IF('CF USD'!$A$8="On",$L62,$K62)/T_Bonds[[#This Row],[Coupons per annum]],0)</f>
        <v>0</v>
      </c>
      <c r="AV62" s="25">
        <f>IF(
OR(
AV$1=MONTH($AP62),
AV$1=MONTH($AQ62),
AV$1=MONTH($AR62),
AV$1=MONTH($AS62)),
IF('CF USD'!$A$8="On",$L62,$K62)/T_Bonds[[#This Row],[Coupons per annum]],0)</f>
        <v>0</v>
      </c>
      <c r="AW62" s="25">
        <f>IF(
OR(
AW$1=MONTH($AP62),
AW$1=MONTH($AQ62),
AW$1=MONTH($AR62),
AW$1=MONTH($AS62)),
IF('CF USD'!$A$8="On",$L62,$K62)/T_Bonds[[#This Row],[Coupons per annum]],0)</f>
        <v>0</v>
      </c>
      <c r="AX62" s="25">
        <f>IF(
OR(
AX$1=MONTH($AP62),
AX$1=MONTH($AQ62),
AX$1=MONTH($AR62),
AX$1=MONTH($AS62)),
IF('CF USD'!$A$8="On",$L62,$K62)/T_Bonds[[#This Row],[Coupons per annum]],0)</f>
        <v>0</v>
      </c>
      <c r="AY62" s="25">
        <f>IF(
OR(
AY$1=MONTH($AP62),
AY$1=MONTH($AQ62),
AY$1=MONTH($AR62),
AY$1=MONTH($AS62)),
IF('CF USD'!$A$8="On",$L62,$K62)/T_Bonds[[#This Row],[Coupons per annum]],0)</f>
        <v>0</v>
      </c>
      <c r="AZ62" s="25">
        <f>IF(
OR(
AZ$1=MONTH($AP62),
AZ$1=MONTH($AQ62),
AZ$1=MONTH($AR62),
AZ$1=MONTH($AS62)),
IF('CF USD'!$A$8="On",$L62,$K62)/T_Bonds[[#This Row],[Coupons per annum]],0)</f>
        <v>0</v>
      </c>
      <c r="BA62" s="25">
        <f>IF(
OR(
BA$1=MONTH($AP62),
BA$1=MONTH($AQ62),
BA$1=MONTH($AR62),
BA$1=MONTH($AS62)),
IF('CF USD'!$A$8="On",$L62,$K62)/T_Bonds[[#This Row],[Coupons per annum]],0)</f>
        <v>0</v>
      </c>
      <c r="BB62" s="25">
        <f>IF(
OR(
BB$1=MONTH($AP62),
BB$1=MONTH($AQ62),
BB$1=MONTH($AR62),
BB$1=MONTH($AS62)),
IF('CF USD'!$A$8="On",$L62,$K62)/T_Bonds[[#This Row],[Coupons per annum]],0)</f>
        <v>0</v>
      </c>
      <c r="BC62" s="25">
        <f>IF(
OR(
BC$1=MONTH($AP62),
BC$1=MONTH($AQ62),
BC$1=MONTH($AR62),
BC$1=MONTH($AS62)),
IF('CF USD'!$A$8="On",$L62,$K62)/T_Bonds[[#This Row],[Coupons per annum]],0)</f>
        <v>0</v>
      </c>
      <c r="BD62" s="25">
        <f>IF(
OR(
BD$1=MONTH($AP62),
BD$1=MONTH($AQ62),
BD$1=MONTH($AR62),
BD$1=MONTH($AS62)),
IF('CF USD'!$A$8="On",$L62,$K62)/T_Bonds[[#This Row],[Coupons per annum]],0)</f>
        <v>0</v>
      </c>
      <c r="BE62" s="25">
        <f>IF(
OR(
BE$1=MONTH($AP62),
BE$1=MONTH($AQ62),
BE$1=MONTH($AR62),
BE$1=MONTH($AS62)),
IF('CF USD'!$A$8="On",$L62,$K62)/T_Bonds[[#This Row],[Coupons per annum]],0)</f>
        <v>0</v>
      </c>
      <c r="BF62">
        <f>DAY(T_Bonds[[#This Row],[Next coupon date]])</f>
        <v>25</v>
      </c>
    </row>
    <row r="63" spans="1:58" x14ac:dyDescent="0.25">
      <c r="A63" s="1" t="s">
        <v>171</v>
      </c>
      <c r="B63" t="s">
        <v>51</v>
      </c>
      <c r="C63" s="1" t="str">
        <f>IF(T_Bonds[[#This Row],[Call date]]&lt;&gt;"","Callable","Maturity")</f>
        <v>Callable</v>
      </c>
      <c r="D63" s="1" t="s">
        <v>172</v>
      </c>
      <c r="E63" s="1" t="s">
        <v>18</v>
      </c>
      <c r="F63" s="22">
        <f>IFERROR(INDEX('V004'!D:E,MATCH(D63,'V004'!D:D,0),2),0)</f>
        <v>600000</v>
      </c>
      <c r="G63" s="22">
        <f>IFERROR(INDEX('V001'!D:E,MATCH(D63,'V001'!D:D,0),2),0)</f>
        <v>400000</v>
      </c>
      <c r="H63" s="22">
        <f>IFERROR(INDEX(UBS!C:D,MATCH(D63,UBS!D:D,0),1),0)</f>
        <v>0</v>
      </c>
      <c r="I63" s="300">
        <f>SUM(T_Bonds[[#This Row],[V1412]:[UBS]])</f>
        <v>1000000</v>
      </c>
      <c r="J63" s="74">
        <f t="shared" si="27"/>
        <v>6.6999999999999948E-2</v>
      </c>
      <c r="K63" s="100">
        <f t="shared" si="22"/>
        <v>66999.999999999942</v>
      </c>
      <c r="L63" s="73">
        <f t="shared" si="23"/>
        <v>66999.999999999942</v>
      </c>
      <c r="M63" s="16" t="s">
        <v>257</v>
      </c>
      <c r="N63" s="5">
        <f>IFERROR(INDEX(Cbonds!C:H,MATCH(D63,Cbonds!C:C,0),4)/100,0)</f>
        <v>6.5627399863622995E-2</v>
      </c>
      <c r="O63" s="6">
        <f>IFERROR(INDEX(Cbonds!C:H,MATCH(D63,Cbonds!C:C,0),5),0)</f>
        <v>6.5233083706460002</v>
      </c>
      <c r="P63" s="91">
        <f>T_Bonds[[#This Row],[Market price]]-T_Bonds[[#This Row],[Cost price]]</f>
        <v>4.4005080000000141E-2</v>
      </c>
      <c r="Q63" s="91">
        <f>T_Bonds[[#This Row],[Coupon]]/T_Bonds[[#This Row],[Cost price]]</f>
        <v>6.8697169057334931E-2</v>
      </c>
      <c r="R63" s="109">
        <f t="shared" si="28"/>
        <v>65627.399863622995</v>
      </c>
      <c r="S63" s="222">
        <f>IFERROR(INDEX('V004'!D:J,MATCH(D63,'V004'!D:D,0),7),0)</f>
        <v>0.97556666666666669</v>
      </c>
      <c r="T63" s="222">
        <f>IFERROR(INDEX('V001'!D:J,MATCH(D63,'V001'!D:D,0),7),0)</f>
        <v>0.97488730000000001</v>
      </c>
      <c r="U63" s="223">
        <f>IFERROR(S63*T_Bonds[[#This Row],[V1412]]/(T_Bonds[[#This Row],[V1412]]+T_Bonds[[#This Row],[V1430]])+T63*T_Bonds[[#This Row],[V1430]]/(T_Bonds[[#This Row],[V1412]]+T_Bonds[[#This Row],[V1430]]),0)</f>
        <v>0.97529491999999995</v>
      </c>
      <c r="V63" s="105">
        <f t="shared" si="24"/>
        <v>68697.169057334933</v>
      </c>
      <c r="W63" s="1" t="s">
        <v>257</v>
      </c>
      <c r="X63" s="299">
        <f>IFERROR(INDEX(Cbonds!C:AF,MATCH(D63,Cbonds!C:C,0),30)/100,0)</f>
        <v>1.0193000000000001</v>
      </c>
      <c r="Y63" s="4">
        <f>INDEX('Tech list'!A:C,MATCH(T_Bonds[[#This Row],[Risk CCY]],'Tech list'!A:A,0),3)</f>
        <v>1</v>
      </c>
      <c r="Z63" s="105">
        <f>T_Bonds[[#This Row],[Market price]]*T_Bonds[[#This Row],[Quantity]]</f>
        <v>1019300.0000000001</v>
      </c>
      <c r="AA63" s="97">
        <f t="shared" si="25"/>
        <v>1019300.0000000001</v>
      </c>
      <c r="AB63" s="73">
        <f ca="1">T_Bonds[[#This Row],[Market value in CCY]]+T_Bonds[[#This Row],[AI, CCY]]</f>
        <v>1033630.5555555556</v>
      </c>
      <c r="AC63" s="73">
        <f ca="1">T_Bonds[[#This Row],[Market value in USD]]+T_Bonds[[#This Row],[AI, USD]]</f>
        <v>1033630.5555555556</v>
      </c>
      <c r="AD63" s="106">
        <f t="shared" si="26"/>
        <v>975294.91999999993</v>
      </c>
      <c r="AE63" s="75">
        <f ca="1">(T_Bonds[[#This Row],[Coupon in Loc.Curr]]/T_Bonds[[#This Row],[Coupons per annum]])*((TODAY()-EDATE(T_Bonds[[#This Row],[Next coupon date]],-12/T_Bonds[[#This Row],[Coupons per annum]])))/(360/T_Bonds[[#This Row],[Coupons per annum]])</f>
        <v>14330.555555555542</v>
      </c>
      <c r="AF63" s="73">
        <f ca="1">T_Bonds[[#This Row],[AI, CCY]]*T_Bonds[[#This Row],[Exchange rate, N]]</f>
        <v>14330.555555555542</v>
      </c>
      <c r="AG63" s="311">
        <f>IFERROR(IF(INDEX(Cbonds!C:AC,MATCH(D63,Cbonds!C:C,0),27)&gt;5000,0,INDEX(Cbonds!C:AC,MATCH(D63,Cbonds!C:C,0),27)),0)</f>
        <v>257.42530810273001</v>
      </c>
      <c r="AH63" s="73">
        <v>50</v>
      </c>
      <c r="AI63" s="17">
        <v>49210</v>
      </c>
      <c r="AJ63" s="74">
        <v>3.5959999999999999E-2</v>
      </c>
      <c r="AK63" t="s">
        <v>289</v>
      </c>
      <c r="AL63" t="s">
        <v>302</v>
      </c>
      <c r="AM63" t="s">
        <v>2475</v>
      </c>
      <c r="AN63" t="s">
        <v>353</v>
      </c>
      <c r="AO63" s="320">
        <v>4</v>
      </c>
      <c r="AP63" s="17">
        <f>IFERROR(INDEX(Cbonds!C:H,MATCH(D63,Cbonds!C:C,0),3),0)</f>
        <v>46104</v>
      </c>
      <c r="AQ63" s="17">
        <f>EDATE(T_Bonds[[#This Row],[Next coupon date]],12/T_Bonds[[#This Row],[Coupons per annum]])</f>
        <v>46196</v>
      </c>
      <c r="AR63" s="17">
        <f>EDATE(T_Bonds[[#This Row],[Second next coupon date]],12/$AO63)</f>
        <v>46288</v>
      </c>
      <c r="AS63" s="17">
        <f>EDATE(T_Bonds[[#This Row],[Coupon date 3]],12/$AO63)</f>
        <v>46379</v>
      </c>
      <c r="AT63" s="25">
        <f>IF(
OR(
AT$1=MONTH($AP63),
AT$1=MONTH($AQ63),
AT$1=MONTH($AR63),
AT$1=MONTH($AS63)),
IF('CF USD'!$A$8="On",$L63,$K63)/T_Bonds[[#This Row],[Coupons per annum]],0)</f>
        <v>0</v>
      </c>
      <c r="AU63" s="25">
        <f>IF(
OR(
AU$1=MONTH($AP63),
AU$1=MONTH($AQ63),
AU$1=MONTH($AR63),
AU$1=MONTH($AS63)),
IF('CF USD'!$A$8="On",$L63,$K63)/T_Bonds[[#This Row],[Coupons per annum]],0)</f>
        <v>0</v>
      </c>
      <c r="AV63" s="25">
        <f>IF(
OR(
AV$1=MONTH($AP63),
AV$1=MONTH($AQ63),
AV$1=MONTH($AR63),
AV$1=MONTH($AS63)),
IF('CF USD'!$A$8="On",$L63,$K63)/T_Bonds[[#This Row],[Coupons per annum]],0)</f>
        <v>16749.999999999985</v>
      </c>
      <c r="AW63" s="25">
        <f>IF(
OR(
AW$1=MONTH($AP63),
AW$1=MONTH($AQ63),
AW$1=MONTH($AR63),
AW$1=MONTH($AS63)),
IF('CF USD'!$A$8="On",$L63,$K63)/T_Bonds[[#This Row],[Coupons per annum]],0)</f>
        <v>0</v>
      </c>
      <c r="AX63" s="25">
        <f>IF(
OR(
AX$1=MONTH($AP63),
AX$1=MONTH($AQ63),
AX$1=MONTH($AR63),
AX$1=MONTH($AS63)),
IF('CF USD'!$A$8="On",$L63,$K63)/T_Bonds[[#This Row],[Coupons per annum]],0)</f>
        <v>0</v>
      </c>
      <c r="AY63" s="25">
        <f>IF(
OR(
AY$1=MONTH($AP63),
AY$1=MONTH($AQ63),
AY$1=MONTH($AR63),
AY$1=MONTH($AS63)),
IF('CF USD'!$A$8="On",$L63,$K63)/T_Bonds[[#This Row],[Coupons per annum]],0)</f>
        <v>16749.999999999985</v>
      </c>
      <c r="AZ63" s="25">
        <f>IF(
OR(
AZ$1=MONTH($AP63),
AZ$1=MONTH($AQ63),
AZ$1=MONTH($AR63),
AZ$1=MONTH($AS63)),
IF('CF USD'!$A$8="On",$L63,$K63)/T_Bonds[[#This Row],[Coupons per annum]],0)</f>
        <v>0</v>
      </c>
      <c r="BA63" s="25">
        <f>IF(
OR(
BA$1=MONTH($AP63),
BA$1=MONTH($AQ63),
BA$1=MONTH($AR63),
BA$1=MONTH($AS63)),
IF('CF USD'!$A$8="On",$L63,$K63)/T_Bonds[[#This Row],[Coupons per annum]],0)</f>
        <v>0</v>
      </c>
      <c r="BB63" s="25">
        <f>IF(
OR(
BB$1=MONTH($AP63),
BB$1=MONTH($AQ63),
BB$1=MONTH($AR63),
BB$1=MONTH($AS63)),
IF('CF USD'!$A$8="On",$L63,$K63)/T_Bonds[[#This Row],[Coupons per annum]],0)</f>
        <v>16749.999999999985</v>
      </c>
      <c r="BC63" s="25">
        <f>IF(
OR(
BC$1=MONTH($AP63),
BC$1=MONTH($AQ63),
BC$1=MONTH($AR63),
BC$1=MONTH($AS63)),
IF('CF USD'!$A$8="On",$L63,$K63)/T_Bonds[[#This Row],[Coupons per annum]],0)</f>
        <v>0</v>
      </c>
      <c r="BD63" s="25">
        <f>IF(
OR(
BD$1=MONTH($AP63),
BD$1=MONTH($AQ63),
BD$1=MONTH($AR63),
BD$1=MONTH($AS63)),
IF('CF USD'!$A$8="On",$L63,$K63)/T_Bonds[[#This Row],[Coupons per annum]],0)</f>
        <v>0</v>
      </c>
      <c r="BE63" s="25">
        <f>IF(
OR(
BE$1=MONTH($AP63),
BE$1=MONTH($AQ63),
BE$1=MONTH($AR63),
BE$1=MONTH($AS63)),
IF('CF USD'!$A$8="On",$L63,$K63)/T_Bonds[[#This Row],[Coupons per annum]],0)</f>
        <v>16749.999999999985</v>
      </c>
      <c r="BF63">
        <f>DAY(T_Bonds[[#This Row],[Next coupon date]])</f>
        <v>23</v>
      </c>
    </row>
    <row r="64" spans="1:58" x14ac:dyDescent="0.25">
      <c r="A64" s="1" t="s">
        <v>174</v>
      </c>
      <c r="B64" t="s">
        <v>51</v>
      </c>
      <c r="C64" s="1" t="str">
        <f>IF(T_Bonds[[#This Row],[Call date]]&lt;&gt;"","Callable","Maturity")</f>
        <v>Maturity</v>
      </c>
      <c r="D64" s="1" t="s">
        <v>175</v>
      </c>
      <c r="E64" s="1" t="s">
        <v>18</v>
      </c>
      <c r="F64" s="22">
        <f>IFERROR(INDEX('V004'!D:E,MATCH(D64,'V004'!D:D,0),2),0)</f>
        <v>0</v>
      </c>
      <c r="G64" s="22">
        <f>IFERROR(INDEX('V001'!D:E,MATCH(D64,'V001'!D:D,0),2),0)</f>
        <v>0</v>
      </c>
      <c r="H64" s="22">
        <f>IFERROR(INDEX(UBS!C:D,MATCH(D64,UBS!D:D,0),1),0)</f>
        <v>0</v>
      </c>
      <c r="I64" s="300">
        <f>SUM(T_Bonds[[#This Row],[V1412]:[UBS]])</f>
        <v>0</v>
      </c>
      <c r="J64" s="74">
        <f t="shared" si="27"/>
        <v>7.1250000000000036E-2</v>
      </c>
      <c r="K64" s="100">
        <f t="shared" si="22"/>
        <v>0</v>
      </c>
      <c r="L64" s="73">
        <f t="shared" si="23"/>
        <v>0</v>
      </c>
      <c r="M64" s="16">
        <v>50060</v>
      </c>
      <c r="N64" s="5">
        <f>IFERROR(INDEX(Cbonds!C:H,MATCH(D64,Cbonds!C:C,0),4)/100,0)</f>
        <v>6.0980504760054004E-2</v>
      </c>
      <c r="O64" s="6">
        <f>IFERROR(INDEX(Cbonds!C:H,MATCH(D64,Cbonds!C:C,0),5),0)</f>
        <v>7.8218574347259997</v>
      </c>
      <c r="P64" s="91">
        <f>T_Bonds[[#This Row],[Market price]]-T_Bonds[[#This Row],[Cost price]]</f>
        <v>1.0889</v>
      </c>
      <c r="Q64" s="91" t="e">
        <f>T_Bonds[[#This Row],[Coupon]]/T_Bonds[[#This Row],[Cost price]]</f>
        <v>#DIV/0!</v>
      </c>
      <c r="R64" s="109">
        <f t="shared" si="28"/>
        <v>0</v>
      </c>
      <c r="S64" s="222">
        <f>IFERROR(INDEX('V004'!D:J,MATCH(D64,'V004'!D:D,0),7),0)</f>
        <v>0</v>
      </c>
      <c r="T64" s="222">
        <f>IFERROR(INDEX('V001'!D:J,MATCH(D64,'V001'!D:D,0),7),0)</f>
        <v>0</v>
      </c>
      <c r="U64" s="223">
        <f>IFERROR(S64*T_Bonds[[#This Row],[V1412]]/(T_Bonds[[#This Row],[V1412]]+T_Bonds[[#This Row],[V1430]])+T64*T_Bonds[[#This Row],[V1430]]/(T_Bonds[[#This Row],[V1412]]+T_Bonds[[#This Row],[V1430]]),0)</f>
        <v>0</v>
      </c>
      <c r="V64" s="105" t="e">
        <f t="shared" si="24"/>
        <v>#DIV/0!</v>
      </c>
      <c r="W64" s="1" t="s">
        <v>257</v>
      </c>
      <c r="X64" s="299">
        <f>IFERROR(INDEX(Cbonds!C:AF,MATCH(D64,Cbonds!C:C,0),30)/100,0)</f>
        <v>1.0889</v>
      </c>
      <c r="Y64" s="4">
        <f>INDEX('Tech list'!A:C,MATCH(T_Bonds[[#This Row],[Risk CCY]],'Tech list'!A:A,0),3)</f>
        <v>1</v>
      </c>
      <c r="Z64" s="105">
        <f>T_Bonds[[#This Row],[Market price]]*T_Bonds[[#This Row],[Quantity]]</f>
        <v>0</v>
      </c>
      <c r="AA64" s="97">
        <f t="shared" si="25"/>
        <v>0</v>
      </c>
      <c r="AB64" s="73">
        <f ca="1">T_Bonds[[#This Row],[Market value in CCY]]+T_Bonds[[#This Row],[AI, CCY]]</f>
        <v>0</v>
      </c>
      <c r="AC64" s="73">
        <f ca="1">T_Bonds[[#This Row],[Market value in USD]]+T_Bonds[[#This Row],[AI, USD]]</f>
        <v>0</v>
      </c>
      <c r="AD64" s="106">
        <f t="shared" si="26"/>
        <v>0</v>
      </c>
      <c r="AE64" s="75">
        <f ca="1">(T_Bonds[[#This Row],[Coupon in Loc.Curr]]/T_Bonds[[#This Row],[Coupons per annum]])*((TODAY()-EDATE(T_Bonds[[#This Row],[Next coupon date]],-12/T_Bonds[[#This Row],[Coupons per annum]])))/(360/T_Bonds[[#This Row],[Coupons per annum]])</f>
        <v>0</v>
      </c>
      <c r="AF64" s="73">
        <f ca="1">T_Bonds[[#This Row],[AI, CCY]]*T_Bonds[[#This Row],[Exchange rate, N]]</f>
        <v>0</v>
      </c>
      <c r="AG64" s="311">
        <f>IFERROR(IF(INDEX(Cbonds!C:AC,MATCH(D64,Cbonds!C:C,0),27)&gt;5000,0,INDEX(Cbonds!C:AC,MATCH(D64,Cbonds!C:C,0),27)),0)</f>
        <v>197.61693323392001</v>
      </c>
      <c r="AH64" s="73">
        <v>45</v>
      </c>
      <c r="AJ64" s="74"/>
      <c r="AK64" t="s">
        <v>280</v>
      </c>
      <c r="AL64" t="s">
        <v>276</v>
      </c>
      <c r="AM64" t="s">
        <v>2476</v>
      </c>
      <c r="AN64" t="s">
        <v>276</v>
      </c>
      <c r="AO64" s="320">
        <v>2</v>
      </c>
      <c r="AP64" s="17">
        <f>IFERROR(INDEX(Cbonds!C:H,MATCH(D64,Cbonds!C:C,0),3),0)</f>
        <v>46223</v>
      </c>
      <c r="AQ64" s="17">
        <f>EDATE(T_Bonds[[#This Row],[Next coupon date]],12/T_Bonds[[#This Row],[Coupons per annum]])</f>
        <v>46407</v>
      </c>
      <c r="AR64" s="17">
        <f>EDATE(T_Bonds[[#This Row],[Second next coupon date]],12/$AO64)</f>
        <v>46588</v>
      </c>
      <c r="AS64" s="17">
        <f>EDATE(T_Bonds[[#This Row],[Coupon date 3]],12/$AO64)</f>
        <v>46772</v>
      </c>
      <c r="AT64" s="25">
        <f>IF(
OR(
AT$1=MONTH($AP64),
AT$1=MONTH($AQ64),
AT$1=MONTH($AR64),
AT$1=MONTH($AS64)),
IF('CF USD'!$A$8="On",$L64,$K64)/T_Bonds[[#This Row],[Coupons per annum]],0)</f>
        <v>0</v>
      </c>
      <c r="AU64" s="25">
        <f>IF(
OR(
AU$1=MONTH($AP64),
AU$1=MONTH($AQ64),
AU$1=MONTH($AR64),
AU$1=MONTH($AS64)),
IF('CF USD'!$A$8="On",$L64,$K64)/T_Bonds[[#This Row],[Coupons per annum]],0)</f>
        <v>0</v>
      </c>
      <c r="AV64" s="25">
        <f>IF(
OR(
AV$1=MONTH($AP64),
AV$1=MONTH($AQ64),
AV$1=MONTH($AR64),
AV$1=MONTH($AS64)),
IF('CF USD'!$A$8="On",$L64,$K64)/T_Bonds[[#This Row],[Coupons per annum]],0)</f>
        <v>0</v>
      </c>
      <c r="AW64" s="25">
        <f>IF(
OR(
AW$1=MONTH($AP64),
AW$1=MONTH($AQ64),
AW$1=MONTH($AR64),
AW$1=MONTH($AS64)),
IF('CF USD'!$A$8="On",$L64,$K64)/T_Bonds[[#This Row],[Coupons per annum]],0)</f>
        <v>0</v>
      </c>
      <c r="AX64" s="25">
        <f>IF(
OR(
AX$1=MONTH($AP64),
AX$1=MONTH($AQ64),
AX$1=MONTH($AR64),
AX$1=MONTH($AS64)),
IF('CF USD'!$A$8="On",$L64,$K64)/T_Bonds[[#This Row],[Coupons per annum]],0)</f>
        <v>0</v>
      </c>
      <c r="AY64" s="25">
        <f>IF(
OR(
AY$1=MONTH($AP64),
AY$1=MONTH($AQ64),
AY$1=MONTH($AR64),
AY$1=MONTH($AS64)),
IF('CF USD'!$A$8="On",$L64,$K64)/T_Bonds[[#This Row],[Coupons per annum]],0)</f>
        <v>0</v>
      </c>
      <c r="AZ64" s="25">
        <f>IF(
OR(
AZ$1=MONTH($AP64),
AZ$1=MONTH($AQ64),
AZ$1=MONTH($AR64),
AZ$1=MONTH($AS64)),
IF('CF USD'!$A$8="On",$L64,$K64)/T_Bonds[[#This Row],[Coupons per annum]],0)</f>
        <v>0</v>
      </c>
      <c r="BA64" s="25">
        <f>IF(
OR(
BA$1=MONTH($AP64),
BA$1=MONTH($AQ64),
BA$1=MONTH($AR64),
BA$1=MONTH($AS64)),
IF('CF USD'!$A$8="On",$L64,$K64)/T_Bonds[[#This Row],[Coupons per annum]],0)</f>
        <v>0</v>
      </c>
      <c r="BB64" s="25">
        <f>IF(
OR(
BB$1=MONTH($AP64),
BB$1=MONTH($AQ64),
BB$1=MONTH($AR64),
BB$1=MONTH($AS64)),
IF('CF USD'!$A$8="On",$L64,$K64)/T_Bonds[[#This Row],[Coupons per annum]],0)</f>
        <v>0</v>
      </c>
      <c r="BC64" s="25">
        <f>IF(
OR(
BC$1=MONTH($AP64),
BC$1=MONTH($AQ64),
BC$1=MONTH($AR64),
BC$1=MONTH($AS64)),
IF('CF USD'!$A$8="On",$L64,$K64)/T_Bonds[[#This Row],[Coupons per annum]],0)</f>
        <v>0</v>
      </c>
      <c r="BD64" s="25">
        <f>IF(
OR(
BD$1=MONTH($AP64),
BD$1=MONTH($AQ64),
BD$1=MONTH($AR64),
BD$1=MONTH($AS64)),
IF('CF USD'!$A$8="On",$L64,$K64)/T_Bonds[[#This Row],[Coupons per annum]],0)</f>
        <v>0</v>
      </c>
      <c r="BE64" s="25">
        <f>IF(
OR(
BE$1=MONTH($AP64),
BE$1=MONTH($AQ64),
BE$1=MONTH($AR64),
BE$1=MONTH($AS64)),
IF('CF USD'!$A$8="On",$L64,$K64)/T_Bonds[[#This Row],[Coupons per annum]],0)</f>
        <v>0</v>
      </c>
      <c r="BF64">
        <f>DAY(T_Bonds[[#This Row],[Next coupon date]])</f>
        <v>20</v>
      </c>
    </row>
    <row r="65" spans="1:58" x14ac:dyDescent="0.25">
      <c r="A65" s="1" t="s">
        <v>176</v>
      </c>
      <c r="B65" t="s">
        <v>51</v>
      </c>
      <c r="C65" s="1" t="str">
        <f>IF(T_Bonds[[#This Row],[Call date]]&lt;&gt;"","Callable","Maturity")</f>
        <v>Maturity</v>
      </c>
      <c r="D65" s="1" t="s">
        <v>177</v>
      </c>
      <c r="E65" s="1" t="s">
        <v>18</v>
      </c>
      <c r="F65" s="22">
        <f>IFERROR(INDEX('V004'!D:E,MATCH(D65,'V004'!D:D,0),2),0)</f>
        <v>0</v>
      </c>
      <c r="G65" s="22">
        <f>IFERROR(INDEX('V001'!D:E,MATCH(D65,'V001'!D:D,0),2),0)</f>
        <v>0</v>
      </c>
      <c r="H65" s="22">
        <f>IFERROR(INDEX(UBS!C:D,MATCH(D65,UBS!D:D,0),1),0)</f>
        <v>0</v>
      </c>
      <c r="I65" s="300">
        <f>SUM(T_Bonds[[#This Row],[V1412]:[UBS]])</f>
        <v>0</v>
      </c>
      <c r="J65" s="74">
        <f t="shared" si="27"/>
        <v>7.2000000000000064E-2</v>
      </c>
      <c r="K65" s="100">
        <f t="shared" si="22"/>
        <v>0</v>
      </c>
      <c r="L65" s="73">
        <f t="shared" si="23"/>
        <v>0</v>
      </c>
      <c r="M65" s="16">
        <v>49247</v>
      </c>
      <c r="N65" s="5">
        <f>IFERROR(INDEX(Cbonds!C:H,MATCH(D65,Cbonds!C:C,0),4)/100,0)</f>
        <v>7.8305273619426005E-2</v>
      </c>
      <c r="O65" s="6">
        <f>IFERROR(INDEX(Cbonds!C:H,MATCH(D65,Cbonds!C:C,0),5),0)</f>
        <v>6.3965355117931999</v>
      </c>
      <c r="P65" s="91">
        <f>T_Bonds[[#This Row],[Market price]]-T_Bonds[[#This Row],[Cost price]]</f>
        <v>0.96947000000000005</v>
      </c>
      <c r="Q65" s="91" t="e">
        <f>T_Bonds[[#This Row],[Coupon]]/T_Bonds[[#This Row],[Cost price]]</f>
        <v>#DIV/0!</v>
      </c>
      <c r="R65" s="109">
        <f t="shared" si="28"/>
        <v>0</v>
      </c>
      <c r="S65" s="222">
        <f>IFERROR(INDEX('V004'!D:J,MATCH(D65,'V004'!D:D,0),7),0)</f>
        <v>0</v>
      </c>
      <c r="T65" s="222">
        <f>IFERROR(INDEX('V001'!D:J,MATCH(D65,'V001'!D:D,0),7),0)</f>
        <v>0</v>
      </c>
      <c r="U65" s="223">
        <f>IFERROR(S65*T_Bonds[[#This Row],[V1412]]/(T_Bonds[[#This Row],[V1412]]+T_Bonds[[#This Row],[V1430]])+T65*T_Bonds[[#This Row],[V1430]]/(T_Bonds[[#This Row],[V1412]]+T_Bonds[[#This Row],[V1430]]),0)</f>
        <v>0</v>
      </c>
      <c r="V65" s="105" t="e">
        <f t="shared" si="24"/>
        <v>#DIV/0!</v>
      </c>
      <c r="W65" s="1" t="s">
        <v>257</v>
      </c>
      <c r="X65" s="299">
        <f>IFERROR(INDEX(Cbonds!C:AF,MATCH(D65,Cbonds!C:C,0),30)/100,0)</f>
        <v>0.96947000000000005</v>
      </c>
      <c r="Y65" s="4">
        <f>INDEX('Tech list'!A:C,MATCH(T_Bonds[[#This Row],[Risk CCY]],'Tech list'!A:A,0),3)</f>
        <v>1</v>
      </c>
      <c r="Z65" s="105">
        <f>T_Bonds[[#This Row],[Market price]]*T_Bonds[[#This Row],[Quantity]]</f>
        <v>0</v>
      </c>
      <c r="AA65" s="97">
        <f t="shared" si="25"/>
        <v>0</v>
      </c>
      <c r="AB65" s="73">
        <f ca="1">T_Bonds[[#This Row],[Market value in CCY]]+T_Bonds[[#This Row],[AI, CCY]]</f>
        <v>0</v>
      </c>
      <c r="AC65" s="73">
        <f ca="1">T_Bonds[[#This Row],[Market value in USD]]+T_Bonds[[#This Row],[AI, USD]]</f>
        <v>0</v>
      </c>
      <c r="AD65" s="106">
        <f t="shared" si="26"/>
        <v>0</v>
      </c>
      <c r="AE65" s="75">
        <f ca="1">(T_Bonds[[#This Row],[Coupon in Loc.Curr]]/T_Bonds[[#This Row],[Coupons per annum]])*((TODAY()-EDATE(T_Bonds[[#This Row],[Next coupon date]],-12/T_Bonds[[#This Row],[Coupons per annum]])))/(360/T_Bonds[[#This Row],[Coupons per annum]])</f>
        <v>0</v>
      </c>
      <c r="AF65" s="73">
        <f ca="1">T_Bonds[[#This Row],[AI, CCY]]*T_Bonds[[#This Row],[Exchange rate, N]]</f>
        <v>0</v>
      </c>
      <c r="AG65" s="311">
        <f>IFERROR(IF(INDEX(Cbonds!C:AC,MATCH(D65,Cbonds!C:C,0),27)&gt;5000,0,INDEX(Cbonds!C:AC,MATCH(D65,Cbonds!C:C,0),27)),0)</f>
        <v>385.53824588497997</v>
      </c>
      <c r="AH65" s="73">
        <v>75</v>
      </c>
      <c r="AJ65" s="74"/>
      <c r="AK65" t="s">
        <v>327</v>
      </c>
      <c r="AL65" t="s">
        <v>283</v>
      </c>
      <c r="AM65" t="s">
        <v>2475</v>
      </c>
      <c r="AN65" t="s">
        <v>356</v>
      </c>
      <c r="AO65" s="340">
        <v>2</v>
      </c>
      <c r="AP65" s="17">
        <f>IFERROR(INDEX(Cbonds!C:H,MATCH(D65,Cbonds!C:C,0),3),0)</f>
        <v>46142</v>
      </c>
      <c r="AQ65" s="17">
        <f>EDATE(T_Bonds[[#This Row],[Next coupon date]],12/T_Bonds[[#This Row],[Coupons per annum]])</f>
        <v>46325</v>
      </c>
      <c r="AR65" s="17">
        <f>EDATE(T_Bonds[[#This Row],[Second next coupon date]],12/$AO65)</f>
        <v>46507</v>
      </c>
      <c r="AS65" s="17">
        <f>EDATE(T_Bonds[[#This Row],[Coupon date 3]],12/$AO65)</f>
        <v>46690</v>
      </c>
      <c r="AT65" s="25">
        <f>IF(
OR(
AT$1=MONTH($AP65),
AT$1=MONTH($AQ65),
AT$1=MONTH($AR65),
AT$1=MONTH($AS65)),
IF('CF USD'!$A$8="On",$L65,$K65)/T_Bonds[[#This Row],[Coupons per annum]],0)</f>
        <v>0</v>
      </c>
      <c r="AU65" s="25">
        <f>IF(
OR(
AU$1=MONTH($AP65),
AU$1=MONTH($AQ65),
AU$1=MONTH($AR65),
AU$1=MONTH($AS65)),
IF('CF USD'!$A$8="On",$L65,$K65)/T_Bonds[[#This Row],[Coupons per annum]],0)</f>
        <v>0</v>
      </c>
      <c r="AV65" s="25">
        <f>IF(
OR(
AV$1=MONTH($AP65),
AV$1=MONTH($AQ65),
AV$1=MONTH($AR65),
AV$1=MONTH($AS65)),
IF('CF USD'!$A$8="On",$L65,$K65)/T_Bonds[[#This Row],[Coupons per annum]],0)</f>
        <v>0</v>
      </c>
      <c r="AW65" s="25">
        <f>IF(
OR(
AW$1=MONTH($AP65),
AW$1=MONTH($AQ65),
AW$1=MONTH($AR65),
AW$1=MONTH($AS65)),
IF('CF USD'!$A$8="On",$L65,$K65)/T_Bonds[[#This Row],[Coupons per annum]],0)</f>
        <v>0</v>
      </c>
      <c r="AX65" s="25">
        <f>IF(
OR(
AX$1=MONTH($AP65),
AX$1=MONTH($AQ65),
AX$1=MONTH($AR65),
AX$1=MONTH($AS65)),
IF('CF USD'!$A$8="On",$L65,$K65)/T_Bonds[[#This Row],[Coupons per annum]],0)</f>
        <v>0</v>
      </c>
      <c r="AY65" s="25">
        <f>IF(
OR(
AY$1=MONTH($AP65),
AY$1=MONTH($AQ65),
AY$1=MONTH($AR65),
AY$1=MONTH($AS65)),
IF('CF USD'!$A$8="On",$L65,$K65)/T_Bonds[[#This Row],[Coupons per annum]],0)</f>
        <v>0</v>
      </c>
      <c r="AZ65" s="25">
        <f>IF(
OR(
AZ$1=MONTH($AP65),
AZ$1=MONTH($AQ65),
AZ$1=MONTH($AR65),
AZ$1=MONTH($AS65)),
IF('CF USD'!$A$8="On",$L65,$K65)/T_Bonds[[#This Row],[Coupons per annum]],0)</f>
        <v>0</v>
      </c>
      <c r="BA65" s="25">
        <f>IF(
OR(
BA$1=MONTH($AP65),
BA$1=MONTH($AQ65),
BA$1=MONTH($AR65),
BA$1=MONTH($AS65)),
IF('CF USD'!$A$8="On",$L65,$K65)/T_Bonds[[#This Row],[Coupons per annum]],0)</f>
        <v>0</v>
      </c>
      <c r="BB65" s="25">
        <f>IF(
OR(
BB$1=MONTH($AP65),
BB$1=MONTH($AQ65),
BB$1=MONTH($AR65),
BB$1=MONTH($AS65)),
IF('CF USD'!$A$8="On",$L65,$K65)/T_Bonds[[#This Row],[Coupons per annum]],0)</f>
        <v>0</v>
      </c>
      <c r="BC65" s="25">
        <f>IF(
OR(
BC$1=MONTH($AP65),
BC$1=MONTH($AQ65),
BC$1=MONTH($AR65),
BC$1=MONTH($AS65)),
IF('CF USD'!$A$8="On",$L65,$K65)/T_Bonds[[#This Row],[Coupons per annum]],0)</f>
        <v>0</v>
      </c>
      <c r="BD65" s="25">
        <f>IF(
OR(
BD$1=MONTH($AP65),
BD$1=MONTH($AQ65),
BD$1=MONTH($AR65),
BD$1=MONTH($AS65)),
IF('CF USD'!$A$8="On",$L65,$K65)/T_Bonds[[#This Row],[Coupons per annum]],0)</f>
        <v>0</v>
      </c>
      <c r="BE65" s="25">
        <f>IF(
OR(
BE$1=MONTH($AP65),
BE$1=MONTH($AQ65),
BE$1=MONTH($AR65),
BE$1=MONTH($AS65)),
IF('CF USD'!$A$8="On",$L65,$K65)/T_Bonds[[#This Row],[Coupons per annum]],0)</f>
        <v>0</v>
      </c>
      <c r="BF65">
        <f>DAY(T_Bonds[[#This Row],[Next coupon date]])</f>
        <v>30</v>
      </c>
    </row>
    <row r="66" spans="1:58" x14ac:dyDescent="0.25">
      <c r="A66" s="1" t="s">
        <v>178</v>
      </c>
      <c r="B66" t="s">
        <v>51</v>
      </c>
      <c r="C66" s="1" t="str">
        <f>IF(T_Bonds[[#This Row],[Call date]]&lt;&gt;"","Callable","Maturity")</f>
        <v>Maturity</v>
      </c>
      <c r="D66" s="1" t="s">
        <v>179</v>
      </c>
      <c r="E66" s="1" t="s">
        <v>18</v>
      </c>
      <c r="F66" s="22">
        <f>IFERROR(INDEX('V004'!D:E,MATCH(D66,'V004'!D:D,0),2),0)</f>
        <v>0</v>
      </c>
      <c r="G66" s="22">
        <f>IFERROR(INDEX('V001'!D:E,MATCH(D66,'V001'!D:D,0),2),0)</f>
        <v>400000</v>
      </c>
      <c r="H66" s="22">
        <f>IFERROR(INDEX(UBS!C:D,MATCH(D66,UBS!D:D,0),1),0)</f>
        <v>0</v>
      </c>
      <c r="I66" s="300">
        <f>SUM(T_Bonds[[#This Row],[V1412]:[UBS]])</f>
        <v>400000</v>
      </c>
      <c r="J66" s="74">
        <f t="shared" si="27"/>
        <v>7.8750000000000098E-2</v>
      </c>
      <c r="K66" s="100">
        <f t="shared" si="22"/>
        <v>31500.00000000004</v>
      </c>
      <c r="L66" s="73">
        <f t="shared" si="23"/>
        <v>31500.00000000004</v>
      </c>
      <c r="M66" s="16">
        <v>47588</v>
      </c>
      <c r="N66" s="5">
        <f>IFERROR(INDEX(Cbonds!C:H,MATCH(D66,Cbonds!C:C,0),4)/100,0)</f>
        <v>6.7355701270303006E-2</v>
      </c>
      <c r="O66" s="6">
        <f>IFERROR(INDEX(Cbonds!C:H,MATCH(D66,Cbonds!C:C,0),5),0)</f>
        <v>3.5538068851690001</v>
      </c>
      <c r="P66" s="91">
        <f>T_Bonds[[#This Row],[Market price]]-T_Bonds[[#This Row],[Cost price]]</f>
        <v>5.7036575000000145E-2</v>
      </c>
      <c r="Q66" s="91">
        <f>T_Bonds[[#This Row],[Coupon]]/T_Bonds[[#This Row],[Cost price]]</f>
        <v>7.7436413212205846E-2</v>
      </c>
      <c r="R66" s="109">
        <f t="shared" si="28"/>
        <v>26942.280508121203</v>
      </c>
      <c r="S66" s="222">
        <f>IFERROR(INDEX('V004'!D:J,MATCH(D66,'V004'!D:D,0),7),0)</f>
        <v>0</v>
      </c>
      <c r="T66" s="222">
        <f>IFERROR(INDEX('V001'!D:J,MATCH(D66,'V001'!D:D,0),7),0)</f>
        <v>1.0169634249999999</v>
      </c>
      <c r="U66" s="223">
        <f>IFERROR(S66*T_Bonds[[#This Row],[V1412]]/(T_Bonds[[#This Row],[V1412]]+T_Bonds[[#This Row],[V1430]])+T66*T_Bonds[[#This Row],[V1430]]/(T_Bonds[[#This Row],[V1412]]+T_Bonds[[#This Row],[V1430]]),0)</f>
        <v>1.0169634249999999</v>
      </c>
      <c r="V66" s="105">
        <f t="shared" si="24"/>
        <v>30974.565284882337</v>
      </c>
      <c r="W66" s="1" t="s">
        <v>257</v>
      </c>
      <c r="X66" s="299">
        <f>IFERROR(INDEX(Cbonds!C:AF,MATCH(D66,Cbonds!C:C,0),30)/100,0)</f>
        <v>1.0740000000000001</v>
      </c>
      <c r="Y66" s="4">
        <f>INDEX('Tech list'!A:C,MATCH(T_Bonds[[#This Row],[Risk CCY]],'Tech list'!A:A,0),3)</f>
        <v>1</v>
      </c>
      <c r="Z66" s="105">
        <f>T_Bonds[[#This Row],[Market price]]*T_Bonds[[#This Row],[Quantity]]</f>
        <v>429600</v>
      </c>
      <c r="AA66" s="97">
        <f t="shared" si="25"/>
        <v>429600</v>
      </c>
      <c r="AB66" s="73">
        <f ca="1">T_Bonds[[#This Row],[Market value in CCY]]+T_Bonds[[#This Row],[AI, CCY]]</f>
        <v>442375</v>
      </c>
      <c r="AC66" s="73">
        <f ca="1">T_Bonds[[#This Row],[Market value in USD]]+T_Bonds[[#This Row],[AI, USD]]</f>
        <v>442375</v>
      </c>
      <c r="AD66" s="106">
        <f t="shared" si="26"/>
        <v>406785.37</v>
      </c>
      <c r="AE66" s="75">
        <f ca="1">(T_Bonds[[#This Row],[Coupon in Loc.Curr]]/T_Bonds[[#This Row],[Coupons per annum]])*((TODAY()-EDATE(T_Bonds[[#This Row],[Next coupon date]],-12/T_Bonds[[#This Row],[Coupons per annum]])))/(360/T_Bonds[[#This Row],[Coupons per annum]])</f>
        <v>12775.000000000016</v>
      </c>
      <c r="AF66" s="73">
        <f ca="1">T_Bonds[[#This Row],[AI, CCY]]*T_Bonds[[#This Row],[Exchange rate, N]]</f>
        <v>12775.000000000016</v>
      </c>
      <c r="AG66" s="311">
        <f>IFERROR(IF(INDEX(Cbonds!C:AC,MATCH(D66,Cbonds!C:C,0),27)&gt;5000,0,INDEX(Cbonds!C:AC,MATCH(D66,Cbonds!C:C,0),27)),0)</f>
        <v>305.13717573418</v>
      </c>
      <c r="AH66" s="73">
        <v>30</v>
      </c>
      <c r="AJ66" s="74"/>
      <c r="AK66" t="s">
        <v>357</v>
      </c>
      <c r="AL66" t="s">
        <v>323</v>
      </c>
      <c r="AM66" t="s">
        <v>2476</v>
      </c>
      <c r="AN66" t="s">
        <v>358</v>
      </c>
      <c r="AO66" s="320">
        <v>2</v>
      </c>
      <c r="AP66" s="17">
        <f>IFERROR(INDEX(Cbonds!C:H,MATCH(D66,Cbonds!C:C,0),3),0)</f>
        <v>46127</v>
      </c>
      <c r="AQ66" s="17">
        <f>EDATE(T_Bonds[[#This Row],[Next coupon date]],12/T_Bonds[[#This Row],[Coupons per annum]])</f>
        <v>46310</v>
      </c>
      <c r="AR66" s="17">
        <f>EDATE(T_Bonds[[#This Row],[Second next coupon date]],12/$AO66)</f>
        <v>46492</v>
      </c>
      <c r="AS66" s="17">
        <f>EDATE(T_Bonds[[#This Row],[Coupon date 3]],12/$AO66)</f>
        <v>46675</v>
      </c>
      <c r="AT66" s="25">
        <f>IF(
OR(
AT$1=MONTH($AP66),
AT$1=MONTH($AQ66),
AT$1=MONTH($AR66),
AT$1=MONTH($AS66)),
IF('CF USD'!$A$8="On",$L66,$K66)/T_Bonds[[#This Row],[Coupons per annum]],0)</f>
        <v>0</v>
      </c>
      <c r="AU66" s="25">
        <f>IF(
OR(
AU$1=MONTH($AP66),
AU$1=MONTH($AQ66),
AU$1=MONTH($AR66),
AU$1=MONTH($AS66)),
IF('CF USD'!$A$8="On",$L66,$K66)/T_Bonds[[#This Row],[Coupons per annum]],0)</f>
        <v>0</v>
      </c>
      <c r="AV66" s="25">
        <f>IF(
OR(
AV$1=MONTH($AP66),
AV$1=MONTH($AQ66),
AV$1=MONTH($AR66),
AV$1=MONTH($AS66)),
IF('CF USD'!$A$8="On",$L66,$K66)/T_Bonds[[#This Row],[Coupons per annum]],0)</f>
        <v>0</v>
      </c>
      <c r="AW66" s="25">
        <f>IF(
OR(
AW$1=MONTH($AP66),
AW$1=MONTH($AQ66),
AW$1=MONTH($AR66),
AW$1=MONTH($AS66)),
IF('CF USD'!$A$8="On",$L66,$K66)/T_Bonds[[#This Row],[Coupons per annum]],0)</f>
        <v>15750.00000000002</v>
      </c>
      <c r="AX66" s="25">
        <f>IF(
OR(
AX$1=MONTH($AP66),
AX$1=MONTH($AQ66),
AX$1=MONTH($AR66),
AX$1=MONTH($AS66)),
IF('CF USD'!$A$8="On",$L66,$K66)/T_Bonds[[#This Row],[Coupons per annum]],0)</f>
        <v>0</v>
      </c>
      <c r="AY66" s="25">
        <f>IF(
OR(
AY$1=MONTH($AP66),
AY$1=MONTH($AQ66),
AY$1=MONTH($AR66),
AY$1=MONTH($AS66)),
IF('CF USD'!$A$8="On",$L66,$K66)/T_Bonds[[#This Row],[Coupons per annum]],0)</f>
        <v>0</v>
      </c>
      <c r="AZ66" s="25">
        <f>IF(
OR(
AZ$1=MONTH($AP66),
AZ$1=MONTH($AQ66),
AZ$1=MONTH($AR66),
AZ$1=MONTH($AS66)),
IF('CF USD'!$A$8="On",$L66,$K66)/T_Bonds[[#This Row],[Coupons per annum]],0)</f>
        <v>0</v>
      </c>
      <c r="BA66" s="25">
        <f>IF(
OR(
BA$1=MONTH($AP66),
BA$1=MONTH($AQ66),
BA$1=MONTH($AR66),
BA$1=MONTH($AS66)),
IF('CF USD'!$A$8="On",$L66,$K66)/T_Bonds[[#This Row],[Coupons per annum]],0)</f>
        <v>0</v>
      </c>
      <c r="BB66" s="25">
        <f>IF(
OR(
BB$1=MONTH($AP66),
BB$1=MONTH($AQ66),
BB$1=MONTH($AR66),
BB$1=MONTH($AS66)),
IF('CF USD'!$A$8="On",$L66,$K66)/T_Bonds[[#This Row],[Coupons per annum]],0)</f>
        <v>0</v>
      </c>
      <c r="BC66" s="25">
        <f>IF(
OR(
BC$1=MONTH($AP66),
BC$1=MONTH($AQ66),
BC$1=MONTH($AR66),
BC$1=MONTH($AS66)),
IF('CF USD'!$A$8="On",$L66,$K66)/T_Bonds[[#This Row],[Coupons per annum]],0)</f>
        <v>15750.00000000002</v>
      </c>
      <c r="BD66" s="25">
        <f>IF(
OR(
BD$1=MONTH($AP66),
BD$1=MONTH($AQ66),
BD$1=MONTH($AR66),
BD$1=MONTH($AS66)),
IF('CF USD'!$A$8="On",$L66,$K66)/T_Bonds[[#This Row],[Coupons per annum]],0)</f>
        <v>0</v>
      </c>
      <c r="BE66" s="25">
        <f>IF(
OR(
BE$1=MONTH($AP66),
BE$1=MONTH($AQ66),
BE$1=MONTH($AR66),
BE$1=MONTH($AS66)),
IF('CF USD'!$A$8="On",$L66,$K66)/T_Bonds[[#This Row],[Coupons per annum]],0)</f>
        <v>0</v>
      </c>
      <c r="BF66">
        <f>DAY(T_Bonds[[#This Row],[Next coupon date]])</f>
        <v>15</v>
      </c>
    </row>
    <row r="67" spans="1:58" x14ac:dyDescent="0.25">
      <c r="A67" s="120" t="s">
        <v>180</v>
      </c>
      <c r="B67" t="s">
        <v>51</v>
      </c>
      <c r="C67" s="120" t="str">
        <f>IF(T_Bonds[[#This Row],[Call date]]&lt;&gt;"","Callable","Maturity")</f>
        <v>Maturity</v>
      </c>
      <c r="D67" s="120" t="s">
        <v>181</v>
      </c>
      <c r="E67" s="120" t="s">
        <v>18</v>
      </c>
      <c r="F67" s="22">
        <f>IFERROR(INDEX('V004'!D:E,MATCH(D67,'V004'!D:D,0),2),0)</f>
        <v>1000000</v>
      </c>
      <c r="G67" s="22">
        <f>IFERROR(INDEX('V001'!D:E,MATCH(D67,'V001'!D:D,0),2),0)</f>
        <v>0</v>
      </c>
      <c r="H67" s="22">
        <f>IFERROR(INDEX(UBS!C:D,MATCH(D67,UBS!D:D,0),1),0)</f>
        <v>0</v>
      </c>
      <c r="I67" s="300">
        <f>SUM(T_Bonds[[#This Row],[V1412]:[UBS]])</f>
        <v>1000000</v>
      </c>
      <c r="J67" s="121">
        <f t="shared" si="27"/>
        <v>6.0000000000000053E-2</v>
      </c>
      <c r="K67" s="122">
        <f t="shared" si="22"/>
        <v>60000.000000000051</v>
      </c>
      <c r="L67" s="122">
        <f t="shared" si="23"/>
        <v>60000.000000000051</v>
      </c>
      <c r="M67" s="123">
        <v>49322</v>
      </c>
      <c r="N67" s="5">
        <f>IFERROR(INDEX(Cbonds!C:H,MATCH(D67,Cbonds!C:C,0),4)/100,0)</f>
        <v>6.2682421595985E-2</v>
      </c>
      <c r="O67" s="6">
        <f>IFERROR(INDEX(Cbonds!C:H,MATCH(D67,Cbonds!C:C,0),5),0)</f>
        <v>6.9289661955008004</v>
      </c>
      <c r="P67" s="91">
        <f>T_Bonds[[#This Row],[Market price]]-T_Bonds[[#This Row],[Cost price]]</f>
        <v>5.9400000000000008E-2</v>
      </c>
      <c r="Q67" s="91">
        <f>T_Bonds[[#This Row],[Coupon]]/T_Bonds[[#This Row],[Cost price]]</f>
        <v>6.4599483204134431E-2</v>
      </c>
      <c r="R67" s="124">
        <f t="shared" si="28"/>
        <v>62682.421595984997</v>
      </c>
      <c r="S67" s="222">
        <f>IFERROR(INDEX('V004'!D:J,MATCH(D67,'V004'!D:D,0),7),0)</f>
        <v>0.92879999999999996</v>
      </c>
      <c r="T67" s="222">
        <f>IFERROR(INDEX('V001'!D:J,MATCH(D67,'V001'!D:D,0),7),0)</f>
        <v>0</v>
      </c>
      <c r="U67" s="223">
        <f>IFERROR(S67*T_Bonds[[#This Row],[V1412]]/(T_Bonds[[#This Row],[V1412]]+T_Bonds[[#This Row],[V1430]])+T67*T_Bonds[[#This Row],[V1430]]/(T_Bonds[[#This Row],[V1412]]+T_Bonds[[#This Row],[V1430]]),0)</f>
        <v>0.92879999999999996</v>
      </c>
      <c r="V67" s="122">
        <f t="shared" si="24"/>
        <v>64599.483204134427</v>
      </c>
      <c r="W67" s="125"/>
      <c r="X67" s="299">
        <f>IFERROR(INDEX(Cbonds!C:AF,MATCH(D67,Cbonds!C:C,0),30)/100,0)</f>
        <v>0.98819999999999997</v>
      </c>
      <c r="Y67" s="126">
        <f>INDEX('Tech list'!A:C,MATCH(T_Bonds[[#This Row],[Risk CCY]],'Tech list'!A:A,0),3)</f>
        <v>1</v>
      </c>
      <c r="Z67" s="127">
        <f>T_Bonds[[#This Row],[Market price]]*T_Bonds[[#This Row],[Quantity]]</f>
        <v>988200</v>
      </c>
      <c r="AA67" s="127">
        <f t="shared" si="25"/>
        <v>988200</v>
      </c>
      <c r="AB67" s="73">
        <f ca="1">T_Bonds[[#This Row],[Market value in CCY]]+T_Bonds[[#This Row],[AI, CCY]]</f>
        <v>997533.33333333337</v>
      </c>
      <c r="AC67" s="73">
        <f ca="1">T_Bonds[[#This Row],[Market value in USD]]+T_Bonds[[#This Row],[AI, USD]]</f>
        <v>997533.33333333337</v>
      </c>
      <c r="AD67" s="127">
        <f t="shared" si="26"/>
        <v>928800</v>
      </c>
      <c r="AE67" s="75">
        <f ca="1">(T_Bonds[[#This Row],[Coupon in Loc.Curr]]/T_Bonds[[#This Row],[Coupons per annum]])*((TODAY()-EDATE(T_Bonds[[#This Row],[Next coupon date]],-12/T_Bonds[[#This Row],[Coupons per annum]])))/(360/T_Bonds[[#This Row],[Coupons per annum]])</f>
        <v>9333.3333333333412</v>
      </c>
      <c r="AF67" s="73">
        <f ca="1">T_Bonds[[#This Row],[AI, CCY]]*T_Bonds[[#This Row],[Exchange rate, N]]</f>
        <v>9333.3333333333412</v>
      </c>
      <c r="AG67" s="311">
        <f>IFERROR(IF(INDEX(Cbonds!C:AC,MATCH(D67,Cbonds!C:C,0),27)&gt;5000,0,INDEX(Cbonds!C:AC,MATCH(D67,Cbonds!C:C,0),27)),0)</f>
        <v>223.73752236183</v>
      </c>
      <c r="AH67" s="73">
        <v>30</v>
      </c>
      <c r="AJ67" s="210"/>
      <c r="AK67" t="s">
        <v>258</v>
      </c>
      <c r="AL67" t="s">
        <v>276</v>
      </c>
      <c r="AM67" t="s">
        <v>2476</v>
      </c>
      <c r="AN67" t="s">
        <v>292</v>
      </c>
      <c r="AO67" s="320">
        <v>2</v>
      </c>
      <c r="AP67" s="17">
        <f>IFERROR(INDEX(Cbonds!C:H,MATCH(D67,Cbonds!C:C,0),3),0)</f>
        <v>46216</v>
      </c>
      <c r="AQ67" s="17">
        <f>EDATE(T_Bonds[[#This Row],[Next coupon date]],12/T_Bonds[[#This Row],[Coupons per annum]])</f>
        <v>46400</v>
      </c>
      <c r="AR67" s="17">
        <f>EDATE(T_Bonds[[#This Row],[Second next coupon date]],12/$AO67)</f>
        <v>46581</v>
      </c>
      <c r="AS67" s="17">
        <f>EDATE(T_Bonds[[#This Row],[Coupon date 3]],12/$AO67)</f>
        <v>46765</v>
      </c>
      <c r="AT67" s="25">
        <f>IF(
OR(
AT$1=MONTH($AP67),
AT$1=MONTH($AQ67),
AT$1=MONTH($AR67),
AT$1=MONTH($AS67)),
IF('CF USD'!$A$8="On",$L67,$K67)/T_Bonds[[#This Row],[Coupons per annum]],0)</f>
        <v>30000.000000000025</v>
      </c>
      <c r="AU67" s="25">
        <f>IF(
OR(
AU$1=MONTH($AP67),
AU$1=MONTH($AQ67),
AU$1=MONTH($AR67),
AU$1=MONTH($AS67)),
IF('CF USD'!$A$8="On",$L67,$K67)/T_Bonds[[#This Row],[Coupons per annum]],0)</f>
        <v>0</v>
      </c>
      <c r="AV67" s="25">
        <f>IF(
OR(
AV$1=MONTH($AP67),
AV$1=MONTH($AQ67),
AV$1=MONTH($AR67),
AV$1=MONTH($AS67)),
IF('CF USD'!$A$8="On",$L67,$K67)/T_Bonds[[#This Row],[Coupons per annum]],0)</f>
        <v>0</v>
      </c>
      <c r="AW67" s="25">
        <f>IF(
OR(
AW$1=MONTH($AP67),
AW$1=MONTH($AQ67),
AW$1=MONTH($AR67),
AW$1=MONTH($AS67)),
IF('CF USD'!$A$8="On",$L67,$K67)/T_Bonds[[#This Row],[Coupons per annum]],0)</f>
        <v>0</v>
      </c>
      <c r="AX67" s="25">
        <f>IF(
OR(
AX$1=MONTH($AP67),
AX$1=MONTH($AQ67),
AX$1=MONTH($AR67),
AX$1=MONTH($AS67)),
IF('CF USD'!$A$8="On",$L67,$K67)/T_Bonds[[#This Row],[Coupons per annum]],0)</f>
        <v>0</v>
      </c>
      <c r="AY67" s="25">
        <f>IF(
OR(
AY$1=MONTH($AP67),
AY$1=MONTH($AQ67),
AY$1=MONTH($AR67),
AY$1=MONTH($AS67)),
IF('CF USD'!$A$8="On",$L67,$K67)/T_Bonds[[#This Row],[Coupons per annum]],0)</f>
        <v>0</v>
      </c>
      <c r="AZ67" s="25">
        <f>IF(
OR(
AZ$1=MONTH($AP67),
AZ$1=MONTH($AQ67),
AZ$1=MONTH($AR67),
AZ$1=MONTH($AS67)),
IF('CF USD'!$A$8="On",$L67,$K67)/T_Bonds[[#This Row],[Coupons per annum]],0)</f>
        <v>30000.000000000025</v>
      </c>
      <c r="BA67" s="25">
        <f>IF(
OR(
BA$1=MONTH($AP67),
BA$1=MONTH($AQ67),
BA$1=MONTH($AR67),
BA$1=MONTH($AS67)),
IF('CF USD'!$A$8="On",$L67,$K67)/T_Bonds[[#This Row],[Coupons per annum]],0)</f>
        <v>0</v>
      </c>
      <c r="BB67" s="25">
        <f>IF(
OR(
BB$1=MONTH($AP67),
BB$1=MONTH($AQ67),
BB$1=MONTH($AR67),
BB$1=MONTH($AS67)),
IF('CF USD'!$A$8="On",$L67,$K67)/T_Bonds[[#This Row],[Coupons per annum]],0)</f>
        <v>0</v>
      </c>
      <c r="BC67" s="25">
        <f>IF(
OR(
BC$1=MONTH($AP67),
BC$1=MONTH($AQ67),
BC$1=MONTH($AR67),
BC$1=MONTH($AS67)),
IF('CF USD'!$A$8="On",$L67,$K67)/T_Bonds[[#This Row],[Coupons per annum]],0)</f>
        <v>0</v>
      </c>
      <c r="BD67" s="25">
        <f>IF(
OR(
BD$1=MONTH($AP67),
BD$1=MONTH($AQ67),
BD$1=MONTH($AR67),
BD$1=MONTH($AS67)),
IF('CF USD'!$A$8="On",$L67,$K67)/T_Bonds[[#This Row],[Coupons per annum]],0)</f>
        <v>0</v>
      </c>
      <c r="BE67" s="25">
        <f>IF(
OR(
BE$1=MONTH($AP67),
BE$1=MONTH($AQ67),
BE$1=MONTH($AR67),
BE$1=MONTH($AS67)),
IF('CF USD'!$A$8="On",$L67,$K67)/T_Bonds[[#This Row],[Coupons per annum]],0)</f>
        <v>0</v>
      </c>
      <c r="BF67">
        <f>DAY(T_Bonds[[#This Row],[Next coupon date]])</f>
        <v>13</v>
      </c>
    </row>
    <row r="68" spans="1:58" x14ac:dyDescent="0.25">
      <c r="A68" s="120" t="s">
        <v>183</v>
      </c>
      <c r="B68" t="s">
        <v>51</v>
      </c>
      <c r="C68" s="120" t="str">
        <f>IF(T_Bonds[[#This Row],[Call date]]&lt;&gt;"","Callable","Maturity")</f>
        <v>Maturity</v>
      </c>
      <c r="D68" s="120" t="s">
        <v>184</v>
      </c>
      <c r="E68" s="120" t="s">
        <v>18</v>
      </c>
      <c r="F68" s="22">
        <f>IFERROR(INDEX('V004'!D:E,MATCH(D68,'V004'!D:D,0),2),0)</f>
        <v>1000000</v>
      </c>
      <c r="G68" s="22">
        <f>IFERROR(INDEX('V001'!D:E,MATCH(D68,'V001'!D:D,0),2),0)</f>
        <v>0</v>
      </c>
      <c r="H68" s="22">
        <f>IFERROR(INDEX(UBS!C:D,MATCH(D68,UBS!D:D,0),1),0)</f>
        <v>0</v>
      </c>
      <c r="I68" s="300">
        <f>SUM(T_Bonds[[#This Row],[V1412]:[UBS]])</f>
        <v>1000000</v>
      </c>
      <c r="J68" s="121">
        <f t="shared" si="27"/>
        <v>7.6500000000000012E-2</v>
      </c>
      <c r="K68" s="122">
        <f t="shared" si="22"/>
        <v>76500.000000000015</v>
      </c>
      <c r="L68" s="122">
        <f t="shared" si="23"/>
        <v>76500.000000000015</v>
      </c>
      <c r="M68" s="123">
        <v>48237</v>
      </c>
      <c r="N68" s="5">
        <f>IFERROR(INDEX(Cbonds!C:H,MATCH(D68,Cbonds!C:C,0),4)/100,0)</f>
        <v>6.5682747673122002E-2</v>
      </c>
      <c r="O68" s="6">
        <f>IFERROR(INDEX(Cbonds!C:H,MATCH(D68,Cbonds!C:C,0),5),0)</f>
        <v>4.8754398854663004</v>
      </c>
      <c r="P68" s="91">
        <f>T_Bonds[[#This Row],[Market price]]-T_Bonds[[#This Row],[Cost price]]</f>
        <v>5.8100000000000041E-2</v>
      </c>
      <c r="Q68" s="91">
        <f>T_Bonds[[#This Row],[Coupon]]/T_Bonds[[#This Row],[Cost price]]</f>
        <v>7.6500000000000012E-2</v>
      </c>
      <c r="R68" s="124">
        <f t="shared" si="28"/>
        <v>65682.747673122009</v>
      </c>
      <c r="S68" s="222">
        <f>IFERROR(INDEX('V004'!D:J,MATCH(D68,'V004'!D:D,0),7),0)</f>
        <v>1</v>
      </c>
      <c r="T68" s="222">
        <f>IFERROR(INDEX('V001'!D:J,MATCH(D68,'V001'!D:D,0),7),0)</f>
        <v>0</v>
      </c>
      <c r="U68" s="223">
        <f>IFERROR(S68*T_Bonds[[#This Row],[V1412]]/(T_Bonds[[#This Row],[V1412]]+T_Bonds[[#This Row],[V1430]])+T68*T_Bonds[[#This Row],[V1430]]/(T_Bonds[[#This Row],[V1412]]+T_Bonds[[#This Row],[V1430]]),0)</f>
        <v>1</v>
      </c>
      <c r="V68" s="122">
        <f t="shared" si="24"/>
        <v>76500.000000000015</v>
      </c>
      <c r="W68" s="125"/>
      <c r="X68" s="299">
        <f>IFERROR(INDEX(Cbonds!C:AF,MATCH(D68,Cbonds!C:C,0),30)/100,0)</f>
        <v>1.0581</v>
      </c>
      <c r="Y68" s="126">
        <f>INDEX('Tech list'!A:C,MATCH(T_Bonds[[#This Row],[Risk CCY]],'Tech list'!A:A,0),3)</f>
        <v>1</v>
      </c>
      <c r="Z68" s="127">
        <f>T_Bonds[[#This Row],[Market price]]*T_Bonds[[#This Row],[Quantity]]</f>
        <v>1058100</v>
      </c>
      <c r="AA68" s="127">
        <f t="shared" si="25"/>
        <v>1058100</v>
      </c>
      <c r="AB68" s="73">
        <f ca="1">T_Bonds[[#This Row],[Market value in CCY]]+T_Bonds[[#This Row],[AI, CCY]]</f>
        <v>1067662.5</v>
      </c>
      <c r="AC68" s="73">
        <f ca="1">T_Bonds[[#This Row],[Market value in USD]]+T_Bonds[[#This Row],[AI, USD]]</f>
        <v>1067662.5</v>
      </c>
      <c r="AD68" s="127">
        <f t="shared" si="26"/>
        <v>1000000</v>
      </c>
      <c r="AE68" s="75">
        <f ca="1">(T_Bonds[[#This Row],[Coupon in Loc.Curr]]/T_Bonds[[#This Row],[Coupons per annum]])*((TODAY()-EDATE(T_Bonds[[#This Row],[Next coupon date]],-12/T_Bonds[[#This Row],[Coupons per annum]])))/(360/T_Bonds[[#This Row],[Coupons per annum]])</f>
        <v>9562.5000000000018</v>
      </c>
      <c r="AF68" s="73">
        <f ca="1">T_Bonds[[#This Row],[AI, CCY]]*T_Bonds[[#This Row],[Exchange rate, N]]</f>
        <v>9562.5000000000018</v>
      </c>
      <c r="AG68" s="311">
        <f>IFERROR(IF(INDEX(Cbonds!C:AC,MATCH(D68,Cbonds!C:C,0),27)&gt;5000,0,INDEX(Cbonds!C:AC,MATCH(D68,Cbonds!C:C,0),27)),0)</f>
        <v>275.39469812197001</v>
      </c>
      <c r="AH68" s="73">
        <v>30</v>
      </c>
      <c r="AJ68" s="210"/>
      <c r="AK68" t="s">
        <v>308</v>
      </c>
      <c r="AL68" t="s">
        <v>281</v>
      </c>
      <c r="AM68" t="s">
        <v>2476</v>
      </c>
      <c r="AN68" t="s">
        <v>359</v>
      </c>
      <c r="AO68" s="320">
        <v>2</v>
      </c>
      <c r="AP68" s="17">
        <f>IFERROR(INDEX(Cbonds!C:H,MATCH(D68,Cbonds!C:C,0),3),0)</f>
        <v>46227</v>
      </c>
      <c r="AQ68" s="17">
        <f>EDATE(T_Bonds[[#This Row],[Next coupon date]],12/T_Bonds[[#This Row],[Coupons per annum]])</f>
        <v>46411</v>
      </c>
      <c r="AR68" s="17">
        <f>EDATE(T_Bonds[[#This Row],[Second next coupon date]],12/$AO68)</f>
        <v>46592</v>
      </c>
      <c r="AS68" s="17">
        <f>EDATE(T_Bonds[[#This Row],[Coupon date 3]],12/$AO68)</f>
        <v>46776</v>
      </c>
      <c r="AT68" s="25">
        <f>IF(
OR(
AT$1=MONTH($AP68),
AT$1=MONTH($AQ68),
AT$1=MONTH($AR68),
AT$1=MONTH($AS68)),
IF('CF USD'!$A$8="On",$L68,$K68)/T_Bonds[[#This Row],[Coupons per annum]],0)</f>
        <v>38250.000000000007</v>
      </c>
      <c r="AU68" s="25">
        <f>IF(
OR(
AU$1=MONTH($AP68),
AU$1=MONTH($AQ68),
AU$1=MONTH($AR68),
AU$1=MONTH($AS68)),
IF('CF USD'!$A$8="On",$L68,$K68)/T_Bonds[[#This Row],[Coupons per annum]],0)</f>
        <v>0</v>
      </c>
      <c r="AV68" s="25">
        <f>IF(
OR(
AV$1=MONTH($AP68),
AV$1=MONTH($AQ68),
AV$1=MONTH($AR68),
AV$1=MONTH($AS68)),
IF('CF USD'!$A$8="On",$L68,$K68)/T_Bonds[[#This Row],[Coupons per annum]],0)</f>
        <v>0</v>
      </c>
      <c r="AW68" s="25">
        <f>IF(
OR(
AW$1=MONTH($AP68),
AW$1=MONTH($AQ68),
AW$1=MONTH($AR68),
AW$1=MONTH($AS68)),
IF('CF USD'!$A$8="On",$L68,$K68)/T_Bonds[[#This Row],[Coupons per annum]],0)</f>
        <v>0</v>
      </c>
      <c r="AX68" s="25">
        <f>IF(
OR(
AX$1=MONTH($AP68),
AX$1=MONTH($AQ68),
AX$1=MONTH($AR68),
AX$1=MONTH($AS68)),
IF('CF USD'!$A$8="On",$L68,$K68)/T_Bonds[[#This Row],[Coupons per annum]],0)</f>
        <v>0</v>
      </c>
      <c r="AY68" s="25">
        <f>IF(
OR(
AY$1=MONTH($AP68),
AY$1=MONTH($AQ68),
AY$1=MONTH($AR68),
AY$1=MONTH($AS68)),
IF('CF USD'!$A$8="On",$L68,$K68)/T_Bonds[[#This Row],[Coupons per annum]],0)</f>
        <v>0</v>
      </c>
      <c r="AZ68" s="25">
        <f>IF(
OR(
AZ$1=MONTH($AP68),
AZ$1=MONTH($AQ68),
AZ$1=MONTH($AR68),
AZ$1=MONTH($AS68)),
IF('CF USD'!$A$8="On",$L68,$K68)/T_Bonds[[#This Row],[Coupons per annum]],0)</f>
        <v>38250.000000000007</v>
      </c>
      <c r="BA68" s="25">
        <f>IF(
OR(
BA$1=MONTH($AP68),
BA$1=MONTH($AQ68),
BA$1=MONTH($AR68),
BA$1=MONTH($AS68)),
IF('CF USD'!$A$8="On",$L68,$K68)/T_Bonds[[#This Row],[Coupons per annum]],0)</f>
        <v>0</v>
      </c>
      <c r="BB68" s="25">
        <f>IF(
OR(
BB$1=MONTH($AP68),
BB$1=MONTH($AQ68),
BB$1=MONTH($AR68),
BB$1=MONTH($AS68)),
IF('CF USD'!$A$8="On",$L68,$K68)/T_Bonds[[#This Row],[Coupons per annum]],0)</f>
        <v>0</v>
      </c>
      <c r="BC68" s="25">
        <f>IF(
OR(
BC$1=MONTH($AP68),
BC$1=MONTH($AQ68),
BC$1=MONTH($AR68),
BC$1=MONTH($AS68)),
IF('CF USD'!$A$8="On",$L68,$K68)/T_Bonds[[#This Row],[Coupons per annum]],0)</f>
        <v>0</v>
      </c>
      <c r="BD68" s="25">
        <f>IF(
OR(
BD$1=MONTH($AP68),
BD$1=MONTH($AQ68),
BD$1=MONTH($AR68),
BD$1=MONTH($AS68)),
IF('CF USD'!$A$8="On",$L68,$K68)/T_Bonds[[#This Row],[Coupons per annum]],0)</f>
        <v>0</v>
      </c>
      <c r="BE68" s="25">
        <f>IF(
OR(
BE$1=MONTH($AP68),
BE$1=MONTH($AQ68),
BE$1=MONTH($AR68),
BE$1=MONTH($AS68)),
IF('CF USD'!$A$8="On",$L68,$K68)/T_Bonds[[#This Row],[Coupons per annum]],0)</f>
        <v>0</v>
      </c>
      <c r="BF68">
        <f>DAY(T_Bonds[[#This Row],[Next coupon date]])</f>
        <v>24</v>
      </c>
    </row>
    <row r="69" spans="1:58" x14ac:dyDescent="0.25">
      <c r="A69" s="120" t="s">
        <v>185</v>
      </c>
      <c r="B69" t="s">
        <v>51</v>
      </c>
      <c r="C69" s="120" t="str">
        <f>IF(T_Bonds[[#This Row],[Call date]]&lt;&gt;"","Callable","Maturity")</f>
        <v>Maturity</v>
      </c>
      <c r="D69" s="120" t="s">
        <v>186</v>
      </c>
      <c r="E69" s="120" t="s">
        <v>18</v>
      </c>
      <c r="F69" s="22">
        <f>IFERROR(INDEX('V004'!D:E,MATCH(D69,'V004'!D:D,0),2),0)</f>
        <v>800000</v>
      </c>
      <c r="G69" s="22">
        <f>IFERROR(INDEX('V001'!D:E,MATCH(D69,'V001'!D:D,0),2),0)</f>
        <v>0</v>
      </c>
      <c r="H69" s="22">
        <f>IFERROR(INDEX(UBS!C:D,MATCH(D69,UBS!D:D,0),1),0)</f>
        <v>0</v>
      </c>
      <c r="I69" s="300">
        <f>SUM(T_Bonds[[#This Row],[V1412]:[UBS]])</f>
        <v>800000</v>
      </c>
      <c r="J69" s="121">
        <f t="shared" si="27"/>
        <v>9.8500000000000032E-2</v>
      </c>
      <c r="K69" s="122">
        <f t="shared" si="22"/>
        <v>78800.000000000029</v>
      </c>
      <c r="L69" s="122">
        <f t="shared" si="23"/>
        <v>78800.000000000029</v>
      </c>
      <c r="M69" s="123">
        <v>48693</v>
      </c>
      <c r="N69" s="5">
        <f>IFERROR(INDEX(Cbonds!C:H,MATCH(D69,Cbonds!C:C,0),4)/100,0)</f>
        <v>8.6005081786376003E-2</v>
      </c>
      <c r="O69" s="6">
        <f>IFERROR(INDEX(Cbonds!C:H,MATCH(D69,Cbonds!C:C,0),5),0)</f>
        <v>5.2205576973622003</v>
      </c>
      <c r="P69" s="91">
        <f>T_Bonds[[#This Row],[Market price]]-T_Bonds[[#This Row],[Cost price]]</f>
        <v>8.0150000000000055E-2</v>
      </c>
      <c r="Q69" s="91">
        <f>T_Bonds[[#This Row],[Coupon]]/T_Bonds[[#This Row],[Cost price]]</f>
        <v>9.8920411749937265E-2</v>
      </c>
      <c r="R69" s="124">
        <f t="shared" si="28"/>
        <v>68804.065429100796</v>
      </c>
      <c r="S69" s="222">
        <f>IFERROR(INDEX('V004'!D:J,MATCH(D69,'V004'!D:D,0),7),0)</f>
        <v>0.99575000000000002</v>
      </c>
      <c r="T69" s="222">
        <f>IFERROR(INDEX('V001'!D:J,MATCH(D69,'V001'!D:D,0),7),0)</f>
        <v>0</v>
      </c>
      <c r="U69" s="223">
        <f>IFERROR(S69*T_Bonds[[#This Row],[V1412]]/(T_Bonds[[#This Row],[V1412]]+T_Bonds[[#This Row],[V1430]])+T69*T_Bonds[[#This Row],[V1430]]/(T_Bonds[[#This Row],[V1412]]+T_Bonds[[#This Row],[V1430]]),0)</f>
        <v>0.99575000000000002</v>
      </c>
      <c r="V69" s="122">
        <f t="shared" si="24"/>
        <v>79136.329399949813</v>
      </c>
      <c r="W69" s="125"/>
      <c r="X69" s="299">
        <f>IFERROR(INDEX(Cbonds!C:AF,MATCH(D69,Cbonds!C:C,0),30)/100,0)</f>
        <v>1.0759000000000001</v>
      </c>
      <c r="Y69" s="126">
        <f>INDEX('Tech list'!A:C,MATCH(T_Bonds[[#This Row],[Risk CCY]],'Tech list'!A:A,0),3)</f>
        <v>1</v>
      </c>
      <c r="Z69" s="127">
        <f>T_Bonds[[#This Row],[Market price]]*T_Bonds[[#This Row],[Quantity]]</f>
        <v>860720.00000000012</v>
      </c>
      <c r="AA69" s="127">
        <f t="shared" si="25"/>
        <v>860720.00000000012</v>
      </c>
      <c r="AB69" s="73">
        <f ca="1">T_Bonds[[#This Row],[Market value in CCY]]+T_Bonds[[#This Row],[AI, CCY]]</f>
        <v>890707.77777777787</v>
      </c>
      <c r="AC69" s="73">
        <f ca="1">T_Bonds[[#This Row],[Market value in USD]]+T_Bonds[[#This Row],[AI, USD]]</f>
        <v>890707.77777777787</v>
      </c>
      <c r="AD69" s="127">
        <f t="shared" si="26"/>
        <v>796600</v>
      </c>
      <c r="AE69" s="75">
        <f ca="1">(T_Bonds[[#This Row],[Coupon in Loc.Curr]]/T_Bonds[[#This Row],[Coupons per annum]])*((TODAY()-EDATE(T_Bonds[[#This Row],[Next coupon date]],-12/T_Bonds[[#This Row],[Coupons per annum]])))/(360/T_Bonds[[#This Row],[Coupons per annum]])</f>
        <v>29987.777777777788</v>
      </c>
      <c r="AF69" s="73">
        <f ca="1">T_Bonds[[#This Row],[AI, CCY]]*T_Bonds[[#This Row],[Exchange rate, N]]</f>
        <v>29987.777777777788</v>
      </c>
      <c r="AG69" s="311">
        <f>IFERROR(IF(INDEX(Cbonds!C:AC,MATCH(D69,Cbonds!C:C,0),27)&gt;5000,0,INDEX(Cbonds!C:AC,MATCH(D69,Cbonds!C:C,0),27)),0)</f>
        <v>474.99566764887999</v>
      </c>
      <c r="AH69" s="73">
        <v>0</v>
      </c>
      <c r="AJ69" s="210"/>
      <c r="AK69" t="s">
        <v>261</v>
      </c>
      <c r="AL69" t="s">
        <v>262</v>
      </c>
      <c r="AM69" t="s">
        <v>2476</v>
      </c>
      <c r="AN69" t="s">
        <v>263</v>
      </c>
      <c r="AO69" s="320">
        <v>2</v>
      </c>
      <c r="AP69" s="17">
        <f>IFERROR(INDEX(Cbonds!C:H,MATCH(D69,Cbonds!C:C,0),3),0)</f>
        <v>46136</v>
      </c>
      <c r="AQ69" s="17">
        <f>EDATE(T_Bonds[[#This Row],[Next coupon date]],12/T_Bonds[[#This Row],[Coupons per annum]])</f>
        <v>46319</v>
      </c>
      <c r="AR69" s="17">
        <f>EDATE(T_Bonds[[#This Row],[Second next coupon date]],12/$AO69)</f>
        <v>46501</v>
      </c>
      <c r="AS69" s="17">
        <f>EDATE(T_Bonds[[#This Row],[Coupon date 3]],12/$AO69)</f>
        <v>46684</v>
      </c>
      <c r="AT69" s="25">
        <f>IF(
OR(
AT$1=MONTH($AP69),
AT$1=MONTH($AQ69),
AT$1=MONTH($AR69),
AT$1=MONTH($AS69)),
IF('CF USD'!$A$8="On",$L69,$K69)/T_Bonds[[#This Row],[Coupons per annum]],0)</f>
        <v>0</v>
      </c>
      <c r="AU69" s="25">
        <f>IF(
OR(
AU$1=MONTH($AP69),
AU$1=MONTH($AQ69),
AU$1=MONTH($AR69),
AU$1=MONTH($AS69)),
IF('CF USD'!$A$8="On",$L69,$K69)/T_Bonds[[#This Row],[Coupons per annum]],0)</f>
        <v>0</v>
      </c>
      <c r="AV69" s="25">
        <f>IF(
OR(
AV$1=MONTH($AP69),
AV$1=MONTH($AQ69),
AV$1=MONTH($AR69),
AV$1=MONTH($AS69)),
IF('CF USD'!$A$8="On",$L69,$K69)/T_Bonds[[#This Row],[Coupons per annum]],0)</f>
        <v>0</v>
      </c>
      <c r="AW69" s="25">
        <f>IF(
OR(
AW$1=MONTH($AP69),
AW$1=MONTH($AQ69),
AW$1=MONTH($AR69),
AW$1=MONTH($AS69)),
IF('CF USD'!$A$8="On",$L69,$K69)/T_Bonds[[#This Row],[Coupons per annum]],0)</f>
        <v>39400.000000000015</v>
      </c>
      <c r="AX69" s="25">
        <f>IF(
OR(
AX$1=MONTH($AP69),
AX$1=MONTH($AQ69),
AX$1=MONTH($AR69),
AX$1=MONTH($AS69)),
IF('CF USD'!$A$8="On",$L69,$K69)/T_Bonds[[#This Row],[Coupons per annum]],0)</f>
        <v>0</v>
      </c>
      <c r="AY69" s="25">
        <f>IF(
OR(
AY$1=MONTH($AP69),
AY$1=MONTH($AQ69),
AY$1=MONTH($AR69),
AY$1=MONTH($AS69)),
IF('CF USD'!$A$8="On",$L69,$K69)/T_Bonds[[#This Row],[Coupons per annum]],0)</f>
        <v>0</v>
      </c>
      <c r="AZ69" s="25">
        <f>IF(
OR(
AZ$1=MONTH($AP69),
AZ$1=MONTH($AQ69),
AZ$1=MONTH($AR69),
AZ$1=MONTH($AS69)),
IF('CF USD'!$A$8="On",$L69,$K69)/T_Bonds[[#This Row],[Coupons per annum]],0)</f>
        <v>0</v>
      </c>
      <c r="BA69" s="25">
        <f>IF(
OR(
BA$1=MONTH($AP69),
BA$1=MONTH($AQ69),
BA$1=MONTH($AR69),
BA$1=MONTH($AS69)),
IF('CF USD'!$A$8="On",$L69,$K69)/T_Bonds[[#This Row],[Coupons per annum]],0)</f>
        <v>0</v>
      </c>
      <c r="BB69" s="25">
        <f>IF(
OR(
BB$1=MONTH($AP69),
BB$1=MONTH($AQ69),
BB$1=MONTH($AR69),
BB$1=MONTH($AS69)),
IF('CF USD'!$A$8="On",$L69,$K69)/T_Bonds[[#This Row],[Coupons per annum]],0)</f>
        <v>0</v>
      </c>
      <c r="BC69" s="25">
        <f>IF(
OR(
BC$1=MONTH($AP69),
BC$1=MONTH($AQ69),
BC$1=MONTH($AR69),
BC$1=MONTH($AS69)),
IF('CF USD'!$A$8="On",$L69,$K69)/T_Bonds[[#This Row],[Coupons per annum]],0)</f>
        <v>39400.000000000015</v>
      </c>
      <c r="BD69" s="25">
        <f>IF(
OR(
BD$1=MONTH($AP69),
BD$1=MONTH($AQ69),
BD$1=MONTH($AR69),
BD$1=MONTH($AS69)),
IF('CF USD'!$A$8="On",$L69,$K69)/T_Bonds[[#This Row],[Coupons per annum]],0)</f>
        <v>0</v>
      </c>
      <c r="BE69" s="25">
        <f>IF(
OR(
BE$1=MONTH($AP69),
BE$1=MONTH($AQ69),
BE$1=MONTH($AR69),
BE$1=MONTH($AS69)),
IF('CF USD'!$A$8="On",$L69,$K69)/T_Bonds[[#This Row],[Coupons per annum]],0)</f>
        <v>0</v>
      </c>
      <c r="BF69">
        <f>DAY(T_Bonds[[#This Row],[Next coupon date]])</f>
        <v>24</v>
      </c>
    </row>
    <row r="70" spans="1:58" x14ac:dyDescent="0.25">
      <c r="A70" s="120" t="s">
        <v>360</v>
      </c>
      <c r="B70" t="s">
        <v>51</v>
      </c>
      <c r="C70" s="120" t="str">
        <f>IF(T_Bonds[[#This Row],[Call date]]&lt;&gt;"","Callable","Maturity")</f>
        <v>Callable</v>
      </c>
      <c r="D70" s="120" t="s">
        <v>361</v>
      </c>
      <c r="E70" s="120" t="s">
        <v>18</v>
      </c>
      <c r="F70" s="22">
        <f>IFERROR(INDEX('V004'!D:E,MATCH(D70,'V004'!D:D,0),2),0)</f>
        <v>600000</v>
      </c>
      <c r="G70" s="22">
        <f>IFERROR(INDEX('V001'!D:E,MATCH(D70,'V001'!D:D,0),2),0)</f>
        <v>0</v>
      </c>
      <c r="H70" s="22">
        <f>IFERROR(INDEX(UBS!C:D,MATCH(D70,UBS!D:D,0),1),0)</f>
        <v>0</v>
      </c>
      <c r="I70" s="300">
        <f>SUM(T_Bonds[[#This Row],[V1412]:[UBS]])</f>
        <v>600000</v>
      </c>
      <c r="J70" s="121">
        <f t="shared" si="27"/>
        <v>7.1250000000000036E-2</v>
      </c>
      <c r="K70" s="122">
        <f t="shared" si="22"/>
        <v>42750.000000000022</v>
      </c>
      <c r="L70" s="122">
        <f t="shared" si="23"/>
        <v>42750.000000000022</v>
      </c>
      <c r="M70" s="123"/>
      <c r="N70" s="5">
        <f>IFERROR(INDEX(Cbonds!C:H,MATCH(D70,Cbonds!C:C,0),4)/100,0)</f>
        <v>6.8637030965069998E-2</v>
      </c>
      <c r="O70" s="6">
        <f>IFERROR(INDEX(Cbonds!C:H,MATCH(D70,Cbonds!C:C,0),5),0)</f>
        <v>6.2691390387074</v>
      </c>
      <c r="P70" s="91">
        <f>T_Bonds[[#This Row],[Market price]]-T_Bonds[[#This Row],[Cost price]]</f>
        <v>2.0868216666666717E-2</v>
      </c>
      <c r="Q70" s="91">
        <f>T_Bonds[[#This Row],[Coupon]]/T_Bonds[[#This Row],[Cost price]]</f>
        <v>7.1027557080527853E-2</v>
      </c>
      <c r="R70" s="124">
        <f t="shared" si="28"/>
        <v>41182.218579041997</v>
      </c>
      <c r="S70" s="222">
        <f>IFERROR(INDEX('V004'!D:J,MATCH(D70,'V004'!D:D,0),7),0)</f>
        <v>1.0031317833333333</v>
      </c>
      <c r="T70" s="222">
        <f>IFERROR(INDEX('V001'!D:J,MATCH(D70,'V001'!D:D,0),7),0)</f>
        <v>0</v>
      </c>
      <c r="U70" s="223">
        <f>IFERROR(S70*T_Bonds[[#This Row],[V1412]]/(T_Bonds[[#This Row],[V1412]]+T_Bonds[[#This Row],[V1430]])+T70*T_Bonds[[#This Row],[V1430]]/(T_Bonds[[#This Row],[V1412]]+T_Bonds[[#This Row],[V1430]]),0)</f>
        <v>1.0031317833333333</v>
      </c>
      <c r="V70" s="122">
        <f t="shared" si="24"/>
        <v>42616.534248316719</v>
      </c>
      <c r="W70" s="125"/>
      <c r="X70" s="299">
        <f>IFERROR(INDEX(Cbonds!C:AF,MATCH(D70,Cbonds!C:C,0),30)/100,0)</f>
        <v>1.024</v>
      </c>
      <c r="Y70" s="126">
        <f>INDEX('Tech list'!A:C,MATCH(T_Bonds[[#This Row],[Risk CCY]],'Tech list'!A:A,0),3)</f>
        <v>1</v>
      </c>
      <c r="Z70" s="127">
        <f>T_Bonds[[#This Row],[Market price]]*T_Bonds[[#This Row],[Quantity]]</f>
        <v>614400</v>
      </c>
      <c r="AA70" s="127">
        <f t="shared" si="25"/>
        <v>614400</v>
      </c>
      <c r="AB70" s="73">
        <f ca="1">T_Bonds[[#This Row],[Market value in CCY]]+T_Bonds[[#This Row],[AI, CCY]]</f>
        <v>639575</v>
      </c>
      <c r="AC70" s="73">
        <f ca="1">T_Bonds[[#This Row],[Market value in USD]]+T_Bonds[[#This Row],[AI, USD]]</f>
        <v>639575</v>
      </c>
      <c r="AD70" s="127">
        <f t="shared" si="26"/>
        <v>601879.06999999995</v>
      </c>
      <c r="AE70" s="75">
        <f ca="1">(T_Bonds[[#This Row],[Coupon in Loc.Curr]]/T_Bonds[[#This Row],[Coupons per annum]])*((TODAY()-EDATE(T_Bonds[[#This Row],[Next coupon date]],-12/T_Bonds[[#This Row],[Coupons per annum]])))/(360/T_Bonds[[#This Row],[Coupons per annum]])</f>
        <v>25175.000000000011</v>
      </c>
      <c r="AF70" s="73">
        <f ca="1">T_Bonds[[#This Row],[AI, CCY]]*T_Bonds[[#This Row],[Exchange rate, N]]</f>
        <v>25175.000000000011</v>
      </c>
      <c r="AG70" s="311">
        <f>IFERROR(IF(INDEX(Cbonds!C:AC,MATCH(D70,Cbonds!C:C,0),27)&gt;5000,0,INDEX(Cbonds!C:AC,MATCH(D70,Cbonds!C:C,0),27)),0)</f>
        <v>290.20031482192002</v>
      </c>
      <c r="AH70" s="73">
        <v>5</v>
      </c>
      <c r="AI70" s="17">
        <v>49350</v>
      </c>
      <c r="AJ70" s="210">
        <v>3.1789999999999999E-2</v>
      </c>
      <c r="AK70" t="s">
        <v>289</v>
      </c>
      <c r="AL70" t="s">
        <v>354</v>
      </c>
      <c r="AM70" t="s">
        <v>2475</v>
      </c>
      <c r="AN70" t="s">
        <v>355</v>
      </c>
      <c r="AO70" s="320">
        <v>2</v>
      </c>
      <c r="AP70" s="17">
        <f>IFERROR(INDEX(Cbonds!C:H,MATCH(D70,Cbonds!C:C,0),3),0)</f>
        <v>46063</v>
      </c>
      <c r="AQ70" s="17">
        <f>EDATE(T_Bonds[[#This Row],[Next coupon date]],12/T_Bonds[[#This Row],[Coupons per annum]])</f>
        <v>46244</v>
      </c>
      <c r="AR70" s="17">
        <f>EDATE(T_Bonds[[#This Row],[Second next coupon date]],12/$AO70)</f>
        <v>46428</v>
      </c>
      <c r="AS70" s="17">
        <f>EDATE(T_Bonds[[#This Row],[Coupon date 3]],12/$AO70)</f>
        <v>46609</v>
      </c>
      <c r="AT70" s="25">
        <f>IF(
OR(
AT$1=MONTH($AP70),
AT$1=MONTH($AQ70),
AT$1=MONTH($AR70),
AT$1=MONTH($AS70)),
IF('CF USD'!$A$8="On",$L70,$K70)/T_Bonds[[#This Row],[Coupons per annum]],0)</f>
        <v>0</v>
      </c>
      <c r="AU70" s="25">
        <f>IF(
OR(
AU$1=MONTH($AP70),
AU$1=MONTH($AQ70),
AU$1=MONTH($AR70),
AU$1=MONTH($AS70)),
IF('CF USD'!$A$8="On",$L70,$K70)/T_Bonds[[#This Row],[Coupons per annum]],0)</f>
        <v>21375.000000000011</v>
      </c>
      <c r="AV70" s="25">
        <f>IF(
OR(
AV$1=MONTH($AP70),
AV$1=MONTH($AQ70),
AV$1=MONTH($AR70),
AV$1=MONTH($AS70)),
IF('CF USD'!$A$8="On",$L70,$K70)/T_Bonds[[#This Row],[Coupons per annum]],0)</f>
        <v>0</v>
      </c>
      <c r="AW70" s="25">
        <f>IF(
OR(
AW$1=MONTH($AP70),
AW$1=MONTH($AQ70),
AW$1=MONTH($AR70),
AW$1=MONTH($AS70)),
IF('CF USD'!$A$8="On",$L70,$K70)/T_Bonds[[#This Row],[Coupons per annum]],0)</f>
        <v>0</v>
      </c>
      <c r="AX70" s="25">
        <f>IF(
OR(
AX$1=MONTH($AP70),
AX$1=MONTH($AQ70),
AX$1=MONTH($AR70),
AX$1=MONTH($AS70)),
IF('CF USD'!$A$8="On",$L70,$K70)/T_Bonds[[#This Row],[Coupons per annum]],0)</f>
        <v>0</v>
      </c>
      <c r="AY70" s="25">
        <f>IF(
OR(
AY$1=MONTH($AP70),
AY$1=MONTH($AQ70),
AY$1=MONTH($AR70),
AY$1=MONTH($AS70)),
IF('CF USD'!$A$8="On",$L70,$K70)/T_Bonds[[#This Row],[Coupons per annum]],0)</f>
        <v>0</v>
      </c>
      <c r="AZ70" s="25">
        <f>IF(
OR(
AZ$1=MONTH($AP70),
AZ$1=MONTH($AQ70),
AZ$1=MONTH($AR70),
AZ$1=MONTH($AS70)),
IF('CF USD'!$A$8="On",$L70,$K70)/T_Bonds[[#This Row],[Coupons per annum]],0)</f>
        <v>0</v>
      </c>
      <c r="BA70" s="25">
        <f>IF(
OR(
BA$1=MONTH($AP70),
BA$1=MONTH($AQ70),
BA$1=MONTH($AR70),
BA$1=MONTH($AS70)),
IF('CF USD'!$A$8="On",$L70,$K70)/T_Bonds[[#This Row],[Coupons per annum]],0)</f>
        <v>21375.000000000011</v>
      </c>
      <c r="BB70" s="25">
        <f>IF(
OR(
BB$1=MONTH($AP70),
BB$1=MONTH($AQ70),
BB$1=MONTH($AR70),
BB$1=MONTH($AS70)),
IF('CF USD'!$A$8="On",$L70,$K70)/T_Bonds[[#This Row],[Coupons per annum]],0)</f>
        <v>0</v>
      </c>
      <c r="BC70" s="25">
        <f>IF(
OR(
BC$1=MONTH($AP70),
BC$1=MONTH($AQ70),
BC$1=MONTH($AR70),
BC$1=MONTH($AS70)),
IF('CF USD'!$A$8="On",$L70,$K70)/T_Bonds[[#This Row],[Coupons per annum]],0)</f>
        <v>0</v>
      </c>
      <c r="BD70" s="25">
        <f>IF(
OR(
BD$1=MONTH($AP70),
BD$1=MONTH($AQ70),
BD$1=MONTH($AR70),
BD$1=MONTH($AS70)),
IF('CF USD'!$A$8="On",$L70,$K70)/T_Bonds[[#This Row],[Coupons per annum]],0)</f>
        <v>0</v>
      </c>
      <c r="BE70" s="25">
        <f>IF(
OR(
BE$1=MONTH($AP70),
BE$1=MONTH($AQ70),
BE$1=MONTH($AR70),
BE$1=MONTH($AS70)),
IF('CF USD'!$A$8="On",$L70,$K70)/T_Bonds[[#This Row],[Coupons per annum]],0)</f>
        <v>0</v>
      </c>
      <c r="BF70">
        <f>DAY(T_Bonds[[#This Row],[Next coupon date]])</f>
        <v>10</v>
      </c>
    </row>
    <row r="71" spans="1:58" x14ac:dyDescent="0.25">
      <c r="A71" s="120" t="s">
        <v>362</v>
      </c>
      <c r="B71" t="s">
        <v>51</v>
      </c>
      <c r="C71" s="120" t="str">
        <f>IF(T_Bonds[[#This Row],[Call date]]&lt;&gt;"","Callable","Maturity")</f>
        <v>Callable</v>
      </c>
      <c r="D71" s="1" t="s">
        <v>363</v>
      </c>
      <c r="E71" s="120" t="s">
        <v>18</v>
      </c>
      <c r="F71" s="22">
        <f>IFERROR(INDEX('V004'!D:E,MATCH(D71,'V004'!D:D,0),2),0)</f>
        <v>0</v>
      </c>
      <c r="G71" s="22">
        <f>IFERROR(INDEX('V001'!D:E,MATCH(D71,'V001'!D:D,0),2),0)</f>
        <v>600000</v>
      </c>
      <c r="H71" s="22">
        <f>IFERROR(INDEX(UBS!C:D,MATCH(D71,UBS!D:D,0),1),0)</f>
        <v>0</v>
      </c>
      <c r="I71" s="300">
        <f>SUM(T_Bonds[[#This Row],[V1412]:[UBS]])</f>
        <v>600000</v>
      </c>
      <c r="J71" s="121">
        <f t="shared" si="27"/>
        <v>7.6249999999999929E-2</v>
      </c>
      <c r="K71" s="122">
        <f t="shared" si="22"/>
        <v>45749.999999999956</v>
      </c>
      <c r="L71" s="122">
        <f t="shared" si="23"/>
        <v>45749.999999999956</v>
      </c>
      <c r="M71" s="123"/>
      <c r="N71" s="5">
        <f>IFERROR(INDEX(Cbonds!C:H,MATCH(D71,Cbonds!C:C,0),4)/100,0)</f>
        <v>6.7403545104802995E-2</v>
      </c>
      <c r="O71" s="6">
        <f>IFERROR(INDEX(Cbonds!C:H,MATCH(D71,Cbonds!C:C,0),5),0)</f>
        <v>6.6052556173659998</v>
      </c>
      <c r="P71" s="91">
        <f>T_Bonds[[#This Row],[Market price]]-T_Bonds[[#This Row],[Cost price]]</f>
        <v>7.1966666666666734E-2</v>
      </c>
      <c r="Q71" s="91">
        <f>T_Bonds[[#This Row],[Coupon]]/T_Bonds[[#This Row],[Cost price]]</f>
        <v>7.6285599946641691E-2</v>
      </c>
      <c r="R71" s="124">
        <f t="shared" si="28"/>
        <v>40442.127062881795</v>
      </c>
      <c r="S71" s="222">
        <f>IFERROR(INDEX('V004'!D:J,MATCH(D71,'V004'!D:D,0),7),0)</f>
        <v>0</v>
      </c>
      <c r="T71" s="222">
        <f>IFERROR(INDEX('V001'!D:J,MATCH(D71,'V001'!D:D,0),7),0)</f>
        <v>0.99953333333333338</v>
      </c>
      <c r="U71" s="223">
        <f>IFERROR(S71*T_Bonds[[#This Row],[V1412]]/(T_Bonds[[#This Row],[V1412]]+T_Bonds[[#This Row],[V1430]])+T71*T_Bonds[[#This Row],[V1430]]/(T_Bonds[[#This Row],[V1412]]+T_Bonds[[#This Row],[V1430]]),0)</f>
        <v>0.99953333333333338</v>
      </c>
      <c r="V71" s="122">
        <f t="shared" si="24"/>
        <v>45771.359967985016</v>
      </c>
      <c r="W71" s="125"/>
      <c r="X71" s="299">
        <f>IFERROR(INDEX(Cbonds!C:AF,MATCH(D71,Cbonds!C:C,0),30)/100,0)</f>
        <v>1.0715000000000001</v>
      </c>
      <c r="Y71" s="126">
        <f>INDEX('Tech list'!A:C,MATCH(T_Bonds[[#This Row],[Risk CCY]],'Tech list'!A:A,0),3)</f>
        <v>1</v>
      </c>
      <c r="Z71" s="127">
        <f>T_Bonds[[#This Row],[Market price]]*T_Bonds[[#This Row],[Quantity]]</f>
        <v>642900.00000000012</v>
      </c>
      <c r="AA71" s="127">
        <f t="shared" si="25"/>
        <v>642900.00000000012</v>
      </c>
      <c r="AB71" s="73">
        <f ca="1">T_Bonds[[#This Row],[Market value in CCY]]+T_Bonds[[#This Row],[AI, CCY]]</f>
        <v>653702.08333333349</v>
      </c>
      <c r="AC71" s="73">
        <f ca="1">T_Bonds[[#This Row],[Market value in USD]]+T_Bonds[[#This Row],[AI, USD]]</f>
        <v>653702.08333333349</v>
      </c>
      <c r="AD71" s="127">
        <f t="shared" si="26"/>
        <v>599720</v>
      </c>
      <c r="AE71" s="75">
        <f ca="1">(T_Bonds[[#This Row],[Coupon in Loc.Curr]]/T_Bonds[[#This Row],[Coupons per annum]])*((TODAY()-EDATE(T_Bonds[[#This Row],[Next coupon date]],-12/T_Bonds[[#This Row],[Coupons per annum]])))/(360/T_Bonds[[#This Row],[Coupons per annum]])</f>
        <v>10802.083333333323</v>
      </c>
      <c r="AF71" s="73">
        <f ca="1">T_Bonds[[#This Row],[AI, CCY]]*T_Bonds[[#This Row],[Exchange rate, N]]</f>
        <v>10802.083333333323</v>
      </c>
      <c r="AG71" s="311">
        <f>IFERROR(IF(INDEX(Cbonds!C:AC,MATCH(D71,Cbonds!C:C,0),27)&gt;5000,0,INDEX(Cbonds!C:AC,MATCH(D71,Cbonds!C:C,0),27)),0)</f>
        <v>274.32656142830001</v>
      </c>
      <c r="AH71" s="73">
        <v>5</v>
      </c>
      <c r="AI71" s="17">
        <v>49567</v>
      </c>
      <c r="AJ71" s="210">
        <v>3.6859999999999997E-2</v>
      </c>
      <c r="AK71" t="s">
        <v>289</v>
      </c>
      <c r="AL71" t="s">
        <v>294</v>
      </c>
      <c r="AM71" t="s">
        <v>2475</v>
      </c>
      <c r="AN71" t="s">
        <v>364</v>
      </c>
      <c r="AO71" s="320">
        <v>4</v>
      </c>
      <c r="AP71" s="17">
        <f>IFERROR(INDEX(Cbonds!C:H,MATCH(D71,Cbonds!C:C,0),3),0)</f>
        <v>46096</v>
      </c>
      <c r="AQ71" s="17">
        <f>EDATE(T_Bonds[[#This Row],[Next coupon date]],12/T_Bonds[[#This Row],[Coupons per annum]])</f>
        <v>46188</v>
      </c>
      <c r="AR71" s="17">
        <f>EDATE(T_Bonds[[#This Row],[Second next coupon date]],12/$AO71)</f>
        <v>46280</v>
      </c>
      <c r="AS71" s="17">
        <f>EDATE(T_Bonds[[#This Row],[Coupon date 3]],12/$AO71)</f>
        <v>46371</v>
      </c>
      <c r="AT71" s="25">
        <f>IF(
OR(
AT$1=MONTH($AP71),
AT$1=MONTH($AQ71),
AT$1=MONTH($AR71),
AT$1=MONTH($AS71)),
IF('CF USD'!$A$8="On",$L71,$K71)/T_Bonds[[#This Row],[Coupons per annum]],0)</f>
        <v>0</v>
      </c>
      <c r="AU71" s="25">
        <f>IF(
OR(
AU$1=MONTH($AP71),
AU$1=MONTH($AQ71),
AU$1=MONTH($AR71),
AU$1=MONTH($AS71)),
IF('CF USD'!$A$8="On",$L71,$K71)/T_Bonds[[#This Row],[Coupons per annum]],0)</f>
        <v>0</v>
      </c>
      <c r="AV71" s="25">
        <f>IF(
OR(
AV$1=MONTH($AP71),
AV$1=MONTH($AQ71),
AV$1=MONTH($AR71),
AV$1=MONTH($AS71)),
IF('CF USD'!$A$8="On",$L71,$K71)/T_Bonds[[#This Row],[Coupons per annum]],0)</f>
        <v>11437.499999999989</v>
      </c>
      <c r="AW71" s="25">
        <f>IF(
OR(
AW$1=MONTH($AP71),
AW$1=MONTH($AQ71),
AW$1=MONTH($AR71),
AW$1=MONTH($AS71)),
IF('CF USD'!$A$8="On",$L71,$K71)/T_Bonds[[#This Row],[Coupons per annum]],0)</f>
        <v>0</v>
      </c>
      <c r="AX71" s="25">
        <f>IF(
OR(
AX$1=MONTH($AP71),
AX$1=MONTH($AQ71),
AX$1=MONTH($AR71),
AX$1=MONTH($AS71)),
IF('CF USD'!$A$8="On",$L71,$K71)/T_Bonds[[#This Row],[Coupons per annum]],0)</f>
        <v>0</v>
      </c>
      <c r="AY71" s="25">
        <f>IF(
OR(
AY$1=MONTH($AP71),
AY$1=MONTH($AQ71),
AY$1=MONTH($AR71),
AY$1=MONTH($AS71)),
IF('CF USD'!$A$8="On",$L71,$K71)/T_Bonds[[#This Row],[Coupons per annum]],0)</f>
        <v>11437.499999999989</v>
      </c>
      <c r="AZ71" s="25">
        <f>IF(
OR(
AZ$1=MONTH($AP71),
AZ$1=MONTH($AQ71),
AZ$1=MONTH($AR71),
AZ$1=MONTH($AS71)),
IF('CF USD'!$A$8="On",$L71,$K71)/T_Bonds[[#This Row],[Coupons per annum]],0)</f>
        <v>0</v>
      </c>
      <c r="BA71" s="25">
        <f>IF(
OR(
BA$1=MONTH($AP71),
BA$1=MONTH($AQ71),
BA$1=MONTH($AR71),
BA$1=MONTH($AS71)),
IF('CF USD'!$A$8="On",$L71,$K71)/T_Bonds[[#This Row],[Coupons per annum]],0)</f>
        <v>0</v>
      </c>
      <c r="BB71" s="25">
        <f>IF(
OR(
BB$1=MONTH($AP71),
BB$1=MONTH($AQ71),
BB$1=MONTH($AR71),
BB$1=MONTH($AS71)),
IF('CF USD'!$A$8="On",$L71,$K71)/T_Bonds[[#This Row],[Coupons per annum]],0)</f>
        <v>11437.499999999989</v>
      </c>
      <c r="BC71" s="25">
        <f>IF(
OR(
BC$1=MONTH($AP71),
BC$1=MONTH($AQ71),
BC$1=MONTH($AR71),
BC$1=MONTH($AS71)),
IF('CF USD'!$A$8="On",$L71,$K71)/T_Bonds[[#This Row],[Coupons per annum]],0)</f>
        <v>0</v>
      </c>
      <c r="BD71" s="25">
        <f>IF(
OR(
BD$1=MONTH($AP71),
BD$1=MONTH($AQ71),
BD$1=MONTH($AR71),
BD$1=MONTH($AS71)),
IF('CF USD'!$A$8="On",$L71,$K71)/T_Bonds[[#This Row],[Coupons per annum]],0)</f>
        <v>0</v>
      </c>
      <c r="BE71" s="25">
        <f>IF(
OR(
BE$1=MONTH($AP71),
BE$1=MONTH($AQ71),
BE$1=MONTH($AR71),
BE$1=MONTH($AS71)),
IF('CF USD'!$A$8="On",$L71,$K71)/T_Bonds[[#This Row],[Coupons per annum]],0)</f>
        <v>11437.499999999989</v>
      </c>
      <c r="BF71">
        <f>DAY(T_Bonds[[#This Row],[Next coupon date]])</f>
        <v>15</v>
      </c>
    </row>
    <row r="72" spans="1:58" x14ac:dyDescent="0.25">
      <c r="A72" s="1" t="s">
        <v>447</v>
      </c>
      <c r="B72" t="s">
        <v>51</v>
      </c>
      <c r="C72" s="120" t="str">
        <f>IF(T_Bonds[[#This Row],[Call date]]&lt;&gt;"","Callable","Maturity")</f>
        <v>Maturity</v>
      </c>
      <c r="D72" s="1" t="s">
        <v>448</v>
      </c>
      <c r="E72" s="1" t="s">
        <v>458</v>
      </c>
      <c r="F72" s="22">
        <f>IFERROR(INDEX('V004'!D:E,MATCH(D72,'V004'!D:D,0),2),0)</f>
        <v>2000000</v>
      </c>
      <c r="G72" s="22">
        <f>IFERROR(INDEX('V001'!D:E,MATCH(D72,'V001'!D:D,0),2),0)</f>
        <v>0</v>
      </c>
      <c r="H72" s="22">
        <f>IFERROR(INDEX(UBS!C:D,MATCH(D72,UBS!D:D,0),1),0)</f>
        <v>0</v>
      </c>
      <c r="I72" s="300">
        <f>SUM(T_Bonds[[#This Row],[V1412]:[UBS]])</f>
        <v>2000000</v>
      </c>
      <c r="J72" s="98">
        <f t="shared" ref="J72:J78" si="29">LEFT(A72,FIND("%",A72,1))+1-1</f>
        <v>0.10749999999999993</v>
      </c>
      <c r="K72" s="122">
        <f t="shared" ref="K72:K78" si="30">J72*I72</f>
        <v>214999.99999999985</v>
      </c>
      <c r="L72" s="122">
        <f t="shared" ref="L72:L80" ca="1" si="31">IF(Y72&lt;&gt;1,I72*J72*Y72,I72*J72)</f>
        <v>41279.999999999971</v>
      </c>
      <c r="M72" s="16">
        <v>46798</v>
      </c>
      <c r="N72" s="5">
        <f>IFERROR(INDEX(Cbonds!C:H,MATCH(D72,Cbonds!C:C,0),4)/100,0)</f>
        <v>0.11599510026299001</v>
      </c>
      <c r="O72" s="6">
        <f>IFERROR(INDEX(Cbonds!C:H,MATCH(D72,Cbonds!C:C,0),5),0)</f>
        <v>1.7617560161784001</v>
      </c>
      <c r="P72" s="91">
        <f>T_Bonds[[#This Row],[Market price]]-T_Bonds[[#This Row],[Cost price]]</f>
        <v>2.656499999999995E-2</v>
      </c>
      <c r="Q72" s="91">
        <f>T_Bonds[[#This Row],[Coupon]]/T_Bonds[[#This Row],[Cost price]]</f>
        <v>0.11216201411676319</v>
      </c>
      <c r="R72" s="124">
        <f t="shared" si="28"/>
        <v>231990.20052598001</v>
      </c>
      <c r="S72" s="222">
        <f>IFERROR(INDEX('V004'!D:J,MATCH(D72,'V004'!D:D,0),7),0)</f>
        <v>0.95843500000000004</v>
      </c>
      <c r="T72" s="222">
        <f>IFERROR(INDEX('V001'!D:J,MATCH(D72,'V001'!D:D,0),7),0)</f>
        <v>0</v>
      </c>
      <c r="U72" s="223">
        <f>IFERROR(S72*T_Bonds[[#This Row],[V1412]]/(T_Bonds[[#This Row],[V1412]]+T_Bonds[[#This Row],[V1430]])+T72*T_Bonds[[#This Row],[V1430]]/(T_Bonds[[#This Row],[V1412]]+T_Bonds[[#This Row],[V1430]]),0)</f>
        <v>0.95843500000000004</v>
      </c>
      <c r="V72" s="122">
        <f t="shared" ref="V72:V80" si="32">I72*J72/U72</f>
        <v>224324.02823352636</v>
      </c>
      <c r="W72" s="4">
        <v>5.6581999999999999</v>
      </c>
      <c r="X72" s="299">
        <f>IFERROR(INDEX(Cbonds!C:AF,MATCH(D72,Cbonds!C:C,0),30)/100,0)</f>
        <v>0.98499999999999999</v>
      </c>
      <c r="Y72" s="4">
        <f ca="1">INDEX('Tech list'!A:C,MATCH(T_Bonds[[#This Row],[Risk CCY]],'Tech list'!A:A,0),3)</f>
        <v>0.192</v>
      </c>
      <c r="Z72" s="105">
        <f>T_Bonds[[#This Row],[Market price]]*T_Bonds[[#This Row],[Quantity]]</f>
        <v>1970000</v>
      </c>
      <c r="AA72" s="127">
        <f t="shared" ref="AA72:AA80" ca="1" si="33">IF(E72&lt;&gt;"USD",X72*Y72*I72,X72*I72)</f>
        <v>378240</v>
      </c>
      <c r="AB72" s="73">
        <f ca="1">T_Bonds[[#This Row],[Market value in CCY]]+T_Bonds[[#This Row],[AI, CCY]]</f>
        <v>2201722.222222222</v>
      </c>
      <c r="AC72" s="73">
        <f ca="1">T_Bonds[[#This Row],[Market value in USD]]+T_Bonds[[#This Row],[AI, USD]]</f>
        <v>422730.66666666663</v>
      </c>
      <c r="AD72" s="127">
        <f t="shared" ref="AD72:AD80" si="34">U72*I72</f>
        <v>1916870</v>
      </c>
      <c r="AE72" s="75">
        <f ca="1">(T_Bonds[[#This Row],[Coupon in Loc.Curr]]/T_Bonds[[#This Row],[Coupons per annum]])*((TODAY()-EDATE(T_Bonds[[#This Row],[Next coupon date]],-12/T_Bonds[[#This Row],[Coupons per annum]])))/(360/T_Bonds[[#This Row],[Coupons per annum]])</f>
        <v>231722.22222222204</v>
      </c>
      <c r="AF72" s="73">
        <f ca="1">T_Bonds[[#This Row],[AI, CCY]]*T_Bonds[[#This Row],[Exchange rate, N]]</f>
        <v>44490.666666666635</v>
      </c>
      <c r="AG72" s="311">
        <f>IFERROR(IF(INDEX(Cbonds!C:AC,MATCH(D72,Cbonds!C:C,0),27)&gt;5000,0,INDEX(Cbonds!C:AC,MATCH(D72,Cbonds!C:C,0),27)),0)</f>
        <v>0</v>
      </c>
      <c r="AH72" s="73">
        <v>90</v>
      </c>
      <c r="AJ72" s="74"/>
      <c r="AK72" t="s">
        <v>264</v>
      </c>
      <c r="AL72" t="s">
        <v>283</v>
      </c>
      <c r="AM72" t="s">
        <v>2475</v>
      </c>
      <c r="AN72" t="s">
        <v>467</v>
      </c>
      <c r="AO72" s="320">
        <v>1</v>
      </c>
      <c r="AP72" s="17">
        <f>IFERROR(INDEX(Cbonds!C:H,MATCH(D72,Cbonds!C:C,0),3),0)</f>
        <v>46068</v>
      </c>
      <c r="AQ72" s="17">
        <f>EDATE(T_Bonds[[#This Row],[Next coupon date]],12/T_Bonds[[#This Row],[Coupons per annum]])</f>
        <v>46433</v>
      </c>
      <c r="AR72" s="17">
        <f>EDATE(T_Bonds[[#This Row],[Second next coupon date]],12/$AO72)</f>
        <v>46798</v>
      </c>
      <c r="AS72" s="17">
        <f>EDATE(T_Bonds[[#This Row],[Coupon date 3]],12/$AO72)</f>
        <v>47164</v>
      </c>
      <c r="AT72" s="25">
        <f>IF(
OR(
AT$1=MONTH($AP72),
AT$1=MONTH($AQ72),
AT$1=MONTH($AR72),
AT$1=MONTH($AS72)),
IF('CF USD'!$A$8="On",$L72,$K72)/T_Bonds[[#This Row],[Coupons per annum]],0)</f>
        <v>0</v>
      </c>
      <c r="AU72" s="25">
        <f>IF(
OR(
AU$1=MONTH($AP72),
AU$1=MONTH($AQ72),
AU$1=MONTH($AR72),
AU$1=MONTH($AS72)),
IF('CF USD'!$A$8="On",$L72,$K72)/T_Bonds[[#This Row],[Coupons per annum]],0)</f>
        <v>214999.99999999985</v>
      </c>
      <c r="AV72" s="25">
        <f>IF(
OR(
AV$1=MONTH($AP72),
AV$1=MONTH($AQ72),
AV$1=MONTH($AR72),
AV$1=MONTH($AS72)),
IF('CF USD'!$A$8="On",$L72,$K72)/T_Bonds[[#This Row],[Coupons per annum]],0)</f>
        <v>0</v>
      </c>
      <c r="AW72" s="25">
        <f>IF(
OR(
AW$1=MONTH($AP72),
AW$1=MONTH($AQ72),
AW$1=MONTH($AR72),
AW$1=MONTH($AS72)),
IF('CF USD'!$A$8="On",$L72,$K72)/T_Bonds[[#This Row],[Coupons per annum]],0)</f>
        <v>0</v>
      </c>
      <c r="AX72" s="25">
        <f>IF(
OR(
AX$1=MONTH($AP72),
AX$1=MONTH($AQ72),
AX$1=MONTH($AR72),
AX$1=MONTH($AS72)),
IF('CF USD'!$A$8="On",$L72,$K72)/T_Bonds[[#This Row],[Coupons per annum]],0)</f>
        <v>0</v>
      </c>
      <c r="AY72" s="25">
        <f>IF(
OR(
AY$1=MONTH($AP72),
AY$1=MONTH($AQ72),
AY$1=MONTH($AR72),
AY$1=MONTH($AS72)),
IF('CF USD'!$A$8="On",$L72,$K72)/T_Bonds[[#This Row],[Coupons per annum]],0)</f>
        <v>0</v>
      </c>
      <c r="AZ72" s="25">
        <f>IF(
OR(
AZ$1=MONTH($AP72),
AZ$1=MONTH($AQ72),
AZ$1=MONTH($AR72),
AZ$1=MONTH($AS72)),
IF('CF USD'!$A$8="On",$L72,$K72)/T_Bonds[[#This Row],[Coupons per annum]],0)</f>
        <v>0</v>
      </c>
      <c r="BA72" s="25">
        <f>IF(
OR(
BA$1=MONTH($AP72),
BA$1=MONTH($AQ72),
BA$1=MONTH($AR72),
BA$1=MONTH($AS72)),
IF('CF USD'!$A$8="On",$L72,$K72)/T_Bonds[[#This Row],[Coupons per annum]],0)</f>
        <v>0</v>
      </c>
      <c r="BB72" s="25">
        <f>IF(
OR(
BB$1=MONTH($AP72),
BB$1=MONTH($AQ72),
BB$1=MONTH($AR72),
BB$1=MONTH($AS72)),
IF('CF USD'!$A$8="On",$L72,$K72)/T_Bonds[[#This Row],[Coupons per annum]],0)</f>
        <v>0</v>
      </c>
      <c r="BC72" s="25">
        <f>IF(
OR(
BC$1=MONTH($AP72),
BC$1=MONTH($AQ72),
BC$1=MONTH($AR72),
BC$1=MONTH($AS72)),
IF('CF USD'!$A$8="On",$L72,$K72)/T_Bonds[[#This Row],[Coupons per annum]],0)</f>
        <v>0</v>
      </c>
      <c r="BD72" s="25">
        <f>IF(
OR(
BD$1=MONTH($AP72),
BD$1=MONTH($AQ72),
BD$1=MONTH($AR72),
BD$1=MONTH($AS72)),
IF('CF USD'!$A$8="On",$L72,$K72)/T_Bonds[[#This Row],[Coupons per annum]],0)</f>
        <v>0</v>
      </c>
      <c r="BE72" s="25">
        <f>IF(
OR(
BE$1=MONTH($AP72),
BE$1=MONTH($AQ72),
BE$1=MONTH($AR72),
BE$1=MONTH($AS72)),
IF('CF USD'!$A$8="On",$L72,$K72)/T_Bonds[[#This Row],[Coupons per annum]],0)</f>
        <v>0</v>
      </c>
      <c r="BF72">
        <f>DAY(T_Bonds[[#This Row],[Next coupon date]])</f>
        <v>15</v>
      </c>
    </row>
    <row r="73" spans="1:58" x14ac:dyDescent="0.25">
      <c r="A73" s="1" t="s">
        <v>449</v>
      </c>
      <c r="B73" t="s">
        <v>51</v>
      </c>
      <c r="C73" s="120" t="str">
        <f>IF(T_Bonds[[#This Row],[Call date]]&lt;&gt;"","Callable","Maturity")</f>
        <v>Maturity</v>
      </c>
      <c r="D73" s="1" t="s">
        <v>450</v>
      </c>
      <c r="E73" s="1" t="s">
        <v>18</v>
      </c>
      <c r="F73" s="22">
        <f>IFERROR(INDEX('V004'!D:E,MATCH(D73,'V004'!D:D,0),2),0)</f>
        <v>600000</v>
      </c>
      <c r="G73" s="22">
        <f>IFERROR(INDEX('V001'!D:E,MATCH(D73,'V001'!D:D,0),2),0)</f>
        <v>0</v>
      </c>
      <c r="H73" s="22">
        <f>IFERROR(INDEX(UBS!C:D,MATCH(D73,UBS!D:D,0),1),0)</f>
        <v>0</v>
      </c>
      <c r="I73" s="300">
        <f>SUM(T_Bonds[[#This Row],[V1412]:[UBS]])</f>
        <v>600000</v>
      </c>
      <c r="J73" s="98">
        <f t="shared" si="29"/>
        <v>7.0999999999999952E-2</v>
      </c>
      <c r="K73" s="122">
        <f t="shared" si="30"/>
        <v>42599.999999999971</v>
      </c>
      <c r="L73" s="122">
        <f t="shared" si="31"/>
        <v>42599.999999999971</v>
      </c>
      <c r="M73" s="16">
        <v>46345</v>
      </c>
      <c r="N73" s="5">
        <f>IFERROR(INDEX(Cbonds!C:H,MATCH(D73,Cbonds!C:C,0),4)/100,0)</f>
        <v>6.4144774817903996E-2</v>
      </c>
      <c r="O73" s="6">
        <f>IFERROR(INDEX(Cbonds!C:H,MATCH(D73,Cbonds!C:C,0),5),0)</f>
        <v>7.6197566198936997</v>
      </c>
      <c r="P73" s="91">
        <f>T_Bonds[[#This Row],[Market price]]-T_Bonds[[#This Row],[Cost price]]</f>
        <v>8.7706666666666599E-2</v>
      </c>
      <c r="Q73" s="91">
        <f>T_Bonds[[#This Row],[Coupon]]/T_Bonds[[#This Row],[Cost price]]</f>
        <v>7.2970695242858749E-2</v>
      </c>
      <c r="R73" s="124">
        <f t="shared" si="28"/>
        <v>38486.864890742399</v>
      </c>
      <c r="S73" s="222">
        <f>IFERROR(INDEX('V004'!D:J,MATCH(D73,'V004'!D:D,0),7),0)</f>
        <v>0.97299333333333338</v>
      </c>
      <c r="T73" s="222">
        <f>IFERROR(INDEX('V001'!D:J,MATCH(D73,'V001'!D:D,0),7),0)</f>
        <v>0</v>
      </c>
      <c r="U73" s="223">
        <f>IFERROR(S73*T_Bonds[[#This Row],[V1412]]/(T_Bonds[[#This Row],[V1412]]+T_Bonds[[#This Row],[V1430]])+T73*T_Bonds[[#This Row],[V1430]]/(T_Bonds[[#This Row],[V1412]]+T_Bonds[[#This Row],[V1430]]),0)</f>
        <v>0.97299333333333338</v>
      </c>
      <c r="V73" s="122">
        <f t="shared" si="32"/>
        <v>43782.417145715255</v>
      </c>
      <c r="W73" s="1" t="s">
        <v>459</v>
      </c>
      <c r="X73" s="299">
        <f>IFERROR(INDEX(Cbonds!C:AF,MATCH(D73,Cbonds!C:C,0),30)/100,0)</f>
        <v>1.0607</v>
      </c>
      <c r="Y73" s="4">
        <f>INDEX('Tech list'!A:C,MATCH(T_Bonds[[#This Row],[Risk CCY]],'Tech list'!A:A,0),3)</f>
        <v>1</v>
      </c>
      <c r="Z73" s="105">
        <f>T_Bonds[[#This Row],[Market price]]*T_Bonds[[#This Row],[Quantity]]</f>
        <v>636420</v>
      </c>
      <c r="AA73" s="127">
        <f t="shared" si="33"/>
        <v>636420</v>
      </c>
      <c r="AB73" s="73">
        <f ca="1">T_Bonds[[#This Row],[Market value in CCY]]+T_Bonds[[#This Row],[AI, CCY]]</f>
        <v>649555</v>
      </c>
      <c r="AC73" s="73">
        <f ca="1">T_Bonds[[#This Row],[Market value in USD]]+T_Bonds[[#This Row],[AI, USD]]</f>
        <v>649555</v>
      </c>
      <c r="AD73" s="127">
        <f t="shared" si="34"/>
        <v>583796</v>
      </c>
      <c r="AE73" s="75">
        <f ca="1">(T_Bonds[[#This Row],[Coupon in Loc.Curr]]/T_Bonds[[#This Row],[Coupons per annum]])*((TODAY()-EDATE(T_Bonds[[#This Row],[Next coupon date]],-12/T_Bonds[[#This Row],[Coupons per annum]])))/(360/T_Bonds[[#This Row],[Coupons per annum]])</f>
        <v>13134.999999999993</v>
      </c>
      <c r="AF73" s="73">
        <f ca="1">T_Bonds[[#This Row],[AI, CCY]]*T_Bonds[[#This Row],[Exchange rate, N]]</f>
        <v>13134.999999999993</v>
      </c>
      <c r="AG73" s="311">
        <f>IFERROR(IF(INDEX(Cbonds!C:AC,MATCH(D73,Cbonds!C:C,0),27)&gt;5000,0,INDEX(Cbonds!C:AC,MATCH(D73,Cbonds!C:C,0),27)),0)</f>
        <v>231.28786561234</v>
      </c>
      <c r="AH73" s="73">
        <v>45</v>
      </c>
      <c r="AJ73" s="74"/>
      <c r="AK73" t="s">
        <v>280</v>
      </c>
      <c r="AL73" t="s">
        <v>273</v>
      </c>
      <c r="AM73" t="s">
        <v>2476</v>
      </c>
      <c r="AN73" t="s">
        <v>273</v>
      </c>
      <c r="AO73" s="320">
        <v>2</v>
      </c>
      <c r="AP73" s="17">
        <f>IFERROR(INDEX(Cbonds!C:H,MATCH(D73,Cbonds!C:C,0),3),0)</f>
        <v>46161</v>
      </c>
      <c r="AQ73" s="17">
        <f>EDATE(T_Bonds[[#This Row],[Next coupon date]],12/T_Bonds[[#This Row],[Coupons per annum]])</f>
        <v>46345</v>
      </c>
      <c r="AR73" s="17">
        <f>EDATE(T_Bonds[[#This Row],[Second next coupon date]],12/$AO73)</f>
        <v>46526</v>
      </c>
      <c r="AS73" s="17">
        <f>EDATE(T_Bonds[[#This Row],[Coupon date 3]],12/$AO73)</f>
        <v>46710</v>
      </c>
      <c r="AT73" s="25">
        <f>IF(
OR(
AT$1=MONTH($AP73),
AT$1=MONTH($AQ73),
AT$1=MONTH($AR73),
AT$1=MONTH($AS73)),
IF('CF USD'!$A$8="On",$L73,$K73)/T_Bonds[[#This Row],[Coupons per annum]],0)</f>
        <v>0</v>
      </c>
      <c r="AU73" s="25">
        <f>IF(
OR(
AU$1=MONTH($AP73),
AU$1=MONTH($AQ73),
AU$1=MONTH($AR73),
AU$1=MONTH($AS73)),
IF('CF USD'!$A$8="On",$L73,$K73)/T_Bonds[[#This Row],[Coupons per annum]],0)</f>
        <v>0</v>
      </c>
      <c r="AV73" s="25">
        <f>IF(
OR(
AV$1=MONTH($AP73),
AV$1=MONTH($AQ73),
AV$1=MONTH($AR73),
AV$1=MONTH($AS73)),
IF('CF USD'!$A$8="On",$L73,$K73)/T_Bonds[[#This Row],[Coupons per annum]],0)</f>
        <v>0</v>
      </c>
      <c r="AW73" s="25">
        <f>IF(
OR(
AW$1=MONTH($AP73),
AW$1=MONTH($AQ73),
AW$1=MONTH($AR73),
AW$1=MONTH($AS73)),
IF('CF USD'!$A$8="On",$L73,$K73)/T_Bonds[[#This Row],[Coupons per annum]],0)</f>
        <v>0</v>
      </c>
      <c r="AX73" s="25">
        <f>IF(
OR(
AX$1=MONTH($AP73),
AX$1=MONTH($AQ73),
AX$1=MONTH($AR73),
AX$1=MONTH($AS73)),
IF('CF USD'!$A$8="On",$L73,$K73)/T_Bonds[[#This Row],[Coupons per annum]],0)</f>
        <v>21299.999999999985</v>
      </c>
      <c r="AY73" s="25">
        <f>IF(
OR(
AY$1=MONTH($AP73),
AY$1=MONTH($AQ73),
AY$1=MONTH($AR73),
AY$1=MONTH($AS73)),
IF('CF USD'!$A$8="On",$L73,$K73)/T_Bonds[[#This Row],[Coupons per annum]],0)</f>
        <v>0</v>
      </c>
      <c r="AZ73" s="25">
        <f>IF(
OR(
AZ$1=MONTH($AP73),
AZ$1=MONTH($AQ73),
AZ$1=MONTH($AR73),
AZ$1=MONTH($AS73)),
IF('CF USD'!$A$8="On",$L73,$K73)/T_Bonds[[#This Row],[Coupons per annum]],0)</f>
        <v>0</v>
      </c>
      <c r="BA73" s="25">
        <f>IF(
OR(
BA$1=MONTH($AP73),
BA$1=MONTH($AQ73),
BA$1=MONTH($AR73),
BA$1=MONTH($AS73)),
IF('CF USD'!$A$8="On",$L73,$K73)/T_Bonds[[#This Row],[Coupons per annum]],0)</f>
        <v>0</v>
      </c>
      <c r="BB73" s="25">
        <f>IF(
OR(
BB$1=MONTH($AP73),
BB$1=MONTH($AQ73),
BB$1=MONTH($AR73),
BB$1=MONTH($AS73)),
IF('CF USD'!$A$8="On",$L73,$K73)/T_Bonds[[#This Row],[Coupons per annum]],0)</f>
        <v>0</v>
      </c>
      <c r="BC73" s="25">
        <f>IF(
OR(
BC$1=MONTH($AP73),
BC$1=MONTH($AQ73),
BC$1=MONTH($AR73),
BC$1=MONTH($AS73)),
IF('CF USD'!$A$8="On",$L73,$K73)/T_Bonds[[#This Row],[Coupons per annum]],0)</f>
        <v>0</v>
      </c>
      <c r="BD73" s="25">
        <f>IF(
OR(
BD$1=MONTH($AP73),
BD$1=MONTH($AQ73),
BD$1=MONTH($AR73),
BD$1=MONTH($AS73)),
IF('CF USD'!$A$8="On",$L73,$K73)/T_Bonds[[#This Row],[Coupons per annum]],0)</f>
        <v>21299.999999999985</v>
      </c>
      <c r="BE73" s="25">
        <f>IF(
OR(
BE$1=MONTH($AP73),
BE$1=MONTH($AQ73),
BE$1=MONTH($AR73),
BE$1=MONTH($AS73)),
IF('CF USD'!$A$8="On",$L73,$K73)/T_Bonds[[#This Row],[Coupons per annum]],0)</f>
        <v>0</v>
      </c>
      <c r="BF73">
        <f>DAY(T_Bonds[[#This Row],[Next coupon date]])</f>
        <v>19</v>
      </c>
    </row>
    <row r="74" spans="1:58" x14ac:dyDescent="0.25">
      <c r="A74" s="1" t="s">
        <v>452</v>
      </c>
      <c r="B74" t="s">
        <v>51</v>
      </c>
      <c r="C74" s="120" t="str">
        <f>IF(T_Bonds[[#This Row],[Call date]]&lt;&gt;"","Callable","Maturity")</f>
        <v>Maturity</v>
      </c>
      <c r="D74" s="1" t="s">
        <v>453</v>
      </c>
      <c r="E74" s="1" t="s">
        <v>458</v>
      </c>
      <c r="F74" s="22">
        <f>IFERROR(INDEX('V004'!D:E,MATCH(D74,'V004'!D:D,0),2),0)</f>
        <v>2000000</v>
      </c>
      <c r="G74" s="22">
        <f>IFERROR(INDEX('V001'!D:E,MATCH(D74,'V001'!D:D,0),2),0)</f>
        <v>1000000</v>
      </c>
      <c r="H74" s="22">
        <f>IFERROR(INDEX(UBS!C:D,MATCH(D74,UBS!D:D,0),1),0)</f>
        <v>0</v>
      </c>
      <c r="I74" s="300">
        <f>SUM(T_Bonds[[#This Row],[V1412]:[UBS]])</f>
        <v>3000000</v>
      </c>
      <c r="J74" s="98">
        <f t="shared" si="29"/>
        <v>9.4999999999999973E-2</v>
      </c>
      <c r="K74" s="122">
        <f t="shared" si="30"/>
        <v>284999.99999999994</v>
      </c>
      <c r="L74" s="122">
        <f t="shared" ca="1" si="31"/>
        <v>54719.999999999993</v>
      </c>
      <c r="M74" s="16">
        <v>47158</v>
      </c>
      <c r="N74" s="5">
        <f>IFERROR(INDEX(Cbonds!C:H,MATCH(D74,Cbonds!C:C,0),4)/100,0)</f>
        <v>0.11506769889689</v>
      </c>
      <c r="O74" s="6">
        <f>IFERROR(INDEX(Cbonds!C:H,MATCH(D74,Cbonds!C:C,0),5),0)</f>
        <v>2.5242148070306998</v>
      </c>
      <c r="P74" s="91">
        <f>T_Bonds[[#This Row],[Market price]]-T_Bonds[[#This Row],[Cost price]]</f>
        <v>4.2806666666666771E-2</v>
      </c>
      <c r="Q74" s="91">
        <f>T_Bonds[[#This Row],[Coupon]]/T_Bonds[[#This Row],[Cost price]]</f>
        <v>0.10312710325013205</v>
      </c>
      <c r="R74" s="124">
        <f t="shared" si="28"/>
        <v>345203.09669067001</v>
      </c>
      <c r="S74" s="222">
        <f>IFERROR(INDEX('V004'!D:J,MATCH(D74,'V004'!D:D,0),7),0)</f>
        <v>0.9139449999999999</v>
      </c>
      <c r="T74" s="222">
        <f>IFERROR(INDEX('V001'!D:J,MATCH(D74,'V001'!D:D,0),7),0)</f>
        <v>0.93569000000000002</v>
      </c>
      <c r="U74" s="223">
        <f>IFERROR(S74*T_Bonds[[#This Row],[V1412]]/(T_Bonds[[#This Row],[V1412]]+T_Bonds[[#This Row],[V1430]])+T74*T_Bonds[[#This Row],[V1430]]/(T_Bonds[[#This Row],[V1412]]+T_Bonds[[#This Row],[V1430]]),0)</f>
        <v>0.92119333333333331</v>
      </c>
      <c r="V74" s="122">
        <f t="shared" si="32"/>
        <v>309381.30975039618</v>
      </c>
      <c r="W74" s="4">
        <f>1/5.6569</f>
        <v>0.17677526560483656</v>
      </c>
      <c r="X74" s="299">
        <f>IFERROR(INDEX(Cbonds!C:AF,MATCH(D74,Cbonds!C:C,0),30)/100,0)</f>
        <v>0.96400000000000008</v>
      </c>
      <c r="Y74" s="4">
        <f ca="1">INDEX('Tech list'!A:C,MATCH(T_Bonds[[#This Row],[Risk CCY]],'Tech list'!A:A,0),3)</f>
        <v>0.192</v>
      </c>
      <c r="Z74" s="105">
        <f>T_Bonds[[#This Row],[Market price]]*T_Bonds[[#This Row],[Quantity]]</f>
        <v>2892000.0000000005</v>
      </c>
      <c r="AA74" s="127">
        <f t="shared" ca="1" si="33"/>
        <v>555264.00000000012</v>
      </c>
      <c r="AB74" s="73">
        <f ca="1">T_Bonds[[#This Row],[Market value in CCY]]+T_Bonds[[#This Row],[AI, CCY]]</f>
        <v>3203916.666666667</v>
      </c>
      <c r="AC74" s="73">
        <f ca="1">T_Bonds[[#This Row],[Market value in USD]]+T_Bonds[[#This Row],[AI, USD]]</f>
        <v>615152.00000000012</v>
      </c>
      <c r="AD74" s="127">
        <f t="shared" si="34"/>
        <v>2763580</v>
      </c>
      <c r="AE74" s="75">
        <f ca="1">(T_Bonds[[#This Row],[Coupon in Loc.Curr]]/T_Bonds[[#This Row],[Coupons per annum]])*((TODAY()-EDATE(T_Bonds[[#This Row],[Next coupon date]],-12/T_Bonds[[#This Row],[Coupons per annum]])))/(360/T_Bonds[[#This Row],[Coupons per annum]])</f>
        <v>311916.66666666657</v>
      </c>
      <c r="AF74" s="73">
        <f ca="1">T_Bonds[[#This Row],[AI, CCY]]*T_Bonds[[#This Row],[Exchange rate, N]]</f>
        <v>59887.999999999985</v>
      </c>
      <c r="AG74" s="311">
        <f>IFERROR(IF(INDEX(Cbonds!C:AC,MATCH(D74,Cbonds!C:C,0),27)&gt;5000,0,INDEX(Cbonds!C:AC,MATCH(D74,Cbonds!C:C,0),27)),0)</f>
        <v>0</v>
      </c>
      <c r="AH74" s="73">
        <v>90</v>
      </c>
      <c r="AJ74" s="74"/>
      <c r="AK74" t="s">
        <v>312</v>
      </c>
      <c r="AL74" t="s">
        <v>283</v>
      </c>
      <c r="AM74" t="s">
        <v>2475</v>
      </c>
      <c r="AN74" t="s">
        <v>468</v>
      </c>
      <c r="AO74" s="320">
        <v>1</v>
      </c>
      <c r="AP74" s="17">
        <f>IFERROR(INDEX(Cbonds!C:H,MATCH(D74,Cbonds!C:C,0),3),0)</f>
        <v>46062</v>
      </c>
      <c r="AQ74" s="17">
        <f>EDATE(T_Bonds[[#This Row],[Next coupon date]],12/T_Bonds[[#This Row],[Coupons per annum]])</f>
        <v>46427</v>
      </c>
      <c r="AR74" s="17">
        <f>EDATE(T_Bonds[[#This Row],[Second next coupon date]],12/$AO74)</f>
        <v>46792</v>
      </c>
      <c r="AS74" s="17">
        <f>EDATE(T_Bonds[[#This Row],[Coupon date 3]],12/$AO74)</f>
        <v>47158</v>
      </c>
      <c r="AT74" s="25">
        <f>IF(
OR(
AT$1=MONTH($AP74),
AT$1=MONTH($AQ74),
AT$1=MONTH($AR74),
AT$1=MONTH($AS74)),
IF('CF USD'!$A$8="On",$L74,$K74)/T_Bonds[[#This Row],[Coupons per annum]],0)</f>
        <v>0</v>
      </c>
      <c r="AU74" s="25">
        <f>IF(
OR(
AU$1=MONTH($AP74),
AU$1=MONTH($AQ74),
AU$1=MONTH($AR74),
AU$1=MONTH($AS74)),
IF('CF USD'!$A$8="On",$L74,$K74)/T_Bonds[[#This Row],[Coupons per annum]],0)</f>
        <v>284999.99999999994</v>
      </c>
      <c r="AV74" s="25">
        <f>IF(
OR(
AV$1=MONTH($AP74),
AV$1=MONTH($AQ74),
AV$1=MONTH($AR74),
AV$1=MONTH($AS74)),
IF('CF USD'!$A$8="On",$L74,$K74)/T_Bonds[[#This Row],[Coupons per annum]],0)</f>
        <v>0</v>
      </c>
      <c r="AW74" s="25">
        <f>IF(
OR(
AW$1=MONTH($AP74),
AW$1=MONTH($AQ74),
AW$1=MONTH($AR74),
AW$1=MONTH($AS74)),
IF('CF USD'!$A$8="On",$L74,$K74)/T_Bonds[[#This Row],[Coupons per annum]],0)</f>
        <v>0</v>
      </c>
      <c r="AX74" s="25">
        <f>IF(
OR(
AX$1=MONTH($AP74),
AX$1=MONTH($AQ74),
AX$1=MONTH($AR74),
AX$1=MONTH($AS74)),
IF('CF USD'!$A$8="On",$L74,$K74)/T_Bonds[[#This Row],[Coupons per annum]],0)</f>
        <v>0</v>
      </c>
      <c r="AY74" s="25">
        <f>IF(
OR(
AY$1=MONTH($AP74),
AY$1=MONTH($AQ74),
AY$1=MONTH($AR74),
AY$1=MONTH($AS74)),
IF('CF USD'!$A$8="On",$L74,$K74)/T_Bonds[[#This Row],[Coupons per annum]],0)</f>
        <v>0</v>
      </c>
      <c r="AZ74" s="25">
        <f>IF(
OR(
AZ$1=MONTH($AP74),
AZ$1=MONTH($AQ74),
AZ$1=MONTH($AR74),
AZ$1=MONTH($AS74)),
IF('CF USD'!$A$8="On",$L74,$K74)/T_Bonds[[#This Row],[Coupons per annum]],0)</f>
        <v>0</v>
      </c>
      <c r="BA74" s="25">
        <f>IF(
OR(
BA$1=MONTH($AP74),
BA$1=MONTH($AQ74),
BA$1=MONTH($AR74),
BA$1=MONTH($AS74)),
IF('CF USD'!$A$8="On",$L74,$K74)/T_Bonds[[#This Row],[Coupons per annum]],0)</f>
        <v>0</v>
      </c>
      <c r="BB74" s="25">
        <f>IF(
OR(
BB$1=MONTH($AP74),
BB$1=MONTH($AQ74),
BB$1=MONTH($AR74),
BB$1=MONTH($AS74)),
IF('CF USD'!$A$8="On",$L74,$K74)/T_Bonds[[#This Row],[Coupons per annum]],0)</f>
        <v>0</v>
      </c>
      <c r="BC74" s="25">
        <f>IF(
OR(
BC$1=MONTH($AP74),
BC$1=MONTH($AQ74),
BC$1=MONTH($AR74),
BC$1=MONTH($AS74)),
IF('CF USD'!$A$8="On",$L74,$K74)/T_Bonds[[#This Row],[Coupons per annum]],0)</f>
        <v>0</v>
      </c>
      <c r="BD74" s="25">
        <f>IF(
OR(
BD$1=MONTH($AP74),
BD$1=MONTH($AQ74),
BD$1=MONTH($AR74),
BD$1=MONTH($AS74)),
IF('CF USD'!$A$8="On",$L74,$K74)/T_Bonds[[#This Row],[Coupons per annum]],0)</f>
        <v>0</v>
      </c>
      <c r="BE74" s="25">
        <f>IF(
OR(
BE$1=MONTH($AP74),
BE$1=MONTH($AQ74),
BE$1=MONTH($AR74),
BE$1=MONTH($AS74)),
IF('CF USD'!$A$8="On",$L74,$K74)/T_Bonds[[#This Row],[Coupons per annum]],0)</f>
        <v>0</v>
      </c>
      <c r="BF74">
        <f>DAY(T_Bonds[[#This Row],[Next coupon date]])</f>
        <v>9</v>
      </c>
    </row>
    <row r="75" spans="1:58" x14ac:dyDescent="0.25">
      <c r="A75" s="1" t="s">
        <v>454</v>
      </c>
      <c r="B75" t="s">
        <v>51</v>
      </c>
      <c r="C75" s="120" t="str">
        <f>IF(T_Bonds[[#This Row],[Call date]]&lt;&gt;"","Callable","Maturity")</f>
        <v>Callable</v>
      </c>
      <c r="D75" s="1" t="s">
        <v>455</v>
      </c>
      <c r="E75" s="1" t="s">
        <v>19</v>
      </c>
      <c r="F75" s="22">
        <f>IFERROR(INDEX('V004'!D:E,MATCH(D75,'V004'!D:D,0),2),0)</f>
        <v>0</v>
      </c>
      <c r="G75" s="22">
        <f>IFERROR(INDEX('V001'!D:E,MATCH(D75,'V001'!D:D,0),2),0)</f>
        <v>800000</v>
      </c>
      <c r="H75" s="22">
        <f>IFERROR(INDEX(UBS!C:D,MATCH(D75,UBS!D:D,0),1),0)</f>
        <v>0</v>
      </c>
      <c r="I75" s="300">
        <f>SUM(T_Bonds[[#This Row],[V1412]:[UBS]])</f>
        <v>800000</v>
      </c>
      <c r="J75" s="98">
        <f t="shared" si="29"/>
        <v>7.7499999999999902E-2</v>
      </c>
      <c r="K75" s="122">
        <f t="shared" si="30"/>
        <v>61999.99999999992</v>
      </c>
      <c r="L75" s="122">
        <f t="shared" ca="1" si="31"/>
        <v>82918.799999999886</v>
      </c>
      <c r="M75" s="1" t="s">
        <v>257</v>
      </c>
      <c r="N75" s="5">
        <f>IFERROR(INDEX(Cbonds!C:H,MATCH(D75,Cbonds!C:C,0),4)/100,0)</f>
        <v>6.5007983643636996E-2</v>
      </c>
      <c r="O75" s="6">
        <f>IFERROR(INDEX(Cbonds!C:H,MATCH(D75,Cbonds!C:C,0),5),0)</f>
        <v>5.2116827294679</v>
      </c>
      <c r="P75" s="91">
        <f>T_Bonds[[#This Row],[Market price]]-T_Bonds[[#This Row],[Cost price]]</f>
        <v>5.9632499999999977E-2</v>
      </c>
      <c r="Q75" s="91">
        <f>T_Bonds[[#This Row],[Coupon]]/T_Bonds[[#This Row],[Cost price]]</f>
        <v>7.6515437606597014E-2</v>
      </c>
      <c r="R75" s="124">
        <f t="shared" si="28"/>
        <v>52006.386914909599</v>
      </c>
      <c r="S75" s="222">
        <f>IFERROR(INDEX('V004'!D:J,MATCH(D75,'V004'!D:D,0),7),0)</f>
        <v>0</v>
      </c>
      <c r="T75" s="222">
        <f>IFERROR(INDEX('V001'!D:J,MATCH(D75,'V001'!D:D,0),7),0)</f>
        <v>1.0128675</v>
      </c>
      <c r="U75" s="223">
        <f>IFERROR(S75*T_Bonds[[#This Row],[V1412]]/(T_Bonds[[#This Row],[V1412]]+T_Bonds[[#This Row],[V1430]])+T75*T_Bonds[[#This Row],[V1430]]/(T_Bonds[[#This Row],[V1412]]+T_Bonds[[#This Row],[V1430]]),0)</f>
        <v>1.0128675</v>
      </c>
      <c r="V75" s="122">
        <f t="shared" si="32"/>
        <v>61212.350085277605</v>
      </c>
      <c r="W75" s="4">
        <v>1.2947</v>
      </c>
      <c r="X75" s="299">
        <f>IFERROR(INDEX(Cbonds!C:AF,MATCH(D75,Cbonds!C:C,0),30)/100,0)</f>
        <v>1.0725</v>
      </c>
      <c r="Y75" s="4">
        <f ca="1">INDEX('Tech list'!A:C,MATCH(T_Bonds[[#This Row],[Risk CCY]],'Tech list'!A:A,0),3)</f>
        <v>1.3373999999999999</v>
      </c>
      <c r="Z75" s="105">
        <f>T_Bonds[[#This Row],[Market price]]*T_Bonds[[#This Row],[Quantity]]</f>
        <v>858000</v>
      </c>
      <c r="AA75" s="127">
        <f t="shared" ca="1" si="33"/>
        <v>1147489.2</v>
      </c>
      <c r="AB75" s="73">
        <f ca="1">T_Bonds[[#This Row],[Market value in CCY]]+T_Bonds[[#This Row],[AI, CCY]]</f>
        <v>885727.77777777775</v>
      </c>
      <c r="AC75" s="73">
        <f ca="1">T_Bonds[[#This Row],[Market value in USD]]+T_Bonds[[#This Row],[AI, USD]]</f>
        <v>1184572.3299999998</v>
      </c>
      <c r="AD75" s="127">
        <f t="shared" si="34"/>
        <v>810294</v>
      </c>
      <c r="AE75" s="75">
        <f ca="1">(T_Bonds[[#This Row],[Coupon in Loc.Curr]]/T_Bonds[[#This Row],[Coupons per annum]])*((TODAY()-EDATE(T_Bonds[[#This Row],[Next coupon date]],-12/T_Bonds[[#This Row],[Coupons per annum]])))/(360/T_Bonds[[#This Row],[Coupons per annum]])</f>
        <v>27727.777777777741</v>
      </c>
      <c r="AF75" s="73">
        <f ca="1">T_Bonds[[#This Row],[AI, CCY]]*T_Bonds[[#This Row],[Exchange rate, N]]</f>
        <v>37083.129999999946</v>
      </c>
      <c r="AG75" s="311">
        <f>IFERROR(IF(INDEX(Cbonds!C:AC,MATCH(D75,Cbonds!C:C,0),27)&gt;5000,0,INDEX(Cbonds!C:AC,MATCH(D75,Cbonds!C:C,0),27)),0)</f>
        <v>0</v>
      </c>
      <c r="AH75" s="73">
        <v>50</v>
      </c>
      <c r="AI75" s="17">
        <v>48669</v>
      </c>
      <c r="AJ75" s="74">
        <v>3.1940000000000003E-2</v>
      </c>
      <c r="AK75" t="s">
        <v>289</v>
      </c>
      <c r="AL75" t="s">
        <v>294</v>
      </c>
      <c r="AM75" t="s">
        <v>2475</v>
      </c>
      <c r="AN75" t="s">
        <v>469</v>
      </c>
      <c r="AO75" s="320">
        <v>2</v>
      </c>
      <c r="AP75" s="17">
        <f>IFERROR(INDEX(Cbonds!C:H,MATCH(D75,Cbonds!C:C,0),3),0)</f>
        <v>46112</v>
      </c>
      <c r="AQ75" s="17">
        <f>EDATE(T_Bonds[[#This Row],[Next coupon date]],12/T_Bonds[[#This Row],[Coupons per annum]])</f>
        <v>46295</v>
      </c>
      <c r="AR75" s="17">
        <f>EDATE(T_Bonds[[#This Row],[Second next coupon date]],12/$AO75)</f>
        <v>46476</v>
      </c>
      <c r="AS75" s="17">
        <f>EDATE(T_Bonds[[#This Row],[Coupon date 3]],12/$AO75)</f>
        <v>46660</v>
      </c>
      <c r="AT75" s="25">
        <f>IF(
OR(
AT$1=MONTH($AP75),
AT$1=MONTH($AQ75),
AT$1=MONTH($AR75),
AT$1=MONTH($AS75)),
IF('CF USD'!$A$8="On",$L75,$K75)/T_Bonds[[#This Row],[Coupons per annum]],0)</f>
        <v>0</v>
      </c>
      <c r="AU75" s="25">
        <f>IF(
OR(
AU$1=MONTH($AP75),
AU$1=MONTH($AQ75),
AU$1=MONTH($AR75),
AU$1=MONTH($AS75)),
IF('CF USD'!$A$8="On",$L75,$K75)/T_Bonds[[#This Row],[Coupons per annum]],0)</f>
        <v>0</v>
      </c>
      <c r="AV75" s="25">
        <f>IF(
OR(
AV$1=MONTH($AP75),
AV$1=MONTH($AQ75),
AV$1=MONTH($AR75),
AV$1=MONTH($AS75)),
IF('CF USD'!$A$8="On",$L75,$K75)/T_Bonds[[#This Row],[Coupons per annum]],0)</f>
        <v>30999.99999999996</v>
      </c>
      <c r="AW75" s="25">
        <f>IF(
OR(
AW$1=MONTH($AP75),
AW$1=MONTH($AQ75),
AW$1=MONTH($AR75),
AW$1=MONTH($AS75)),
IF('CF USD'!$A$8="On",$L75,$K75)/T_Bonds[[#This Row],[Coupons per annum]],0)</f>
        <v>0</v>
      </c>
      <c r="AX75" s="25">
        <f>IF(
OR(
AX$1=MONTH($AP75),
AX$1=MONTH($AQ75),
AX$1=MONTH($AR75),
AX$1=MONTH($AS75)),
IF('CF USD'!$A$8="On",$L75,$K75)/T_Bonds[[#This Row],[Coupons per annum]],0)</f>
        <v>0</v>
      </c>
      <c r="AY75" s="25">
        <f>IF(
OR(
AY$1=MONTH($AP75),
AY$1=MONTH($AQ75),
AY$1=MONTH($AR75),
AY$1=MONTH($AS75)),
IF('CF USD'!$A$8="On",$L75,$K75)/T_Bonds[[#This Row],[Coupons per annum]],0)</f>
        <v>0</v>
      </c>
      <c r="AZ75" s="25">
        <f>IF(
OR(
AZ$1=MONTH($AP75),
AZ$1=MONTH($AQ75),
AZ$1=MONTH($AR75),
AZ$1=MONTH($AS75)),
IF('CF USD'!$A$8="On",$L75,$K75)/T_Bonds[[#This Row],[Coupons per annum]],0)</f>
        <v>0</v>
      </c>
      <c r="BA75" s="25">
        <f>IF(
OR(
BA$1=MONTH($AP75),
BA$1=MONTH($AQ75),
BA$1=MONTH($AR75),
BA$1=MONTH($AS75)),
IF('CF USD'!$A$8="On",$L75,$K75)/T_Bonds[[#This Row],[Coupons per annum]],0)</f>
        <v>0</v>
      </c>
      <c r="BB75" s="25">
        <f>IF(
OR(
BB$1=MONTH($AP75),
BB$1=MONTH($AQ75),
BB$1=MONTH($AR75),
BB$1=MONTH($AS75)),
IF('CF USD'!$A$8="On",$L75,$K75)/T_Bonds[[#This Row],[Coupons per annum]],0)</f>
        <v>30999.99999999996</v>
      </c>
      <c r="BC75" s="25">
        <f>IF(
OR(
BC$1=MONTH($AP75),
BC$1=MONTH($AQ75),
BC$1=MONTH($AR75),
BC$1=MONTH($AS75)),
IF('CF USD'!$A$8="On",$L75,$K75)/T_Bonds[[#This Row],[Coupons per annum]],0)</f>
        <v>0</v>
      </c>
      <c r="BD75" s="25">
        <f>IF(
OR(
BD$1=MONTH($AP75),
BD$1=MONTH($AQ75),
BD$1=MONTH($AR75),
BD$1=MONTH($AS75)),
IF('CF USD'!$A$8="On",$L75,$K75)/T_Bonds[[#This Row],[Coupons per annum]],0)</f>
        <v>0</v>
      </c>
      <c r="BE75" s="25">
        <f>IF(
OR(
BE$1=MONTH($AP75),
BE$1=MONTH($AQ75),
BE$1=MONTH($AR75),
BE$1=MONTH($AS75)),
IF('CF USD'!$A$8="On",$L75,$K75)/T_Bonds[[#This Row],[Coupons per annum]],0)</f>
        <v>0</v>
      </c>
      <c r="BF75">
        <f>DAY(T_Bonds[[#This Row],[Next coupon date]])</f>
        <v>31</v>
      </c>
    </row>
    <row r="76" spans="1:58" x14ac:dyDescent="0.25">
      <c r="A76" s="1" t="s">
        <v>456</v>
      </c>
      <c r="B76" t="s">
        <v>51</v>
      </c>
      <c r="C76" s="120" t="str">
        <f>IF(T_Bonds[[#This Row],[Call date]]&lt;&gt;"","Callable","Maturity")</f>
        <v>Callable</v>
      </c>
      <c r="D76" s="1" t="s">
        <v>457</v>
      </c>
      <c r="E76" s="1" t="s">
        <v>18</v>
      </c>
      <c r="F76" s="22">
        <f>IFERROR(INDEX('V004'!D:E,MATCH(D76,'V004'!D:D,0),2),0)</f>
        <v>0</v>
      </c>
      <c r="G76" s="22">
        <f>IFERROR(INDEX('V001'!D:E,MATCH(D76,'V001'!D:D,0),2),0)</f>
        <v>400000</v>
      </c>
      <c r="H76" s="22">
        <f>IFERROR(INDEX(UBS!C:D,MATCH(D76,UBS!D:D,0),1),0)</f>
        <v>0</v>
      </c>
      <c r="I76" s="300">
        <f>SUM(T_Bonds[[#This Row],[V1412]:[UBS]])</f>
        <v>400000</v>
      </c>
      <c r="J76" s="98">
        <f t="shared" si="29"/>
        <v>8.4999999999999964E-2</v>
      </c>
      <c r="K76" s="122">
        <f t="shared" si="30"/>
        <v>33999.999999999985</v>
      </c>
      <c r="L76" s="122">
        <f t="shared" si="31"/>
        <v>33999.999999999985</v>
      </c>
      <c r="M76" s="1" t="s">
        <v>257</v>
      </c>
      <c r="N76" s="5">
        <f>IFERROR(INDEX(Cbonds!C:H,MATCH(D76,Cbonds!C:C,0),4)/100,0)</f>
        <v>6.9760062103326997E-2</v>
      </c>
      <c r="O76" s="6">
        <f>IFERROR(INDEX(Cbonds!C:H,MATCH(D76,Cbonds!C:C,0),5),0)</f>
        <v>5.9180436861542001</v>
      </c>
      <c r="P76" s="91">
        <f>T_Bonds[[#This Row],[Market price]]-T_Bonds[[#This Row],[Cost price]]</f>
        <v>5.6350000000000122E-2</v>
      </c>
      <c r="Q76" s="91">
        <f>T_Bonds[[#This Row],[Coupon]]/T_Bonds[[#This Row],[Cost price]]</f>
        <v>8.1359176836563754E-2</v>
      </c>
      <c r="R76" s="124">
        <f t="shared" si="28"/>
        <v>27904.0248413308</v>
      </c>
      <c r="S76" s="222">
        <f>IFERROR(INDEX('V004'!D:J,MATCH(D76,'V004'!D:D,0),7),0)</f>
        <v>0</v>
      </c>
      <c r="T76" s="222">
        <f>IFERROR(INDEX('V001'!D:J,MATCH(D76,'V001'!D:D,0),7),0)</f>
        <v>1.0447499999999998</v>
      </c>
      <c r="U76" s="223">
        <f>IFERROR(S76*T_Bonds[[#This Row],[V1412]]/(T_Bonds[[#This Row],[V1412]]+T_Bonds[[#This Row],[V1430]])+T76*T_Bonds[[#This Row],[V1430]]/(T_Bonds[[#This Row],[V1412]]+T_Bonds[[#This Row],[V1430]]),0)</f>
        <v>1.0447499999999998</v>
      </c>
      <c r="V76" s="122">
        <f t="shared" si="32"/>
        <v>32543.670734625499</v>
      </c>
      <c r="W76" s="1" t="s">
        <v>459</v>
      </c>
      <c r="X76" s="299">
        <f>IFERROR(INDEX(Cbonds!C:AF,MATCH(D76,Cbonds!C:C,0),30)/100,0)</f>
        <v>1.1011</v>
      </c>
      <c r="Y76" s="4">
        <f>INDEX('Tech list'!A:C,MATCH(T_Bonds[[#This Row],[Risk CCY]],'Tech list'!A:A,0),3)</f>
        <v>1</v>
      </c>
      <c r="Z76" s="105">
        <f>T_Bonds[[#This Row],[Market price]]*T_Bonds[[#This Row],[Quantity]]</f>
        <v>440440</v>
      </c>
      <c r="AA76" s="127">
        <f t="shared" si="33"/>
        <v>440440</v>
      </c>
      <c r="AB76" s="73">
        <f ca="1">T_Bonds[[#This Row],[Market value in CCY]]+T_Bonds[[#This Row],[AI, CCY]]</f>
        <v>456117.77777777775</v>
      </c>
      <c r="AC76" s="73">
        <f ca="1">T_Bonds[[#This Row],[Market value in USD]]+T_Bonds[[#This Row],[AI, USD]]</f>
        <v>456117.77777777775</v>
      </c>
      <c r="AD76" s="127">
        <f t="shared" si="34"/>
        <v>417899.99999999994</v>
      </c>
      <c r="AE76" s="75">
        <f ca="1">(T_Bonds[[#This Row],[Coupon in Loc.Curr]]/T_Bonds[[#This Row],[Coupons per annum]])*((TODAY()-EDATE(T_Bonds[[#This Row],[Next coupon date]],-12/T_Bonds[[#This Row],[Coupons per annum]])))/(360/T_Bonds[[#This Row],[Coupons per annum]])</f>
        <v>15677.77777777777</v>
      </c>
      <c r="AF76" s="73">
        <f ca="1">T_Bonds[[#This Row],[AI, CCY]]*T_Bonds[[#This Row],[Exchange rate, N]]</f>
        <v>15677.77777777777</v>
      </c>
      <c r="AG76" s="311">
        <f>IFERROR(IF(INDEX(Cbonds!C:AC,MATCH(D76,Cbonds!C:C,0),27)&gt;5000,0,INDEX(Cbonds!C:AC,MATCH(D76,Cbonds!C:C,0),27)),0)</f>
        <v>305.15002168216</v>
      </c>
      <c r="AH76" s="73">
        <v>5</v>
      </c>
      <c r="AI76" s="17">
        <v>49212</v>
      </c>
      <c r="AJ76" s="74">
        <v>4.1529999999999997E-2</v>
      </c>
      <c r="AK76" t="s">
        <v>289</v>
      </c>
      <c r="AL76" t="s">
        <v>302</v>
      </c>
      <c r="AM76" t="s">
        <v>2475</v>
      </c>
      <c r="AN76" t="s">
        <v>470</v>
      </c>
      <c r="AO76" s="320">
        <v>2</v>
      </c>
      <c r="AP76" s="17">
        <f>IFERROR(INDEX(Cbonds!C:H,MATCH(D76,Cbonds!C:C,0),3),0)</f>
        <v>46106</v>
      </c>
      <c r="AQ76" s="17">
        <f>EDATE(T_Bonds[[#This Row],[Next coupon date]],12/T_Bonds[[#This Row],[Coupons per annum]])</f>
        <v>46290</v>
      </c>
      <c r="AR76" s="17">
        <f>EDATE(T_Bonds[[#This Row],[Second next coupon date]],12/$AO76)</f>
        <v>46471</v>
      </c>
      <c r="AS76" s="17">
        <f>EDATE(T_Bonds[[#This Row],[Coupon date 3]],12/$AO76)</f>
        <v>46655</v>
      </c>
      <c r="AT76" s="25">
        <f>IF(
OR(
AT$1=MONTH($AP76),
AT$1=MONTH($AQ76),
AT$1=MONTH($AR76),
AT$1=MONTH($AS76)),
IF('CF USD'!$A$8="On",$L76,$K76)/T_Bonds[[#This Row],[Coupons per annum]],0)</f>
        <v>0</v>
      </c>
      <c r="AU76" s="25">
        <f>IF(
OR(
AU$1=MONTH($AP76),
AU$1=MONTH($AQ76),
AU$1=MONTH($AR76),
AU$1=MONTH($AS76)),
IF('CF USD'!$A$8="On",$L76,$K76)/T_Bonds[[#This Row],[Coupons per annum]],0)</f>
        <v>0</v>
      </c>
      <c r="AV76" s="25">
        <f>IF(
OR(
AV$1=MONTH($AP76),
AV$1=MONTH($AQ76),
AV$1=MONTH($AR76),
AV$1=MONTH($AS76)),
IF('CF USD'!$A$8="On",$L76,$K76)/T_Bonds[[#This Row],[Coupons per annum]],0)</f>
        <v>16999.999999999993</v>
      </c>
      <c r="AW76" s="25">
        <f>IF(
OR(
AW$1=MONTH($AP76),
AW$1=MONTH($AQ76),
AW$1=MONTH($AR76),
AW$1=MONTH($AS76)),
IF('CF USD'!$A$8="On",$L76,$K76)/T_Bonds[[#This Row],[Coupons per annum]],0)</f>
        <v>0</v>
      </c>
      <c r="AX76" s="25">
        <f>IF(
OR(
AX$1=MONTH($AP76),
AX$1=MONTH($AQ76),
AX$1=MONTH($AR76),
AX$1=MONTH($AS76)),
IF('CF USD'!$A$8="On",$L76,$K76)/T_Bonds[[#This Row],[Coupons per annum]],0)</f>
        <v>0</v>
      </c>
      <c r="AY76" s="25">
        <f>IF(
OR(
AY$1=MONTH($AP76),
AY$1=MONTH($AQ76),
AY$1=MONTH($AR76),
AY$1=MONTH($AS76)),
IF('CF USD'!$A$8="On",$L76,$K76)/T_Bonds[[#This Row],[Coupons per annum]],0)</f>
        <v>0</v>
      </c>
      <c r="AZ76" s="25">
        <f>IF(
OR(
AZ$1=MONTH($AP76),
AZ$1=MONTH($AQ76),
AZ$1=MONTH($AR76),
AZ$1=MONTH($AS76)),
IF('CF USD'!$A$8="On",$L76,$K76)/T_Bonds[[#This Row],[Coupons per annum]],0)</f>
        <v>0</v>
      </c>
      <c r="BA76" s="25">
        <f>IF(
OR(
BA$1=MONTH($AP76),
BA$1=MONTH($AQ76),
BA$1=MONTH($AR76),
BA$1=MONTH($AS76)),
IF('CF USD'!$A$8="On",$L76,$K76)/T_Bonds[[#This Row],[Coupons per annum]],0)</f>
        <v>0</v>
      </c>
      <c r="BB76" s="25">
        <f>IF(
OR(
BB$1=MONTH($AP76),
BB$1=MONTH($AQ76),
BB$1=MONTH($AR76),
BB$1=MONTH($AS76)),
IF('CF USD'!$A$8="On",$L76,$K76)/T_Bonds[[#This Row],[Coupons per annum]],0)</f>
        <v>16999.999999999993</v>
      </c>
      <c r="BC76" s="25">
        <f>IF(
OR(
BC$1=MONTH($AP76),
BC$1=MONTH($AQ76),
BC$1=MONTH($AR76),
BC$1=MONTH($AS76)),
IF('CF USD'!$A$8="On",$L76,$K76)/T_Bonds[[#This Row],[Coupons per annum]],0)</f>
        <v>0</v>
      </c>
      <c r="BD76" s="25">
        <f>IF(
OR(
BD$1=MONTH($AP76),
BD$1=MONTH($AQ76),
BD$1=MONTH($AR76),
BD$1=MONTH($AS76)),
IF('CF USD'!$A$8="On",$L76,$K76)/T_Bonds[[#This Row],[Coupons per annum]],0)</f>
        <v>0</v>
      </c>
      <c r="BE76" s="25">
        <f>IF(
OR(
BE$1=MONTH($AP76),
BE$1=MONTH($AQ76),
BE$1=MONTH($AR76),
BE$1=MONTH($AS76)),
IF('CF USD'!$A$8="On",$L76,$K76)/T_Bonds[[#This Row],[Coupons per annum]],0)</f>
        <v>0</v>
      </c>
      <c r="BF76">
        <f>DAY(T_Bonds[[#This Row],[Next coupon date]])</f>
        <v>25</v>
      </c>
    </row>
    <row r="77" spans="1:58" x14ac:dyDescent="0.25">
      <c r="A77" s="1" t="s">
        <v>474</v>
      </c>
      <c r="B77" t="s">
        <v>51</v>
      </c>
      <c r="C77" s="1" t="str">
        <f>IF(T_Bonds[[#This Row],[Call date]]&lt;&gt;"","Callable","Maturity")</f>
        <v>Callable</v>
      </c>
      <c r="D77" s="1" t="s">
        <v>476</v>
      </c>
      <c r="E77" s="1" t="s">
        <v>21</v>
      </c>
      <c r="F77" s="22">
        <f>IFERROR(INDEX('V004'!D:E,MATCH(D77,'V004'!D:D,0),2),0)</f>
        <v>1000000</v>
      </c>
      <c r="G77" s="22">
        <f>IFERROR(INDEX('V001'!D:E,MATCH(D77,'V001'!D:D,0),2),0)</f>
        <v>0</v>
      </c>
      <c r="H77" s="22">
        <f>IFERROR(INDEX(UBS!C:D,MATCH(D77,UBS!D:D,0),1),0)</f>
        <v>0</v>
      </c>
      <c r="I77" s="300">
        <f>SUM(T_Bonds[[#This Row],[V1412]:[UBS]])</f>
        <v>1000000</v>
      </c>
      <c r="J77" s="98">
        <f t="shared" si="29"/>
        <v>5.875000000000008E-2</v>
      </c>
      <c r="K77" s="122">
        <f t="shared" si="30"/>
        <v>58750.00000000008</v>
      </c>
      <c r="L77" s="122">
        <f t="shared" ca="1" si="31"/>
        <v>67979.625000000087</v>
      </c>
      <c r="M77" s="16"/>
      <c r="N77" s="5">
        <f>IFERROR(INDEX(Cbonds!C:H,MATCH(D77,Cbonds!C:C,0),4)/100,0)</f>
        <v>5.5698480887462001E-2</v>
      </c>
      <c r="O77" s="6">
        <f>IFERROR(INDEX(Cbonds!C:H,MATCH(D77,Cbonds!C:C,0),5),0)</f>
        <v>7.1390891993648999</v>
      </c>
      <c r="P77" s="91">
        <f>T_Bonds[[#This Row],[Market price]]-T_Bonds[[#This Row],[Cost price]]</f>
        <v>0.11034999999999995</v>
      </c>
      <c r="Q77" s="91">
        <f>T_Bonds[[#This Row],[Coupon]]/T_Bonds[[#This Row],[Cost price]]</f>
        <v>6.3827475691238075E-2</v>
      </c>
      <c r="R77" s="124">
        <f t="shared" si="28"/>
        <v>55698.480887461999</v>
      </c>
      <c r="S77" s="222">
        <f>IFERROR(INDEX('V004'!D:J,MATCH(D77,'V004'!D:D,0),7),0)</f>
        <v>0.92044999999999999</v>
      </c>
      <c r="T77" s="222">
        <f>IFERROR(INDEX('V001'!D:J,MATCH(D77,'V001'!D:D,0),7),0)</f>
        <v>0</v>
      </c>
      <c r="U77" s="223">
        <f>IFERROR(S77*T_Bonds[[#This Row],[V1412]]/(T_Bonds[[#This Row],[V1412]]+T_Bonds[[#This Row],[V1430]])+T77*T_Bonds[[#This Row],[V1430]]/(T_Bonds[[#This Row],[V1412]]+T_Bonds[[#This Row],[V1430]]),0)</f>
        <v>0.92044999999999999</v>
      </c>
      <c r="V77" s="122">
        <f t="shared" si="32"/>
        <v>63827.475691238069</v>
      </c>
      <c r="W77" s="4">
        <v>1.1181000000000001</v>
      </c>
      <c r="X77" s="299">
        <f>IFERROR(INDEX(Cbonds!C:AF,MATCH(D77,Cbonds!C:C,0),30)/100,0)</f>
        <v>1.0307999999999999</v>
      </c>
      <c r="Y77" s="4">
        <f ca="1">INDEX('Tech list'!A:C,MATCH(T_Bonds[[#This Row],[Risk CCY]],'Tech list'!A:A,0),3)</f>
        <v>1.1571</v>
      </c>
      <c r="Z77" s="105">
        <f>T_Bonds[[#This Row],[Market price]]*T_Bonds[[#This Row],[Quantity]]</f>
        <v>1030799.9999999999</v>
      </c>
      <c r="AA77" s="127">
        <f t="shared" ca="1" si="33"/>
        <v>1192738.68</v>
      </c>
      <c r="AB77" s="73">
        <f ca="1">T_Bonds[[#This Row],[Market value in CCY]]+T_Bonds[[#This Row],[AI, CCY]]</f>
        <v>1043365.9722222221</v>
      </c>
      <c r="AC77" s="73">
        <f ca="1">T_Bonds[[#This Row],[Market value in USD]]+T_Bonds[[#This Row],[AI, USD]]</f>
        <v>1207278.7664583332</v>
      </c>
      <c r="AD77" s="127">
        <f t="shared" si="34"/>
        <v>920450</v>
      </c>
      <c r="AE77" s="75">
        <f ca="1">(T_Bonds[[#This Row],[Coupon in Loc.Curr]]/T_Bonds[[#This Row],[Coupons per annum]])*((TODAY()-EDATE(T_Bonds[[#This Row],[Next coupon date]],-12/T_Bonds[[#This Row],[Coupons per annum]])))/(360/T_Bonds[[#This Row],[Coupons per annum]])</f>
        <v>12565.972222222241</v>
      </c>
      <c r="AF77" s="73">
        <f ca="1">T_Bonds[[#This Row],[AI, CCY]]*T_Bonds[[#This Row],[Exchange rate, N]]</f>
        <v>14540.086458333355</v>
      </c>
      <c r="AG77" s="311">
        <f>IFERROR(IF(INDEX(Cbonds!C:AC,MATCH(D77,Cbonds!C:C,0),27)&gt;5000,0,INDEX(Cbonds!C:AC,MATCH(D77,Cbonds!C:C,0),27)),0)</f>
        <v>293.36835278008999</v>
      </c>
      <c r="AH77" s="105">
        <v>0</v>
      </c>
      <c r="AI77" s="212">
        <v>49391</v>
      </c>
      <c r="AJ77" s="74">
        <v>5.8749999999999997E-2</v>
      </c>
      <c r="AK77" t="s">
        <v>289</v>
      </c>
      <c r="AL77" t="s">
        <v>302</v>
      </c>
      <c r="AM77" t="s">
        <v>2475</v>
      </c>
      <c r="AN77" t="s">
        <v>353</v>
      </c>
      <c r="AO77" s="320">
        <v>4</v>
      </c>
      <c r="AP77" s="17">
        <f>IFERROR(INDEX(Cbonds!C:H,MATCH(D77,Cbonds!C:C,0),3),0)</f>
        <v>46104</v>
      </c>
      <c r="AQ77" s="17">
        <f>EDATE(T_Bonds[[#This Row],[Next coupon date]],12/T_Bonds[[#This Row],[Coupons per annum]])</f>
        <v>46196</v>
      </c>
      <c r="AR77" s="17">
        <f>EDATE(T_Bonds[[#This Row],[Second next coupon date]],12/$AO77)</f>
        <v>46288</v>
      </c>
      <c r="AS77" s="17">
        <f>EDATE(T_Bonds[[#This Row],[Coupon date 3]],12/$AO77)</f>
        <v>46379</v>
      </c>
      <c r="AT77" s="25">
        <f>IF(
OR(
AT$1=MONTH($AP77),
AT$1=MONTH($AQ77),
AT$1=MONTH($AR77),
AT$1=MONTH($AS77)),
IF('CF USD'!$A$8="On",$L77,$K77)/T_Bonds[[#This Row],[Coupons per annum]],0)</f>
        <v>0</v>
      </c>
      <c r="AU77" s="25">
        <f>IF(
OR(
AU$1=MONTH($AP77),
AU$1=MONTH($AQ77),
AU$1=MONTH($AR77),
AU$1=MONTH($AS77)),
IF('CF USD'!$A$8="On",$L77,$K77)/T_Bonds[[#This Row],[Coupons per annum]],0)</f>
        <v>0</v>
      </c>
      <c r="AV77" s="25">
        <f>IF(
OR(
AV$1=MONTH($AP77),
AV$1=MONTH($AQ77),
AV$1=MONTH($AR77),
AV$1=MONTH($AS77)),
IF('CF USD'!$A$8="On",$L77,$K77)/T_Bonds[[#This Row],[Coupons per annum]],0)</f>
        <v>14687.50000000002</v>
      </c>
      <c r="AW77" s="25">
        <f>IF(
OR(
AW$1=MONTH($AP77),
AW$1=MONTH($AQ77),
AW$1=MONTH($AR77),
AW$1=MONTH($AS77)),
IF('CF USD'!$A$8="On",$L77,$K77)/T_Bonds[[#This Row],[Coupons per annum]],0)</f>
        <v>0</v>
      </c>
      <c r="AX77" s="25">
        <f>IF(
OR(
AX$1=MONTH($AP77),
AX$1=MONTH($AQ77),
AX$1=MONTH($AR77),
AX$1=MONTH($AS77)),
IF('CF USD'!$A$8="On",$L77,$K77)/T_Bonds[[#This Row],[Coupons per annum]],0)</f>
        <v>0</v>
      </c>
      <c r="AY77" s="25">
        <f>IF(
OR(
AY$1=MONTH($AP77),
AY$1=MONTH($AQ77),
AY$1=MONTH($AR77),
AY$1=MONTH($AS77)),
IF('CF USD'!$A$8="On",$L77,$K77)/T_Bonds[[#This Row],[Coupons per annum]],0)</f>
        <v>14687.50000000002</v>
      </c>
      <c r="AZ77" s="25">
        <f>IF(
OR(
AZ$1=MONTH($AP77),
AZ$1=MONTH($AQ77),
AZ$1=MONTH($AR77),
AZ$1=MONTH($AS77)),
IF('CF USD'!$A$8="On",$L77,$K77)/T_Bonds[[#This Row],[Coupons per annum]],0)</f>
        <v>0</v>
      </c>
      <c r="BA77" s="25">
        <f>IF(
OR(
BA$1=MONTH($AP77),
BA$1=MONTH($AQ77),
BA$1=MONTH($AR77),
BA$1=MONTH($AS77)),
IF('CF USD'!$A$8="On",$L77,$K77)/T_Bonds[[#This Row],[Coupons per annum]],0)</f>
        <v>0</v>
      </c>
      <c r="BB77" s="25">
        <f>IF(
OR(
BB$1=MONTH($AP77),
BB$1=MONTH($AQ77),
BB$1=MONTH($AR77),
BB$1=MONTH($AS77)),
IF('CF USD'!$A$8="On",$L77,$K77)/T_Bonds[[#This Row],[Coupons per annum]],0)</f>
        <v>14687.50000000002</v>
      </c>
      <c r="BC77" s="25">
        <f>IF(
OR(
BC$1=MONTH($AP77),
BC$1=MONTH($AQ77),
BC$1=MONTH($AR77),
BC$1=MONTH($AS77)),
IF('CF USD'!$A$8="On",$L77,$K77)/T_Bonds[[#This Row],[Coupons per annum]],0)</f>
        <v>0</v>
      </c>
      <c r="BD77" s="25">
        <f>IF(
OR(
BD$1=MONTH($AP77),
BD$1=MONTH($AQ77),
BD$1=MONTH($AR77),
BD$1=MONTH($AS77)),
IF('CF USD'!$A$8="On",$L77,$K77)/T_Bonds[[#This Row],[Coupons per annum]],0)</f>
        <v>0</v>
      </c>
      <c r="BE77" s="25">
        <f>IF(
OR(
BE$1=MONTH($AP77),
BE$1=MONTH($AQ77),
BE$1=MONTH($AR77),
BE$1=MONTH($AS77)),
IF('CF USD'!$A$8="On",$L77,$K77)/T_Bonds[[#This Row],[Coupons per annum]],0)</f>
        <v>14687.50000000002</v>
      </c>
      <c r="BF77">
        <f>DAY(T_Bonds[[#This Row],[Next coupon date]])</f>
        <v>23</v>
      </c>
    </row>
    <row r="78" spans="1:58" x14ac:dyDescent="0.25">
      <c r="A78" s="1" t="s">
        <v>475</v>
      </c>
      <c r="B78" t="s">
        <v>51</v>
      </c>
      <c r="C78" s="1" t="str">
        <f>IF(T_Bonds[[#This Row],[Call date]]&lt;&gt;"","Callable","Maturity")</f>
        <v>Callable</v>
      </c>
      <c r="D78" s="1" t="s">
        <v>477</v>
      </c>
      <c r="E78" s="1" t="s">
        <v>18</v>
      </c>
      <c r="F78" s="22">
        <f>IFERROR(INDEX('V004'!D:E,MATCH(D78,'V004'!D:D,0),2),0)</f>
        <v>1000000</v>
      </c>
      <c r="G78" s="22">
        <f>IFERROR(INDEX('V001'!D:E,MATCH(D78,'V001'!D:D,0),2),0)</f>
        <v>0</v>
      </c>
      <c r="H78" s="22">
        <f>IFERROR(INDEX(UBS!C:D,MATCH(D78,UBS!D:D,0),1),0)</f>
        <v>0</v>
      </c>
      <c r="I78" s="300">
        <f>SUM(T_Bonds[[#This Row],[V1412]:[UBS]])</f>
        <v>1000000</v>
      </c>
      <c r="J78" s="98">
        <f t="shared" si="29"/>
        <v>6.9500000000000117E-2</v>
      </c>
      <c r="K78" s="122">
        <f t="shared" si="30"/>
        <v>69500.000000000116</v>
      </c>
      <c r="L78" s="122">
        <f t="shared" si="31"/>
        <v>69500.000000000116</v>
      </c>
      <c r="M78" s="16"/>
      <c r="N78" s="5">
        <f>IFERROR(INDEX(Cbonds!C:H,MATCH(D78,Cbonds!C:C,0),4)/100,0)</f>
        <v>6.1911503208737007E-2</v>
      </c>
      <c r="O78" s="6">
        <f>IFERROR(INDEX(Cbonds!C:H,MATCH(D78,Cbonds!C:C,0),5),0)</f>
        <v>4.5455730065989002</v>
      </c>
      <c r="P78" s="91">
        <f>T_Bonds[[#This Row],[Market price]]-T_Bonds[[#This Row],[Cost price]]</f>
        <v>0.10310000000000008</v>
      </c>
      <c r="Q78" s="91">
        <f>T_Bonds[[#This Row],[Coupon]]/T_Bonds[[#This Row],[Cost price]]</f>
        <v>7.4204569720264915E-2</v>
      </c>
      <c r="R78" s="124">
        <f t="shared" si="28"/>
        <v>61911.503208737005</v>
      </c>
      <c r="S78" s="222">
        <f>IFERROR(INDEX('V004'!D:J,MATCH(D78,'V004'!D:D,0),7),0)</f>
        <v>0.93659999999999999</v>
      </c>
      <c r="T78" s="222">
        <f>IFERROR(INDEX('V001'!D:J,MATCH(D78,'V001'!D:D,0),7),0)</f>
        <v>0</v>
      </c>
      <c r="U78" s="223">
        <f>IFERROR(S78*T_Bonds[[#This Row],[V1412]]/(T_Bonds[[#This Row],[V1412]]+T_Bonds[[#This Row],[V1430]])+T78*T_Bonds[[#This Row],[V1430]]/(T_Bonds[[#This Row],[V1412]]+T_Bonds[[#This Row],[V1430]]),0)</f>
        <v>0.93659999999999999</v>
      </c>
      <c r="V78" s="122">
        <f t="shared" si="32"/>
        <v>74204.569720264917</v>
      </c>
      <c r="W78" s="4"/>
      <c r="X78" s="299">
        <f>IFERROR(INDEX(Cbonds!C:AF,MATCH(D78,Cbonds!C:C,0),30)/100,0)</f>
        <v>1.0397000000000001</v>
      </c>
      <c r="Y78" s="4">
        <f>INDEX('Tech list'!A:C,MATCH(T_Bonds[[#This Row],[Risk CCY]],'Tech list'!A:A,0),3)</f>
        <v>1</v>
      </c>
      <c r="Z78" s="105">
        <f>T_Bonds[[#This Row],[Market price]]*T_Bonds[[#This Row],[Quantity]]</f>
        <v>1039700.0000000001</v>
      </c>
      <c r="AA78" s="127">
        <f t="shared" si="33"/>
        <v>1039700.0000000001</v>
      </c>
      <c r="AB78" s="73">
        <f ca="1">T_Bonds[[#This Row],[Market value in CCY]]+T_Bonds[[#This Row],[AI, CCY]]</f>
        <v>1077345.8333333335</v>
      </c>
      <c r="AC78" s="73">
        <f ca="1">T_Bonds[[#This Row],[Market value in USD]]+T_Bonds[[#This Row],[AI, USD]]</f>
        <v>1077345.8333333335</v>
      </c>
      <c r="AD78" s="127">
        <f t="shared" si="34"/>
        <v>936600</v>
      </c>
      <c r="AE78" s="75">
        <f ca="1">(T_Bonds[[#This Row],[Coupon in Loc.Curr]]/T_Bonds[[#This Row],[Coupons per annum]])*((TODAY()-EDATE(T_Bonds[[#This Row],[Next coupon date]],-12/T_Bonds[[#This Row],[Coupons per annum]])))/(360/T_Bonds[[#This Row],[Coupons per annum]])</f>
        <v>37645.833333333394</v>
      </c>
      <c r="AF78" s="73">
        <f ca="1">T_Bonds[[#This Row],[AI, CCY]]*T_Bonds[[#This Row],[Exchange rate, N]]</f>
        <v>37645.833333333394</v>
      </c>
      <c r="AG78" s="311">
        <f>IFERROR(IF(INDEX(Cbonds!C:AC,MATCH(D78,Cbonds!C:C,0),27)&gt;5000,0,INDEX(Cbonds!C:AC,MATCH(D78,Cbonds!C:C,0),27)),0)</f>
        <v>241.09021521045</v>
      </c>
      <c r="AH78" s="105">
        <v>0</v>
      </c>
      <c r="AI78" s="212">
        <v>48271</v>
      </c>
      <c r="AJ78" s="74">
        <v>6.9500000000000006E-2</v>
      </c>
      <c r="AK78" t="s">
        <v>289</v>
      </c>
      <c r="AL78" t="s">
        <v>294</v>
      </c>
      <c r="AM78" t="s">
        <v>2475</v>
      </c>
      <c r="AN78" s="113" t="s">
        <v>478</v>
      </c>
      <c r="AO78" s="340">
        <v>2</v>
      </c>
      <c r="AP78" s="17">
        <f>IFERROR(INDEX(Cbonds!C:H,MATCH(D78,Cbonds!C:C,0),3),0)</f>
        <v>46080</v>
      </c>
      <c r="AQ78" s="17">
        <f>EDATE(T_Bonds[[#This Row],[Next coupon date]],12/T_Bonds[[#This Row],[Coupons per annum]])</f>
        <v>46261</v>
      </c>
      <c r="AR78" s="17">
        <f>EDATE(T_Bonds[[#This Row],[Second next coupon date]],12/$AO78)</f>
        <v>46445</v>
      </c>
      <c r="AS78" s="17">
        <f>EDATE(T_Bonds[[#This Row],[Coupon date 3]],12/$AO78)</f>
        <v>46626</v>
      </c>
      <c r="AT78" s="25">
        <f>IF(
OR(
AT$1=MONTH($AP78),
AT$1=MONTH($AQ78),
AT$1=MONTH($AR78),
AT$1=MONTH($AS78)),
IF('CF USD'!$A$8="On",$L78,$K78)/T_Bonds[[#This Row],[Coupons per annum]],0)</f>
        <v>0</v>
      </c>
      <c r="AU78" s="997">
        <f>IF(
OR(
AU$1=MONTH($AP78),
AU$1=MONTH($AQ78),
AU$1=MONTH($AR78),
AU$1=MONTH($AS78)),
IF('CF USD'!$A$8="On",$L78,$K78)/T_Bonds[[#This Row],[Coupons per annum]],0)</f>
        <v>34750.000000000058</v>
      </c>
      <c r="AV78" s="25">
        <f>IF(
OR(
AV$1=MONTH($AP78),
AV$1=MONTH($AQ78),
AV$1=MONTH($AR78),
AV$1=MONTH($AS78)),
IF('CF USD'!$A$8="On",$L78,$K78)/T_Bonds[[#This Row],[Coupons per annum]],0)</f>
        <v>0</v>
      </c>
      <c r="AW78" s="25">
        <f>IF(
OR(
AW$1=MONTH($AP78),
AW$1=MONTH($AQ78),
AW$1=MONTH($AR78),
AW$1=MONTH($AS78)),
IF('CF USD'!$A$8="On",$L78,$K78)/T_Bonds[[#This Row],[Coupons per annum]],0)</f>
        <v>0</v>
      </c>
      <c r="AX78" s="25">
        <f>IF(
OR(
AX$1=MONTH($AP78),
AX$1=MONTH($AQ78),
AX$1=MONTH($AR78),
AX$1=MONTH($AS78)),
IF('CF USD'!$A$8="On",$L78,$K78)/T_Bonds[[#This Row],[Coupons per annum]],0)</f>
        <v>0</v>
      </c>
      <c r="AY78" s="25">
        <f>IF(
OR(
AY$1=MONTH($AP78),
AY$1=MONTH($AQ78),
AY$1=MONTH($AR78),
AY$1=MONTH($AS78)),
IF('CF USD'!$A$8="On",$L78,$K78)/T_Bonds[[#This Row],[Coupons per annum]],0)</f>
        <v>0</v>
      </c>
      <c r="AZ78" s="25">
        <f>IF(
OR(
AZ$1=MONTH($AP78),
AZ$1=MONTH($AQ78),
AZ$1=MONTH($AR78),
AZ$1=MONTH($AS78)),
IF('CF USD'!$A$8="On",$L78,$K78)/T_Bonds[[#This Row],[Coupons per annum]],0)</f>
        <v>0</v>
      </c>
      <c r="BA78" s="25">
        <f>IF(
OR(
BA$1=MONTH($AP78),
BA$1=MONTH($AQ78),
BA$1=MONTH($AR78),
BA$1=MONTH($AS78)),
IF('CF USD'!$A$8="On",$L78,$K78)/T_Bonds[[#This Row],[Coupons per annum]],0)</f>
        <v>34750.000000000058</v>
      </c>
      <c r="BB78" s="25">
        <f>IF(
OR(
BB$1=MONTH($AP78),
BB$1=MONTH($AQ78),
BB$1=MONTH($AR78),
BB$1=MONTH($AS78)),
IF('CF USD'!$A$8="On",$L78,$K78)/T_Bonds[[#This Row],[Coupons per annum]],0)</f>
        <v>0</v>
      </c>
      <c r="BC78" s="25">
        <f>IF(
OR(
BC$1=MONTH($AP78),
BC$1=MONTH($AQ78),
BC$1=MONTH($AR78),
BC$1=MONTH($AS78)),
IF('CF USD'!$A$8="On",$L78,$K78)/T_Bonds[[#This Row],[Coupons per annum]],0)</f>
        <v>0</v>
      </c>
      <c r="BD78" s="25">
        <f>IF(
OR(
BD$1=MONTH($AP78),
BD$1=MONTH($AQ78),
BD$1=MONTH($AR78),
BD$1=MONTH($AS78)),
IF('CF USD'!$A$8="On",$L78,$K78)/T_Bonds[[#This Row],[Coupons per annum]],0)</f>
        <v>0</v>
      </c>
      <c r="BE78" s="25">
        <f>IF(
OR(
BE$1=MONTH($AP78),
BE$1=MONTH($AQ78),
BE$1=MONTH($AR78),
BE$1=MONTH($AS78)),
IF('CF USD'!$A$8="On",$L78,$K78)/T_Bonds[[#This Row],[Coupons per annum]],0)</f>
        <v>0</v>
      </c>
      <c r="BF78">
        <f>DAY(T_Bonds[[#This Row],[Next coupon date]])</f>
        <v>27</v>
      </c>
    </row>
    <row r="79" spans="1:58" x14ac:dyDescent="0.25">
      <c r="A79" s="217" t="s">
        <v>508</v>
      </c>
      <c r="B79" t="s">
        <v>51</v>
      </c>
      <c r="C79" s="217" t="str">
        <f>IF(T_Bonds[[#This Row],[Call date]]&lt;&gt;"","Callable","Maturity")</f>
        <v>Maturity</v>
      </c>
      <c r="D79" s="217" t="s">
        <v>509</v>
      </c>
      <c r="E79" s="217" t="s">
        <v>458</v>
      </c>
      <c r="F79" s="22">
        <f>IFERROR(INDEX('V004'!D:E,MATCH(D79,'V004'!D:D,0),2),0)</f>
        <v>3000000</v>
      </c>
      <c r="G79" s="22">
        <f>IFERROR(INDEX('V001'!D:E,MATCH(D79,'V001'!D:D,0),2),0)</f>
        <v>3000000</v>
      </c>
      <c r="H79" s="22">
        <f>IFERROR(INDEX(UBS!C:D,MATCH(D79,UBS!D:D,0),1),0)</f>
        <v>0</v>
      </c>
      <c r="I79" s="300">
        <f>SUM(T_Bonds[[#This Row],[V1412]:[UBS]])</f>
        <v>6000000</v>
      </c>
      <c r="J79" s="225">
        <f t="shared" ref="J79:J85" si="35">LEFT(A79,FIND("%",A79,1))+1-1</f>
        <v>0.10749999999999993</v>
      </c>
      <c r="K79" s="226">
        <f t="shared" ref="K79:K85" si="36">J79*I79</f>
        <v>644999.99999999953</v>
      </c>
      <c r="L79" s="226">
        <f t="shared" ca="1" si="31"/>
        <v>123839.99999999991</v>
      </c>
      <c r="M79" s="227">
        <v>48130</v>
      </c>
      <c r="N79" s="5">
        <f>IFERROR(INDEX(Cbonds!C:H,MATCH(D79,Cbonds!C:C,0),4)/100,0)</f>
        <v>0.12217960920936999</v>
      </c>
      <c r="O79" s="75">
        <f>IFERROR(INDEX(Cbonds!C:H,MATCH(D79,Cbonds!C:C,0),5),0)</f>
        <v>4.3723644170189004</v>
      </c>
      <c r="P79" s="91">
        <f>T_Bonds[[#This Row],[Market price]]-T_Bonds[[#This Row],[Cost price]]</f>
        <v>1.0747666666666711E-2</v>
      </c>
      <c r="Q79" s="91">
        <f>T_Bonds[[#This Row],[Coupon]]/T_Bonds[[#This Row],[Cost price]]</f>
        <v>0.1136420897881746</v>
      </c>
      <c r="R79" s="228">
        <f t="shared" si="28"/>
        <v>733077.65525621991</v>
      </c>
      <c r="S79" s="222">
        <f>IFERROR(INDEX('V004'!D:J,MATCH(D79,'V004'!D:D,0),7),0)</f>
        <v>0.94758466666666663</v>
      </c>
      <c r="T79" s="222">
        <f>IFERROR(INDEX('V001'!D:J,MATCH(D79,'V001'!D:D,0),7),0)</f>
        <v>0.94432000000000005</v>
      </c>
      <c r="U79" s="223">
        <f>IFERROR(S79*T_Bonds[[#This Row],[V1412]]/(T_Bonds[[#This Row],[V1412]]+T_Bonds[[#This Row],[V1430]])+T79*T_Bonds[[#This Row],[V1430]]/(T_Bonds[[#This Row],[V1412]]+T_Bonds[[#This Row],[V1430]]),0)</f>
        <v>0.94595233333333328</v>
      </c>
      <c r="V79" s="226">
        <f t="shared" si="32"/>
        <v>681852.53872904752</v>
      </c>
      <c r="W79" s="4">
        <f>1/5.6679</f>
        <v>0.17643218828843132</v>
      </c>
      <c r="X79" s="299">
        <f>IFERROR(INDEX(Cbonds!C:AF,MATCH(D79,Cbonds!C:C,0),30)/100,0)</f>
        <v>0.95669999999999999</v>
      </c>
      <c r="Y79" s="229">
        <f ca="1">INDEX('Tech list'!A:C,MATCH(T_Bonds[[#This Row],[Risk CCY]],'Tech list'!A:A,0),3)</f>
        <v>0.192</v>
      </c>
      <c r="Z79" s="230">
        <f>T_Bonds[[#This Row],[Market price]]*T_Bonds[[#This Row],[Quantity]]</f>
        <v>5740200</v>
      </c>
      <c r="AA79" s="230">
        <f t="shared" ca="1" si="33"/>
        <v>1102118.3999999999</v>
      </c>
      <c r="AB79" s="73">
        <f ca="1">T_Bonds[[#This Row],[Market value in CCY]]+T_Bonds[[#This Row],[AI, CCY]]</f>
        <v>6012533.333333333</v>
      </c>
      <c r="AC79" s="73">
        <f ca="1">T_Bonds[[#This Row],[Market value in USD]]+T_Bonds[[#This Row],[AI, USD]]</f>
        <v>1154406.3999999999</v>
      </c>
      <c r="AD79" s="230">
        <f t="shared" si="34"/>
        <v>5675714</v>
      </c>
      <c r="AE79" s="75">
        <f ca="1">(T_Bonds[[#This Row],[Coupon in Loc.Curr]]/T_Bonds[[#This Row],[Coupons per annum]])*((TODAY()-EDATE(T_Bonds[[#This Row],[Next coupon date]],-12/T_Bonds[[#This Row],[Coupons per annum]])))/(360/T_Bonds[[#This Row],[Coupons per annum]])</f>
        <v>272333.33333333314</v>
      </c>
      <c r="AF79" s="73">
        <f ca="1">T_Bonds[[#This Row],[AI, CCY]]*T_Bonds[[#This Row],[Exchange rate, N]]</f>
        <v>52287.999999999964</v>
      </c>
      <c r="AG79" s="311">
        <f>IFERROR(IF(INDEX(Cbonds!C:AC,MATCH(D79,Cbonds!C:C,0),27)&gt;5000,0,INDEX(Cbonds!C:AC,MATCH(D79,Cbonds!C:C,0),27)),0)</f>
        <v>0</v>
      </c>
      <c r="AH79" s="105">
        <v>85</v>
      </c>
      <c r="AI79" s="231"/>
      <c r="AJ79" s="232"/>
      <c r="AK79" t="s">
        <v>312</v>
      </c>
      <c r="AL79" t="s">
        <v>283</v>
      </c>
      <c r="AM79" t="s">
        <v>2475</v>
      </c>
      <c r="AN79" t="s">
        <v>468</v>
      </c>
      <c r="AO79" s="320">
        <v>1</v>
      </c>
      <c r="AP79" s="17">
        <f>IFERROR(INDEX(Cbonds!C:H,MATCH(D79,Cbonds!C:C,0),3),0)</f>
        <v>46304</v>
      </c>
      <c r="AQ79" s="17">
        <f>EDATE(T_Bonds[[#This Row],[Next coupon date]],12/T_Bonds[[#This Row],[Coupons per annum]])</f>
        <v>46669</v>
      </c>
      <c r="AR79" s="17">
        <f>EDATE(T_Bonds[[#This Row],[Second next coupon date]],12/$AO79)</f>
        <v>47035</v>
      </c>
      <c r="AS79" s="17">
        <f>EDATE(T_Bonds[[#This Row],[Coupon date 3]],12/$AO79)</f>
        <v>47400</v>
      </c>
      <c r="AT79" s="25">
        <f>IF(
OR(
AT$1=MONTH($AP79),
AT$1=MONTH($AQ79),
AT$1=MONTH($AR79),
AT$1=MONTH($AS79)),
IF('CF USD'!$A$8="On",$L79,$K79)/T_Bonds[[#This Row],[Coupons per annum]],0)</f>
        <v>0</v>
      </c>
      <c r="AU79" s="25">
        <f>IF(
OR(
AU$1=MONTH($AP79),
AU$1=MONTH($AQ79),
AU$1=MONTH($AR79),
AU$1=MONTH($AS79)),
IF('CF USD'!$A$8="On",$L79,$K79)/T_Bonds[[#This Row],[Coupons per annum]],0)</f>
        <v>0</v>
      </c>
      <c r="AV79" s="25">
        <f>IF(
OR(
AV$1=MONTH($AP79),
AV$1=MONTH($AQ79),
AV$1=MONTH($AR79),
AV$1=MONTH($AS79)),
IF('CF USD'!$A$8="On",$L79,$K79)/T_Bonds[[#This Row],[Coupons per annum]],0)</f>
        <v>0</v>
      </c>
      <c r="AW79" s="25">
        <f>IF(
OR(
AW$1=MONTH($AP79),
AW$1=MONTH($AQ79),
AW$1=MONTH($AR79),
AW$1=MONTH($AS79)),
IF('CF USD'!$A$8="On",$L79,$K79)/T_Bonds[[#This Row],[Coupons per annum]],0)</f>
        <v>0</v>
      </c>
      <c r="AX79" s="25">
        <f>IF(
OR(
AX$1=MONTH($AP79),
AX$1=MONTH($AQ79),
AX$1=MONTH($AR79),
AX$1=MONTH($AS79)),
IF('CF USD'!$A$8="On",$L79,$K79)/T_Bonds[[#This Row],[Coupons per annum]],0)</f>
        <v>0</v>
      </c>
      <c r="AY79" s="25">
        <f>IF(
OR(
AY$1=MONTH($AP79),
AY$1=MONTH($AQ79),
AY$1=MONTH($AR79),
AY$1=MONTH($AS79)),
IF('CF USD'!$A$8="On",$L79,$K79)/T_Bonds[[#This Row],[Coupons per annum]],0)</f>
        <v>0</v>
      </c>
      <c r="AZ79" s="25">
        <f>IF(
OR(
AZ$1=MONTH($AP79),
AZ$1=MONTH($AQ79),
AZ$1=MONTH($AR79),
AZ$1=MONTH($AS79)),
IF('CF USD'!$A$8="On",$L79,$K79)/T_Bonds[[#This Row],[Coupons per annum]],0)</f>
        <v>0</v>
      </c>
      <c r="BA79" s="25">
        <f>IF(
OR(
BA$1=MONTH($AP79),
BA$1=MONTH($AQ79),
BA$1=MONTH($AR79),
BA$1=MONTH($AS79)),
IF('CF USD'!$A$8="On",$L79,$K79)/T_Bonds[[#This Row],[Coupons per annum]],0)</f>
        <v>0</v>
      </c>
      <c r="BB79" s="25">
        <f>IF(
OR(
BB$1=MONTH($AP79),
BB$1=MONTH($AQ79),
BB$1=MONTH($AR79),
BB$1=MONTH($AS79)),
IF('CF USD'!$A$8="On",$L79,$K79)/T_Bonds[[#This Row],[Coupons per annum]],0)</f>
        <v>0</v>
      </c>
      <c r="BC79" s="25">
        <f>IF(
OR(
BC$1=MONTH($AP79),
BC$1=MONTH($AQ79),
BC$1=MONTH($AR79),
BC$1=MONTH($AS79)),
IF('CF USD'!$A$8="On",$L79,$K79)/T_Bonds[[#This Row],[Coupons per annum]],0)</f>
        <v>644999.99999999953</v>
      </c>
      <c r="BD79" s="25">
        <f>IF(
OR(
BD$1=MONTH($AP79),
BD$1=MONTH($AQ79),
BD$1=MONTH($AR79),
BD$1=MONTH($AS79)),
IF('CF USD'!$A$8="On",$L79,$K79)/T_Bonds[[#This Row],[Coupons per annum]],0)</f>
        <v>0</v>
      </c>
      <c r="BE79" s="25">
        <f>IF(
OR(
BE$1=MONTH($AP79),
BE$1=MONTH($AQ79),
BE$1=MONTH($AR79),
BE$1=MONTH($AS79)),
IF('CF USD'!$A$8="On",$L79,$K79)/T_Bonds[[#This Row],[Coupons per annum]],0)</f>
        <v>0</v>
      </c>
      <c r="BF79">
        <f>DAY(T_Bonds[[#This Row],[Next coupon date]])</f>
        <v>9</v>
      </c>
    </row>
    <row r="80" spans="1:58" x14ac:dyDescent="0.25">
      <c r="A80" s="217" t="s">
        <v>547</v>
      </c>
      <c r="B80" t="s">
        <v>51</v>
      </c>
      <c r="C80" s="217" t="str">
        <f>IF(T_Bonds[[#This Row],[Call date]]&lt;&gt;"","Callable","Maturity")</f>
        <v>Callable</v>
      </c>
      <c r="D80" s="217" t="s">
        <v>548</v>
      </c>
      <c r="E80" s="217" t="s">
        <v>19</v>
      </c>
      <c r="F80" s="22">
        <f>IFERROR(INDEX('V004'!D:E,MATCH(D80,'V004'!D:D,0),2),0)</f>
        <v>400000</v>
      </c>
      <c r="G80" s="22">
        <f>IFERROR(INDEX('V001'!D:E,MATCH(D80,'V001'!D:D,0),2),0)</f>
        <v>0</v>
      </c>
      <c r="H80" s="22">
        <f>IFERROR(INDEX(UBS!C:D,MATCH(D80,UBS!D:D,0),1),0)</f>
        <v>0</v>
      </c>
      <c r="I80" s="300">
        <f>SUM(T_Bonds[[#This Row],[V1412]:[UBS]])</f>
        <v>400000</v>
      </c>
      <c r="J80" s="225">
        <f t="shared" si="35"/>
        <v>8.3749999999999991E-2</v>
      </c>
      <c r="K80" s="226">
        <f t="shared" si="36"/>
        <v>33500</v>
      </c>
      <c r="L80" s="226">
        <f t="shared" ca="1" si="31"/>
        <v>44802.899999999994</v>
      </c>
      <c r="M80" s="227"/>
      <c r="N80" s="5">
        <f>IFERROR(INDEX(Cbonds!C:H,MATCH(D80,Cbonds!C:C,0),4)/100,0)</f>
        <v>6.7368591194862007E-2</v>
      </c>
      <c r="O80" s="75">
        <f>IFERROR(INDEX(Cbonds!C:H,MATCH(D80,Cbonds!C:C,0),5),0)</f>
        <v>4.5182353769721004</v>
      </c>
      <c r="P80" s="91">
        <f>T_Bonds[[#This Row],[Market price]]-T_Bonds[[#This Row],[Cost price]]</f>
        <v>7.6000000000000068E-2</v>
      </c>
      <c r="Q80" s="91">
        <f>T_Bonds[[#This Row],[Coupon]]/T_Bonds[[#This Row],[Cost price]]</f>
        <v>8.3044124938026764E-2</v>
      </c>
      <c r="R80" s="228">
        <f t="shared" si="28"/>
        <v>26947.436477944804</v>
      </c>
      <c r="S80" s="222">
        <f>IFERROR(INDEX('V004'!D:J,MATCH(D80,'V004'!D:D,0),7),0)</f>
        <v>1.0085</v>
      </c>
      <c r="T80" s="222">
        <f>IFERROR(INDEX('V001'!D:J,MATCH(D80,'V001'!D:D,0),7),0)</f>
        <v>0</v>
      </c>
      <c r="U80" s="223">
        <f>IFERROR(S80*T_Bonds[[#This Row],[V1412]]/(T_Bonds[[#This Row],[V1412]]+T_Bonds[[#This Row],[V1430]])+T80*T_Bonds[[#This Row],[V1430]]/(T_Bonds[[#This Row],[V1412]]+T_Bonds[[#This Row],[V1430]]),0)</f>
        <v>1.0085</v>
      </c>
      <c r="V80" s="226">
        <f t="shared" si="32"/>
        <v>33217.649975210712</v>
      </c>
      <c r="W80" s="218">
        <f>1.3369</f>
        <v>1.3369</v>
      </c>
      <c r="X80" s="299">
        <f>IFERROR(INDEX(Cbonds!C:AF,MATCH(D80,Cbonds!C:C,0),30)/100,0)</f>
        <v>1.0845</v>
      </c>
      <c r="Y80" s="229">
        <f ca="1">INDEX('Tech list'!A:C,MATCH(T_Bonds[[#This Row],[Risk CCY]],'Tech list'!A:A,0),3)</f>
        <v>1.3373999999999999</v>
      </c>
      <c r="Z80" s="230">
        <f>T_Bonds[[#This Row],[Market price]]*T_Bonds[[#This Row],[Quantity]]</f>
        <v>433800</v>
      </c>
      <c r="AA80" s="230">
        <f t="shared" ca="1" si="33"/>
        <v>580164.12</v>
      </c>
      <c r="AB80" s="73">
        <f ca="1">T_Bonds[[#This Row],[Market value in CCY]]+T_Bonds[[#This Row],[AI, CCY]]</f>
        <v>441709.72222222225</v>
      </c>
      <c r="AC80" s="73">
        <f ca="1">T_Bonds[[#This Row],[Market value in USD]]+T_Bonds[[#This Row],[AI, USD]]</f>
        <v>590742.58250000002</v>
      </c>
      <c r="AD80" s="230">
        <f t="shared" si="34"/>
        <v>403400</v>
      </c>
      <c r="AE80" s="75">
        <f ca="1">(T_Bonds[[#This Row],[Coupon in Loc.Curr]]/T_Bonds[[#This Row],[Coupons per annum]])*((TODAY()-EDATE(T_Bonds[[#This Row],[Next coupon date]],-12/T_Bonds[[#This Row],[Coupons per annum]])))/(360/T_Bonds[[#This Row],[Coupons per annum]])</f>
        <v>7909.7222222222226</v>
      </c>
      <c r="AF80" s="73">
        <f ca="1">T_Bonds[[#This Row],[AI, CCY]]*T_Bonds[[#This Row],[Exchange rate, N]]</f>
        <v>10578.4625</v>
      </c>
      <c r="AG80" s="311">
        <f>IFERROR(IF(INDEX(Cbonds!C:AC,MATCH(D80,Cbonds!C:C,0),27)&gt;5000,0,INDEX(Cbonds!C:AC,MATCH(D80,Cbonds!C:C,0),27)),0)</f>
        <v>0</v>
      </c>
      <c r="AH80" s="105">
        <v>50</v>
      </c>
      <c r="AI80" s="231">
        <v>48288</v>
      </c>
      <c r="AJ80" s="232">
        <v>4.6920000000000003E-2</v>
      </c>
      <c r="AK80" t="s">
        <v>289</v>
      </c>
      <c r="AL80" t="s">
        <v>294</v>
      </c>
      <c r="AM80" t="s">
        <v>2475</v>
      </c>
      <c r="AN80" t="s">
        <v>364</v>
      </c>
      <c r="AO80" s="320">
        <v>4</v>
      </c>
      <c r="AP80" s="17">
        <f>IFERROR(INDEX(Cbonds!C:H,MATCH(D80,Cbonds!C:C,0),3),0)</f>
        <v>46096</v>
      </c>
      <c r="AQ80" s="17">
        <f>EDATE(T_Bonds[[#This Row],[Next coupon date]],12/T_Bonds[[#This Row],[Coupons per annum]])</f>
        <v>46188</v>
      </c>
      <c r="AR80" s="17">
        <f>EDATE(T_Bonds[[#This Row],[Second next coupon date]],12/$AO80)</f>
        <v>46280</v>
      </c>
      <c r="AS80" s="17">
        <f>EDATE(T_Bonds[[#This Row],[Coupon date 3]],12/$AO80)</f>
        <v>46371</v>
      </c>
      <c r="AT80" s="25">
        <f>IF(
OR(
AT$1=MONTH($AP80),
AT$1=MONTH($AQ80),
AT$1=MONTH($AR80),
AT$1=MONTH($AS80)),
IF('CF USD'!$A$8="On",$L80,$K80)/T_Bonds[[#This Row],[Coupons per annum]],0)</f>
        <v>0</v>
      </c>
      <c r="AU80" s="25">
        <f>IF(
OR(
AU$1=MONTH($AP80),
AU$1=MONTH($AQ80),
AU$1=MONTH($AR80),
AU$1=MONTH($AS80)),
IF('CF USD'!$A$8="On",$L80,$K80)/T_Bonds[[#This Row],[Coupons per annum]],0)</f>
        <v>0</v>
      </c>
      <c r="AV80" s="25">
        <f>IF(
OR(
AV$1=MONTH($AP80),
AV$1=MONTH($AQ80),
AV$1=MONTH($AR80),
AV$1=MONTH($AS80)),
IF('CF USD'!$A$8="On",$L80,$K80)/T_Bonds[[#This Row],[Coupons per annum]],0)</f>
        <v>8375</v>
      </c>
      <c r="AW80" s="25">
        <f>IF(
OR(
AW$1=MONTH($AP80),
AW$1=MONTH($AQ80),
AW$1=MONTH($AR80),
AW$1=MONTH($AS80)),
IF('CF USD'!$A$8="On",$L80,$K80)/T_Bonds[[#This Row],[Coupons per annum]],0)</f>
        <v>0</v>
      </c>
      <c r="AX80" s="25">
        <f>IF(
OR(
AX$1=MONTH($AP80),
AX$1=MONTH($AQ80),
AX$1=MONTH($AR80),
AX$1=MONTH($AS80)),
IF('CF USD'!$A$8="On",$L80,$K80)/T_Bonds[[#This Row],[Coupons per annum]],0)</f>
        <v>0</v>
      </c>
      <c r="AY80" s="25">
        <f>IF(
OR(
AY$1=MONTH($AP80),
AY$1=MONTH($AQ80),
AY$1=MONTH($AR80),
AY$1=MONTH($AS80)),
IF('CF USD'!$A$8="On",$L80,$K80)/T_Bonds[[#This Row],[Coupons per annum]],0)</f>
        <v>8375</v>
      </c>
      <c r="AZ80" s="25">
        <f>IF(
OR(
AZ$1=MONTH($AP80),
AZ$1=MONTH($AQ80),
AZ$1=MONTH($AR80),
AZ$1=MONTH($AS80)),
IF('CF USD'!$A$8="On",$L80,$K80)/T_Bonds[[#This Row],[Coupons per annum]],0)</f>
        <v>0</v>
      </c>
      <c r="BA80" s="25">
        <f>IF(
OR(
BA$1=MONTH($AP80),
BA$1=MONTH($AQ80),
BA$1=MONTH($AR80),
BA$1=MONTH($AS80)),
IF('CF USD'!$A$8="On",$L80,$K80)/T_Bonds[[#This Row],[Coupons per annum]],0)</f>
        <v>0</v>
      </c>
      <c r="BB80" s="25">
        <f>IF(
OR(
BB$1=MONTH($AP80),
BB$1=MONTH($AQ80),
BB$1=MONTH($AR80),
BB$1=MONTH($AS80)),
IF('CF USD'!$A$8="On",$L80,$K80)/T_Bonds[[#This Row],[Coupons per annum]],0)</f>
        <v>8375</v>
      </c>
      <c r="BC80" s="25">
        <f>IF(
OR(
BC$1=MONTH($AP80),
BC$1=MONTH($AQ80),
BC$1=MONTH($AR80),
BC$1=MONTH($AS80)),
IF('CF USD'!$A$8="On",$L80,$K80)/T_Bonds[[#This Row],[Coupons per annum]],0)</f>
        <v>0</v>
      </c>
      <c r="BD80" s="25">
        <f>IF(
OR(
BD$1=MONTH($AP80),
BD$1=MONTH($AQ80),
BD$1=MONTH($AR80),
BD$1=MONTH($AS80)),
IF('CF USD'!$A$8="On",$L80,$K80)/T_Bonds[[#This Row],[Coupons per annum]],0)</f>
        <v>0</v>
      </c>
      <c r="BE80" s="25">
        <f>IF(
OR(
BE$1=MONTH($AP80),
BE$1=MONTH($AQ80),
BE$1=MONTH($AR80),
BE$1=MONTH($AS80)),
IF('CF USD'!$A$8="On",$L80,$K80)/T_Bonds[[#This Row],[Coupons per annum]],0)</f>
        <v>8375</v>
      </c>
      <c r="BF80">
        <f>DAY(T_Bonds[[#This Row],[Next coupon date]])</f>
        <v>15</v>
      </c>
    </row>
    <row r="81" spans="1:58" x14ac:dyDescent="0.25">
      <c r="A81" s="217" t="s">
        <v>850</v>
      </c>
      <c r="B81" t="s">
        <v>51</v>
      </c>
      <c r="C81" s="217" t="str">
        <f>IF(T_Bonds[[#This Row],[Call date]]&lt;&gt;"","Callable","Maturity")</f>
        <v>Callable</v>
      </c>
      <c r="D81" s="217" t="s">
        <v>851</v>
      </c>
      <c r="E81" s="217" t="s">
        <v>18</v>
      </c>
      <c r="F81" s="96">
        <f>IFERROR(INDEX('V004'!D:E,MATCH(D81,'V004'!D:D,0),2),0)</f>
        <v>200000</v>
      </c>
      <c r="G81" s="96">
        <f>IFERROR(INDEX('V001'!D:E,MATCH(D81,'V001'!D:D,0),2),0)</f>
        <v>0</v>
      </c>
      <c r="H81" s="96">
        <f>IFERROR(INDEX(UBS!C:D,MATCH(D81,UBS!D:D,0),1),0)</f>
        <v>0</v>
      </c>
      <c r="I81" s="300">
        <f>SUM(T_Bonds[[#This Row],[V1412]:[UBS]])</f>
        <v>200000</v>
      </c>
      <c r="J81" s="225">
        <f t="shared" si="35"/>
        <v>7.0500000000000007E-2</v>
      </c>
      <c r="K81" s="226">
        <f t="shared" si="36"/>
        <v>14100.000000000002</v>
      </c>
      <c r="L81" s="226">
        <f t="shared" ref="L81:L86" si="37">IF(Y81&lt;&gt;1,I81*J81*Y81,I81*J81)</f>
        <v>14100.000000000002</v>
      </c>
      <c r="M81" s="227"/>
      <c r="N81" s="5">
        <f>IFERROR(INDEX(Cbonds!C:H,MATCH(D81,Cbonds!C:C,0),4)/100,0)</f>
        <v>6.2200778742719003E-2</v>
      </c>
      <c r="O81" s="75">
        <f>IFERROR(INDEX(Cbonds!C:H,MATCH(D81,Cbonds!C:C,0),5),0)</f>
        <v>3.7431130043723</v>
      </c>
      <c r="P81" s="91">
        <f>T_Bonds[[#This Row],[Market price]]-T_Bonds[[#This Row],[Cost price]]</f>
        <v>3.2200000000000006E-2</v>
      </c>
      <c r="Q81" s="91">
        <f>T_Bonds[[#This Row],[Coupon]]/T_Bonds[[#This Row],[Cost price]]</f>
        <v>7.032418952618455E-2</v>
      </c>
      <c r="R81" s="228">
        <f t="shared" ref="R81:R86" si="38">N81*I81</f>
        <v>12440.155748543801</v>
      </c>
      <c r="S81" s="222">
        <f>IFERROR(INDEX('V004'!D:J,MATCH(D81,'V004'!D:D,0),7),0)</f>
        <v>1.0024999999999999</v>
      </c>
      <c r="T81" s="222">
        <f>IFERROR(INDEX('V001'!D:J,MATCH(D81,'V001'!D:D,0),7),0)</f>
        <v>0</v>
      </c>
      <c r="U81" s="223">
        <f>IFERROR(S81*T_Bonds[[#This Row],[V1412]]/(T_Bonds[[#This Row],[V1412]]+T_Bonds[[#This Row],[V1430]])+T81*T_Bonds[[#This Row],[V1430]]/(T_Bonds[[#This Row],[V1412]]+T_Bonds[[#This Row],[V1430]]),0)</f>
        <v>1.0024999999999999</v>
      </c>
      <c r="V81" s="226">
        <f t="shared" ref="V81:V86" si="39">I81*J81/U81</f>
        <v>14064.837905236911</v>
      </c>
      <c r="W81" s="218"/>
      <c r="X81" s="299">
        <f>IFERROR(INDEX(Cbonds!C:AF,MATCH(D81,Cbonds!C:C,0),30)/100,0)</f>
        <v>1.0347</v>
      </c>
      <c r="Y81" s="229">
        <f>INDEX('Tech list'!A:C,MATCH(T_Bonds[[#This Row],[Risk CCY]],'Tech list'!A:A,0),3)</f>
        <v>1</v>
      </c>
      <c r="Z81" s="230">
        <f>T_Bonds[[#This Row],[Market price]]*T_Bonds[[#This Row],[Quantity]]</f>
        <v>206940</v>
      </c>
      <c r="AA81" s="230">
        <f t="shared" ref="AA81:AA86" si="40">IF(E81&lt;&gt;"USD",X81*Y81*I81,X81*I81)</f>
        <v>206940</v>
      </c>
      <c r="AB81" s="73">
        <f ca="1">T_Bonds[[#This Row],[Market value in CCY]]+T_Bonds[[#This Row],[AI, CCY]]</f>
        <v>210660.83333333334</v>
      </c>
      <c r="AC81" s="73">
        <f ca="1">T_Bonds[[#This Row],[Market value in USD]]+T_Bonds[[#This Row],[AI, USD]]</f>
        <v>210660.83333333334</v>
      </c>
      <c r="AD81" s="230">
        <f t="shared" ref="AD81:AD86" si="41">U81*I81</f>
        <v>200500</v>
      </c>
      <c r="AE81" s="75">
        <f ca="1">(T_Bonds[[#This Row],[Coupon in Loc.Curr]]/T_Bonds[[#This Row],[Coupons per annum]])*((TODAY()-EDATE(T_Bonds[[#This Row],[Next coupon date]],-12/T_Bonds[[#This Row],[Coupons per annum]])))/(360/T_Bonds[[#This Row],[Coupons per annum]])</f>
        <v>3720.8333333333339</v>
      </c>
      <c r="AF81" s="73">
        <f ca="1">T_Bonds[[#This Row],[AI, CCY]]*T_Bonds[[#This Row],[Exchange rate, N]]</f>
        <v>3720.8333333333339</v>
      </c>
      <c r="AG81" s="311">
        <f>IFERROR(IF(INDEX(Cbonds!C:AC,MATCH(D81,Cbonds!C:C,0),27)&gt;5000,0,INDEX(Cbonds!C:AC,MATCH(D81,Cbonds!C:C,0),27)),0)</f>
        <v>251.86032970631999</v>
      </c>
      <c r="AH81" s="105">
        <v>50</v>
      </c>
      <c r="AI81" s="231">
        <v>47822</v>
      </c>
      <c r="AJ81" s="232">
        <v>2.9870000000000001E-2</v>
      </c>
      <c r="AK81" t="s">
        <v>289</v>
      </c>
      <c r="AL81" t="s">
        <v>294</v>
      </c>
      <c r="AM81" t="s">
        <v>2475</v>
      </c>
      <c r="AN81" t="s">
        <v>478</v>
      </c>
      <c r="AO81" s="320">
        <v>2</v>
      </c>
      <c r="AP81" s="17">
        <f>IFERROR(INDEX(Cbonds!C:H,MATCH(D81,Cbonds!C:C,0),3),0)</f>
        <v>46178</v>
      </c>
      <c r="AQ81" s="17">
        <f>EDATE(T_Bonds[[#This Row],[Next coupon date]],12/T_Bonds[[#This Row],[Coupons per annum]])</f>
        <v>46361</v>
      </c>
      <c r="AR81" s="17">
        <f>EDATE(T_Bonds[[#This Row],[Second next coupon date]],12/$AO81)</f>
        <v>46543</v>
      </c>
      <c r="AS81" s="17">
        <f>EDATE(T_Bonds[[#This Row],[Coupon date 3]],12/$AO81)</f>
        <v>46726</v>
      </c>
      <c r="AT81" s="25">
        <f>IF(
OR(
AT$1=MONTH($AP81),
AT$1=MONTH($AQ81),
AT$1=MONTH($AR81),
AT$1=MONTH($AS81)),
IF('CF USD'!$A$8="On",$L81,$K81)/T_Bonds[[#This Row],[Coupons per annum]],0)</f>
        <v>0</v>
      </c>
      <c r="AU81" s="25">
        <f>IF(
OR(
AU$1=MONTH($AP81),
AU$1=MONTH($AQ81),
AU$1=MONTH($AR81),
AU$1=MONTH($AS81)),
IF('CF USD'!$A$8="On",$L81,$K81)/T_Bonds[[#This Row],[Coupons per annum]],0)</f>
        <v>0</v>
      </c>
      <c r="AV81" s="25">
        <f>IF(
OR(
AV$1=MONTH($AP81),
AV$1=MONTH($AQ81),
AV$1=MONTH($AR81),
AV$1=MONTH($AS81)),
IF('CF USD'!$A$8="On",$L81,$K81)/T_Bonds[[#This Row],[Coupons per annum]],0)</f>
        <v>0</v>
      </c>
      <c r="AW81" s="25">
        <f>IF(
OR(
AW$1=MONTH($AP81),
AW$1=MONTH($AQ81),
AW$1=MONTH($AR81),
AW$1=MONTH($AS81)),
IF('CF USD'!$A$8="On",$L81,$K81)/T_Bonds[[#This Row],[Coupons per annum]],0)</f>
        <v>0</v>
      </c>
      <c r="AX81" s="25">
        <f>IF(
OR(
AX$1=MONTH($AP81),
AX$1=MONTH($AQ81),
AX$1=MONTH($AR81),
AX$1=MONTH($AS81)),
IF('CF USD'!$A$8="On",$L81,$K81)/T_Bonds[[#This Row],[Coupons per annum]],0)</f>
        <v>0</v>
      </c>
      <c r="AY81" s="25">
        <f>IF(
OR(
AY$1=MONTH($AP81),
AY$1=MONTH($AQ81),
AY$1=MONTH($AR81),
AY$1=MONTH($AS81)),
IF('CF USD'!$A$8="On",$L81,$K81)/T_Bonds[[#This Row],[Coupons per annum]],0)</f>
        <v>7050.0000000000009</v>
      </c>
      <c r="AZ81" s="25">
        <f>IF(
OR(
AZ$1=MONTH($AP81),
AZ$1=MONTH($AQ81),
AZ$1=MONTH($AR81),
AZ$1=MONTH($AS81)),
IF('CF USD'!$A$8="On",$L81,$K81)/T_Bonds[[#This Row],[Coupons per annum]],0)</f>
        <v>0</v>
      </c>
      <c r="BA81" s="25">
        <f>IF(
OR(
BA$1=MONTH($AP81),
BA$1=MONTH($AQ81),
BA$1=MONTH($AR81),
BA$1=MONTH($AS81)),
IF('CF USD'!$A$8="On",$L81,$K81)/T_Bonds[[#This Row],[Coupons per annum]],0)</f>
        <v>0</v>
      </c>
      <c r="BB81" s="25">
        <f>IF(
OR(
BB$1=MONTH($AP81),
BB$1=MONTH($AQ81),
BB$1=MONTH($AR81),
BB$1=MONTH($AS81)),
IF('CF USD'!$A$8="On",$L81,$K81)/T_Bonds[[#This Row],[Coupons per annum]],0)</f>
        <v>0</v>
      </c>
      <c r="BC81" s="25">
        <f>IF(
OR(
BC$1=MONTH($AP81),
BC$1=MONTH($AQ81),
BC$1=MONTH($AR81),
BC$1=MONTH($AS81)),
IF('CF USD'!$A$8="On",$L81,$K81)/T_Bonds[[#This Row],[Coupons per annum]],0)</f>
        <v>0</v>
      </c>
      <c r="BD81" s="25">
        <f>IF(
OR(
BD$1=MONTH($AP81),
BD$1=MONTH($AQ81),
BD$1=MONTH($AR81),
BD$1=MONTH($AS81)),
IF('CF USD'!$A$8="On",$L81,$K81)/T_Bonds[[#This Row],[Coupons per annum]],0)</f>
        <v>0</v>
      </c>
      <c r="BE81" s="25">
        <f>IF(
OR(
BE$1=MONTH($AP81),
BE$1=MONTH($AQ81),
BE$1=MONTH($AR81),
BE$1=MONTH($AS81)),
IF('CF USD'!$A$8="On",$L81,$K81)/T_Bonds[[#This Row],[Coupons per annum]],0)</f>
        <v>7050.0000000000009</v>
      </c>
      <c r="BF81">
        <f>DAY(T_Bonds[[#This Row],[Next coupon date]])</f>
        <v>5</v>
      </c>
    </row>
    <row r="82" spans="1:58" x14ac:dyDescent="0.25">
      <c r="A82" s="1" t="s">
        <v>939</v>
      </c>
      <c r="B82" t="s">
        <v>51</v>
      </c>
      <c r="C82" s="1" t="str">
        <f>IF(T_Bonds[[#This Row],[Call date]]&lt;&gt;"","Callable","Maturity")</f>
        <v>Maturity</v>
      </c>
      <c r="D82" s="281" t="s">
        <v>940</v>
      </c>
      <c r="E82" s="1" t="s">
        <v>18</v>
      </c>
      <c r="F82" s="96">
        <f>IFERROR(INDEX('V004'!D:E,MATCH(D82,'V004'!D:D,0),2),0)</f>
        <v>250000</v>
      </c>
      <c r="G82" s="96">
        <f>IFERROR(INDEX('V001'!D:E,MATCH(D82,'V001'!D:D,0),2),0)</f>
        <v>0</v>
      </c>
      <c r="H82" s="96">
        <f>IFERROR(INDEX(UBS!C:D,MATCH(D82,UBS!D:D,0),1),0)</f>
        <v>0</v>
      </c>
      <c r="I82" s="300">
        <f>SUM(T_Bonds[[#This Row],[V1412]:[UBS]])</f>
        <v>250000</v>
      </c>
      <c r="J82" s="98">
        <f t="shared" si="35"/>
        <v>7.6249999999999929E-2</v>
      </c>
      <c r="K82" s="100">
        <f t="shared" si="36"/>
        <v>19062.499999999982</v>
      </c>
      <c r="L82" s="100">
        <f t="shared" si="37"/>
        <v>19062.499999999982</v>
      </c>
      <c r="M82" s="16">
        <v>48030</v>
      </c>
      <c r="N82" s="5">
        <f>IFERROR(INDEX(Cbonds!C:H,MATCH(D82,Cbonds!C:C,0),4)/100,0)</f>
        <v>6.5988381925946998E-2</v>
      </c>
      <c r="O82" s="75">
        <f>IFERROR(INDEX(Cbonds!C:H,MATCH(D82,Cbonds!C:C,0),5),0)</f>
        <v>4.1511695508862996</v>
      </c>
      <c r="P82" s="91">
        <f>T_Bonds[[#This Row],[Market price]]-T_Bonds[[#This Row],[Cost price]]</f>
        <v>3.3099999999999907E-2</v>
      </c>
      <c r="Q82" s="91">
        <f>T_Bonds[[#This Row],[Coupon]]/T_Bonds[[#This Row],[Cost price]]</f>
        <v>7.5197238658777046E-2</v>
      </c>
      <c r="R82" s="228">
        <f t="shared" si="38"/>
        <v>16497.095481486751</v>
      </c>
      <c r="S82" s="222">
        <f>IFERROR(INDEX('V004'!D:J,MATCH(D82,'V004'!D:D,0),7),0)</f>
        <v>1.014</v>
      </c>
      <c r="T82" s="222">
        <f>IFERROR(INDEX('V001'!D:J,MATCH(D82,'V001'!D:D,0),7),0)</f>
        <v>0</v>
      </c>
      <c r="U82" s="223">
        <f>IFERROR(S82*T_Bonds[[#This Row],[V1412]]/(T_Bonds[[#This Row],[V1412]]+T_Bonds[[#This Row],[V1430]])+T82*T_Bonds[[#This Row],[V1430]]/(T_Bonds[[#This Row],[V1412]]+T_Bonds[[#This Row],[V1430]]),0)</f>
        <v>1.014</v>
      </c>
      <c r="V82" s="226">
        <f t="shared" si="39"/>
        <v>18799.309664694261</v>
      </c>
      <c r="W82" s="218"/>
      <c r="X82" s="299">
        <f>IFERROR(INDEX(Cbonds!C:AF,MATCH(D82,Cbonds!C:C,0),30)/100,0)</f>
        <v>1.0470999999999999</v>
      </c>
      <c r="Y82" s="229">
        <f>INDEX('Tech list'!A:C,MATCH(T_Bonds[[#This Row],[Risk CCY]],'Tech list'!A:A,0),3)</f>
        <v>1</v>
      </c>
      <c r="Z82" s="230">
        <f>T_Bonds[[#This Row],[Market price]]*T_Bonds[[#This Row],[Quantity]]</f>
        <v>261774.99999999997</v>
      </c>
      <c r="AA82" s="230">
        <f t="shared" si="40"/>
        <v>261774.99999999997</v>
      </c>
      <c r="AB82" s="73">
        <f ca="1">T_Bonds[[#This Row],[Market value in CCY]]+T_Bonds[[#This Row],[AI, CCY]]</f>
        <v>265057.98611111107</v>
      </c>
      <c r="AC82" s="73">
        <f ca="1">T_Bonds[[#This Row],[Market value in USD]]+T_Bonds[[#This Row],[AI, USD]]</f>
        <v>265057.98611111107</v>
      </c>
      <c r="AD82" s="230">
        <f t="shared" si="41"/>
        <v>253500</v>
      </c>
      <c r="AE82" s="75">
        <f ca="1">(T_Bonds[[#This Row],[Coupon in Loc.Curr]]/T_Bonds[[#This Row],[Coupons per annum]])*((TODAY()-EDATE(T_Bonds[[#This Row],[Next coupon date]],-12/T_Bonds[[#This Row],[Coupons per annum]])))/(360/T_Bonds[[#This Row],[Coupons per annum]])</f>
        <v>3282.9861111111077</v>
      </c>
      <c r="AF82" s="73">
        <f ca="1">T_Bonds[[#This Row],[AI, CCY]]*T_Bonds[[#This Row],[Exchange rate, N]]</f>
        <v>3282.9861111111077</v>
      </c>
      <c r="AG82" s="311">
        <f>IFERROR(IF(INDEX(Cbonds!C:AC,MATCH(D82,Cbonds!C:C,0),27)&gt;5000,0,INDEX(Cbonds!C:AC,MATCH(D82,Cbonds!C:C,0),27)),0)</f>
        <v>285.82323790576999</v>
      </c>
      <c r="AH82" s="105">
        <v>30</v>
      </c>
      <c r="AI82" s="212"/>
      <c r="AJ82" s="74"/>
      <c r="AK82" t="s">
        <v>357</v>
      </c>
      <c r="AL82" t="s">
        <v>323</v>
      </c>
      <c r="AM82" t="s">
        <v>2476</v>
      </c>
      <c r="AN82" t="s">
        <v>358</v>
      </c>
      <c r="AO82" s="320">
        <v>2</v>
      </c>
      <c r="AP82" s="17">
        <f>IFERROR(INDEX(Cbonds!C:H,MATCH(D82,Cbonds!C:C,0),3),0)</f>
        <v>46210</v>
      </c>
      <c r="AQ82" s="17">
        <f>EDATE(T_Bonds[[#This Row],[Next coupon date]],12/T_Bonds[[#This Row],[Coupons per annum]])</f>
        <v>46394</v>
      </c>
      <c r="AR82" s="17">
        <f>EDATE(T_Bonds[[#This Row],[Second next coupon date]],12/$AO82)</f>
        <v>46575</v>
      </c>
      <c r="AS82" s="17">
        <f>EDATE(T_Bonds[[#This Row],[Coupon date 3]],12/$AO82)</f>
        <v>46759</v>
      </c>
      <c r="AT82" s="25">
        <f>IF(
OR(
AT$1=MONTH($AP82),
AT$1=MONTH($AQ82),
AT$1=MONTH($AR82),
AT$1=MONTH($AS82)),
IF('CF USD'!$A$8="On",$L82,$K82)/T_Bonds[[#This Row],[Coupons per annum]],0)</f>
        <v>9531.2499999999909</v>
      </c>
      <c r="AU82" s="25">
        <f>IF(
OR(
AU$1=MONTH($AP82),
AU$1=MONTH($AQ82),
AU$1=MONTH($AR82),
AU$1=MONTH($AS82)),
IF('CF USD'!$A$8="On",$L82,$K82)/T_Bonds[[#This Row],[Coupons per annum]],0)</f>
        <v>0</v>
      </c>
      <c r="AV82" s="25">
        <f>IF(
OR(
AV$1=MONTH($AP82),
AV$1=MONTH($AQ82),
AV$1=MONTH($AR82),
AV$1=MONTH($AS82)),
IF('CF USD'!$A$8="On",$L82,$K82)/T_Bonds[[#This Row],[Coupons per annum]],0)</f>
        <v>0</v>
      </c>
      <c r="AW82" s="25">
        <f>IF(
OR(
AW$1=MONTH($AP82),
AW$1=MONTH($AQ82),
AW$1=MONTH($AR82),
AW$1=MONTH($AS82)),
IF('CF USD'!$A$8="On",$L82,$K82)/T_Bonds[[#This Row],[Coupons per annum]],0)</f>
        <v>0</v>
      </c>
      <c r="AX82" s="25">
        <f>IF(
OR(
AX$1=MONTH($AP82),
AX$1=MONTH($AQ82),
AX$1=MONTH($AR82),
AX$1=MONTH($AS82)),
IF('CF USD'!$A$8="On",$L82,$K82)/T_Bonds[[#This Row],[Coupons per annum]],0)</f>
        <v>0</v>
      </c>
      <c r="AY82" s="25">
        <f>IF(
OR(
AY$1=MONTH($AP82),
AY$1=MONTH($AQ82),
AY$1=MONTH($AR82),
AY$1=MONTH($AS82)),
IF('CF USD'!$A$8="On",$L82,$K82)/T_Bonds[[#This Row],[Coupons per annum]],0)</f>
        <v>0</v>
      </c>
      <c r="AZ82" s="25">
        <f>IF(
OR(
AZ$1=MONTH($AP82),
AZ$1=MONTH($AQ82),
AZ$1=MONTH($AR82),
AZ$1=MONTH($AS82)),
IF('CF USD'!$A$8="On",$L82,$K82)/T_Bonds[[#This Row],[Coupons per annum]],0)</f>
        <v>9531.2499999999909</v>
      </c>
      <c r="BA82" s="25">
        <f>IF(
OR(
BA$1=MONTH($AP82),
BA$1=MONTH($AQ82),
BA$1=MONTH($AR82),
BA$1=MONTH($AS82)),
IF('CF USD'!$A$8="On",$L82,$K82)/T_Bonds[[#This Row],[Coupons per annum]],0)</f>
        <v>0</v>
      </c>
      <c r="BB82" s="25">
        <f>IF(
OR(
BB$1=MONTH($AP82),
BB$1=MONTH($AQ82),
BB$1=MONTH($AR82),
BB$1=MONTH($AS82)),
IF('CF USD'!$A$8="On",$L82,$K82)/T_Bonds[[#This Row],[Coupons per annum]],0)</f>
        <v>0</v>
      </c>
      <c r="BC82" s="25">
        <f>IF(
OR(
BC$1=MONTH($AP82),
BC$1=MONTH($AQ82),
BC$1=MONTH($AR82),
BC$1=MONTH($AS82)),
IF('CF USD'!$A$8="On",$L82,$K82)/T_Bonds[[#This Row],[Coupons per annum]],0)</f>
        <v>0</v>
      </c>
      <c r="BD82" s="25">
        <f>IF(
OR(
BD$1=MONTH($AP82),
BD$1=MONTH($AQ82),
BD$1=MONTH($AR82),
BD$1=MONTH($AS82)),
IF('CF USD'!$A$8="On",$L82,$K82)/T_Bonds[[#This Row],[Coupons per annum]],0)</f>
        <v>0</v>
      </c>
      <c r="BE82" s="25">
        <f>IF(
OR(
BE$1=MONTH($AP82),
BE$1=MONTH($AQ82),
BE$1=MONTH($AR82),
BE$1=MONTH($AS82)),
IF('CF USD'!$A$8="On",$L82,$K82)/T_Bonds[[#This Row],[Coupons per annum]],0)</f>
        <v>0</v>
      </c>
      <c r="BF82">
        <f>DAY(T_Bonds[[#This Row],[Next coupon date]])</f>
        <v>7</v>
      </c>
    </row>
    <row r="83" spans="1:58" x14ac:dyDescent="0.25">
      <c r="A83" s="281" t="s">
        <v>965</v>
      </c>
      <c r="B83" t="s">
        <v>51</v>
      </c>
      <c r="C83" s="281" t="str">
        <f>IF(T_Bonds[[#This Row],[Call date]]&lt;&gt;"","Callable","Maturity")</f>
        <v>Maturity</v>
      </c>
      <c r="D83" s="281" t="s">
        <v>966</v>
      </c>
      <c r="E83" s="281" t="s">
        <v>18</v>
      </c>
      <c r="F83" s="96">
        <f>IFERROR(INDEX('V004'!D:E,MATCH(D83,'V004'!D:D,0),2),0)</f>
        <v>0</v>
      </c>
      <c r="G83" s="96">
        <f>IFERROR(INDEX('V001'!D:E,MATCH(D83,'V001'!D:D,0),2),0)</f>
        <v>400000</v>
      </c>
      <c r="H83" s="96">
        <f>IFERROR(INDEX(UBS!C:D,MATCH(D83,UBS!D:D,0),1),0)</f>
        <v>0</v>
      </c>
      <c r="I83" s="300">
        <f>SUM(T_Bonds[[#This Row],[V1412]:[UBS]])</f>
        <v>400000</v>
      </c>
      <c r="J83" s="302">
        <f t="shared" si="35"/>
        <v>6.624999999999992E-2</v>
      </c>
      <c r="K83" s="303">
        <f t="shared" si="36"/>
        <v>26499.999999999967</v>
      </c>
      <c r="L83" s="303">
        <f t="shared" si="37"/>
        <v>26499.999999999967</v>
      </c>
      <c r="M83" s="304">
        <v>49811</v>
      </c>
      <c r="N83" s="5">
        <f>IFERROR(INDEX(Cbonds!C:H,MATCH(D83,Cbonds!C:C,0),4)/100,0)</f>
        <v>6.1532865669964999E-2</v>
      </c>
      <c r="O83" s="75">
        <f>IFERROR(INDEX(Cbonds!C:H,MATCH(D83,Cbonds!C:C,0),5),0)</f>
        <v>7.3431002850876999</v>
      </c>
      <c r="P83" s="91">
        <f>T_Bonds[[#This Row],[Market price]]-T_Bonds[[#This Row],[Cost price]]</f>
        <v>3.9700000000000069E-2</v>
      </c>
      <c r="Q83" s="91">
        <f>T_Bonds[[#This Row],[Coupon]]/T_Bonds[[#This Row],[Cost price]]</f>
        <v>6.6084788029925109E-2</v>
      </c>
      <c r="R83" s="305">
        <f t="shared" si="38"/>
        <v>24613.146267986001</v>
      </c>
      <c r="S83" s="222">
        <f>IFERROR(INDEX('V004'!D:J,MATCH(D83,'V004'!D:D,0),7),0)</f>
        <v>0</v>
      </c>
      <c r="T83" s="222">
        <f>IFERROR(INDEX('V001'!D:J,MATCH(D83,'V001'!D:D,0),7),0)</f>
        <v>1.0024999999999999</v>
      </c>
      <c r="U83" s="223">
        <f>IFERROR(S83*T_Bonds[[#This Row],[V1412]]/(T_Bonds[[#This Row],[V1412]]+T_Bonds[[#This Row],[V1430]])+T83*T_Bonds[[#This Row],[V1430]]/(T_Bonds[[#This Row],[V1412]]+T_Bonds[[#This Row],[V1430]]),0)</f>
        <v>1.0024999999999999</v>
      </c>
      <c r="V83" s="303">
        <f t="shared" si="39"/>
        <v>26433.915211970045</v>
      </c>
      <c r="W83" s="306"/>
      <c r="X83" s="299">
        <f>IFERROR(INDEX(Cbonds!C:AF,MATCH(D83,Cbonds!C:C,0),30)/100,0)</f>
        <v>1.0422</v>
      </c>
      <c r="Y83" s="307">
        <f>INDEX('Tech list'!A:C,MATCH(T_Bonds[[#This Row],[Risk CCY]],'Tech list'!A:A,0),3)</f>
        <v>1</v>
      </c>
      <c r="Z83" s="308">
        <f>T_Bonds[[#This Row],[Market price]]*T_Bonds[[#This Row],[Quantity]]</f>
        <v>416880</v>
      </c>
      <c r="AA83" s="308">
        <f t="shared" si="40"/>
        <v>416880</v>
      </c>
      <c r="AB83" s="73">
        <f ca="1">T_Bonds[[#This Row],[Market value in CCY]]+T_Bonds[[#This Row],[AI, CCY]]</f>
        <v>425271.66666666663</v>
      </c>
      <c r="AC83" s="73">
        <f ca="1">T_Bonds[[#This Row],[Market value in USD]]+T_Bonds[[#This Row],[AI, USD]]</f>
        <v>425271.66666666663</v>
      </c>
      <c r="AD83" s="308">
        <f t="shared" si="41"/>
        <v>401000</v>
      </c>
      <c r="AE83" s="75">
        <f ca="1">(T_Bonds[[#This Row],[Coupon in Loc.Curr]]/T_Bonds[[#This Row],[Coupons per annum]])*((TODAY()-EDATE(T_Bonds[[#This Row],[Next coupon date]],-12/T_Bonds[[#This Row],[Coupons per annum]])))/(360/T_Bonds[[#This Row],[Coupons per annum]])</f>
        <v>8391.666666666657</v>
      </c>
      <c r="AF83" s="73">
        <f ca="1">T_Bonds[[#This Row],[AI, CCY]]*T_Bonds[[#This Row],[Exchange rate, N]]</f>
        <v>8391.666666666657</v>
      </c>
      <c r="AG83" s="313">
        <f>IFERROR(IF(INDEX(Cbonds!C:AC,MATCH(D83,Cbonds!C:C,0),27)&gt;5000,0,INDEX(Cbonds!C:AC,MATCH(D83,Cbonds!C:C,0),27)),0)</f>
        <v>207.97682921364</v>
      </c>
      <c r="AH83" s="105">
        <v>80</v>
      </c>
      <c r="AI83" s="309"/>
      <c r="AJ83" s="310"/>
      <c r="AK83" t="s">
        <v>280</v>
      </c>
      <c r="AL83" t="s">
        <v>349</v>
      </c>
      <c r="AM83" t="s">
        <v>2476</v>
      </c>
      <c r="AN83" t="s">
        <v>349</v>
      </c>
      <c r="AO83" s="320">
        <v>2</v>
      </c>
      <c r="AP83" s="17">
        <f>IFERROR(INDEX(Cbonds!C:H,MATCH(D83,Cbonds!C:C,0),3),0)</f>
        <v>46158</v>
      </c>
      <c r="AQ83" s="17">
        <f>EDATE(T_Bonds[[#This Row],[Next coupon date]],12/T_Bonds[[#This Row],[Coupons per annum]])</f>
        <v>46342</v>
      </c>
      <c r="AR83" s="17">
        <f>EDATE(T_Bonds[[#This Row],[Second next coupon date]],12/$AO83)</f>
        <v>46523</v>
      </c>
      <c r="AS83" s="17">
        <f>EDATE(T_Bonds[[#This Row],[Coupon date 3]],12/$AO83)</f>
        <v>46707</v>
      </c>
      <c r="AT83" s="25">
        <f>IF(
OR(
AT$1=MONTH($AP83),
AT$1=MONTH($AQ83),
AT$1=MONTH($AR83),
AT$1=MONTH($AS83)),
IF('CF USD'!$A$8="On",$L83,$K83)/T_Bonds[[#This Row],[Coupons per annum]],0)</f>
        <v>0</v>
      </c>
      <c r="AU83" s="25">
        <f>IF(
OR(
AU$1=MONTH($AP83),
AU$1=MONTH($AQ83),
AU$1=MONTH($AR83),
AU$1=MONTH($AS83)),
IF('CF USD'!$A$8="On",$L83,$K83)/T_Bonds[[#This Row],[Coupons per annum]],0)</f>
        <v>0</v>
      </c>
      <c r="AV83" s="25">
        <f>IF(
OR(
AV$1=MONTH($AP83),
AV$1=MONTH($AQ83),
AV$1=MONTH($AR83),
AV$1=MONTH($AS83)),
IF('CF USD'!$A$8="On",$L83,$K83)/T_Bonds[[#This Row],[Coupons per annum]],0)</f>
        <v>0</v>
      </c>
      <c r="AW83" s="25">
        <f>IF(
OR(
AW$1=MONTH($AP83),
AW$1=MONTH($AQ83),
AW$1=MONTH($AR83),
AW$1=MONTH($AS83)),
IF('CF USD'!$A$8="On",$L83,$K83)/T_Bonds[[#This Row],[Coupons per annum]],0)</f>
        <v>0</v>
      </c>
      <c r="AX83" s="25">
        <f>IF(
OR(
AX$1=MONTH($AP83),
AX$1=MONTH($AQ83),
AX$1=MONTH($AR83),
AX$1=MONTH($AS83)),
IF('CF USD'!$A$8="On",$L83,$K83)/T_Bonds[[#This Row],[Coupons per annum]],0)</f>
        <v>13249.999999999984</v>
      </c>
      <c r="AY83" s="25">
        <f>IF(
OR(
AY$1=MONTH($AP83),
AY$1=MONTH($AQ83),
AY$1=MONTH($AR83),
AY$1=MONTH($AS83)),
IF('CF USD'!$A$8="On",$L83,$K83)/T_Bonds[[#This Row],[Coupons per annum]],0)</f>
        <v>0</v>
      </c>
      <c r="AZ83" s="25">
        <f>IF(
OR(
AZ$1=MONTH($AP83),
AZ$1=MONTH($AQ83),
AZ$1=MONTH($AR83),
AZ$1=MONTH($AS83)),
IF('CF USD'!$A$8="On",$L83,$K83)/T_Bonds[[#This Row],[Coupons per annum]],0)</f>
        <v>0</v>
      </c>
      <c r="BA83" s="25">
        <f>IF(
OR(
BA$1=MONTH($AP83),
BA$1=MONTH($AQ83),
BA$1=MONTH($AR83),
BA$1=MONTH($AS83)),
IF('CF USD'!$A$8="On",$L83,$K83)/T_Bonds[[#This Row],[Coupons per annum]],0)</f>
        <v>0</v>
      </c>
      <c r="BB83" s="25">
        <f>IF(
OR(
BB$1=MONTH($AP83),
BB$1=MONTH($AQ83),
BB$1=MONTH($AR83),
BB$1=MONTH($AS83)),
IF('CF USD'!$A$8="On",$L83,$K83)/T_Bonds[[#This Row],[Coupons per annum]],0)</f>
        <v>0</v>
      </c>
      <c r="BC83" s="25">
        <f>IF(
OR(
BC$1=MONTH($AP83),
BC$1=MONTH($AQ83),
BC$1=MONTH($AR83),
BC$1=MONTH($AS83)),
IF('CF USD'!$A$8="On",$L83,$K83)/T_Bonds[[#This Row],[Coupons per annum]],0)</f>
        <v>0</v>
      </c>
      <c r="BD83" s="25">
        <f>IF(
OR(
BD$1=MONTH($AP83),
BD$1=MONTH($AQ83),
BD$1=MONTH($AR83),
BD$1=MONTH($AS83)),
IF('CF USD'!$A$8="On",$L83,$K83)/T_Bonds[[#This Row],[Coupons per annum]],0)</f>
        <v>13249.999999999984</v>
      </c>
      <c r="BE83" s="25">
        <f>IF(
OR(
BE$1=MONTH($AP83),
BE$1=MONTH($AQ83),
BE$1=MONTH($AR83),
BE$1=MONTH($AS83)),
IF('CF USD'!$A$8="On",$L83,$K83)/T_Bonds[[#This Row],[Coupons per annum]],0)</f>
        <v>0</v>
      </c>
      <c r="BF83">
        <f>DAY(T_Bonds[[#This Row],[Next coupon date]])</f>
        <v>16</v>
      </c>
    </row>
    <row r="84" spans="1:58" x14ac:dyDescent="0.25">
      <c r="A84" s="281" t="s">
        <v>968</v>
      </c>
      <c r="B84" t="s">
        <v>51</v>
      </c>
      <c r="C84" s="281" t="str">
        <f>IF(T_Bonds[[#This Row],[Call date]]&lt;&gt;"","Callable","Maturity")</f>
        <v>Callable</v>
      </c>
      <c r="D84" s="281" t="s">
        <v>969</v>
      </c>
      <c r="E84" s="281" t="s">
        <v>18</v>
      </c>
      <c r="F84" s="96">
        <f>IFERROR(INDEX('V004'!D:E,MATCH(D84,'V004'!D:D,0),2),0)</f>
        <v>0</v>
      </c>
      <c r="G84" s="96">
        <f>IFERROR(INDEX('V001'!D:E,MATCH(D84,'V001'!D:D,0),2),0)</f>
        <v>0</v>
      </c>
      <c r="H84" s="96">
        <f>IFERROR(INDEX(UBS!C:D,MATCH(D84,UBS!D:D,0),1),0)</f>
        <v>0</v>
      </c>
      <c r="I84" s="300">
        <f>SUM(T_Bonds[[#This Row],[V1412]:[UBS]])</f>
        <v>0</v>
      </c>
      <c r="J84" s="302">
        <f t="shared" si="35"/>
        <v>6.9500000000000117E-2</v>
      </c>
      <c r="K84" s="303">
        <f t="shared" si="36"/>
        <v>0</v>
      </c>
      <c r="L84" s="303">
        <f t="shared" si="37"/>
        <v>0</v>
      </c>
      <c r="M84" s="304"/>
      <c r="N84" s="5">
        <f>IFERROR(INDEX(Cbonds!C:H,MATCH(D84,Cbonds!C:C,0),4)/100,0)</f>
        <v>6.2703426126663991E-2</v>
      </c>
      <c r="O84" s="75">
        <f>IFERROR(INDEX(Cbonds!C:H,MATCH(D84,Cbonds!C:C,0),5),0)</f>
        <v>6.1446028596649001</v>
      </c>
      <c r="P84" s="91">
        <f>T_Bonds[[#This Row],[Market price]]-T_Bonds[[#This Row],[Cost price]]</f>
        <v>1.0488</v>
      </c>
      <c r="Q84" s="91" t="e">
        <f>T_Bonds[[#This Row],[Coupon]]/T_Bonds[[#This Row],[Cost price]]</f>
        <v>#DIV/0!</v>
      </c>
      <c r="R84" s="305">
        <f t="shared" si="38"/>
        <v>0</v>
      </c>
      <c r="S84" s="222">
        <f>IFERROR(INDEX('V004'!D:J,MATCH(D84,'V004'!D:D,0),7),0)</f>
        <v>0</v>
      </c>
      <c r="T84" s="222">
        <f>IFERROR(INDEX('V001'!D:J,MATCH(D84,'V001'!D:D,0),7),0)</f>
        <v>0</v>
      </c>
      <c r="U84" s="223">
        <f>IFERROR(S84*T_Bonds[[#This Row],[V1412]]/(T_Bonds[[#This Row],[V1412]]+T_Bonds[[#This Row],[V1430]])+T84*T_Bonds[[#This Row],[V1430]]/(T_Bonds[[#This Row],[V1412]]+T_Bonds[[#This Row],[V1430]]),0)</f>
        <v>0</v>
      </c>
      <c r="V84" s="303" t="e">
        <f t="shared" si="39"/>
        <v>#DIV/0!</v>
      </c>
      <c r="W84" s="306"/>
      <c r="X84" s="299">
        <f>IFERROR(INDEX(Cbonds!C:AF,MATCH(D84,Cbonds!C:C,0),30)/100,0)</f>
        <v>1.0488</v>
      </c>
      <c r="Y84" s="307">
        <f>INDEX('Tech list'!A:C,MATCH(T_Bonds[[#This Row],[Risk CCY]],'Tech list'!A:A,0),3)</f>
        <v>1</v>
      </c>
      <c r="Z84" s="308">
        <f>T_Bonds[[#This Row],[Market price]]*T_Bonds[[#This Row],[Quantity]]</f>
        <v>0</v>
      </c>
      <c r="AA84" s="308">
        <f t="shared" si="40"/>
        <v>0</v>
      </c>
      <c r="AB84" s="73">
        <f ca="1">T_Bonds[[#This Row],[Market value in CCY]]+T_Bonds[[#This Row],[AI, CCY]]</f>
        <v>0</v>
      </c>
      <c r="AC84" s="73">
        <f ca="1">T_Bonds[[#This Row],[Market value in USD]]+T_Bonds[[#This Row],[AI, USD]]</f>
        <v>0</v>
      </c>
      <c r="AD84" s="308">
        <f t="shared" si="41"/>
        <v>0</v>
      </c>
      <c r="AE84" s="75">
        <f ca="1">(T_Bonds[[#This Row],[Coupon in Loc.Curr]]/T_Bonds[[#This Row],[Coupons per annum]])*((TODAY()-EDATE(T_Bonds[[#This Row],[Next coupon date]],-12/T_Bonds[[#This Row],[Coupons per annum]])))/(360/T_Bonds[[#This Row],[Coupons per annum]])</f>
        <v>0</v>
      </c>
      <c r="AF84" s="73">
        <f ca="1">T_Bonds[[#This Row],[AI, CCY]]*T_Bonds[[#This Row],[Exchange rate, N]]</f>
        <v>0</v>
      </c>
      <c r="AG84" s="313">
        <f>IFERROR(IF(INDEX(Cbonds!C:AC,MATCH(D84,Cbonds!C:C,0),27)&gt;5000,0,INDEX(Cbonds!C:AC,MATCH(D84,Cbonds!C:C,0),27)),0)</f>
        <v>232.18159378755999</v>
      </c>
      <c r="AH84" s="105">
        <v>50</v>
      </c>
      <c r="AI84" s="309">
        <v>49014</v>
      </c>
      <c r="AJ84" s="310">
        <v>3.1910000000000001E-2</v>
      </c>
      <c r="AK84" t="s">
        <v>289</v>
      </c>
      <c r="AL84" t="s">
        <v>294</v>
      </c>
      <c r="AM84" t="s">
        <v>2475</v>
      </c>
      <c r="AN84" t="s">
        <v>478</v>
      </c>
      <c r="AO84" s="320">
        <v>2</v>
      </c>
      <c r="AP84" s="17">
        <f>IFERROR(INDEX(Cbonds!C:H,MATCH(D84,Cbonds!C:C,0),3),0)</f>
        <v>46092</v>
      </c>
      <c r="AQ84" s="17">
        <f>EDATE(T_Bonds[[#This Row],[Next coupon date]],12/T_Bonds[[#This Row],[Coupons per annum]])</f>
        <v>46276</v>
      </c>
      <c r="AR84" s="17">
        <f>EDATE(T_Bonds[[#This Row],[Second next coupon date]],12/$AO84)</f>
        <v>46457</v>
      </c>
      <c r="AS84" s="17">
        <f>EDATE(T_Bonds[[#This Row],[Coupon date 3]],12/$AO84)</f>
        <v>46641</v>
      </c>
      <c r="AT84" s="25">
        <f>IF(
OR(
AT$1=MONTH($AP84),
AT$1=MONTH($AQ84),
AT$1=MONTH($AR84),
AT$1=MONTH($AS84)),
IF('CF USD'!$A$8="On",$L84,$K84)/T_Bonds[[#This Row],[Coupons per annum]],0)</f>
        <v>0</v>
      </c>
      <c r="AU84" s="25">
        <f>IF(
OR(
AU$1=MONTH($AP84),
AU$1=MONTH($AQ84),
AU$1=MONTH($AR84),
AU$1=MONTH($AS84)),
IF('CF USD'!$A$8="On",$L84,$K84)/T_Bonds[[#This Row],[Coupons per annum]],0)</f>
        <v>0</v>
      </c>
      <c r="AV84" s="25">
        <f>IF(
OR(
AV$1=MONTH($AP84),
AV$1=MONTH($AQ84),
AV$1=MONTH($AR84),
AV$1=MONTH($AS84)),
IF('CF USD'!$A$8="On",$L84,$K84)/T_Bonds[[#This Row],[Coupons per annum]],0)</f>
        <v>0</v>
      </c>
      <c r="AW84" s="25">
        <f>IF(
OR(
AW$1=MONTH($AP84),
AW$1=MONTH($AQ84),
AW$1=MONTH($AR84),
AW$1=MONTH($AS84)),
IF('CF USD'!$A$8="On",$L84,$K84)/T_Bonds[[#This Row],[Coupons per annum]],0)</f>
        <v>0</v>
      </c>
      <c r="AX84" s="25">
        <f>IF(
OR(
AX$1=MONTH($AP84),
AX$1=MONTH($AQ84),
AX$1=MONTH($AR84),
AX$1=MONTH($AS84)),
IF('CF USD'!$A$8="On",$L84,$K84)/T_Bonds[[#This Row],[Coupons per annum]],0)</f>
        <v>0</v>
      </c>
      <c r="AY84" s="25">
        <f>IF(
OR(
AY$1=MONTH($AP84),
AY$1=MONTH($AQ84),
AY$1=MONTH($AR84),
AY$1=MONTH($AS84)),
IF('CF USD'!$A$8="On",$L84,$K84)/T_Bonds[[#This Row],[Coupons per annum]],0)</f>
        <v>0</v>
      </c>
      <c r="AZ84" s="25">
        <f>IF(
OR(
AZ$1=MONTH($AP84),
AZ$1=MONTH($AQ84),
AZ$1=MONTH($AR84),
AZ$1=MONTH($AS84)),
IF('CF USD'!$A$8="On",$L84,$K84)/T_Bonds[[#This Row],[Coupons per annum]],0)</f>
        <v>0</v>
      </c>
      <c r="BA84" s="25">
        <f>IF(
OR(
BA$1=MONTH($AP84),
BA$1=MONTH($AQ84),
BA$1=MONTH($AR84),
BA$1=MONTH($AS84)),
IF('CF USD'!$A$8="On",$L84,$K84)/T_Bonds[[#This Row],[Coupons per annum]],0)</f>
        <v>0</v>
      </c>
      <c r="BB84" s="25">
        <f>IF(
OR(
BB$1=MONTH($AP84),
BB$1=MONTH($AQ84),
BB$1=MONTH($AR84),
BB$1=MONTH($AS84)),
IF('CF USD'!$A$8="On",$L84,$K84)/T_Bonds[[#This Row],[Coupons per annum]],0)</f>
        <v>0</v>
      </c>
      <c r="BC84" s="25">
        <f>IF(
OR(
BC$1=MONTH($AP84),
BC$1=MONTH($AQ84),
BC$1=MONTH($AR84),
BC$1=MONTH($AS84)),
IF('CF USD'!$A$8="On",$L84,$K84)/T_Bonds[[#This Row],[Coupons per annum]],0)</f>
        <v>0</v>
      </c>
      <c r="BD84" s="25">
        <f>IF(
OR(
BD$1=MONTH($AP84),
BD$1=MONTH($AQ84),
BD$1=MONTH($AR84),
BD$1=MONTH($AS84)),
IF('CF USD'!$A$8="On",$L84,$K84)/T_Bonds[[#This Row],[Coupons per annum]],0)</f>
        <v>0</v>
      </c>
      <c r="BE84" s="25">
        <f>IF(
OR(
BE$1=MONTH($AP84),
BE$1=MONTH($AQ84),
BE$1=MONTH($AR84),
BE$1=MONTH($AS84)),
IF('CF USD'!$A$8="On",$L84,$K84)/T_Bonds[[#This Row],[Coupons per annum]],0)</f>
        <v>0</v>
      </c>
      <c r="BF84">
        <f>DAY(T_Bonds[[#This Row],[Next coupon date]])</f>
        <v>11</v>
      </c>
    </row>
    <row r="85" spans="1:58" x14ac:dyDescent="0.25">
      <c r="A85" s="281" t="s">
        <v>970</v>
      </c>
      <c r="B85" t="s">
        <v>51</v>
      </c>
      <c r="C85" s="281" t="str">
        <f>IF(T_Bonds[[#This Row],[Call date]]&lt;&gt;"","Callable","Maturity")</f>
        <v>Maturity</v>
      </c>
      <c r="D85" s="281" t="s">
        <v>971</v>
      </c>
      <c r="E85" s="281" t="s">
        <v>18</v>
      </c>
      <c r="F85" s="96">
        <f>IFERROR(INDEX('V004'!D:E,MATCH(D85,'V004'!D:D,0),2),0)</f>
        <v>0</v>
      </c>
      <c r="G85" s="96">
        <f>IFERROR(INDEX('V001'!D:E,MATCH(D85,'V001'!D:D,0),2),0)</f>
        <v>0</v>
      </c>
      <c r="H85" s="96">
        <f>IFERROR(INDEX(UBS!C:D,MATCH(D85,UBS!D:D,0),1),0)</f>
        <v>0</v>
      </c>
      <c r="I85" s="300">
        <f>SUM(T_Bonds[[#This Row],[V1412]:[UBS]])</f>
        <v>0</v>
      </c>
      <c r="J85" s="302">
        <f t="shared" si="35"/>
        <v>7.4999999999999956E-2</v>
      </c>
      <c r="K85" s="303">
        <f t="shared" si="36"/>
        <v>0</v>
      </c>
      <c r="L85" s="303">
        <f t="shared" si="37"/>
        <v>0</v>
      </c>
      <c r="M85" s="304">
        <v>49500</v>
      </c>
      <c r="N85" s="5">
        <f>IFERROR(INDEX(Cbonds!C:H,MATCH(D85,Cbonds!C:C,0),4)/100,0)</f>
        <v>7.1459476973448996E-2</v>
      </c>
      <c r="O85" s="75">
        <f>IFERROR(INDEX(Cbonds!C:H,MATCH(D85,Cbonds!C:C,0),5),0)</f>
        <v>6.8582359064674003</v>
      </c>
      <c r="P85" s="91">
        <f>T_Bonds[[#This Row],[Market price]]-T_Bonds[[#This Row],[Cost price]]</f>
        <v>1.0325</v>
      </c>
      <c r="Q85" s="91" t="e">
        <f>T_Bonds[[#This Row],[Coupon]]/T_Bonds[[#This Row],[Cost price]]</f>
        <v>#DIV/0!</v>
      </c>
      <c r="R85" s="305">
        <f t="shared" si="38"/>
        <v>0</v>
      </c>
      <c r="S85" s="222">
        <f>IFERROR(INDEX('V004'!D:J,MATCH(D85,'V004'!D:D,0),7),0)</f>
        <v>0</v>
      </c>
      <c r="T85" s="222">
        <f>IFERROR(INDEX('V001'!D:J,MATCH(D85,'V001'!D:D,0),7),0)</f>
        <v>0</v>
      </c>
      <c r="U85" s="223">
        <f>IFERROR(S85*T_Bonds[[#This Row],[V1412]]/(T_Bonds[[#This Row],[V1412]]+T_Bonds[[#This Row],[V1430]])+T85*T_Bonds[[#This Row],[V1430]]/(T_Bonds[[#This Row],[V1412]]+T_Bonds[[#This Row],[V1430]]),0)</f>
        <v>0</v>
      </c>
      <c r="V85" s="303" t="e">
        <f t="shared" si="39"/>
        <v>#DIV/0!</v>
      </c>
      <c r="W85" s="306"/>
      <c r="X85" s="299">
        <f>IFERROR(INDEX(Cbonds!C:AF,MATCH(D85,Cbonds!C:C,0),30)/100,0)</f>
        <v>1.0325</v>
      </c>
      <c r="Y85" s="307">
        <f>INDEX('Tech list'!A:C,MATCH(T_Bonds[[#This Row],[Risk CCY]],'Tech list'!A:A,0),3)</f>
        <v>1</v>
      </c>
      <c r="Z85" s="308">
        <f>T_Bonds[[#This Row],[Market price]]*T_Bonds[[#This Row],[Quantity]]</f>
        <v>0</v>
      </c>
      <c r="AA85" s="308">
        <f t="shared" si="40"/>
        <v>0</v>
      </c>
      <c r="AB85" s="73">
        <f ca="1">T_Bonds[[#This Row],[Market value in CCY]]+T_Bonds[[#This Row],[AI, CCY]]</f>
        <v>0</v>
      </c>
      <c r="AC85" s="73">
        <f ca="1">T_Bonds[[#This Row],[Market value in USD]]+T_Bonds[[#This Row],[AI, USD]]</f>
        <v>0</v>
      </c>
      <c r="AD85" s="308">
        <f t="shared" si="41"/>
        <v>0</v>
      </c>
      <c r="AE85" s="75">
        <f ca="1">(T_Bonds[[#This Row],[Coupon in Loc.Curr]]/T_Bonds[[#This Row],[Coupons per annum]])*((TODAY()-EDATE(T_Bonds[[#This Row],[Next coupon date]],-12/T_Bonds[[#This Row],[Coupons per annum]])))/(360/T_Bonds[[#This Row],[Coupons per annum]])</f>
        <v>0</v>
      </c>
      <c r="AF85" s="73">
        <f ca="1">T_Bonds[[#This Row],[AI, CCY]]*T_Bonds[[#This Row],[Exchange rate, N]]</f>
        <v>0</v>
      </c>
      <c r="AG85" s="313">
        <f>IFERROR(IF(INDEX(Cbonds!C:AC,MATCH(D85,Cbonds!C:C,0),27)&gt;5000,0,INDEX(Cbonds!C:AC,MATCH(D85,Cbonds!C:C,0),27)),0)</f>
        <v>312.24313384568001</v>
      </c>
      <c r="AH85" s="105">
        <v>30</v>
      </c>
      <c r="AI85" s="309"/>
      <c r="AJ85" s="310"/>
      <c r="AK85" t="s">
        <v>312</v>
      </c>
      <c r="AL85" t="s">
        <v>287</v>
      </c>
      <c r="AM85" t="s">
        <v>2475</v>
      </c>
      <c r="AN85" t="s">
        <v>729</v>
      </c>
      <c r="AO85" s="320">
        <v>2</v>
      </c>
      <c r="AP85" s="17">
        <f>IFERROR(INDEX(Cbonds!C:H,MATCH(D85,Cbonds!C:C,0),3),0)</f>
        <v>46213</v>
      </c>
      <c r="AQ85" s="17">
        <f>EDATE(T_Bonds[[#This Row],[Next coupon date]],12/T_Bonds[[#This Row],[Coupons per annum]])</f>
        <v>46397</v>
      </c>
      <c r="AR85" s="17">
        <f>EDATE(T_Bonds[[#This Row],[Second next coupon date]],12/$AO85)</f>
        <v>46578</v>
      </c>
      <c r="AS85" s="17">
        <f>EDATE(T_Bonds[[#This Row],[Coupon date 3]],12/$AO85)</f>
        <v>46762</v>
      </c>
      <c r="AT85" s="25">
        <f>IF(
OR(
AT$1=MONTH($AP85),
AT$1=MONTH($AQ85),
AT$1=MONTH($AR85),
AT$1=MONTH($AS85)),
IF('CF USD'!$A$8="On",$L85,$K85)/T_Bonds[[#This Row],[Coupons per annum]],0)</f>
        <v>0</v>
      </c>
      <c r="AU85" s="25">
        <f>IF(
OR(
AU$1=MONTH($AP85),
AU$1=MONTH($AQ85),
AU$1=MONTH($AR85),
AU$1=MONTH($AS85)),
IF('CF USD'!$A$8="On",$L85,$K85)/T_Bonds[[#This Row],[Coupons per annum]],0)</f>
        <v>0</v>
      </c>
      <c r="AV85" s="25">
        <f>IF(
OR(
AV$1=MONTH($AP85),
AV$1=MONTH($AQ85),
AV$1=MONTH($AR85),
AV$1=MONTH($AS85)),
IF('CF USD'!$A$8="On",$L85,$K85)/T_Bonds[[#This Row],[Coupons per annum]],0)</f>
        <v>0</v>
      </c>
      <c r="AW85" s="25">
        <f>IF(
OR(
AW$1=MONTH($AP85),
AW$1=MONTH($AQ85),
AW$1=MONTH($AR85),
AW$1=MONTH($AS85)),
IF('CF USD'!$A$8="On",$L85,$K85)/T_Bonds[[#This Row],[Coupons per annum]],0)</f>
        <v>0</v>
      </c>
      <c r="AX85" s="25">
        <f>IF(
OR(
AX$1=MONTH($AP85),
AX$1=MONTH($AQ85),
AX$1=MONTH($AR85),
AX$1=MONTH($AS85)),
IF('CF USD'!$A$8="On",$L85,$K85)/T_Bonds[[#This Row],[Coupons per annum]],0)</f>
        <v>0</v>
      </c>
      <c r="AY85" s="25">
        <f>IF(
OR(
AY$1=MONTH($AP85),
AY$1=MONTH($AQ85),
AY$1=MONTH($AR85),
AY$1=MONTH($AS85)),
IF('CF USD'!$A$8="On",$L85,$K85)/T_Bonds[[#This Row],[Coupons per annum]],0)</f>
        <v>0</v>
      </c>
      <c r="AZ85" s="25">
        <f>IF(
OR(
AZ$1=MONTH($AP85),
AZ$1=MONTH($AQ85),
AZ$1=MONTH($AR85),
AZ$1=MONTH($AS85)),
IF('CF USD'!$A$8="On",$L85,$K85)/T_Bonds[[#This Row],[Coupons per annum]],0)</f>
        <v>0</v>
      </c>
      <c r="BA85" s="25">
        <f>IF(
OR(
BA$1=MONTH($AP85),
BA$1=MONTH($AQ85),
BA$1=MONTH($AR85),
BA$1=MONTH($AS85)),
IF('CF USD'!$A$8="On",$L85,$K85)/T_Bonds[[#This Row],[Coupons per annum]],0)</f>
        <v>0</v>
      </c>
      <c r="BB85" s="25">
        <f>IF(
OR(
BB$1=MONTH($AP85),
BB$1=MONTH($AQ85),
BB$1=MONTH($AR85),
BB$1=MONTH($AS85)),
IF('CF USD'!$A$8="On",$L85,$K85)/T_Bonds[[#This Row],[Coupons per annum]],0)</f>
        <v>0</v>
      </c>
      <c r="BC85" s="25">
        <f>IF(
OR(
BC$1=MONTH($AP85),
BC$1=MONTH($AQ85),
BC$1=MONTH($AR85),
BC$1=MONTH($AS85)),
IF('CF USD'!$A$8="On",$L85,$K85)/T_Bonds[[#This Row],[Coupons per annum]],0)</f>
        <v>0</v>
      </c>
      <c r="BD85" s="25">
        <f>IF(
OR(
BD$1=MONTH($AP85),
BD$1=MONTH($AQ85),
BD$1=MONTH($AR85),
BD$1=MONTH($AS85)),
IF('CF USD'!$A$8="On",$L85,$K85)/T_Bonds[[#This Row],[Coupons per annum]],0)</f>
        <v>0</v>
      </c>
      <c r="BE85" s="25">
        <f>IF(
OR(
BE$1=MONTH($AP85),
BE$1=MONTH($AQ85),
BE$1=MONTH($AR85),
BE$1=MONTH($AS85)),
IF('CF USD'!$A$8="On",$L85,$K85)/T_Bonds[[#This Row],[Coupons per annum]],0)</f>
        <v>0</v>
      </c>
      <c r="BF85">
        <f>DAY(T_Bonds[[#This Row],[Next coupon date]])</f>
        <v>10</v>
      </c>
    </row>
    <row r="86" spans="1:58" x14ac:dyDescent="0.25">
      <c r="A86" s="281" t="s">
        <v>979</v>
      </c>
      <c r="B86" t="s">
        <v>51</v>
      </c>
      <c r="C86" s="281" t="str">
        <f>IF(T_Bonds[[#This Row],[Call date]]&lt;&gt;"","Callable","Maturity")</f>
        <v>Maturity</v>
      </c>
      <c r="D86" s="281" t="s">
        <v>980</v>
      </c>
      <c r="E86" s="281" t="s">
        <v>976</v>
      </c>
      <c r="F86" s="96">
        <f>IFERROR(INDEX('V004'!D:E,MATCH(D86,'V004'!D:D,0),2),0)</f>
        <v>32800000</v>
      </c>
      <c r="G86" s="96">
        <f>IFERROR(INDEX('V001'!D:E,MATCH(D86,'V001'!D:D,0),2),0)</f>
        <v>0</v>
      </c>
      <c r="H86" s="96">
        <f>IFERROR(INDEX(UBS!C:D,MATCH(D86,UBS!D:D,0),1),0)</f>
        <v>0</v>
      </c>
      <c r="I86" s="300">
        <f>SUM(T_Bonds[[#This Row],[V1412]:[UBS]])</f>
        <v>32800000</v>
      </c>
      <c r="J86" s="302">
        <f t="shared" ref="J86:J91" si="42">LEFT(A86,FIND("%",A86,1))+1-1</f>
        <v>0.27499999999999991</v>
      </c>
      <c r="K86" s="303">
        <f t="shared" ref="K86:K91" si="43">J86*I86</f>
        <v>9019999.9999999963</v>
      </c>
      <c r="L86" s="303">
        <f t="shared" ca="1" si="37"/>
        <v>204753.99999999994</v>
      </c>
      <c r="M86" s="304">
        <v>47162</v>
      </c>
      <c r="N86" s="5">
        <f>IFERROR(INDEX(Cbonds!C:H,MATCH(D86,Cbonds!C:C,0),4)/100,0)</f>
        <v>0.31121345934569999</v>
      </c>
      <c r="O86" s="75">
        <f>IFERROR(INDEX(Cbonds!C:H,MATCH(D86,Cbonds!C:C,0),5),0)</f>
        <v>1.8827720721350001</v>
      </c>
      <c r="P86" s="91">
        <f>T_Bonds[[#This Row],[Market price]]-T_Bonds[[#This Row],[Cost price]]</f>
        <v>2.9095094512195163E-2</v>
      </c>
      <c r="Q86" s="91">
        <f>T_Bonds[[#This Row],[Coupon]]/T_Bonds[[#This Row],[Cost price]]</f>
        <v>0.30082428956967239</v>
      </c>
      <c r="R86" s="305">
        <f t="shared" si="38"/>
        <v>10207801.46653896</v>
      </c>
      <c r="S86" s="222">
        <f>IFERROR(INDEX('V004'!D:J,MATCH(D86,'V004'!D:D,0),7),0)</f>
        <v>0.91415490548780487</v>
      </c>
      <c r="T86" s="222">
        <f>IFERROR(INDEX('V001'!D:J,MATCH(D86,'V001'!D:D,0),7),0)</f>
        <v>0</v>
      </c>
      <c r="U86" s="223">
        <f>IFERROR(S86*T_Bonds[[#This Row],[V1412]]/(T_Bonds[[#This Row],[V1412]]+T_Bonds[[#This Row],[V1430]])+T86*T_Bonds[[#This Row],[V1430]]/(T_Bonds[[#This Row],[V1412]]+T_Bonds[[#This Row],[V1430]]),0)</f>
        <v>0.91415490548780487</v>
      </c>
      <c r="V86" s="303">
        <f t="shared" si="39"/>
        <v>9867036.6978852544</v>
      </c>
      <c r="W86" s="306"/>
      <c r="X86" s="299">
        <f>IFERROR(INDEX(Cbonds!C:AF,MATCH(D86,Cbonds!C:C,0),30)/100,0)</f>
        <v>0.94325000000000003</v>
      </c>
      <c r="Y86" s="307">
        <f ca="1">INDEX('Tech list'!A:C,MATCH(T_Bonds[[#This Row],[Risk CCY]],'Tech list'!A:A,0),3)</f>
        <v>2.2700000000000001E-2</v>
      </c>
      <c r="Z86" s="308">
        <f>T_Bonds[[#This Row],[Market price]]*T_Bonds[[#This Row],[Quantity]]</f>
        <v>30938600</v>
      </c>
      <c r="AA86" s="308">
        <f t="shared" ca="1" si="40"/>
        <v>702306.22000000009</v>
      </c>
      <c r="AB86" s="73">
        <f ca="1">T_Bonds[[#This Row],[Market value in CCY]]+T_Bonds[[#This Row],[AI, CCY]]</f>
        <v>40710266.666666664</v>
      </c>
      <c r="AC86" s="73">
        <f ca="1">T_Bonds[[#This Row],[Market value in USD]]+T_Bonds[[#This Row],[AI, USD]]</f>
        <v>924123.05333333334</v>
      </c>
      <c r="AD86" s="308">
        <f t="shared" si="41"/>
        <v>29984280.899999999</v>
      </c>
      <c r="AE86" s="75">
        <f ca="1">(T_Bonds[[#This Row],[Coupon in Loc.Curr]]/T_Bonds[[#This Row],[Coupons per annum]])*((TODAY()-EDATE(T_Bonds[[#This Row],[Next coupon date]],-12/T_Bonds[[#This Row],[Coupons per annum]])))/(360/T_Bonds[[#This Row],[Coupons per annum]])</f>
        <v>9771666.6666666623</v>
      </c>
      <c r="AF86" s="73">
        <f ca="1">T_Bonds[[#This Row],[AI, CCY]]*T_Bonds[[#This Row],[Exchange rate, N]]</f>
        <v>221816.83333333326</v>
      </c>
      <c r="AG86" s="313">
        <f>IFERROR(IF(INDEX(Cbonds!C:AC,MATCH(D86,Cbonds!C:C,0),27)&gt;5000,0,INDEX(Cbonds!C:AC,MATCH(D86,Cbonds!C:C,0),27)),0)</f>
        <v>0</v>
      </c>
      <c r="AH86" s="105">
        <v>90</v>
      </c>
      <c r="AI86" s="309"/>
      <c r="AJ86" s="310"/>
      <c r="AK86" t="s">
        <v>312</v>
      </c>
      <c r="AL86" t="s">
        <v>294</v>
      </c>
      <c r="AM86" t="s">
        <v>2475</v>
      </c>
      <c r="AN86" t="s">
        <v>983</v>
      </c>
      <c r="AO86" s="320">
        <v>1</v>
      </c>
      <c r="AP86" s="17">
        <f>IFERROR(INDEX(Cbonds!C:H,MATCH(D86,Cbonds!C:C,0),3),0)</f>
        <v>46066</v>
      </c>
      <c r="AQ86" s="17">
        <f>EDATE(T_Bonds[[#This Row],[Next coupon date]],12/T_Bonds[[#This Row],[Coupons per annum]])</f>
        <v>46431</v>
      </c>
      <c r="AR86" s="17">
        <f>EDATE(T_Bonds[[#This Row],[Second next coupon date]],12/$AO86)</f>
        <v>46796</v>
      </c>
      <c r="AS86" s="17">
        <f>EDATE(T_Bonds[[#This Row],[Coupon date 3]],12/$AO86)</f>
        <v>47162</v>
      </c>
      <c r="AT86" s="25">
        <f>IF(
OR(
AT$1=MONTH($AP86),
AT$1=MONTH($AQ86),
AT$1=MONTH($AR86),
AT$1=MONTH($AS86)),
IF('CF USD'!$A$8="On",$L86,$K86)/T_Bonds[[#This Row],[Coupons per annum]],0)</f>
        <v>0</v>
      </c>
      <c r="AU86" s="25">
        <f>IF(
OR(
AU$1=MONTH($AP86),
AU$1=MONTH($AQ86),
AU$1=MONTH($AR86),
AU$1=MONTH($AS86)),
IF('CF USD'!$A$8="On",$L86,$K86)/T_Bonds[[#This Row],[Coupons per annum]],0)</f>
        <v>9019999.9999999963</v>
      </c>
      <c r="AV86" s="25">
        <f>IF(
OR(
AV$1=MONTH($AP86),
AV$1=MONTH($AQ86),
AV$1=MONTH($AR86),
AV$1=MONTH($AS86)),
IF('CF USD'!$A$8="On",$L86,$K86)/T_Bonds[[#This Row],[Coupons per annum]],0)</f>
        <v>0</v>
      </c>
      <c r="AW86" s="25">
        <f>IF(
OR(
AW$1=MONTH($AP86),
AW$1=MONTH($AQ86),
AW$1=MONTH($AR86),
AW$1=MONTH($AS86)),
IF('CF USD'!$A$8="On",$L86,$K86)/T_Bonds[[#This Row],[Coupons per annum]],0)</f>
        <v>0</v>
      </c>
      <c r="AX86" s="25">
        <f>IF(
OR(
AX$1=MONTH($AP86),
AX$1=MONTH($AQ86),
AX$1=MONTH($AR86),
AX$1=MONTH($AS86)),
IF('CF USD'!$A$8="On",$L86,$K86)/T_Bonds[[#This Row],[Coupons per annum]],0)</f>
        <v>0</v>
      </c>
      <c r="AY86" s="25">
        <f>IF(
OR(
AY$1=MONTH($AP86),
AY$1=MONTH($AQ86),
AY$1=MONTH($AR86),
AY$1=MONTH($AS86)),
IF('CF USD'!$A$8="On",$L86,$K86)/T_Bonds[[#This Row],[Coupons per annum]],0)</f>
        <v>0</v>
      </c>
      <c r="AZ86" s="25">
        <f>IF(
OR(
AZ$1=MONTH($AP86),
AZ$1=MONTH($AQ86),
AZ$1=MONTH($AR86),
AZ$1=MONTH($AS86)),
IF('CF USD'!$A$8="On",$L86,$K86)/T_Bonds[[#This Row],[Coupons per annum]],0)</f>
        <v>0</v>
      </c>
      <c r="BA86" s="25">
        <f>IF(
OR(
BA$1=MONTH($AP86),
BA$1=MONTH($AQ86),
BA$1=MONTH($AR86),
BA$1=MONTH($AS86)),
IF('CF USD'!$A$8="On",$L86,$K86)/T_Bonds[[#This Row],[Coupons per annum]],0)</f>
        <v>0</v>
      </c>
      <c r="BB86" s="25">
        <f>IF(
OR(
BB$1=MONTH($AP86),
BB$1=MONTH($AQ86),
BB$1=MONTH($AR86),
BB$1=MONTH($AS86)),
IF('CF USD'!$A$8="On",$L86,$K86)/T_Bonds[[#This Row],[Coupons per annum]],0)</f>
        <v>0</v>
      </c>
      <c r="BC86" s="25">
        <f>IF(
OR(
BC$1=MONTH($AP86),
BC$1=MONTH($AQ86),
BC$1=MONTH($AR86),
BC$1=MONTH($AS86)),
IF('CF USD'!$A$8="On",$L86,$K86)/T_Bonds[[#This Row],[Coupons per annum]],0)</f>
        <v>0</v>
      </c>
      <c r="BD86" s="25">
        <f>IF(
OR(
BD$1=MONTH($AP86),
BD$1=MONTH($AQ86),
BD$1=MONTH($AR86),
BD$1=MONTH($AS86)),
IF('CF USD'!$A$8="On",$L86,$K86)/T_Bonds[[#This Row],[Coupons per annum]],0)</f>
        <v>0</v>
      </c>
      <c r="BE86" s="25">
        <f>IF(
OR(
BE$1=MONTH($AP86),
BE$1=MONTH($AQ86),
BE$1=MONTH($AR86),
BE$1=MONTH($AS86)),
IF('CF USD'!$A$8="On",$L86,$K86)/T_Bonds[[#This Row],[Coupons per annum]],0)</f>
        <v>0</v>
      </c>
      <c r="BF86">
        <f>DAY(T_Bonds[[#This Row],[Next coupon date]])</f>
        <v>13</v>
      </c>
    </row>
    <row r="87" spans="1:58" x14ac:dyDescent="0.25">
      <c r="A87" s="1" t="s">
        <v>1050</v>
      </c>
      <c r="B87" t="s">
        <v>51</v>
      </c>
      <c r="C87" s="1" t="str">
        <f>IF(T_Bonds[[#This Row],[Call date]]&lt;&gt;"","Callable","Maturity")</f>
        <v>Maturity</v>
      </c>
      <c r="D87" s="1" t="s">
        <v>1051</v>
      </c>
      <c r="E87" s="1" t="s">
        <v>18</v>
      </c>
      <c r="F87" s="96">
        <f>IFERROR(INDEX('V004'!D:E,MATCH(D87,'V004'!D:D,0),2),0)</f>
        <v>1000000</v>
      </c>
      <c r="G87" s="96">
        <f>IFERROR(INDEX('V001'!D:E,MATCH(D87,'V001'!D:D,0),2),0)</f>
        <v>800000</v>
      </c>
      <c r="H87" s="96">
        <f>IFERROR(INDEX(UBS!C:D,MATCH(D87,UBS!D:D,0),1),0)</f>
        <v>0</v>
      </c>
      <c r="I87" s="300">
        <f>SUM(T_Bonds[[#This Row],[V1412]:[UBS]])</f>
        <v>1800000</v>
      </c>
      <c r="J87" s="98">
        <f t="shared" si="42"/>
        <v>7.1250000000000036E-2</v>
      </c>
      <c r="K87" s="100">
        <f t="shared" si="43"/>
        <v>128250.00000000006</v>
      </c>
      <c r="L87" s="100">
        <f t="shared" ref="L87:L92" si="44">IF(Y87&lt;&gt;1,I87*J87*Y87,I87*J87)</f>
        <v>128250.00000000006</v>
      </c>
      <c r="M87" s="16">
        <v>56382</v>
      </c>
      <c r="N87" s="5">
        <f>IFERROR(INDEX(Cbonds!C:H,MATCH(D87,Cbonds!C:C,0),4)/100,0)</f>
        <v>7.2935721082131005E-2</v>
      </c>
      <c r="O87" s="75">
        <f>IFERROR(INDEX(Cbonds!C:H,MATCH(D87,Cbonds!C:C,0),5),0)</f>
        <v>12.144598330357001</v>
      </c>
      <c r="P87" s="91">
        <f>T_Bonds[[#This Row],[Market price]]-T_Bonds[[#This Row],[Cost price]]</f>
        <v>-1.4894444444444432E-2</v>
      </c>
      <c r="Q87" s="91">
        <f>T_Bonds[[#This Row],[Coupon]]/T_Bonds[[#This Row],[Cost price]]</f>
        <v>7.0551927869249298E-2</v>
      </c>
      <c r="R87" s="305">
        <f t="shared" ref="R87:R92" si="45">N87*I87</f>
        <v>131284.29794783582</v>
      </c>
      <c r="S87" s="222">
        <f>IFERROR(INDEX('V004'!D:J,MATCH(D87,'V004'!D:D,0),7),0)</f>
        <v>1.0124299999999999</v>
      </c>
      <c r="T87" s="222">
        <f>IFERROR(INDEX('V001'!D:J,MATCH(D87,'V001'!D:D,0),7),0)</f>
        <v>1.0067250000000001</v>
      </c>
      <c r="U87" s="223">
        <f>IFERROR(S87*T_Bonds[[#This Row],[V1412]]/(T_Bonds[[#This Row],[V1412]]+T_Bonds[[#This Row],[V1430]])+T87*T_Bonds[[#This Row],[V1430]]/(T_Bonds[[#This Row],[V1412]]+T_Bonds[[#This Row],[V1430]]),0)</f>
        <v>1.0098944444444444</v>
      </c>
      <c r="V87" s="100">
        <f t="shared" ref="V87:V92" si="46">I87*J87/U87</f>
        <v>126993.47016464874</v>
      </c>
      <c r="W87" s="4"/>
      <c r="X87" s="299">
        <f>IFERROR(INDEX(Cbonds!C:AF,MATCH(D87,Cbonds!C:C,0),30)/100,0)</f>
        <v>0.995</v>
      </c>
      <c r="Y87" s="4">
        <f>INDEX('Tech list'!A:C,MATCH(T_Bonds[[#This Row],[Risk CCY]],'Tech list'!A:A,0),3)</f>
        <v>1</v>
      </c>
      <c r="Z87" s="105">
        <f>T_Bonds[[#This Row],[Market price]]*T_Bonds[[#This Row],[Quantity]]</f>
        <v>1791000</v>
      </c>
      <c r="AA87" s="105">
        <f t="shared" ref="AA87:AA92" si="47">IF(E87&lt;&gt;"USD",X87*Y87*I87,X87*I87)</f>
        <v>1791000</v>
      </c>
      <c r="AB87" s="73">
        <f ca="1">T_Bonds[[#This Row],[Market value in CCY]]+T_Bonds[[#This Row],[AI, CCY]]</f>
        <v>1832681.25</v>
      </c>
      <c r="AC87" s="73">
        <f ca="1">T_Bonds[[#This Row],[Market value in USD]]+T_Bonds[[#This Row],[AI, USD]]</f>
        <v>1832681.25</v>
      </c>
      <c r="AD87" s="105">
        <f t="shared" ref="AD87:AD92" si="48">U87*I87</f>
        <v>1817810</v>
      </c>
      <c r="AE87" s="75">
        <f ca="1">(T_Bonds[[#This Row],[Coupon in Loc.Curr]]/T_Bonds[[#This Row],[Coupons per annum]])*((TODAY()-EDATE(T_Bonds[[#This Row],[Next coupon date]],-12/T_Bonds[[#This Row],[Coupons per annum]])))/(360/T_Bonds[[#This Row],[Coupons per annum]])</f>
        <v>41681.250000000022</v>
      </c>
      <c r="AF87" s="73">
        <f ca="1">T_Bonds[[#This Row],[AI, CCY]]*T_Bonds[[#This Row],[Exchange rate, N]]</f>
        <v>41681.250000000022</v>
      </c>
      <c r="AG87" s="313">
        <f>IFERROR(IF(INDEX(Cbonds!C:AC,MATCH(D87,Cbonds!C:C,0),27)&gt;5000,0,INDEX(Cbonds!C:AC,MATCH(D87,Cbonds!C:C,0),27)),0)</f>
        <v>279.56995747565998</v>
      </c>
      <c r="AH87" s="105">
        <v>45</v>
      </c>
      <c r="AI87" s="212"/>
      <c r="AJ87" s="330"/>
      <c r="AK87" t="s">
        <v>280</v>
      </c>
      <c r="AL87" t="s">
        <v>276</v>
      </c>
      <c r="AM87" t="s">
        <v>2476</v>
      </c>
      <c r="AN87" t="s">
        <v>276</v>
      </c>
      <c r="AO87" s="320">
        <v>2</v>
      </c>
      <c r="AP87" s="17">
        <f>IFERROR(INDEX(Cbonds!C:H,MATCH(D87,Cbonds!C:C,0),3),0)</f>
        <v>46155</v>
      </c>
      <c r="AQ87" s="17">
        <f>EDATE(T_Bonds[[#This Row],[Next coupon date]],12/T_Bonds[[#This Row],[Coupons per annum]])</f>
        <v>46339</v>
      </c>
      <c r="AR87" s="17">
        <f>EDATE(T_Bonds[[#This Row],[Second next coupon date]],12/$AO87)</f>
        <v>46520</v>
      </c>
      <c r="AS87" s="17">
        <f>EDATE(T_Bonds[[#This Row],[Coupon date 3]],12/$AO87)</f>
        <v>46704</v>
      </c>
      <c r="AT87" s="25">
        <f>IF(
OR(
AT$1=MONTH($AP87),
AT$1=MONTH($AQ87),
AT$1=MONTH($AR87),
AT$1=MONTH($AS87)),
IF('CF USD'!$A$8="On",$L87,$K87)/T_Bonds[[#This Row],[Coupons per annum]],0)</f>
        <v>0</v>
      </c>
      <c r="AU87" s="25">
        <f>IF(
OR(
AU$1=MONTH($AP87),
AU$1=MONTH($AQ87),
AU$1=MONTH($AR87),
AU$1=MONTH($AS87)),
IF('CF USD'!$A$8="On",$L87,$K87)/T_Bonds[[#This Row],[Coupons per annum]],0)</f>
        <v>0</v>
      </c>
      <c r="AV87" s="25">
        <f>IF(
OR(
AV$1=MONTH($AP87),
AV$1=MONTH($AQ87),
AV$1=MONTH($AR87),
AV$1=MONTH($AS87)),
IF('CF USD'!$A$8="On",$L87,$K87)/T_Bonds[[#This Row],[Coupons per annum]],0)</f>
        <v>0</v>
      </c>
      <c r="AW87" s="25">
        <f>IF(
OR(
AW$1=MONTH($AP87),
AW$1=MONTH($AQ87),
AW$1=MONTH($AR87),
AW$1=MONTH($AS87)),
IF('CF USD'!$A$8="On",$L87,$K87)/T_Bonds[[#This Row],[Coupons per annum]],0)</f>
        <v>0</v>
      </c>
      <c r="AX87" s="25">
        <f>IF(
OR(
AX$1=MONTH($AP87),
AX$1=MONTH($AQ87),
AX$1=MONTH($AR87),
AX$1=MONTH($AS87)),
IF('CF USD'!$A$8="On",$L87,$K87)/T_Bonds[[#This Row],[Coupons per annum]],0)</f>
        <v>64125.000000000029</v>
      </c>
      <c r="AY87" s="25">
        <f>IF(
OR(
AY$1=MONTH($AP87),
AY$1=MONTH($AQ87),
AY$1=MONTH($AR87),
AY$1=MONTH($AS87)),
IF('CF USD'!$A$8="On",$L87,$K87)/T_Bonds[[#This Row],[Coupons per annum]],0)</f>
        <v>0</v>
      </c>
      <c r="AZ87" s="25">
        <f>IF(
OR(
AZ$1=MONTH($AP87),
AZ$1=MONTH($AQ87),
AZ$1=MONTH($AR87),
AZ$1=MONTH($AS87)),
IF('CF USD'!$A$8="On",$L87,$K87)/T_Bonds[[#This Row],[Coupons per annum]],0)</f>
        <v>0</v>
      </c>
      <c r="BA87" s="25">
        <f>IF(
OR(
BA$1=MONTH($AP87),
BA$1=MONTH($AQ87),
BA$1=MONTH($AR87),
BA$1=MONTH($AS87)),
IF('CF USD'!$A$8="On",$L87,$K87)/T_Bonds[[#This Row],[Coupons per annum]],0)</f>
        <v>0</v>
      </c>
      <c r="BB87" s="25">
        <f>IF(
OR(
BB$1=MONTH($AP87),
BB$1=MONTH($AQ87),
BB$1=MONTH($AR87),
BB$1=MONTH($AS87)),
IF('CF USD'!$A$8="On",$L87,$K87)/T_Bonds[[#This Row],[Coupons per annum]],0)</f>
        <v>0</v>
      </c>
      <c r="BC87" s="25">
        <f>IF(
OR(
BC$1=MONTH($AP87),
BC$1=MONTH($AQ87),
BC$1=MONTH($AR87),
BC$1=MONTH($AS87)),
IF('CF USD'!$A$8="On",$L87,$K87)/T_Bonds[[#This Row],[Coupons per annum]],0)</f>
        <v>0</v>
      </c>
      <c r="BD87" s="25">
        <f>IF(
OR(
BD$1=MONTH($AP87),
BD$1=MONTH($AQ87),
BD$1=MONTH($AR87),
BD$1=MONTH($AS87)),
IF('CF USD'!$A$8="On",$L87,$K87)/T_Bonds[[#This Row],[Coupons per annum]],0)</f>
        <v>64125.000000000029</v>
      </c>
      <c r="BE87" s="25">
        <f>IF(
OR(
BE$1=MONTH($AP87),
BE$1=MONTH($AQ87),
BE$1=MONTH($AR87),
BE$1=MONTH($AS87)),
IF('CF USD'!$A$8="On",$L87,$K87)/T_Bonds[[#This Row],[Coupons per annum]],0)</f>
        <v>0</v>
      </c>
      <c r="BF87">
        <f>DAY(T_Bonds[[#This Row],[Next coupon date]])</f>
        <v>13</v>
      </c>
    </row>
    <row r="88" spans="1:58" x14ac:dyDescent="0.25">
      <c r="A88" s="331" t="s">
        <v>1054</v>
      </c>
      <c r="B88" t="s">
        <v>51</v>
      </c>
      <c r="C88" s="331" t="str">
        <f>IF(T_Bonds[[#This Row],[Call date]]&lt;&gt;"","Callable","Maturity")</f>
        <v>Maturity</v>
      </c>
      <c r="D88" s="331" t="s">
        <v>1055</v>
      </c>
      <c r="E88" s="1" t="s">
        <v>18</v>
      </c>
      <c r="F88" s="96">
        <f>IFERROR(INDEX('V004'!D:E,MATCH(D88,'V004'!D:D,0),2),0)</f>
        <v>400000</v>
      </c>
      <c r="G88" s="96">
        <f>IFERROR(INDEX('V001'!D:E,MATCH(D88,'V001'!D:D,0),2),0)</f>
        <v>600000</v>
      </c>
      <c r="H88" s="96">
        <f>IFERROR(INDEX(UBS!C:D,MATCH(D88,UBS!D:D,0),1),0)</f>
        <v>0</v>
      </c>
      <c r="I88" s="300">
        <f>SUM(T_Bonds[[#This Row],[V1412]:[UBS]])</f>
        <v>1000000</v>
      </c>
      <c r="J88" s="333">
        <f t="shared" si="42"/>
        <v>9.1250000000000053E-2</v>
      </c>
      <c r="K88" s="334">
        <f t="shared" si="43"/>
        <v>91250.000000000058</v>
      </c>
      <c r="L88" s="334">
        <f t="shared" si="44"/>
        <v>91250.000000000058</v>
      </c>
      <c r="M88" s="16">
        <v>48502</v>
      </c>
      <c r="N88" s="5">
        <f>IFERROR(INDEX(Cbonds!C:H,MATCH(D88,Cbonds!C:C,0),4)/100,0)</f>
        <v>8.4738426645331988E-2</v>
      </c>
      <c r="O88" s="75">
        <f>IFERROR(INDEX(Cbonds!C:H,MATCH(D88,Cbonds!C:C,0),5),0)</f>
        <v>5.0044373008093004</v>
      </c>
      <c r="P88" s="91">
        <f>T_Bonds[[#This Row],[Market price]]-T_Bonds[[#This Row],[Cost price]]</f>
        <v>4.6124000000000165E-2</v>
      </c>
      <c r="Q88" s="91">
        <f>T_Bonds[[#This Row],[Coupon]]/T_Bonds[[#This Row],[Cost price]]</f>
        <v>9.1673900114127793E-2</v>
      </c>
      <c r="R88" s="335">
        <f t="shared" si="45"/>
        <v>84738.426645331987</v>
      </c>
      <c r="S88" s="222">
        <f>IFERROR(INDEX('V004'!D:J,MATCH(D88,'V004'!D:D,0),7),0)</f>
        <v>1.00099</v>
      </c>
      <c r="T88" s="222">
        <f>IFERROR(INDEX('V001'!D:J,MATCH(D88,'V001'!D:D,0),7),0)</f>
        <v>0.99163333333333326</v>
      </c>
      <c r="U88" s="223">
        <f>IFERROR(S88*T_Bonds[[#This Row],[V1412]]/(T_Bonds[[#This Row],[V1412]]+T_Bonds[[#This Row],[V1430]])+T88*T_Bonds[[#This Row],[V1430]]/(T_Bonds[[#This Row],[V1412]]+T_Bonds[[#This Row],[V1430]]),0)</f>
        <v>0.99537599999999993</v>
      </c>
      <c r="V88" s="334">
        <f t="shared" si="46"/>
        <v>91673.900114127799</v>
      </c>
      <c r="W88" s="332"/>
      <c r="X88" s="299">
        <f>IFERROR(INDEX(Cbonds!C:AF,MATCH(D88,Cbonds!C:C,0),30)/100,0)</f>
        <v>1.0415000000000001</v>
      </c>
      <c r="Y88" s="336">
        <f>INDEX('Tech list'!A:C,MATCH(T_Bonds[[#This Row],[Risk CCY]],'Tech list'!A:A,0),3)</f>
        <v>1</v>
      </c>
      <c r="Z88" s="337">
        <f>T_Bonds[[#This Row],[Market price]]*T_Bonds[[#This Row],[Quantity]]</f>
        <v>1041500.0000000001</v>
      </c>
      <c r="AA88" s="337">
        <f t="shared" si="47"/>
        <v>1041500.0000000001</v>
      </c>
      <c r="AB88" s="73">
        <f ca="1">T_Bonds[[#This Row],[Market value in CCY]]+T_Bonds[[#This Row],[AI, CCY]]</f>
        <v>1078506.9444444445</v>
      </c>
      <c r="AC88" s="73">
        <f ca="1">T_Bonds[[#This Row],[Market value in USD]]+T_Bonds[[#This Row],[AI, USD]]</f>
        <v>1078506.9444444445</v>
      </c>
      <c r="AD88" s="337">
        <f t="shared" si="48"/>
        <v>995375.99999999988</v>
      </c>
      <c r="AE88" s="75">
        <f ca="1">(T_Bonds[[#This Row],[Coupon in Loc.Curr]]/T_Bonds[[#This Row],[Coupons per annum]])*((TODAY()-EDATE(T_Bonds[[#This Row],[Next coupon date]],-12/T_Bonds[[#This Row],[Coupons per annum]])))/(360/T_Bonds[[#This Row],[Coupons per annum]])</f>
        <v>37006.944444444467</v>
      </c>
      <c r="AF88" s="73">
        <f ca="1">T_Bonds[[#This Row],[AI, CCY]]*T_Bonds[[#This Row],[Exchange rate, N]]</f>
        <v>37006.944444444467</v>
      </c>
      <c r="AG88" s="313">
        <f>IFERROR(IF(INDEX(Cbonds!C:AC,MATCH(D88,Cbonds!C:C,0),27)&gt;5000,0,INDEX(Cbonds!C:AC,MATCH(D88,Cbonds!C:C,0),27)),0)</f>
        <v>464.60282975890999</v>
      </c>
      <c r="AH88" s="105">
        <v>0</v>
      </c>
      <c r="AI88" s="338"/>
      <c r="AJ88" s="339"/>
      <c r="AK88" s="1" t="s">
        <v>261</v>
      </c>
      <c r="AL88" t="s">
        <v>262</v>
      </c>
      <c r="AM88" t="s">
        <v>2476</v>
      </c>
      <c r="AN88" t="s">
        <v>1062</v>
      </c>
      <c r="AO88" s="320">
        <v>2</v>
      </c>
      <c r="AP88" s="17">
        <f>IFERROR(INDEX(Cbonds!C:H,MATCH(D88,Cbonds!C:C,0),3),0)</f>
        <v>46127</v>
      </c>
      <c r="AQ88" s="17">
        <f>EDATE(T_Bonds[[#This Row],[Next coupon date]],12/T_Bonds[[#This Row],[Coupons per annum]])</f>
        <v>46310</v>
      </c>
      <c r="AR88" s="17">
        <f>EDATE(T_Bonds[[#This Row],[Second next coupon date]],12/$AO88)</f>
        <v>46492</v>
      </c>
      <c r="AS88" s="17">
        <f>EDATE(T_Bonds[[#This Row],[Coupon date 3]],12/$AO88)</f>
        <v>46675</v>
      </c>
      <c r="AT88" s="25">
        <f>IF(
OR(
AT$1=MONTH($AP88),
AT$1=MONTH($AQ88),
AT$1=MONTH($AR88),
AT$1=MONTH($AS88)),
IF('CF USD'!$A$8="On",$L88,$K88)/T_Bonds[[#This Row],[Coupons per annum]],0)</f>
        <v>0</v>
      </c>
      <c r="AU88" s="25">
        <f>IF(
OR(
AU$1=MONTH($AP88),
AU$1=MONTH($AQ88),
AU$1=MONTH($AR88),
AU$1=MONTH($AS88)),
IF('CF USD'!$A$8="On",$L88,$K88)/T_Bonds[[#This Row],[Coupons per annum]],0)</f>
        <v>0</v>
      </c>
      <c r="AV88" s="25">
        <f>IF(
OR(
AV$1=MONTH($AP88),
AV$1=MONTH($AQ88),
AV$1=MONTH($AR88),
AV$1=MONTH($AS88)),
IF('CF USD'!$A$8="On",$L88,$K88)/T_Bonds[[#This Row],[Coupons per annum]],0)</f>
        <v>0</v>
      </c>
      <c r="AW88" s="25">
        <f>IF(
OR(
AW$1=MONTH($AP88),
AW$1=MONTH($AQ88),
AW$1=MONTH($AR88),
AW$1=MONTH($AS88)),
IF('CF USD'!$A$8="On",$L88,$K88)/T_Bonds[[#This Row],[Coupons per annum]],0)</f>
        <v>45625.000000000029</v>
      </c>
      <c r="AX88" s="25">
        <f>IF(
OR(
AX$1=MONTH($AP88),
AX$1=MONTH($AQ88),
AX$1=MONTH($AR88),
AX$1=MONTH($AS88)),
IF('CF USD'!$A$8="On",$L88,$K88)/T_Bonds[[#This Row],[Coupons per annum]],0)</f>
        <v>0</v>
      </c>
      <c r="AY88" s="25">
        <f>IF(
OR(
AY$1=MONTH($AP88),
AY$1=MONTH($AQ88),
AY$1=MONTH($AR88),
AY$1=MONTH($AS88)),
IF('CF USD'!$A$8="On",$L88,$K88)/T_Bonds[[#This Row],[Coupons per annum]],0)</f>
        <v>0</v>
      </c>
      <c r="AZ88" s="25">
        <f>IF(
OR(
AZ$1=MONTH($AP88),
AZ$1=MONTH($AQ88),
AZ$1=MONTH($AR88),
AZ$1=MONTH($AS88)),
IF('CF USD'!$A$8="On",$L88,$K88)/T_Bonds[[#This Row],[Coupons per annum]],0)</f>
        <v>0</v>
      </c>
      <c r="BA88" s="25">
        <f>IF(
OR(
BA$1=MONTH($AP88),
BA$1=MONTH($AQ88),
BA$1=MONTH($AR88),
BA$1=MONTH($AS88)),
IF('CF USD'!$A$8="On",$L88,$K88)/T_Bonds[[#This Row],[Coupons per annum]],0)</f>
        <v>0</v>
      </c>
      <c r="BB88" s="25">
        <f>IF(
OR(
BB$1=MONTH($AP88),
BB$1=MONTH($AQ88),
BB$1=MONTH($AR88),
BB$1=MONTH($AS88)),
IF('CF USD'!$A$8="On",$L88,$K88)/T_Bonds[[#This Row],[Coupons per annum]],0)</f>
        <v>0</v>
      </c>
      <c r="BC88" s="25">
        <f>IF(
OR(
BC$1=MONTH($AP88),
BC$1=MONTH($AQ88),
BC$1=MONTH($AR88),
BC$1=MONTH($AS88)),
IF('CF USD'!$A$8="On",$L88,$K88)/T_Bonds[[#This Row],[Coupons per annum]],0)</f>
        <v>45625.000000000029</v>
      </c>
      <c r="BD88" s="25">
        <f>IF(
OR(
BD$1=MONTH($AP88),
BD$1=MONTH($AQ88),
BD$1=MONTH($AR88),
BD$1=MONTH($AS88)),
IF('CF USD'!$A$8="On",$L88,$K88)/T_Bonds[[#This Row],[Coupons per annum]],0)</f>
        <v>0</v>
      </c>
      <c r="BE88" s="25">
        <f>IF(
OR(
BE$1=MONTH($AP88),
BE$1=MONTH($AQ88),
BE$1=MONTH($AR88),
BE$1=MONTH($AS88)),
IF('CF USD'!$A$8="On",$L88,$K88)/T_Bonds[[#This Row],[Coupons per annum]],0)</f>
        <v>0</v>
      </c>
      <c r="BF88">
        <f>DAY(T_Bonds[[#This Row],[Next coupon date]])</f>
        <v>15</v>
      </c>
    </row>
    <row r="89" spans="1:58" x14ac:dyDescent="0.25">
      <c r="A89" s="331" t="s">
        <v>1059</v>
      </c>
      <c r="B89" t="s">
        <v>51</v>
      </c>
      <c r="C89" s="331" t="str">
        <f>IF(T_Bonds[[#This Row],[Call date]]&lt;&gt;"","Callable","Maturity")</f>
        <v>Maturity</v>
      </c>
      <c r="D89" s="331" t="s">
        <v>1060</v>
      </c>
      <c r="E89" s="1" t="s">
        <v>18</v>
      </c>
      <c r="F89" s="96">
        <f>IFERROR(INDEX('V004'!D:E,MATCH(D89,'V004'!D:D,0),2),0)</f>
        <v>200000</v>
      </c>
      <c r="G89" s="96">
        <f>IFERROR(INDEX('V001'!D:E,MATCH(D89,'V001'!D:D,0),2),0)</f>
        <v>0</v>
      </c>
      <c r="H89" s="96">
        <f>IFERROR(INDEX(UBS!C:D,MATCH(D89,UBS!D:D,0),1),0)</f>
        <v>0</v>
      </c>
      <c r="I89" s="300">
        <f>SUM(T_Bonds[[#This Row],[V1412]:[UBS]])</f>
        <v>200000</v>
      </c>
      <c r="J89" s="333">
        <f t="shared" si="42"/>
        <v>8.3749999999999991E-2</v>
      </c>
      <c r="K89" s="334">
        <f t="shared" si="43"/>
        <v>16750</v>
      </c>
      <c r="L89" s="334">
        <f t="shared" si="44"/>
        <v>16750</v>
      </c>
      <c r="M89" s="16">
        <v>56560</v>
      </c>
      <c r="N89" s="5">
        <f>IFERROR(INDEX(Cbonds!C:H,MATCH(D89,Cbonds!C:C,0),4)/100,0)</f>
        <v>8.0468297218274004E-2</v>
      </c>
      <c r="O89" s="75">
        <f>IFERROR(INDEX(Cbonds!C:H,MATCH(D89,Cbonds!C:C,0),5),0)</f>
        <v>11.285681404949999</v>
      </c>
      <c r="P89" s="91">
        <f>T_Bonds[[#This Row],[Market price]]-T_Bonds[[#This Row],[Cost price]]</f>
        <v>-7.4000000000000732E-3</v>
      </c>
      <c r="Q89" s="91">
        <f>T_Bonds[[#This Row],[Coupon]]/T_Bonds[[#This Row],[Cost price]]</f>
        <v>7.8868066672944714E-2</v>
      </c>
      <c r="R89" s="335">
        <f t="shared" si="45"/>
        <v>16093.6594436548</v>
      </c>
      <c r="S89" s="222">
        <f>IFERROR(INDEX('V004'!D:J,MATCH(D89,'V004'!D:D,0),7),0)</f>
        <v>1.0619000000000001</v>
      </c>
      <c r="T89" s="222">
        <f>IFERROR(INDEX('V001'!D:J,MATCH(D89,'V001'!D:D,0),7),0)</f>
        <v>0</v>
      </c>
      <c r="U89" s="223">
        <f>IFERROR(S89*T_Bonds[[#This Row],[V1412]]/(T_Bonds[[#This Row],[V1412]]+T_Bonds[[#This Row],[V1430]])+T89*T_Bonds[[#This Row],[V1430]]/(T_Bonds[[#This Row],[V1412]]+T_Bonds[[#This Row],[V1430]]),0)</f>
        <v>1.0619000000000001</v>
      </c>
      <c r="V89" s="334">
        <f t="shared" si="46"/>
        <v>15773.613334588943</v>
      </c>
      <c r="W89" s="332"/>
      <c r="X89" s="299">
        <f>IFERROR(INDEX(Cbonds!C:AF,MATCH(D89,Cbonds!C:C,0),30)/100,0)</f>
        <v>1.0545</v>
      </c>
      <c r="Y89" s="336">
        <f>INDEX('Tech list'!A:C,MATCH(T_Bonds[[#This Row],[Risk CCY]],'Tech list'!A:A,0),3)</f>
        <v>1</v>
      </c>
      <c r="Z89" s="337">
        <f>T_Bonds[[#This Row],[Market price]]*T_Bonds[[#This Row],[Quantity]]</f>
        <v>210900</v>
      </c>
      <c r="AA89" s="337">
        <f t="shared" si="47"/>
        <v>210900</v>
      </c>
      <c r="AB89" s="73">
        <f ca="1">T_Bonds[[#This Row],[Market value in CCY]]+T_Bonds[[#This Row],[AI, CCY]]</f>
        <v>216622.91666666666</v>
      </c>
      <c r="AC89" s="73">
        <f ca="1">T_Bonds[[#This Row],[Market value in USD]]+T_Bonds[[#This Row],[AI, USD]]</f>
        <v>216622.91666666666</v>
      </c>
      <c r="AD89" s="337">
        <f t="shared" si="48"/>
        <v>212380</v>
      </c>
      <c r="AE89" s="75">
        <f ca="1">(T_Bonds[[#This Row],[Coupon in Loc.Curr]]/T_Bonds[[#This Row],[Coupons per annum]])*((TODAY()-EDATE(T_Bonds[[#This Row],[Next coupon date]],-12/T_Bonds[[#This Row],[Coupons per annum]])))/(360/T_Bonds[[#This Row],[Coupons per annum]])</f>
        <v>5722.916666666667</v>
      </c>
      <c r="AF89" s="73">
        <f ca="1">T_Bonds[[#This Row],[AI, CCY]]*T_Bonds[[#This Row],[Exchange rate, N]]</f>
        <v>5722.916666666667</v>
      </c>
      <c r="AG89" s="313">
        <f>IFERROR(IF(INDEX(Cbonds!C:AC,MATCH(D89,Cbonds!C:C,0),27)&gt;5000,0,INDEX(Cbonds!C:AC,MATCH(D89,Cbonds!C:C,0),27)),0)</f>
        <v>361.43082158892003</v>
      </c>
      <c r="AH89" s="105">
        <v>45</v>
      </c>
      <c r="AI89" s="338"/>
      <c r="AJ89" s="339"/>
      <c r="AK89" t="s">
        <v>280</v>
      </c>
      <c r="AL89" t="s">
        <v>270</v>
      </c>
      <c r="AM89" t="s">
        <v>2476</v>
      </c>
      <c r="AN89" t="s">
        <v>270</v>
      </c>
      <c r="AO89" s="320">
        <v>2</v>
      </c>
      <c r="AP89" s="17">
        <f>IFERROR(INDEX(Cbonds!C:H,MATCH(D89,Cbonds!C:C,0),3),0)</f>
        <v>46149</v>
      </c>
      <c r="AQ89" s="17">
        <f>EDATE(T_Bonds[[#This Row],[Next coupon date]],12/T_Bonds[[#This Row],[Coupons per annum]])</f>
        <v>46333</v>
      </c>
      <c r="AR89" s="17">
        <f>EDATE(T_Bonds[[#This Row],[Second next coupon date]],12/$AO89)</f>
        <v>46514</v>
      </c>
      <c r="AS89" s="17">
        <f>EDATE(T_Bonds[[#This Row],[Coupon date 3]],12/$AO89)</f>
        <v>46698</v>
      </c>
      <c r="AT89" s="25">
        <f>IF(
OR(
AT$1=MONTH($AP89),
AT$1=MONTH($AQ89),
AT$1=MONTH($AR89),
AT$1=MONTH($AS89)),
IF('CF USD'!$A$8="On",$L89,$K89)/T_Bonds[[#This Row],[Coupons per annum]],0)</f>
        <v>0</v>
      </c>
      <c r="AU89" s="25">
        <f>IF(
OR(
AU$1=MONTH($AP89),
AU$1=MONTH($AQ89),
AU$1=MONTH($AR89),
AU$1=MONTH($AS89)),
IF('CF USD'!$A$8="On",$L89,$K89)/T_Bonds[[#This Row],[Coupons per annum]],0)</f>
        <v>0</v>
      </c>
      <c r="AV89" s="25">
        <f>IF(
OR(
AV$1=MONTH($AP89),
AV$1=MONTH($AQ89),
AV$1=MONTH($AR89),
AV$1=MONTH($AS89)),
IF('CF USD'!$A$8="On",$L89,$K89)/T_Bonds[[#This Row],[Coupons per annum]],0)</f>
        <v>0</v>
      </c>
      <c r="AW89" s="25">
        <f>IF(
OR(
AW$1=MONTH($AP89),
AW$1=MONTH($AQ89),
AW$1=MONTH($AR89),
AW$1=MONTH($AS89)),
IF('CF USD'!$A$8="On",$L89,$K89)/T_Bonds[[#This Row],[Coupons per annum]],0)</f>
        <v>0</v>
      </c>
      <c r="AX89" s="25">
        <f>IF(
OR(
AX$1=MONTH($AP89),
AX$1=MONTH($AQ89),
AX$1=MONTH($AR89),
AX$1=MONTH($AS89)),
IF('CF USD'!$A$8="On",$L89,$K89)/T_Bonds[[#This Row],[Coupons per annum]],0)</f>
        <v>8375</v>
      </c>
      <c r="AY89" s="25">
        <f>IF(
OR(
AY$1=MONTH($AP89),
AY$1=MONTH($AQ89),
AY$1=MONTH($AR89),
AY$1=MONTH($AS89)),
IF('CF USD'!$A$8="On",$L89,$K89)/T_Bonds[[#This Row],[Coupons per annum]],0)</f>
        <v>0</v>
      </c>
      <c r="AZ89" s="25">
        <f>IF(
OR(
AZ$1=MONTH($AP89),
AZ$1=MONTH($AQ89),
AZ$1=MONTH($AR89),
AZ$1=MONTH($AS89)),
IF('CF USD'!$A$8="On",$L89,$K89)/T_Bonds[[#This Row],[Coupons per annum]],0)</f>
        <v>0</v>
      </c>
      <c r="BA89" s="25">
        <f>IF(
OR(
BA$1=MONTH($AP89),
BA$1=MONTH($AQ89),
BA$1=MONTH($AR89),
BA$1=MONTH($AS89)),
IF('CF USD'!$A$8="On",$L89,$K89)/T_Bonds[[#This Row],[Coupons per annum]],0)</f>
        <v>0</v>
      </c>
      <c r="BB89" s="25">
        <f>IF(
OR(
BB$1=MONTH($AP89),
BB$1=MONTH($AQ89),
BB$1=MONTH($AR89),
BB$1=MONTH($AS89)),
IF('CF USD'!$A$8="On",$L89,$K89)/T_Bonds[[#This Row],[Coupons per annum]],0)</f>
        <v>0</v>
      </c>
      <c r="BC89" s="25">
        <f>IF(
OR(
BC$1=MONTH($AP89),
BC$1=MONTH($AQ89),
BC$1=MONTH($AR89),
BC$1=MONTH($AS89)),
IF('CF USD'!$A$8="On",$L89,$K89)/T_Bonds[[#This Row],[Coupons per annum]],0)</f>
        <v>0</v>
      </c>
      <c r="BD89" s="25">
        <f>IF(
OR(
BD$1=MONTH($AP89),
BD$1=MONTH($AQ89),
BD$1=MONTH($AR89),
BD$1=MONTH($AS89)),
IF('CF USD'!$A$8="On",$L89,$K89)/T_Bonds[[#This Row],[Coupons per annum]],0)</f>
        <v>8375</v>
      </c>
      <c r="BE89" s="25">
        <f>IF(
OR(
BE$1=MONTH($AP89),
BE$1=MONTH($AQ89),
BE$1=MONTH($AR89),
BE$1=MONTH($AS89)),
IF('CF USD'!$A$8="On",$L89,$K89)/T_Bonds[[#This Row],[Coupons per annum]],0)</f>
        <v>0</v>
      </c>
      <c r="BF89">
        <f>DAY(T_Bonds[[#This Row],[Next coupon date]])</f>
        <v>7</v>
      </c>
    </row>
    <row r="90" spans="1:58" x14ac:dyDescent="0.25">
      <c r="A90" s="331" t="s">
        <v>1067</v>
      </c>
      <c r="B90" t="s">
        <v>51</v>
      </c>
      <c r="C90" s="331" t="str">
        <f>IF(T_Bonds[[#This Row],[Call date]]&lt;&gt;"","Callable","Maturity")</f>
        <v>Maturity</v>
      </c>
      <c r="D90" s="331" t="s">
        <v>1068</v>
      </c>
      <c r="E90" s="331" t="s">
        <v>458</v>
      </c>
      <c r="F90" s="96">
        <f>IFERROR(INDEX('V004'!D:E,MATCH(D90,'V004'!D:D,0),2),0)</f>
        <v>0</v>
      </c>
      <c r="G90" s="96">
        <f>IFERROR(INDEX('V001'!D:E,MATCH(D90,'V001'!D:D,0),2),0)</f>
        <v>1000000</v>
      </c>
      <c r="H90" s="96">
        <f>IFERROR(INDEX(UBS!C:D,MATCH(D90,UBS!D:D,0),1),0)</f>
        <v>0</v>
      </c>
      <c r="I90" s="300">
        <f>SUM(T_Bonds[[#This Row],[V1412]:[UBS]])</f>
        <v>1000000</v>
      </c>
      <c r="J90" s="333">
        <f t="shared" si="42"/>
        <v>0.10000000000000009</v>
      </c>
      <c r="K90" s="334">
        <f t="shared" si="43"/>
        <v>100000.00000000009</v>
      </c>
      <c r="L90" s="334">
        <f t="shared" ca="1" si="44"/>
        <v>19200.000000000018</v>
      </c>
      <c r="M90" s="348">
        <v>47408</v>
      </c>
      <c r="N90" s="5">
        <f>IFERROR(INDEX(Cbonds!C:H,MATCH(D90,Cbonds!C:C,0),4)/100,0)</f>
        <v>0.11777039622202</v>
      </c>
      <c r="O90" s="75">
        <f>IFERROR(INDEX(Cbonds!C:H,MATCH(D90,Cbonds!C:C,0),5),0)</f>
        <v>3.1888789912819</v>
      </c>
      <c r="P90" s="91">
        <f>T_Bonds[[#This Row],[Market price]]-T_Bonds[[#This Row],[Cost price]]</f>
        <v>1.3900000000000023E-2</v>
      </c>
      <c r="Q90" s="91">
        <f>T_Bonds[[#This Row],[Coupon]]/T_Bonds[[#This Row],[Cost price]]</f>
        <v>0.10700909577314081</v>
      </c>
      <c r="R90" s="335">
        <f t="shared" si="45"/>
        <v>117770.39622202</v>
      </c>
      <c r="S90" s="222">
        <f>IFERROR(INDEX('V004'!D:J,MATCH(D90,'V004'!D:D,0),7),0)</f>
        <v>0</v>
      </c>
      <c r="T90" s="222">
        <f>IFERROR(INDEX('V001'!D:J,MATCH(D90,'V001'!D:D,0),7),0)</f>
        <v>0.9345</v>
      </c>
      <c r="U90" s="223">
        <f>IFERROR(S90*T_Bonds[[#This Row],[V1412]]/(T_Bonds[[#This Row],[V1412]]+T_Bonds[[#This Row],[V1430]])+T90*T_Bonds[[#This Row],[V1430]]/(T_Bonds[[#This Row],[V1412]]+T_Bonds[[#This Row],[V1430]]),0)</f>
        <v>0.9345</v>
      </c>
      <c r="V90" s="334">
        <f t="shared" si="46"/>
        <v>107009.09577314081</v>
      </c>
      <c r="W90" s="332"/>
      <c r="X90" s="299">
        <f>IFERROR(INDEX(Cbonds!C:AF,MATCH(D90,Cbonds!C:C,0),30)/100,0)</f>
        <v>0.94840000000000002</v>
      </c>
      <c r="Y90" s="336">
        <f ca="1">INDEX('Tech list'!A:C,MATCH(T_Bonds[[#This Row],[Risk CCY]],'Tech list'!A:A,0),3)</f>
        <v>0.192</v>
      </c>
      <c r="Z90" s="337">
        <f>T_Bonds[[#This Row],[Market price]]*T_Bonds[[#This Row],[Quantity]]</f>
        <v>948400</v>
      </c>
      <c r="AA90" s="337">
        <f t="shared" ca="1" si="47"/>
        <v>182092.79999999999</v>
      </c>
      <c r="AB90" s="73">
        <f ca="1">T_Bonds[[#This Row],[Market value in CCY]]+T_Bonds[[#This Row],[AI, CCY]]</f>
        <v>988400</v>
      </c>
      <c r="AC90" s="73">
        <f ca="1">T_Bonds[[#This Row],[Market value in USD]]+T_Bonds[[#This Row],[AI, USD]]</f>
        <v>189772.79999999999</v>
      </c>
      <c r="AD90" s="337">
        <f t="shared" si="48"/>
        <v>934500</v>
      </c>
      <c r="AE90" s="337">
        <f ca="1">T_Bonds[[#This Row],[Coupon in Loc.Curr]]*(TODAY()-EDATE(T_Bonds[[#This Row],[Next coupon date]],-12/T_Bonds[[#This Row],[Coupons per annum]]))/(T_Bonds[[#This Row],[Coupons per annum]]*360)</f>
        <v>40000.000000000036</v>
      </c>
      <c r="AF90" s="337">
        <f ca="1">T_Bonds[[#This Row],[AI, CCY]]*T_Bonds[[#This Row],[Exchange rate, N]]</f>
        <v>7680.0000000000073</v>
      </c>
      <c r="AG90" s="313">
        <f>IFERROR(IF(INDEX(Cbonds!C:AC,MATCH(D90,Cbonds!C:C,0),27)&gt;5000,0,INDEX(Cbonds!C:AC,MATCH(D90,Cbonds!C:C,0),27)),0)</f>
        <v>0</v>
      </c>
      <c r="AH90" s="105">
        <v>90</v>
      </c>
      <c r="AI90" s="338"/>
      <c r="AJ90" s="339"/>
      <c r="AK90" s="349" t="s">
        <v>312</v>
      </c>
      <c r="AL90" s="350" t="s">
        <v>283</v>
      </c>
      <c r="AM90" t="s">
        <v>2475</v>
      </c>
      <c r="AN90" s="349" t="s">
        <v>468</v>
      </c>
      <c r="AO90" s="320">
        <v>1</v>
      </c>
      <c r="AP90" s="17">
        <f>IFERROR(INDEX(Cbonds!C:H,MATCH(D90,Cbonds!C:C,0),3),0)</f>
        <v>46312</v>
      </c>
      <c r="AQ90" s="17">
        <f>EDATE(T_Bonds[[#This Row],[Next coupon date]],12/T_Bonds[[#This Row],[Coupons per annum]])</f>
        <v>46677</v>
      </c>
      <c r="AR90" s="17">
        <f>EDATE(T_Bonds[[#This Row],[Second next coupon date]],12/$AO90)</f>
        <v>47043</v>
      </c>
      <c r="AS90" s="17">
        <f>EDATE(T_Bonds[[#This Row],[Coupon date 3]],12/$AO90)</f>
        <v>47408</v>
      </c>
      <c r="AT90" s="25">
        <f>IF(
OR(
AT$1=MONTH($AP90),
AT$1=MONTH($AQ90),
AT$1=MONTH($AR90),
AT$1=MONTH($AS90)),
IF('CF USD'!$A$8="On",$L90,$K90)/T_Bonds[[#This Row],[Coupons per annum]],0)</f>
        <v>0</v>
      </c>
      <c r="AU90" s="25">
        <f>IF(
OR(
AU$1=MONTH($AP90),
AU$1=MONTH($AQ90),
AU$1=MONTH($AR90),
AU$1=MONTH($AS90)),
IF('CF USD'!$A$8="On",$L90,$K90)/T_Bonds[[#This Row],[Coupons per annum]],0)</f>
        <v>0</v>
      </c>
      <c r="AV90" s="25">
        <f>IF(
OR(
AV$1=MONTH($AP90),
AV$1=MONTH($AQ90),
AV$1=MONTH($AR90),
AV$1=MONTH($AS90)),
IF('CF USD'!$A$8="On",$L90,$K90)/T_Bonds[[#This Row],[Coupons per annum]],0)</f>
        <v>0</v>
      </c>
      <c r="AW90" s="25">
        <f>IF(
OR(
AW$1=MONTH($AP90),
AW$1=MONTH($AQ90),
AW$1=MONTH($AR90),
AW$1=MONTH($AS90)),
IF('CF USD'!$A$8="On",$L90,$K90)/T_Bonds[[#This Row],[Coupons per annum]],0)</f>
        <v>0</v>
      </c>
      <c r="AX90" s="25">
        <f>IF(
OR(
AX$1=MONTH($AP90),
AX$1=MONTH($AQ90),
AX$1=MONTH($AR90),
AX$1=MONTH($AS90)),
IF('CF USD'!$A$8="On",$L90,$K90)/T_Bonds[[#This Row],[Coupons per annum]],0)</f>
        <v>0</v>
      </c>
      <c r="AY90" s="25">
        <f>IF(
OR(
AY$1=MONTH($AP90),
AY$1=MONTH($AQ90),
AY$1=MONTH($AR90),
AY$1=MONTH($AS90)),
IF('CF USD'!$A$8="On",$L90,$K90)/T_Bonds[[#This Row],[Coupons per annum]],0)</f>
        <v>0</v>
      </c>
      <c r="AZ90" s="25">
        <f>IF(
OR(
AZ$1=MONTH($AP90),
AZ$1=MONTH($AQ90),
AZ$1=MONTH($AR90),
AZ$1=MONTH($AS90)),
IF('CF USD'!$A$8="On",$L90,$K90)/T_Bonds[[#This Row],[Coupons per annum]],0)</f>
        <v>0</v>
      </c>
      <c r="BA90" s="25">
        <f>IF(
OR(
BA$1=MONTH($AP90),
BA$1=MONTH($AQ90),
BA$1=MONTH($AR90),
BA$1=MONTH($AS90)),
IF('CF USD'!$A$8="On",$L90,$K90)/T_Bonds[[#This Row],[Coupons per annum]],0)</f>
        <v>0</v>
      </c>
      <c r="BB90" s="25">
        <f>IF(
OR(
BB$1=MONTH($AP90),
BB$1=MONTH($AQ90),
BB$1=MONTH($AR90),
BB$1=MONTH($AS90)),
IF('CF USD'!$A$8="On",$L90,$K90)/T_Bonds[[#This Row],[Coupons per annum]],0)</f>
        <v>0</v>
      </c>
      <c r="BC90" s="25">
        <f>IF(
OR(
BC$1=MONTH($AP90),
BC$1=MONTH($AQ90),
BC$1=MONTH($AR90),
BC$1=MONTH($AS90)),
IF('CF USD'!$A$8="On",$L90,$K90)/T_Bonds[[#This Row],[Coupons per annum]],0)</f>
        <v>100000.00000000009</v>
      </c>
      <c r="BD90" s="25">
        <f>IF(
OR(
BD$1=MONTH($AP90),
BD$1=MONTH($AQ90),
BD$1=MONTH($AR90),
BD$1=MONTH($AS90)),
IF('CF USD'!$A$8="On",$L90,$K90)/T_Bonds[[#This Row],[Coupons per annum]],0)</f>
        <v>0</v>
      </c>
      <c r="BE90" s="25">
        <f>IF(
OR(
BE$1=MONTH($AP90),
BE$1=MONTH($AQ90),
BE$1=MONTH($AR90),
BE$1=MONTH($AS90)),
IF('CF USD'!$A$8="On",$L90,$K90)/T_Bonds[[#This Row],[Coupons per annum]],0)</f>
        <v>0</v>
      </c>
      <c r="BF90">
        <f>DAY(T_Bonds[[#This Row],[Next coupon date]])</f>
        <v>17</v>
      </c>
    </row>
    <row r="91" spans="1:58" x14ac:dyDescent="0.25">
      <c r="A91" s="438" t="s">
        <v>1179</v>
      </c>
      <c r="B91" t="s">
        <v>51</v>
      </c>
      <c r="C91" s="438" t="str">
        <f>IF(T_Bonds[[#This Row],[Call date]]&lt;&gt;"","Callable","Maturity")</f>
        <v>Maturity</v>
      </c>
      <c r="D91" s="438" t="s">
        <v>1180</v>
      </c>
      <c r="E91" s="438" t="s">
        <v>18</v>
      </c>
      <c r="F91" s="96">
        <f>IFERROR(INDEX('V004'!D:E,MATCH(D91,'V004'!D:D,0),2),0)</f>
        <v>1000000</v>
      </c>
      <c r="G91" s="96">
        <f>IFERROR(INDEX('V001'!D:E,MATCH(D91,'V001'!D:D,0),2),0)</f>
        <v>0</v>
      </c>
      <c r="H91" s="96">
        <f>IFERROR(INDEX(UBS!C:D,MATCH(D91,UBS!D:D,0),1),0)</f>
        <v>0</v>
      </c>
      <c r="I91" s="300">
        <f>SUM(T_Bonds[[#This Row],[V1412]:[UBS]])</f>
        <v>1000000</v>
      </c>
      <c r="J91" s="440">
        <f t="shared" si="42"/>
        <v>8.2500000000000018E-2</v>
      </c>
      <c r="K91" s="441">
        <f t="shared" si="43"/>
        <v>82500.000000000015</v>
      </c>
      <c r="L91" s="441">
        <f t="shared" si="44"/>
        <v>82500.000000000015</v>
      </c>
      <c r="M91" s="348">
        <v>60569</v>
      </c>
      <c r="N91" s="5">
        <f>IFERROR(INDEX(Cbonds!C:H,MATCH(D91,Cbonds!C:C,0),4)/100,0)</f>
        <v>9.6358257503962999E-2</v>
      </c>
      <c r="O91" s="75">
        <f>IFERROR(INDEX(Cbonds!C:H,MATCH(D91,Cbonds!C:C,0),5),0)</f>
        <v>6.4185868250375</v>
      </c>
      <c r="P91" s="91">
        <f>T_Bonds[[#This Row],[Market price]]-T_Bonds[[#This Row],[Cost price]]</f>
        <v>-4.4846000000000052E-2</v>
      </c>
      <c r="Q91" s="91">
        <f>T_Bonds[[#This Row],[Coupon]]/T_Bonds[[#This Row],[Cost price]]</f>
        <v>8.482017095633973E-2</v>
      </c>
      <c r="R91" s="442">
        <f t="shared" si="45"/>
        <v>96358.257503963003</v>
      </c>
      <c r="S91" s="222">
        <f>IFERROR(INDEX('V004'!D:J,MATCH(D91,'V004'!D:D,0),7),0)</f>
        <v>0.97264600000000001</v>
      </c>
      <c r="T91" s="222">
        <f>IFERROR(INDEX('V001'!D:J,MATCH(D91,'V001'!D:D,0),7),0)</f>
        <v>0</v>
      </c>
      <c r="U91" s="223">
        <f>IFERROR(S91*T_Bonds[[#This Row],[V1412]]/(T_Bonds[[#This Row],[V1412]]+T_Bonds[[#This Row],[V1430]])+T91*T_Bonds[[#This Row],[V1430]]/(T_Bonds[[#This Row],[V1412]]+T_Bonds[[#This Row],[V1430]]),0)</f>
        <v>0.97264600000000001</v>
      </c>
      <c r="V91" s="441">
        <f t="shared" si="46"/>
        <v>84820.170956339731</v>
      </c>
      <c r="W91" s="439"/>
      <c r="X91" s="299">
        <f>IFERROR(INDEX(Cbonds!C:AF,MATCH(D91,Cbonds!C:C,0),30)/100,0)</f>
        <v>0.92779999999999996</v>
      </c>
      <c r="Y91" s="443">
        <f>INDEX('Tech list'!A:C,MATCH(T_Bonds[[#This Row],[Risk CCY]],'Tech list'!A:A,0),3)</f>
        <v>1</v>
      </c>
      <c r="Z91" s="444">
        <f>T_Bonds[[#This Row],[Market price]]*T_Bonds[[#This Row],[Quantity]]</f>
        <v>927800</v>
      </c>
      <c r="AA91" s="444">
        <f t="shared" si="47"/>
        <v>927800</v>
      </c>
      <c r="AB91" s="444">
        <f ca="1">T_Bonds[[#This Row],[Market value in CCY]]+T_Bonds[[#This Row],[AI, CCY]]</f>
        <v>942925</v>
      </c>
      <c r="AC91" s="444">
        <f ca="1">T_Bonds[[#This Row],[Market value in USD]]+T_Bonds[[#This Row],[AI, USD]]</f>
        <v>942925</v>
      </c>
      <c r="AD91" s="444">
        <f t="shared" si="48"/>
        <v>972646</v>
      </c>
      <c r="AE91" s="444">
        <f ca="1">T_Bonds[[#This Row],[Coupon in Loc.Curr]]*(TODAY()-EDATE(T_Bonds[[#This Row],[Next coupon date]],-12/T_Bonds[[#This Row],[Coupons per annum]]))/(T_Bonds[[#This Row],[Coupons per annum]]*360)</f>
        <v>15125.000000000002</v>
      </c>
      <c r="AF91" s="444">
        <f ca="1">T_Bonds[[#This Row],[AI, CCY]]*T_Bonds[[#This Row],[Exchange rate, N]]</f>
        <v>15125.000000000002</v>
      </c>
      <c r="AG91" s="313">
        <f>IFERROR(IF(INDEX(Cbonds!C:AC,MATCH(D91,Cbonds!C:C,0),27)&gt;5000,0,INDEX(Cbonds!C:AC,MATCH(D91,Cbonds!C:C,0),27)),0)</f>
        <v>565.83572646794005</v>
      </c>
      <c r="AH91" s="105">
        <v>0</v>
      </c>
      <c r="AI91" s="445"/>
      <c r="AJ91" s="446"/>
      <c r="AK91" s="349" t="s">
        <v>312</v>
      </c>
      <c r="AL91" t="s">
        <v>287</v>
      </c>
      <c r="AM91" t="s">
        <v>2475</v>
      </c>
      <c r="AN91" t="s">
        <v>729</v>
      </c>
      <c r="AO91" s="320">
        <v>2</v>
      </c>
      <c r="AP91" s="17">
        <f>IFERROR(INDEX(Cbonds!C:H,MATCH(D91,Cbonds!C:C,0),3),0)</f>
        <v>46141</v>
      </c>
      <c r="AQ91" s="17">
        <f>EDATE(T_Bonds[[#This Row],[Next coupon date]],12/T_Bonds[[#This Row],[Coupons per annum]])</f>
        <v>46324</v>
      </c>
      <c r="AR91" s="17">
        <f>EDATE(T_Bonds[[#This Row],[Second next coupon date]],12/$AO91)</f>
        <v>46506</v>
      </c>
      <c r="AS91" s="17">
        <f>EDATE(T_Bonds[[#This Row],[Coupon date 3]],12/$AO91)</f>
        <v>46689</v>
      </c>
      <c r="AT91" s="25">
        <f>IF(
OR(
AT$1=MONTH($AP91),
AT$1=MONTH($AQ91),
AT$1=MONTH($AR91),
AT$1=MONTH($AS91)),
IF('CF USD'!$A$8="On",$L91,$K91)/T_Bonds[[#This Row],[Coupons per annum]],0)</f>
        <v>0</v>
      </c>
      <c r="AU91" s="25">
        <f>IF(
OR(
AU$1=MONTH($AP91),
AU$1=MONTH($AQ91),
AU$1=MONTH($AR91),
AU$1=MONTH($AS91)),
IF('CF USD'!$A$8="On",$L91,$K91)/T_Bonds[[#This Row],[Coupons per annum]],0)</f>
        <v>0</v>
      </c>
      <c r="AV91" s="25">
        <f>IF(
OR(
AV$1=MONTH($AP91),
AV$1=MONTH($AQ91),
AV$1=MONTH($AR91),
AV$1=MONTH($AS91)),
IF('CF USD'!$A$8="On",$L91,$K91)/T_Bonds[[#This Row],[Coupons per annum]],0)</f>
        <v>0</v>
      </c>
      <c r="AW91" s="25">
        <f>IF(
OR(
AW$1=MONTH($AP91),
AW$1=MONTH($AQ91),
AW$1=MONTH($AR91),
AW$1=MONTH($AS91)),
IF('CF USD'!$A$8="On",$L91,$K91)/T_Bonds[[#This Row],[Coupons per annum]],0)</f>
        <v>41250.000000000007</v>
      </c>
      <c r="AX91" s="25">
        <f>IF(
OR(
AX$1=MONTH($AP91),
AX$1=MONTH($AQ91),
AX$1=MONTH($AR91),
AX$1=MONTH($AS91)),
IF('CF USD'!$A$8="On",$L91,$K91)/T_Bonds[[#This Row],[Coupons per annum]],0)</f>
        <v>0</v>
      </c>
      <c r="AY91" s="25">
        <f>IF(
OR(
AY$1=MONTH($AP91),
AY$1=MONTH($AQ91),
AY$1=MONTH($AR91),
AY$1=MONTH($AS91)),
IF('CF USD'!$A$8="On",$L91,$K91)/T_Bonds[[#This Row],[Coupons per annum]],0)</f>
        <v>0</v>
      </c>
      <c r="AZ91" s="25">
        <f>IF(
OR(
AZ$1=MONTH($AP91),
AZ$1=MONTH($AQ91),
AZ$1=MONTH($AR91),
AZ$1=MONTH($AS91)),
IF('CF USD'!$A$8="On",$L91,$K91)/T_Bonds[[#This Row],[Coupons per annum]],0)</f>
        <v>0</v>
      </c>
      <c r="BA91" s="25">
        <f>IF(
OR(
BA$1=MONTH($AP91),
BA$1=MONTH($AQ91),
BA$1=MONTH($AR91),
BA$1=MONTH($AS91)),
IF('CF USD'!$A$8="On",$L91,$K91)/T_Bonds[[#This Row],[Coupons per annum]],0)</f>
        <v>0</v>
      </c>
      <c r="BB91" s="25">
        <f>IF(
OR(
BB$1=MONTH($AP91),
BB$1=MONTH($AQ91),
BB$1=MONTH($AR91),
BB$1=MONTH($AS91)),
IF('CF USD'!$A$8="On",$L91,$K91)/T_Bonds[[#This Row],[Coupons per annum]],0)</f>
        <v>0</v>
      </c>
      <c r="BC91" s="25">
        <f>IF(
OR(
BC$1=MONTH($AP91),
BC$1=MONTH($AQ91),
BC$1=MONTH($AR91),
BC$1=MONTH($AS91)),
IF('CF USD'!$A$8="On",$L91,$K91)/T_Bonds[[#This Row],[Coupons per annum]],0)</f>
        <v>41250.000000000007</v>
      </c>
      <c r="BD91" s="25">
        <f>IF(
OR(
BD$1=MONTH($AP91),
BD$1=MONTH($AQ91),
BD$1=MONTH($AR91),
BD$1=MONTH($AS91)),
IF('CF USD'!$A$8="On",$L91,$K91)/T_Bonds[[#This Row],[Coupons per annum]],0)</f>
        <v>0</v>
      </c>
      <c r="BE91" s="25">
        <f>IF(
OR(
BE$1=MONTH($AP91),
BE$1=MONTH($AQ91),
BE$1=MONTH($AR91),
BE$1=MONTH($AS91)),
IF('CF USD'!$A$8="On",$L91,$K91)/T_Bonds[[#This Row],[Coupons per annum]],0)</f>
        <v>0</v>
      </c>
      <c r="BF91">
        <f>DAY(T_Bonds[[#This Row],[Next coupon date]])</f>
        <v>29</v>
      </c>
    </row>
    <row r="92" spans="1:58" x14ac:dyDescent="0.25">
      <c r="A92" s="1" t="s">
        <v>2336</v>
      </c>
      <c r="B92" s="1" t="s">
        <v>51</v>
      </c>
      <c r="C92" s="438" t="str">
        <f>IF(T_Bonds[[#This Row],[Call date]]&lt;&gt;"","Callable","Maturity")</f>
        <v>Callable</v>
      </c>
      <c r="D92" s="1" t="s">
        <v>2337</v>
      </c>
      <c r="E92" s="1" t="s">
        <v>18</v>
      </c>
      <c r="F92" s="96">
        <f>IFERROR(INDEX('V004'!D:E,MATCH(D92,'V004'!D:D,0),2),0)</f>
        <v>400000</v>
      </c>
      <c r="G92" s="96">
        <f>IFERROR(INDEX('V001'!D:E,MATCH(D92,'V001'!D:D,0),2),0)</f>
        <v>0</v>
      </c>
      <c r="H92" s="96">
        <f>IFERROR(INDEX(UBS!C:D,MATCH(D92,UBS!D:D,0),1),0)</f>
        <v>0</v>
      </c>
      <c r="I92" s="300">
        <f>SUM(T_Bonds[[#This Row],[V1412]:[UBS]])</f>
        <v>400000</v>
      </c>
      <c r="J92" s="98">
        <f t="shared" ref="J92:J97" si="49">LEFT(A92,FIND("%",A92,1))+1-1</f>
        <v>7.0000000000000062E-2</v>
      </c>
      <c r="K92" s="100">
        <f t="shared" ref="K92:K97" si="50">J92*I92</f>
        <v>28000.000000000025</v>
      </c>
      <c r="L92" s="100">
        <f t="shared" si="44"/>
        <v>28000.000000000025</v>
      </c>
      <c r="M92" s="16"/>
      <c r="N92" s="5">
        <f>IFERROR(INDEX(Cbonds!C:H,MATCH(D92,Cbonds!C:C,0),4)/100,0)</f>
        <v>6.9648206800239004E-2</v>
      </c>
      <c r="O92" s="75">
        <f>IFERROR(INDEX(Cbonds!C:H,MATCH(D92,Cbonds!C:C,0),5),0)</f>
        <v>7.2127374521896002</v>
      </c>
      <c r="P92" s="91">
        <f>T_Bonds[[#This Row],[Market price]]-T_Bonds[[#This Row],[Cost price]]</f>
        <v>5.296424999999827E-3</v>
      </c>
      <c r="Q92" s="91">
        <f>T_Bonds[[#This Row],[Coupon]]/T_Bonds[[#This Row],[Cost price]]</f>
        <v>6.9616858398539316E-2</v>
      </c>
      <c r="R92" s="109">
        <f t="shared" si="45"/>
        <v>27859.282720095602</v>
      </c>
      <c r="S92" s="655">
        <f>IFERROR(VLOOKUP(D92,'V004'!$D:$J,7,0),0)</f>
        <v>1.0055035750000001</v>
      </c>
      <c r="T92" s="222">
        <f>IFERROR(VLOOKUP(D92,'V001'!$D:$J,7,0),0)</f>
        <v>0</v>
      </c>
      <c r="U92" s="223">
        <f>IFERROR(S92*T_Bonds[[#This Row],[V1412]]/(T_Bonds[[#This Row],[V1412]]+T_Bonds[[#This Row],[V1430]])+T92*T_Bonds[[#This Row],[V1430]]/(T_Bonds[[#This Row],[V1412]]+T_Bonds[[#This Row],[V1430]]),0)</f>
        <v>1.0055035750000001</v>
      </c>
      <c r="V92" s="100">
        <f t="shared" si="46"/>
        <v>27846.743359415726</v>
      </c>
      <c r="W92" s="4"/>
      <c r="X92" s="299">
        <f>IFERROR(INDEX(Cbonds!C:AF,MATCH(D92,Cbonds!C:C,0),30)/100,0)</f>
        <v>1.0107999999999999</v>
      </c>
      <c r="Y92" s="4">
        <f>INDEX('Tech list'!A:C,MATCH(T_Bonds[[#This Row],[Risk CCY]],'Tech list'!A:A,0),3)</f>
        <v>1</v>
      </c>
      <c r="Z92" s="105">
        <f>T_Bonds[[#This Row],[Market price]]*T_Bonds[[#This Row],[Quantity]]</f>
        <v>404319.99999999994</v>
      </c>
      <c r="AA92" s="105">
        <f t="shared" si="47"/>
        <v>404319.99999999994</v>
      </c>
      <c r="AB92" s="105">
        <f ca="1">T_Bonds[[#This Row],[Market value in CCY]]+T_Bonds[[#This Row],[AI, CCY]]</f>
        <v>406692.22222222219</v>
      </c>
      <c r="AC92" s="105">
        <f ca="1">T_Bonds[[#This Row],[Market value in USD]]+T_Bonds[[#This Row],[AI, USD]]</f>
        <v>406692.22222222219</v>
      </c>
      <c r="AD92" s="105">
        <f t="shared" si="48"/>
        <v>402201.43000000005</v>
      </c>
      <c r="AE92" s="105">
        <f ca="1">T_Bonds[[#This Row],[Coupon in Loc.Curr]]*(TODAY()-EDATE(T_Bonds[[#This Row],[Next coupon date]],-12/T_Bonds[[#This Row],[Coupons per annum]]))/(T_Bonds[[#This Row],[Coupons per annum]]*360)</f>
        <v>2372.2222222222244</v>
      </c>
      <c r="AF92" s="105">
        <f ca="1">T_Bonds[[#This Row],[AI, CCY]]*T_Bonds[[#This Row],[Exchange rate, N]]</f>
        <v>2372.2222222222244</v>
      </c>
      <c r="AG92" s="313">
        <f>IFERROR(IF(INDEX(Cbonds!C:AC,MATCH(D92,Cbonds!C:C,0),27)&gt;5000,0,INDEX(Cbonds!C:AC,MATCH(D92,Cbonds!C:C,0),27)),0)</f>
        <v>290.46528677749001</v>
      </c>
      <c r="AH92" s="105">
        <v>50</v>
      </c>
      <c r="AI92" s="212">
        <v>49682</v>
      </c>
      <c r="AJ92" s="74">
        <v>6.93E-2</v>
      </c>
      <c r="AK92" t="s">
        <v>289</v>
      </c>
      <c r="AL92" t="s">
        <v>354</v>
      </c>
      <c r="AM92" t="s">
        <v>2475</v>
      </c>
      <c r="AN92" t="s">
        <v>355</v>
      </c>
      <c r="AO92" s="320">
        <v>2</v>
      </c>
      <c r="AP92" s="17">
        <v>46211</v>
      </c>
      <c r="AQ92" s="17">
        <f>EDATE(T_Bonds[[#This Row],[Next coupon date]],12/T_Bonds[[#This Row],[Coupons per annum]])</f>
        <v>46395</v>
      </c>
      <c r="AR92" s="17">
        <f>EDATE(T_Bonds[[#This Row],[Second next coupon date]],12/$AO92)</f>
        <v>46576</v>
      </c>
      <c r="AS92" s="17">
        <f>EDATE(T_Bonds[[#This Row],[Coupon date 3]],12/$AO92)</f>
        <v>46760</v>
      </c>
      <c r="AT92" s="25">
        <f>IF(
OR(
AT$1=MONTH($AP92),
AT$1=MONTH($AQ92),
AT$1=MONTH($AR92),
AT$1=MONTH($AS92)),
IF('CF USD'!$A$8="On",$L92,$K92)/T_Bonds[[#This Row],[Coupons per annum]],0)</f>
        <v>14000.000000000013</v>
      </c>
      <c r="AU92" s="25">
        <f>IF(
OR(
AU$1=MONTH($AP92),
AU$1=MONTH($AQ92),
AU$1=MONTH($AR92),
AU$1=MONTH($AS92)),
IF('CF USD'!$A$8="On",$L92,$K92)/T_Bonds[[#This Row],[Coupons per annum]],0)</f>
        <v>0</v>
      </c>
      <c r="AV92" s="25">
        <f>IF(
OR(
AV$1=MONTH($AP92),
AV$1=MONTH($AQ92),
AV$1=MONTH($AR92),
AV$1=MONTH($AS92)),
IF('CF USD'!$A$8="On",$L92,$K92)/T_Bonds[[#This Row],[Coupons per annum]],0)</f>
        <v>0</v>
      </c>
      <c r="AW92" s="25">
        <f>IF(
OR(
AW$1=MONTH($AP92),
AW$1=MONTH($AQ92),
AW$1=MONTH($AR92),
AW$1=MONTH($AS92)),
IF('CF USD'!$A$8="On",$L92,$K92)/T_Bonds[[#This Row],[Coupons per annum]],0)</f>
        <v>0</v>
      </c>
      <c r="AX92" s="25">
        <f>IF(
OR(
AX$1=MONTH($AP92),
AX$1=MONTH($AQ92),
AX$1=MONTH($AR92),
AX$1=MONTH($AS92)),
IF('CF USD'!$A$8="On",$L92,$K92)/T_Bonds[[#This Row],[Coupons per annum]],0)</f>
        <v>0</v>
      </c>
      <c r="AY92" s="25">
        <f>IF(
OR(
AY$1=MONTH($AP92),
AY$1=MONTH($AQ92),
AY$1=MONTH($AR92),
AY$1=MONTH($AS92)),
IF('CF USD'!$A$8="On",$L92,$K92)/T_Bonds[[#This Row],[Coupons per annum]],0)</f>
        <v>0</v>
      </c>
      <c r="AZ92" s="25">
        <f>IF(
OR(
AZ$1=MONTH($AP92),
AZ$1=MONTH($AQ92),
AZ$1=MONTH($AR92),
AZ$1=MONTH($AS92)),
IF('CF USD'!$A$8="On",$L92,$K92)/T_Bonds[[#This Row],[Coupons per annum]],0)</f>
        <v>14000.000000000013</v>
      </c>
      <c r="BA92" s="25">
        <f>IF(
OR(
BA$1=MONTH($AP92),
BA$1=MONTH($AQ92),
BA$1=MONTH($AR92),
BA$1=MONTH($AS92)),
IF('CF USD'!$A$8="On",$L92,$K92)/T_Bonds[[#This Row],[Coupons per annum]],0)</f>
        <v>0</v>
      </c>
      <c r="BB92" s="25">
        <f>IF(
OR(
BB$1=MONTH($AP92),
BB$1=MONTH($AQ92),
BB$1=MONTH($AR92),
BB$1=MONTH($AS92)),
IF('CF USD'!$A$8="On",$L92,$K92)/T_Bonds[[#This Row],[Coupons per annum]],0)</f>
        <v>0</v>
      </c>
      <c r="BC92" s="25">
        <f>IF(
OR(
BC$1=MONTH($AP92),
BC$1=MONTH($AQ92),
BC$1=MONTH($AR92),
BC$1=MONTH($AS92)),
IF('CF USD'!$A$8="On",$L92,$K92)/T_Bonds[[#This Row],[Coupons per annum]],0)</f>
        <v>0</v>
      </c>
      <c r="BD92" s="25">
        <f>IF(
OR(
BD$1=MONTH($AP92),
BD$1=MONTH($AQ92),
BD$1=MONTH($AR92),
BD$1=MONTH($AS92)),
IF('CF USD'!$A$8="On",$L92,$K92)/T_Bonds[[#This Row],[Coupons per annum]],0)</f>
        <v>0</v>
      </c>
      <c r="BE92" s="25">
        <f>IF(
OR(
BE$1=MONTH($AP92),
BE$1=MONTH($AQ92),
BE$1=MONTH($AR92),
BE$1=MONTH($AS92)),
IF('CF USD'!$A$8="On",$L92,$K92)/T_Bonds[[#This Row],[Coupons per annum]],0)</f>
        <v>0</v>
      </c>
      <c r="BF92">
        <f>DAY(T_Bonds[[#This Row],[Next coupon date]])</f>
        <v>8</v>
      </c>
    </row>
    <row r="93" spans="1:58" x14ac:dyDescent="0.25">
      <c r="A93" s="736" t="s">
        <v>2416</v>
      </c>
      <c r="B93" t="s">
        <v>51</v>
      </c>
      <c r="C93" s="736" t="str">
        <f>IF(T_Bonds[[#This Row],[Call date]]&lt;&gt;"","Callable","Maturity")</f>
        <v>Maturity</v>
      </c>
      <c r="D93" s="736" t="s">
        <v>2417</v>
      </c>
      <c r="E93" s="736" t="s">
        <v>18</v>
      </c>
      <c r="F93" s="96">
        <f>IFERROR(INDEX('V004'!D:E,MATCH(D93,'V004'!D:D,0),2),0)</f>
        <v>800000</v>
      </c>
      <c r="G93" s="96">
        <f>IFERROR(INDEX('V001'!D:E,MATCH(D93,'V001'!D:D,0),2),0)</f>
        <v>0</v>
      </c>
      <c r="H93" s="96">
        <f>IFERROR(INDEX(UBS!C:D,MATCH(D93,UBS!D:D,0),1),0)</f>
        <v>0</v>
      </c>
      <c r="I93" s="300">
        <f>SUM(T_Bonds[[#This Row],[V1412]:[UBS]])</f>
        <v>800000</v>
      </c>
      <c r="J93" s="743">
        <f t="shared" si="49"/>
        <v>5.875000000000008E-2</v>
      </c>
      <c r="K93" s="744">
        <f t="shared" si="50"/>
        <v>47000.000000000065</v>
      </c>
      <c r="L93" s="744">
        <f t="shared" ref="L93:L98" si="51">IF(Y93&lt;&gt;1,I93*J93*Y93,I93*J93)</f>
        <v>47000.000000000065</v>
      </c>
      <c r="M93" s="745">
        <v>53110</v>
      </c>
      <c r="N93" s="5">
        <f>IFERROR(INDEX(Cbonds!C:H,MATCH(D93,Cbonds!C:C,0),4)/100,0)</f>
        <v>9.1125846810052008E-2</v>
      </c>
      <c r="O93" s="75">
        <f>IFERROR(INDEX(Cbonds!C:H,MATCH(D93,Cbonds!C:C,0),5),0)</f>
        <v>10.124547001445</v>
      </c>
      <c r="P93" s="91">
        <f>T_Bonds[[#This Row],[Market price]]-T_Bonds[[#This Row],[Cost price]]</f>
        <v>-1.7517500000000075E-2</v>
      </c>
      <c r="Q93" s="91">
        <f>T_Bonds[[#This Row],[Coupon]]/T_Bonds[[#This Row],[Cost price]]</f>
        <v>7.7178992863406418E-2</v>
      </c>
      <c r="R93" s="746">
        <f>N93*I93</f>
        <v>72900.677448041606</v>
      </c>
      <c r="S93" s="655">
        <f>IFERROR(VLOOKUP(D93,'V004'!$D:$J,7,0),0)</f>
        <v>0.7612175000000001</v>
      </c>
      <c r="T93" s="222">
        <f>IFERROR(VLOOKUP(D93,'V001'!$D:$J,7,0),0)</f>
        <v>0</v>
      </c>
      <c r="U93" s="223">
        <f>IFERROR(S93*T_Bonds[[#This Row],[V1412]]/(T_Bonds[[#This Row],[V1412]]+T_Bonds[[#This Row],[V1430]])+T93*T_Bonds[[#This Row],[V1430]]/(T_Bonds[[#This Row],[V1412]]+T_Bonds[[#This Row],[V1430]]),0)</f>
        <v>0.7612175000000001</v>
      </c>
      <c r="V93" s="744">
        <f t="shared" ref="V93:V98" si="52">I93*J93/U93</f>
        <v>61743.194290725136</v>
      </c>
      <c r="W93" s="738"/>
      <c r="X93" s="299">
        <f>IFERROR(INDEX(Cbonds!C:AF,MATCH(D93,Cbonds!C:C,0),30)/100,0)</f>
        <v>0.74370000000000003</v>
      </c>
      <c r="Y93" s="747">
        <f>INDEX('Tech list'!A:C,MATCH(T_Bonds[[#This Row],[Risk CCY]],'Tech list'!A:A,0),3)</f>
        <v>1</v>
      </c>
      <c r="Z93" s="748">
        <f>T_Bonds[[#This Row],[Market price]]*T_Bonds[[#This Row],[Quantity]]</f>
        <v>594960</v>
      </c>
      <c r="AA93" s="748">
        <f t="shared" ref="AA93:AA98" si="53">IF(E93&lt;&gt;"USD",X93*Y93*I93,X93*I93)</f>
        <v>594960</v>
      </c>
      <c r="AB93" s="748">
        <f ca="1">T_Bonds[[#This Row],[Market value in CCY]]+T_Bonds[[#This Row],[AI, CCY]]</f>
        <v>601618.33333333337</v>
      </c>
      <c r="AC93" s="748">
        <f ca="1">T_Bonds[[#This Row],[Market value in USD]]+T_Bonds[[#This Row],[AI, USD]]</f>
        <v>601618.33333333337</v>
      </c>
      <c r="AD93" s="748">
        <f t="shared" ref="AD93:AD98" si="54">U93*I93</f>
        <v>608974.00000000012</v>
      </c>
      <c r="AE93" s="748">
        <f ca="1">T_Bonds[[#This Row],[Coupon in Loc.Curr]]*(TODAY()-EDATE(T_Bonds[[#This Row],[Next coupon date]],-12/T_Bonds[[#This Row],[Coupons per annum]]))/(T_Bonds[[#This Row],[Coupons per annum]]*360)</f>
        <v>6658.3333333333421</v>
      </c>
      <c r="AF93" s="748">
        <f ca="1">T_Bonds[[#This Row],[AI, CCY]]*T_Bonds[[#This Row],[Exchange rate, N]]</f>
        <v>6658.3333333333421</v>
      </c>
      <c r="AG93" s="313">
        <f>IFERROR(IF(INDEX(Cbonds!C:AC,MATCH(D93,Cbonds!C:C,0),27)&gt;5000,0,INDEX(Cbonds!C:AC,MATCH(D93,Cbonds!C:C,0),27)),0)</f>
        <v>477.58935267113998</v>
      </c>
      <c r="AH93" s="315"/>
      <c r="AI93" s="749"/>
      <c r="AJ93" s="750"/>
      <c r="AK93" t="s">
        <v>1504</v>
      </c>
      <c r="AL93" t="s">
        <v>270</v>
      </c>
      <c r="AM93" t="s">
        <v>2476</v>
      </c>
      <c r="AN93" t="s">
        <v>271</v>
      </c>
      <c r="AO93" s="320">
        <v>2</v>
      </c>
      <c r="AP93" s="17">
        <v>46170</v>
      </c>
      <c r="AQ93" s="17">
        <f>EDATE(T_Bonds[[#This Row],[Next coupon date]],12/T_Bonds[[#This Row],[Coupons per annum]])</f>
        <v>46354</v>
      </c>
      <c r="AR93" s="17">
        <f>EDATE(T_Bonds[[#This Row],[Second next coupon date]],12/$AO93)</f>
        <v>46535</v>
      </c>
      <c r="AS93" s="17">
        <f>EDATE(T_Bonds[[#This Row],[Coupon date 3]],12/$AO93)</f>
        <v>46719</v>
      </c>
      <c r="AT93" s="25">
        <f>IF(
OR(
AT$1=MONTH($AP93),
AT$1=MONTH($AQ93),
AT$1=MONTH($AR93),
AT$1=MONTH($AS93)),
IF('CF USD'!$A$8="On",$L93,$K93)/T_Bonds[[#This Row],[Coupons per annum]],0)</f>
        <v>0</v>
      </c>
      <c r="AU93" s="25">
        <f>IF(
OR(
AU$1=MONTH($AP93),
AU$1=MONTH($AQ93),
AU$1=MONTH($AR93),
AU$1=MONTH($AS93)),
IF('CF USD'!$A$8="On",$L93,$K93)/T_Bonds[[#This Row],[Coupons per annum]],0)</f>
        <v>0</v>
      </c>
      <c r="AV93" s="25">
        <f>IF(
OR(
AV$1=MONTH($AP93),
AV$1=MONTH($AQ93),
AV$1=MONTH($AR93),
AV$1=MONTH($AS93)),
IF('CF USD'!$A$8="On",$L93,$K93)/T_Bonds[[#This Row],[Coupons per annum]],0)</f>
        <v>0</v>
      </c>
      <c r="AW93" s="25">
        <f>IF(
OR(
AW$1=MONTH($AP93),
AW$1=MONTH($AQ93),
AW$1=MONTH($AR93),
AW$1=MONTH($AS93)),
IF('CF USD'!$A$8="On",$L93,$K93)/T_Bonds[[#This Row],[Coupons per annum]],0)</f>
        <v>0</v>
      </c>
      <c r="AX93" s="25">
        <f>IF(
OR(
AX$1=MONTH($AP93),
AX$1=MONTH($AQ93),
AX$1=MONTH($AR93),
AX$1=MONTH($AS93)),
IF('CF USD'!$A$8="On",$L93,$K93)/T_Bonds[[#This Row],[Coupons per annum]],0)</f>
        <v>23500.000000000033</v>
      </c>
      <c r="AY93" s="25">
        <f>IF(
OR(
AY$1=MONTH($AP93),
AY$1=MONTH($AQ93),
AY$1=MONTH($AR93),
AY$1=MONTH($AS93)),
IF('CF USD'!$A$8="On",$L93,$K93)/T_Bonds[[#This Row],[Coupons per annum]],0)</f>
        <v>0</v>
      </c>
      <c r="AZ93" s="25">
        <f>IF(
OR(
AZ$1=MONTH($AP93),
AZ$1=MONTH($AQ93),
AZ$1=MONTH($AR93),
AZ$1=MONTH($AS93)),
IF('CF USD'!$A$8="On",$L93,$K93)/T_Bonds[[#This Row],[Coupons per annum]],0)</f>
        <v>0</v>
      </c>
      <c r="BA93" s="25">
        <f>IF(
OR(
BA$1=MONTH($AP93),
BA$1=MONTH($AQ93),
BA$1=MONTH($AR93),
BA$1=MONTH($AS93)),
IF('CF USD'!$A$8="On",$L93,$K93)/T_Bonds[[#This Row],[Coupons per annum]],0)</f>
        <v>0</v>
      </c>
      <c r="BB93" s="25">
        <f>IF(
OR(
BB$1=MONTH($AP93),
BB$1=MONTH($AQ93),
BB$1=MONTH($AR93),
BB$1=MONTH($AS93)),
IF('CF USD'!$A$8="On",$L93,$K93)/T_Bonds[[#This Row],[Coupons per annum]],0)</f>
        <v>0</v>
      </c>
      <c r="BC93" s="25">
        <f>IF(
OR(
BC$1=MONTH($AP93),
BC$1=MONTH($AQ93),
BC$1=MONTH($AR93),
BC$1=MONTH($AS93)),
IF('CF USD'!$A$8="On",$L93,$K93)/T_Bonds[[#This Row],[Coupons per annum]],0)</f>
        <v>0</v>
      </c>
      <c r="BD93" s="25">
        <f>IF(
OR(
BD$1=MONTH($AP93),
BD$1=MONTH($AQ93),
BD$1=MONTH($AR93),
BD$1=MONTH($AS93)),
IF('CF USD'!$A$8="On",$L93,$K93)/T_Bonds[[#This Row],[Coupons per annum]],0)</f>
        <v>23500.000000000033</v>
      </c>
      <c r="BE93" s="25">
        <f>IF(
OR(
BE$1=MONTH($AP93),
BE$1=MONTH($AQ93),
BE$1=MONTH($AR93),
BE$1=MONTH($AS93)),
IF('CF USD'!$A$8="On",$L93,$K93)/T_Bonds[[#This Row],[Coupons per annum]],0)</f>
        <v>0</v>
      </c>
      <c r="BF93">
        <f>DAY(T_Bonds[[#This Row],[Next coupon date]])</f>
        <v>28</v>
      </c>
    </row>
    <row r="94" spans="1:58" x14ac:dyDescent="0.25">
      <c r="A94" s="50" t="s">
        <v>2494</v>
      </c>
      <c r="B94" s="50" t="s">
        <v>90</v>
      </c>
      <c r="C94" s="828" t="str">
        <f>IF(T_Bonds[[#This Row],[Call date]]&lt;&gt;"","Callable","Maturity")</f>
        <v>Maturity</v>
      </c>
      <c r="D94" s="50" t="s">
        <v>780</v>
      </c>
      <c r="E94" s="736" t="s">
        <v>18</v>
      </c>
      <c r="F94" s="96">
        <f>IFERROR(INDEX('V004'!D:E,MATCH(D94,'V004'!D:D,0),2),0)</f>
        <v>0</v>
      </c>
      <c r="G94" s="96">
        <f>IFERROR(INDEX('V001'!D:E,MATCH(D94,'V001'!D:D,0),2),0)</f>
        <v>0</v>
      </c>
      <c r="H94" s="96">
        <f>IFERROR(INDEX(UBS!C:D,MATCH(D94,UBS!D:D,0),1),0)</f>
        <v>0</v>
      </c>
      <c r="I94" s="827">
        <v>1000000</v>
      </c>
      <c r="J94" s="743">
        <f t="shared" si="49"/>
        <v>3.3749999999999947E-2</v>
      </c>
      <c r="K94" s="744">
        <f t="shared" si="50"/>
        <v>33749.999999999949</v>
      </c>
      <c r="L94" s="744">
        <f t="shared" si="51"/>
        <v>33749.999999999949</v>
      </c>
      <c r="M94" s="745">
        <v>54377</v>
      </c>
      <c r="N94" s="5">
        <f>IFERROR(INDEX(Cbonds!C:H,MATCH(D94,Cbonds!C:C,0),4)/100,0)</f>
        <v>4.9809547358616001E-2</v>
      </c>
      <c r="O94" s="75">
        <f>IFERROR(INDEX(Cbonds!C:H,MATCH(D94,Cbonds!C:C,0),5),0)</f>
        <v>14.995702749517999</v>
      </c>
      <c r="P94" s="91">
        <f>T_Bonds[[#This Row],[Market price]]-T_Bonds[[#This Row],[Cost price]]</f>
        <v>-5.5760000000000032E-2</v>
      </c>
      <c r="Q94" s="91">
        <f>T_Bonds[[#This Row],[Coupon]]/T_Bonds[[#This Row],[Cost price]]</f>
        <v>3.9870053160070813E-2</v>
      </c>
      <c r="R94" s="746">
        <f>N94*I94</f>
        <v>49809.547358616001</v>
      </c>
      <c r="S94" s="655">
        <f>IFERROR(VLOOKUP(D94,'V004'!$D:$J,7,0),0)</f>
        <v>0</v>
      </c>
      <c r="T94" s="222">
        <f>IFERROR(VLOOKUP(D94,'V001'!$D:$J,7,0),0)</f>
        <v>0</v>
      </c>
      <c r="U94" s="589">
        <v>0.84650000000000003</v>
      </c>
      <c r="V94" s="744">
        <f t="shared" si="52"/>
        <v>39870.05316007082</v>
      </c>
      <c r="W94" s="738"/>
      <c r="X94" s="810">
        <f>IFERROR(INDEX(Cbonds!C:AF,MATCH(D94,Cbonds!C:C,0),29)/100,0)</f>
        <v>0.79074</v>
      </c>
      <c r="Y94" s="747">
        <f>INDEX('Tech list'!A:C,MATCH(T_Bonds[[#This Row],[Risk CCY]],'Tech list'!A:A,0),3)</f>
        <v>1</v>
      </c>
      <c r="Z94" s="748">
        <f>T_Bonds[[#This Row],[Market price]]*T_Bonds[[#This Row],[Quantity]]</f>
        <v>790740</v>
      </c>
      <c r="AA94" s="748">
        <f t="shared" si="53"/>
        <v>790740</v>
      </c>
      <c r="AB94" s="748">
        <f ca="1">T_Bonds[[#This Row],[Market value in CCY]]+T_Bonds[[#This Row],[AI, CCY]]</f>
        <v>804755.625</v>
      </c>
      <c r="AC94" s="748">
        <f ca="1">T_Bonds[[#This Row],[Market value in USD]]+T_Bonds[[#This Row],[AI, USD]]</f>
        <v>804755.625</v>
      </c>
      <c r="AD94" s="748">
        <f t="shared" si="54"/>
        <v>846500</v>
      </c>
      <c r="AE94" s="748">
        <f ca="1">T_Bonds[[#This Row],[Coupon in Loc.Curr]]*(TODAY()-EDATE(T_Bonds[[#This Row],[Next coupon date]],-12/T_Bonds[[#This Row],[Coupons per annum]]))/(T_Bonds[[#This Row],[Coupons per annum]]*360)</f>
        <v>14015.62499999998</v>
      </c>
      <c r="AF94" s="748">
        <f ca="1">T_Bonds[[#This Row],[AI, CCY]]*T_Bonds[[#This Row],[Exchange rate, N]]</f>
        <v>14015.62499999998</v>
      </c>
      <c r="AG94" s="313">
        <f>IFERROR(IF(INDEX(Cbonds!C:AC,MATCH(D94,Cbonds!C:C,0),27)&gt;5000,0,INDEX(Cbonds!C:AC,MATCH(D94,Cbonds!C:C,0),27)),0)</f>
        <v>31.266805995898999</v>
      </c>
      <c r="AH94" s="315"/>
      <c r="AI94" s="749"/>
      <c r="AJ94" s="750"/>
      <c r="AK94" t="s">
        <v>280</v>
      </c>
      <c r="AL94" t="s">
        <v>283</v>
      </c>
      <c r="AM94" t="s">
        <v>2475</v>
      </c>
      <c r="AO94" s="320">
        <v>2</v>
      </c>
      <c r="AP94" s="17">
        <v>45976</v>
      </c>
      <c r="AQ94" s="17">
        <f>EDATE(T_Bonds[[#This Row],[Next coupon date]],12/T_Bonds[[#This Row],[Coupons per annum]])</f>
        <v>46157</v>
      </c>
      <c r="AR94" s="17">
        <f>EDATE(T_Bonds[[#This Row],[Second next coupon date]],12/$AO94)</f>
        <v>46341</v>
      </c>
      <c r="AS94" s="17">
        <f>EDATE(T_Bonds[[#This Row],[Coupon date 3]],12/$AO94)</f>
        <v>46522</v>
      </c>
      <c r="AT94" s="25">
        <f>IF(
OR(
AT$1=MONTH($AP94),
AT$1=MONTH($AQ94),
AT$1=MONTH($AR94),
AT$1=MONTH($AS94)),
IF('CF USD'!$A$8="On",$L94,$K94)/T_Bonds[[#This Row],[Coupons per annum]],0)</f>
        <v>0</v>
      </c>
      <c r="AU94" s="25">
        <f>IF(
OR(
AU$1=MONTH($AP94),
AU$1=MONTH($AQ94),
AU$1=MONTH($AR94),
AU$1=MONTH($AS94)),
IF('CF USD'!$A$8="On",$L94,$K94)/T_Bonds[[#This Row],[Coupons per annum]],0)</f>
        <v>0</v>
      </c>
      <c r="AV94" s="25">
        <f>IF(
OR(
AV$1=MONTH($AP94),
AV$1=MONTH($AQ94),
AV$1=MONTH($AR94),
AV$1=MONTH($AS94)),
IF('CF USD'!$A$8="On",$L94,$K94)/T_Bonds[[#This Row],[Coupons per annum]],0)</f>
        <v>0</v>
      </c>
      <c r="AW94" s="25">
        <f>IF(
OR(
AW$1=MONTH($AP94),
AW$1=MONTH($AQ94),
AW$1=MONTH($AR94),
AW$1=MONTH($AS94)),
IF('CF USD'!$A$8="On",$L94,$K94)/T_Bonds[[#This Row],[Coupons per annum]],0)</f>
        <v>0</v>
      </c>
      <c r="AX94" s="25">
        <f>IF(
OR(
AX$1=MONTH($AP94),
AX$1=MONTH($AQ94),
AX$1=MONTH($AR94),
AX$1=MONTH($AS94)),
IF('CF USD'!$A$8="On",$L94,$K94)/T_Bonds[[#This Row],[Coupons per annum]],0)</f>
        <v>16874.999999999975</v>
      </c>
      <c r="AY94" s="25">
        <f>IF(
OR(
AY$1=MONTH($AP94),
AY$1=MONTH($AQ94),
AY$1=MONTH($AR94),
AY$1=MONTH($AS94)),
IF('CF USD'!$A$8="On",$L94,$K94)/T_Bonds[[#This Row],[Coupons per annum]],0)</f>
        <v>0</v>
      </c>
      <c r="AZ94" s="25">
        <f>IF(
OR(
AZ$1=MONTH($AP94),
AZ$1=MONTH($AQ94),
AZ$1=MONTH($AR94),
AZ$1=MONTH($AS94)),
IF('CF USD'!$A$8="On",$L94,$K94)/T_Bonds[[#This Row],[Coupons per annum]],0)</f>
        <v>0</v>
      </c>
      <c r="BA94" s="25">
        <f>IF(
OR(
BA$1=MONTH($AP94),
BA$1=MONTH($AQ94),
BA$1=MONTH($AR94),
BA$1=MONTH($AS94)),
IF('CF USD'!$A$8="On",$L94,$K94)/T_Bonds[[#This Row],[Coupons per annum]],0)</f>
        <v>0</v>
      </c>
      <c r="BB94" s="25">
        <f>IF(
OR(
BB$1=MONTH($AP94),
BB$1=MONTH($AQ94),
BB$1=MONTH($AR94),
BB$1=MONTH($AS94)),
IF('CF USD'!$A$8="On",$L94,$K94)/T_Bonds[[#This Row],[Coupons per annum]],0)</f>
        <v>0</v>
      </c>
      <c r="BC94" s="25">
        <f>IF(
OR(
BC$1=MONTH($AP94),
BC$1=MONTH($AQ94),
BC$1=MONTH($AR94),
BC$1=MONTH($AS94)),
IF('CF USD'!$A$8="On",$L94,$K94)/T_Bonds[[#This Row],[Coupons per annum]],0)</f>
        <v>0</v>
      </c>
      <c r="BD94" s="25">
        <f>IF(
OR(
BD$1=MONTH($AP94),
BD$1=MONTH($AQ94),
BD$1=MONTH($AR94),
BD$1=MONTH($AS94)),
IF('CF USD'!$A$8="On",$L94,$K94)/T_Bonds[[#This Row],[Coupons per annum]],0)</f>
        <v>16874.999999999975</v>
      </c>
      <c r="BE94" s="25">
        <f>IF(
OR(
BE$1=MONTH($AP94),
BE$1=MONTH($AQ94),
BE$1=MONTH($AR94),
BE$1=MONTH($AS94)),
IF('CF USD'!$A$8="On",$L94,$K94)/T_Bonds[[#This Row],[Coupons per annum]],0)</f>
        <v>0</v>
      </c>
      <c r="BF94">
        <f>DAY(T_Bonds[[#This Row],[Next coupon date]])</f>
        <v>15</v>
      </c>
    </row>
    <row r="95" spans="1:58" x14ac:dyDescent="0.25">
      <c r="A95" s="50" t="s">
        <v>2495</v>
      </c>
      <c r="B95" s="50" t="s">
        <v>90</v>
      </c>
      <c r="C95" s="828" t="str">
        <f>IF(T_Bonds[[#This Row],[Call date]]&lt;&gt;"","Callable","Maturity")</f>
        <v>Maturity</v>
      </c>
      <c r="D95" s="50" t="s">
        <v>782</v>
      </c>
      <c r="E95" s="736" t="s">
        <v>18</v>
      </c>
      <c r="F95" s="96">
        <f>IFERROR(INDEX('V004'!D:E,MATCH(D95,'V004'!D:D,0),2),0)</f>
        <v>0</v>
      </c>
      <c r="G95" s="96">
        <f>IFERROR(INDEX('V001'!D:E,MATCH(D95,'V001'!D:D,0),2),0)</f>
        <v>0</v>
      </c>
      <c r="H95" s="96">
        <f>IFERROR(INDEX(UBS!C:D,MATCH(D95,UBS!D:D,0),1),0)</f>
        <v>0</v>
      </c>
      <c r="I95" s="827">
        <v>1000000</v>
      </c>
      <c r="J95" s="743">
        <f t="shared" si="49"/>
        <v>4.2499999999999982E-2</v>
      </c>
      <c r="K95" s="744">
        <f t="shared" si="50"/>
        <v>42499.999999999985</v>
      </c>
      <c r="L95" s="744">
        <f t="shared" si="51"/>
        <v>42499.999999999985</v>
      </c>
      <c r="M95" s="745">
        <v>50905</v>
      </c>
      <c r="N95" s="5">
        <f>IFERROR(INDEX(Cbonds!C:H,MATCH(D95,Cbonds!C:C,0),4)/100,0)</f>
        <v>4.5522625330895995E-2</v>
      </c>
      <c r="O95" s="75">
        <f>IFERROR(INDEX(Cbonds!C:H,MATCH(D95,Cbonds!C:C,0),5),0)</f>
        <v>10.158055984884999</v>
      </c>
      <c r="P95" s="91">
        <f>T_Bonds[[#This Row],[Market price]]-T_Bonds[[#This Row],[Cost price]]</f>
        <v>-5.1015000000000033E-2</v>
      </c>
      <c r="Q95" s="91">
        <f>T_Bonds[[#This Row],[Coupon]]/T_Bonds[[#This Row],[Cost price]]</f>
        <v>4.1342412451361853E-2</v>
      </c>
      <c r="R95" s="746">
        <f>N95*I95</f>
        <v>45522.625330895993</v>
      </c>
      <c r="S95" s="655">
        <f>IFERROR(VLOOKUP(D95,'V004'!$D:$J,7,0),0)</f>
        <v>0</v>
      </c>
      <c r="T95" s="222">
        <f>IFERROR(VLOOKUP(D95,'V001'!$D:$J,7,0),0)</f>
        <v>0</v>
      </c>
      <c r="U95" s="589">
        <v>1.028</v>
      </c>
      <c r="V95" s="744">
        <f t="shared" si="52"/>
        <v>41342.412451361852</v>
      </c>
      <c r="W95" s="738"/>
      <c r="X95" s="810">
        <f>IFERROR(INDEX(Cbonds!C:AF,MATCH(D95,Cbonds!C:C,0),29)/100,0)</f>
        <v>0.97698499999999999</v>
      </c>
      <c r="Y95" s="747">
        <f>INDEX('Tech list'!A:C,MATCH(T_Bonds[[#This Row],[Risk CCY]],'Tech list'!A:A,0),3)</f>
        <v>1</v>
      </c>
      <c r="Z95" s="748">
        <f>T_Bonds[[#This Row],[Market price]]*T_Bonds[[#This Row],[Quantity]]</f>
        <v>976985</v>
      </c>
      <c r="AA95" s="748">
        <f t="shared" si="53"/>
        <v>976985</v>
      </c>
      <c r="AB95" s="748">
        <f ca="1">T_Bonds[[#This Row],[Market value in CCY]]+T_Bonds[[#This Row],[AI, CCY]]</f>
        <v>994634.3055555555</v>
      </c>
      <c r="AC95" s="748">
        <f ca="1">T_Bonds[[#This Row],[Market value in USD]]+T_Bonds[[#This Row],[AI, USD]]</f>
        <v>994634.3055555555</v>
      </c>
      <c r="AD95" s="748">
        <f t="shared" si="54"/>
        <v>1028000</v>
      </c>
      <c r="AE95" s="748">
        <f ca="1">T_Bonds[[#This Row],[Coupon in Loc.Curr]]*(TODAY()-EDATE(T_Bonds[[#This Row],[Next coupon date]],-12/T_Bonds[[#This Row],[Coupons per annum]]))/(T_Bonds[[#This Row],[Coupons per annum]]*360)</f>
        <v>17649.305555555551</v>
      </c>
      <c r="AF95" s="748">
        <f ca="1">T_Bonds[[#This Row],[AI, CCY]]*T_Bonds[[#This Row],[Exchange rate, N]]</f>
        <v>17649.305555555551</v>
      </c>
      <c r="AG95" s="313">
        <f>IFERROR(IF(INDEX(Cbonds!C:AC,MATCH(D95,Cbonds!C:C,0),27)&gt;5000,0,INDEX(Cbonds!C:AC,MATCH(D95,Cbonds!C:C,0),27)),0)</f>
        <v>22.709913564857999</v>
      </c>
      <c r="AH95" s="315"/>
      <c r="AI95" s="749"/>
      <c r="AJ95" s="750"/>
      <c r="AK95" t="s">
        <v>280</v>
      </c>
      <c r="AL95" t="s">
        <v>283</v>
      </c>
      <c r="AM95" t="s">
        <v>2475</v>
      </c>
      <c r="AO95" s="320">
        <v>2</v>
      </c>
      <c r="AP95" s="17">
        <v>45976</v>
      </c>
      <c r="AQ95" s="17">
        <f>EDATE(T_Bonds[[#This Row],[Next coupon date]],12/T_Bonds[[#This Row],[Coupons per annum]])</f>
        <v>46157</v>
      </c>
      <c r="AR95" s="17">
        <f>EDATE(T_Bonds[[#This Row],[Second next coupon date]],12/$AO95)</f>
        <v>46341</v>
      </c>
      <c r="AS95" s="17">
        <f>EDATE(T_Bonds[[#This Row],[Coupon date 3]],12/$AO95)</f>
        <v>46522</v>
      </c>
      <c r="AT95" s="25">
        <f>IF(
OR(
AT$1=MONTH($AP95),
AT$1=MONTH($AQ95),
AT$1=MONTH($AR95),
AT$1=MONTH($AS95)),
IF('CF USD'!$A$8="On",$L95,$K95)/T_Bonds[[#This Row],[Coupons per annum]],0)</f>
        <v>0</v>
      </c>
      <c r="AU95" s="25">
        <f>IF(
OR(
AU$1=MONTH($AP95),
AU$1=MONTH($AQ95),
AU$1=MONTH($AR95),
AU$1=MONTH($AS95)),
IF('CF USD'!$A$8="On",$L95,$K95)/T_Bonds[[#This Row],[Coupons per annum]],0)</f>
        <v>0</v>
      </c>
      <c r="AV95" s="25">
        <f>IF(
OR(
AV$1=MONTH($AP95),
AV$1=MONTH($AQ95),
AV$1=MONTH($AR95),
AV$1=MONTH($AS95)),
IF('CF USD'!$A$8="On",$L95,$K95)/T_Bonds[[#This Row],[Coupons per annum]],0)</f>
        <v>0</v>
      </c>
      <c r="AW95" s="25">
        <f>IF(
OR(
AW$1=MONTH($AP95),
AW$1=MONTH($AQ95),
AW$1=MONTH($AR95),
AW$1=MONTH($AS95)),
IF('CF USD'!$A$8="On",$L95,$K95)/T_Bonds[[#This Row],[Coupons per annum]],0)</f>
        <v>0</v>
      </c>
      <c r="AX95" s="25">
        <f>IF(
OR(
AX$1=MONTH($AP95),
AX$1=MONTH($AQ95),
AX$1=MONTH($AR95),
AX$1=MONTH($AS95)),
IF('CF USD'!$A$8="On",$L95,$K95)/T_Bonds[[#This Row],[Coupons per annum]],0)</f>
        <v>21249.999999999993</v>
      </c>
      <c r="AY95" s="25">
        <f>IF(
OR(
AY$1=MONTH($AP95),
AY$1=MONTH($AQ95),
AY$1=MONTH($AR95),
AY$1=MONTH($AS95)),
IF('CF USD'!$A$8="On",$L95,$K95)/T_Bonds[[#This Row],[Coupons per annum]],0)</f>
        <v>0</v>
      </c>
      <c r="AZ95" s="25">
        <f>IF(
OR(
AZ$1=MONTH($AP95),
AZ$1=MONTH($AQ95),
AZ$1=MONTH($AR95),
AZ$1=MONTH($AS95)),
IF('CF USD'!$A$8="On",$L95,$K95)/T_Bonds[[#This Row],[Coupons per annum]],0)</f>
        <v>0</v>
      </c>
      <c r="BA95" s="25">
        <f>IF(
OR(
BA$1=MONTH($AP95),
BA$1=MONTH($AQ95),
BA$1=MONTH($AR95),
BA$1=MONTH($AS95)),
IF('CF USD'!$A$8="On",$L95,$K95)/T_Bonds[[#This Row],[Coupons per annum]],0)</f>
        <v>0</v>
      </c>
      <c r="BB95" s="25">
        <f>IF(
OR(
BB$1=MONTH($AP95),
BB$1=MONTH($AQ95),
BB$1=MONTH($AR95),
BB$1=MONTH($AS95)),
IF('CF USD'!$A$8="On",$L95,$K95)/T_Bonds[[#This Row],[Coupons per annum]],0)</f>
        <v>0</v>
      </c>
      <c r="BC95" s="25">
        <f>IF(
OR(
BC$1=MONTH($AP95),
BC$1=MONTH($AQ95),
BC$1=MONTH($AR95),
BC$1=MONTH($AS95)),
IF('CF USD'!$A$8="On",$L95,$K95)/T_Bonds[[#This Row],[Coupons per annum]],0)</f>
        <v>0</v>
      </c>
      <c r="BD95" s="25">
        <f>IF(
OR(
BD$1=MONTH($AP95),
BD$1=MONTH($AQ95),
BD$1=MONTH($AR95),
BD$1=MONTH($AS95)),
IF('CF USD'!$A$8="On",$L95,$K95)/T_Bonds[[#This Row],[Coupons per annum]],0)</f>
        <v>21249.999999999993</v>
      </c>
      <c r="BE95" s="25">
        <f>IF(
OR(
BE$1=MONTH($AP95),
BE$1=MONTH($AQ95),
BE$1=MONTH($AR95),
BE$1=MONTH($AS95)),
IF('CF USD'!$A$8="On",$L95,$K95)/T_Bonds[[#This Row],[Coupons per annum]],0)</f>
        <v>0</v>
      </c>
      <c r="BF95">
        <f>DAY(T_Bonds[[#This Row],[Next coupon date]])</f>
        <v>15</v>
      </c>
    </row>
    <row r="96" spans="1:58" x14ac:dyDescent="0.25">
      <c r="A96" s="811" t="s">
        <v>2480</v>
      </c>
      <c r="B96" s="812" t="s">
        <v>51</v>
      </c>
      <c r="C96" s="740" t="str">
        <f>IF(T_Bonds[[#This Row],[Call date]]&lt;&gt;"","Callable","Maturity")</f>
        <v>Maturity</v>
      </c>
      <c r="D96" s="736" t="s">
        <v>2481</v>
      </c>
      <c r="E96" s="736" t="s">
        <v>18</v>
      </c>
      <c r="F96" s="96">
        <f>IFERROR(INDEX('V004'!D:E,MATCH(D96,'V004'!D:D,0),2),0)</f>
        <v>200000</v>
      </c>
      <c r="G96" s="96">
        <f>IFERROR(INDEX('V001'!D:E,MATCH(D96,'V001'!D:D,0),2),0)</f>
        <v>200000</v>
      </c>
      <c r="H96" s="96">
        <f>IFERROR(INDEX(UBS!C:D,MATCH(D96,UBS!D:D,0),1),0)</f>
        <v>0</v>
      </c>
      <c r="I96" s="300">
        <f>SUM(T_Bonds[[#This Row],[V1412]:[UBS]])</f>
        <v>400000</v>
      </c>
      <c r="J96" s="743">
        <f t="shared" si="49"/>
        <v>6.5500000000000114E-2</v>
      </c>
      <c r="K96" s="744">
        <f t="shared" si="50"/>
        <v>26200.000000000044</v>
      </c>
      <c r="L96" s="744">
        <f t="shared" si="51"/>
        <v>26200.000000000044</v>
      </c>
      <c r="M96" s="745">
        <v>53362</v>
      </c>
      <c r="N96" s="5">
        <f>IFERROR(INDEX(Cbonds!C:H,MATCH(D96,Cbonds!C:C,0),4)/100,0)</f>
        <v>0</v>
      </c>
      <c r="O96" s="75">
        <f>IFERROR(INDEX(Cbonds!C:H,MATCH(D96,Cbonds!C:C,0),5),0)</f>
        <v>0</v>
      </c>
      <c r="P96" s="91">
        <f>T_Bonds[[#This Row],[Market price]]-T_Bonds[[#This Row],[Cost price]]</f>
        <v>1.0299999999999754E-3</v>
      </c>
      <c r="Q96" s="91">
        <f>T_Bonds[[#This Row],[Coupon]]/T_Bonds[[#This Row],[Cost price]]</f>
        <v>6.5639812801266809E-2</v>
      </c>
      <c r="R96" s="746">
        <f t="shared" ref="R96:R97" si="55">N96*I96</f>
        <v>0</v>
      </c>
      <c r="S96" s="655">
        <f>IFERROR(VLOOKUP(D96,'V004'!$D:$J,7,0),0)</f>
        <v>1.00078</v>
      </c>
      <c r="T96" s="222">
        <f>IFERROR(VLOOKUP(D96,'V001'!$D:$J,7,0),0)</f>
        <v>0.99495999999999996</v>
      </c>
      <c r="U96" s="223">
        <f>IFERROR(S96*T_Bonds[[#This Row],[V1412]]/(T_Bonds[[#This Row],[V1412]]+T_Bonds[[#This Row],[V1430]])+T96*T_Bonds[[#This Row],[V1430]]/(T_Bonds[[#This Row],[V1412]]+T_Bonds[[#This Row],[V1430]]),0)</f>
        <v>0.99787000000000003</v>
      </c>
      <c r="V96" s="744">
        <f t="shared" si="52"/>
        <v>26255.925120506723</v>
      </c>
      <c r="W96" s="738"/>
      <c r="X96" s="810">
        <v>0.99890000000000001</v>
      </c>
      <c r="Y96" s="747">
        <f>INDEX('Tech list'!A:C,MATCH(T_Bonds[[#This Row],[Risk CCY]],'Tech list'!A:A,0),3)</f>
        <v>1</v>
      </c>
      <c r="Z96" s="748">
        <f>T_Bonds[[#This Row],[Market price]]*T_Bonds[[#This Row],[Quantity]]</f>
        <v>399560</v>
      </c>
      <c r="AA96" s="748">
        <f t="shared" si="53"/>
        <v>399560</v>
      </c>
      <c r="AB96" s="748">
        <f ca="1">T_Bonds[[#This Row],[Market value in CCY]]+T_Bonds[[#This Row],[AI, CCY]]</f>
        <v>400797.22222222225</v>
      </c>
      <c r="AC96" s="748">
        <f ca="1">T_Bonds[[#This Row],[Market value in USD]]+T_Bonds[[#This Row],[AI, USD]]</f>
        <v>400797.22222222225</v>
      </c>
      <c r="AD96" s="748">
        <f t="shared" si="54"/>
        <v>399148</v>
      </c>
      <c r="AE96" s="748">
        <f ca="1">T_Bonds[[#This Row],[Coupon in Loc.Curr]]*(TODAY()-EDATE(T_Bonds[[#This Row],[Next coupon date]],-12/T_Bonds[[#This Row],[Coupons per annum]]))/(T_Bonds[[#This Row],[Coupons per annum]]*360)</f>
        <v>1237.2222222222242</v>
      </c>
      <c r="AF96" s="748">
        <f ca="1">T_Bonds[[#This Row],[AI, CCY]]*T_Bonds[[#This Row],[Exchange rate, N]]</f>
        <v>1237.2222222222242</v>
      </c>
      <c r="AG96" s="313">
        <f>IFERROR(IF(INDEX(Cbonds!C:AC,MATCH(D96,Cbonds!C:C,0),27)&gt;5000,0,INDEX(Cbonds!C:AC,MATCH(D96,Cbonds!C:C,0),27)),0)</f>
        <v>0</v>
      </c>
      <c r="AH96" s="315"/>
      <c r="AI96" s="813"/>
      <c r="AJ96" s="750"/>
      <c r="AK96" t="s">
        <v>2489</v>
      </c>
      <c r="AL96" t="s">
        <v>283</v>
      </c>
      <c r="AM96" t="s">
        <v>2475</v>
      </c>
      <c r="AO96" s="320">
        <v>2</v>
      </c>
      <c r="AP96" s="17">
        <v>46238</v>
      </c>
      <c r="AQ96" s="17">
        <f>EDATE(T_Bonds[[#This Row],[Next coupon date]],12/T_Bonds[[#This Row],[Coupons per annum]])</f>
        <v>46422</v>
      </c>
      <c r="AR96" s="17">
        <f>EDATE(T_Bonds[[#This Row],[Second next coupon date]],12/$AO96)</f>
        <v>46603</v>
      </c>
      <c r="AS96" s="17">
        <f>EDATE(T_Bonds[[#This Row],[Coupon date 3]],12/$AO96)</f>
        <v>46787</v>
      </c>
      <c r="AT96" s="25">
        <f>IF(
OR(
AT$1=MONTH($AP96),
AT$1=MONTH($AQ96),
AT$1=MONTH($AR96),
AT$1=MONTH($AS96)),
IF('CF USD'!$A$8="On",$L96,$K96)/T_Bonds[[#This Row],[Coupons per annum]],0)</f>
        <v>0</v>
      </c>
      <c r="AU96" s="25">
        <f>IF(
OR(
AU$1=MONTH($AP96),
AU$1=MONTH($AQ96),
AU$1=MONTH($AR96),
AU$1=MONTH($AS96)),
IF('CF USD'!$A$8="On",$L96,$K96)/T_Bonds[[#This Row],[Coupons per annum]],0)</f>
        <v>13100.000000000022</v>
      </c>
      <c r="AV96" s="25">
        <f>IF(
OR(
AV$1=MONTH($AP96),
AV$1=MONTH($AQ96),
AV$1=MONTH($AR96),
AV$1=MONTH($AS96)),
IF('CF USD'!$A$8="On",$L96,$K96)/T_Bonds[[#This Row],[Coupons per annum]],0)</f>
        <v>0</v>
      </c>
      <c r="AW96" s="25">
        <f>IF(
OR(
AW$1=MONTH($AP96),
AW$1=MONTH($AQ96),
AW$1=MONTH($AR96),
AW$1=MONTH($AS96)),
IF('CF USD'!$A$8="On",$L96,$K96)/T_Bonds[[#This Row],[Coupons per annum]],0)</f>
        <v>0</v>
      </c>
      <c r="AX96" s="25">
        <f>IF(
OR(
AX$1=MONTH($AP96),
AX$1=MONTH($AQ96),
AX$1=MONTH($AR96),
AX$1=MONTH($AS96)),
IF('CF USD'!$A$8="On",$L96,$K96)/T_Bonds[[#This Row],[Coupons per annum]],0)</f>
        <v>0</v>
      </c>
      <c r="AY96" s="25">
        <f>IF(
OR(
AY$1=MONTH($AP96),
AY$1=MONTH($AQ96),
AY$1=MONTH($AR96),
AY$1=MONTH($AS96)),
IF('CF USD'!$A$8="On",$L96,$K96)/T_Bonds[[#This Row],[Coupons per annum]],0)</f>
        <v>0</v>
      </c>
      <c r="AZ96" s="25">
        <f>IF(
OR(
AZ$1=MONTH($AP96),
AZ$1=MONTH($AQ96),
AZ$1=MONTH($AR96),
AZ$1=MONTH($AS96)),
IF('CF USD'!$A$8="On",$L96,$K96)/T_Bonds[[#This Row],[Coupons per annum]],0)</f>
        <v>0</v>
      </c>
      <c r="BA96" s="25">
        <f>IF(
OR(
BA$1=MONTH($AP96),
BA$1=MONTH($AQ96),
BA$1=MONTH($AR96),
BA$1=MONTH($AS96)),
IF('CF USD'!$A$8="On",$L96,$K96)/T_Bonds[[#This Row],[Coupons per annum]],0)</f>
        <v>13100.000000000022</v>
      </c>
      <c r="BB96" s="25">
        <f>IF(
OR(
BB$1=MONTH($AP96),
BB$1=MONTH($AQ96),
BB$1=MONTH($AR96),
BB$1=MONTH($AS96)),
IF('CF USD'!$A$8="On",$L96,$K96)/T_Bonds[[#This Row],[Coupons per annum]],0)</f>
        <v>0</v>
      </c>
      <c r="BC96" s="25">
        <f>IF(
OR(
BC$1=MONTH($AP96),
BC$1=MONTH($AQ96),
BC$1=MONTH($AR96),
BC$1=MONTH($AS96)),
IF('CF USD'!$A$8="On",$L96,$K96)/T_Bonds[[#This Row],[Coupons per annum]],0)</f>
        <v>0</v>
      </c>
      <c r="BD96" s="25">
        <f>IF(
OR(
BD$1=MONTH($AP96),
BD$1=MONTH($AQ96),
BD$1=MONTH($AR96),
BD$1=MONTH($AS96)),
IF('CF USD'!$A$8="On",$L96,$K96)/T_Bonds[[#This Row],[Coupons per annum]],0)</f>
        <v>0</v>
      </c>
      <c r="BE96" s="25">
        <f>IF(
OR(
BE$1=MONTH($AP96),
BE$1=MONTH($AQ96),
BE$1=MONTH($AR96),
BE$1=MONTH($AS96)),
IF('CF USD'!$A$8="On",$L96,$K96)/T_Bonds[[#This Row],[Coupons per annum]],0)</f>
        <v>0</v>
      </c>
      <c r="BF96">
        <f>DAY(T_Bonds[[#This Row],[Next coupon date]])</f>
        <v>4</v>
      </c>
    </row>
    <row r="97" spans="1:84" x14ac:dyDescent="0.25">
      <c r="A97" s="811" t="s">
        <v>2484</v>
      </c>
      <c r="B97" s="812" t="s">
        <v>51</v>
      </c>
      <c r="C97" s="811" t="str">
        <f>IF(T_Bonds[[#This Row],[Call date]]&lt;&gt;"","Callable","Maturity")</f>
        <v>Callable</v>
      </c>
      <c r="D97" s="736" t="s">
        <v>2485</v>
      </c>
      <c r="E97" s="736" t="s">
        <v>18</v>
      </c>
      <c r="F97" s="96">
        <f>IFERROR(INDEX('V004'!D:E,MATCH(D97,'V004'!D:D,0),2),0)</f>
        <v>0</v>
      </c>
      <c r="G97" s="96">
        <f>IFERROR(INDEX('V001'!D:E,MATCH(D97,'V001'!D:D,0),2),0)</f>
        <v>400000</v>
      </c>
      <c r="H97" s="96">
        <f>IFERROR(INDEX(UBS!C:D,MATCH(D97,UBS!D:D,0),1),0)</f>
        <v>0</v>
      </c>
      <c r="I97" s="300">
        <f>SUM(T_Bonds[[#This Row],[V1412]:[UBS]])</f>
        <v>400000</v>
      </c>
      <c r="J97" s="743">
        <f t="shared" si="49"/>
        <v>9.2500000000000027E-2</v>
      </c>
      <c r="K97" s="744">
        <f t="shared" si="50"/>
        <v>37000.000000000007</v>
      </c>
      <c r="L97" s="744">
        <f t="shared" si="51"/>
        <v>37000.000000000007</v>
      </c>
      <c r="M97" s="745">
        <v>47635</v>
      </c>
      <c r="N97" s="5">
        <f>IFERROR(INDEX(Cbonds!C:H,MATCH(D97,Cbonds!C:C,0),4)/100,0)</f>
        <v>0</v>
      </c>
      <c r="O97" s="75">
        <f>IFERROR(INDEX(Cbonds!C:H,MATCH(D97,Cbonds!C:C,0),5),0)</f>
        <v>0</v>
      </c>
      <c r="P97" s="91">
        <f>T_Bonds[[#This Row],[Market price]]-T_Bonds[[#This Row],[Cost price]]</f>
        <v>2.1099999999998342E-3</v>
      </c>
      <c r="Q97" s="91">
        <f>T_Bonds[[#This Row],[Coupon]]/T_Bonds[[#This Row],[Cost price]]</f>
        <v>9.3794362198337061E-2</v>
      </c>
      <c r="R97" s="746">
        <f t="shared" si="55"/>
        <v>0</v>
      </c>
      <c r="S97" s="655">
        <f>IFERROR(VLOOKUP(D97,'V004'!$D:$J,7,0),0)</f>
        <v>0</v>
      </c>
      <c r="T97" s="222">
        <f>IFERROR(VLOOKUP(D97,'V001'!$D:$J,7,0),0)</f>
        <v>0.98620000000000008</v>
      </c>
      <c r="U97" s="223">
        <f>IFERROR(S97*T_Bonds[[#This Row],[V1412]]/(T_Bonds[[#This Row],[V1412]]+T_Bonds[[#This Row],[V1430]])+T97*T_Bonds[[#This Row],[V1430]]/(T_Bonds[[#This Row],[V1412]]+T_Bonds[[#This Row],[V1430]]),0)</f>
        <v>0.98620000000000019</v>
      </c>
      <c r="V97" s="744">
        <f t="shared" si="52"/>
        <v>37517.744879334823</v>
      </c>
      <c r="W97" s="738"/>
      <c r="X97" s="810">
        <f>98.831%</f>
        <v>0.98831000000000002</v>
      </c>
      <c r="Y97" s="747">
        <f>INDEX('Tech list'!A:C,MATCH(T_Bonds[[#This Row],[Risk CCY]],'Tech list'!A:A,0),3)</f>
        <v>1</v>
      </c>
      <c r="Z97" s="748">
        <f>T_Bonds[[#This Row],[Market price]]*T_Bonds[[#This Row],[Quantity]]</f>
        <v>395324</v>
      </c>
      <c r="AA97" s="748">
        <f t="shared" si="53"/>
        <v>395324</v>
      </c>
      <c r="AB97" s="748">
        <f ca="1">T_Bonds[[#This Row],[Market value in CCY]]+T_Bonds[[#This Row],[AI, CCY]]</f>
        <v>400411.5</v>
      </c>
      <c r="AC97" s="748">
        <f ca="1">T_Bonds[[#This Row],[Market value in USD]]+T_Bonds[[#This Row],[AI, USD]]</f>
        <v>400411.5</v>
      </c>
      <c r="AD97" s="748">
        <f t="shared" si="54"/>
        <v>394480.00000000006</v>
      </c>
      <c r="AE97" s="748">
        <f ca="1">T_Bonds[[#This Row],[Coupon in Loc.Curr]]*(TODAY()-EDATE(T_Bonds[[#This Row],[Next coupon date]],-12/T_Bonds[[#This Row],[Coupons per annum]]))/(T_Bonds[[#This Row],[Coupons per annum]]*360)</f>
        <v>5087.5000000000009</v>
      </c>
      <c r="AF97" s="748">
        <f ca="1">T_Bonds[[#This Row],[AI, CCY]]*T_Bonds[[#This Row],[Exchange rate, N]]</f>
        <v>5087.5000000000009</v>
      </c>
      <c r="AG97" s="313">
        <f>IFERROR(IF(INDEX(Cbonds!C:AC,MATCH(D97,Cbonds!C:C,0),27)&gt;5000,0,INDEX(Cbonds!C:AC,MATCH(D97,Cbonds!C:C,0),27)),0)</f>
        <v>0</v>
      </c>
      <c r="AH97" s="315"/>
      <c r="AI97" s="749">
        <v>46539</v>
      </c>
      <c r="AJ97" s="750"/>
      <c r="AK97" t="s">
        <v>2489</v>
      </c>
      <c r="AL97" t="s">
        <v>283</v>
      </c>
      <c r="AM97" t="s">
        <v>2475</v>
      </c>
      <c r="AO97" s="320">
        <v>2</v>
      </c>
      <c r="AP97" s="17">
        <v>46174</v>
      </c>
      <c r="AQ97" s="17">
        <f>EDATE(T_Bonds[[#This Row],[Next coupon date]],12/T_Bonds[[#This Row],[Coupons per annum]])</f>
        <v>46357</v>
      </c>
      <c r="AR97" s="17">
        <f>EDATE(T_Bonds[[#This Row],[Second next coupon date]],12/$AO97)</f>
        <v>46539</v>
      </c>
      <c r="AS97" s="17">
        <f>EDATE(T_Bonds[[#This Row],[Coupon date 3]],12/$AO97)</f>
        <v>46722</v>
      </c>
      <c r="AT97" s="25">
        <f>IF(
OR(
AT$1=MONTH($AP97),
AT$1=MONTH($AQ97),
AT$1=MONTH($AR97),
AT$1=MONTH($AS97)),
IF('CF USD'!$A$8="On",$L97,$K97)/T_Bonds[[#This Row],[Coupons per annum]],0)</f>
        <v>0</v>
      </c>
      <c r="AU97" s="25">
        <f>IF(
OR(
AU$1=MONTH($AP97),
AU$1=MONTH($AQ97),
AU$1=MONTH($AR97),
AU$1=MONTH($AS97)),
IF('CF USD'!$A$8="On",$L97,$K97)/T_Bonds[[#This Row],[Coupons per annum]],0)</f>
        <v>0</v>
      </c>
      <c r="AV97" s="25">
        <f>IF(
OR(
AV$1=MONTH($AP97),
AV$1=MONTH($AQ97),
AV$1=MONTH($AR97),
AV$1=MONTH($AS97)),
IF('CF USD'!$A$8="On",$L97,$K97)/T_Bonds[[#This Row],[Coupons per annum]],0)</f>
        <v>0</v>
      </c>
      <c r="AW97" s="25">
        <f>IF(
OR(
AW$1=MONTH($AP97),
AW$1=MONTH($AQ97),
AW$1=MONTH($AR97),
AW$1=MONTH($AS97)),
IF('CF USD'!$A$8="On",$L97,$K97)/T_Bonds[[#This Row],[Coupons per annum]],0)</f>
        <v>0</v>
      </c>
      <c r="AX97" s="25">
        <f>IF(
OR(
AX$1=MONTH($AP97),
AX$1=MONTH($AQ97),
AX$1=MONTH($AR97),
AX$1=MONTH($AS97)),
IF('CF USD'!$A$8="On",$L97,$K97)/T_Bonds[[#This Row],[Coupons per annum]],0)</f>
        <v>0</v>
      </c>
      <c r="AY97" s="25">
        <f>IF(
OR(
AY$1=MONTH($AP97),
AY$1=MONTH($AQ97),
AY$1=MONTH($AR97),
AY$1=MONTH($AS97)),
IF('CF USD'!$A$8="On",$L97,$K97)/T_Bonds[[#This Row],[Coupons per annum]],0)</f>
        <v>18500.000000000004</v>
      </c>
      <c r="AZ97" s="25">
        <f>IF(
OR(
AZ$1=MONTH($AP97),
AZ$1=MONTH($AQ97),
AZ$1=MONTH($AR97),
AZ$1=MONTH($AS97)),
IF('CF USD'!$A$8="On",$L97,$K97)/T_Bonds[[#This Row],[Coupons per annum]],0)</f>
        <v>0</v>
      </c>
      <c r="BA97" s="25">
        <f>IF(
OR(
BA$1=MONTH($AP97),
BA$1=MONTH($AQ97),
BA$1=MONTH($AR97),
BA$1=MONTH($AS97)),
IF('CF USD'!$A$8="On",$L97,$K97)/T_Bonds[[#This Row],[Coupons per annum]],0)</f>
        <v>0</v>
      </c>
      <c r="BB97" s="25">
        <f>IF(
OR(
BB$1=MONTH($AP97),
BB$1=MONTH($AQ97),
BB$1=MONTH($AR97),
BB$1=MONTH($AS97)),
IF('CF USD'!$A$8="On",$L97,$K97)/T_Bonds[[#This Row],[Coupons per annum]],0)</f>
        <v>0</v>
      </c>
      <c r="BC97" s="25">
        <f>IF(
OR(
BC$1=MONTH($AP97),
BC$1=MONTH($AQ97),
BC$1=MONTH($AR97),
BC$1=MONTH($AS97)),
IF('CF USD'!$A$8="On",$L97,$K97)/T_Bonds[[#This Row],[Coupons per annum]],0)</f>
        <v>0</v>
      </c>
      <c r="BD97" s="25">
        <f>IF(
OR(
BD$1=MONTH($AP97),
BD$1=MONTH($AQ97),
BD$1=MONTH($AR97),
BD$1=MONTH($AS97)),
IF('CF USD'!$A$8="On",$L97,$K97)/T_Bonds[[#This Row],[Coupons per annum]],0)</f>
        <v>0</v>
      </c>
      <c r="BE97" s="25">
        <f>IF(
OR(
BE$1=MONTH($AP97),
BE$1=MONTH($AQ97),
BE$1=MONTH($AR97),
BE$1=MONTH($AS97)),
IF('CF USD'!$A$8="On",$L97,$K97)/T_Bonds[[#This Row],[Coupons per annum]],0)</f>
        <v>18500.000000000004</v>
      </c>
      <c r="BF97">
        <f>DAY(T_Bonds[[#This Row],[Next coupon date]])</f>
        <v>1</v>
      </c>
    </row>
    <row r="98" spans="1:84" x14ac:dyDescent="0.25">
      <c r="A98" s="976" t="s">
        <v>2513</v>
      </c>
      <c r="B98" s="812" t="s">
        <v>51</v>
      </c>
      <c r="C98" s="960" t="str">
        <f>IF(T_Bonds[[#This Row],[Call date]]&lt;&gt;"","Callable","Maturity")</f>
        <v>Callable</v>
      </c>
      <c r="D98" s="960" t="s">
        <v>2514</v>
      </c>
      <c r="E98" s="960" t="s">
        <v>19</v>
      </c>
      <c r="F98" s="96">
        <f>IFERROR(INDEX('V004'!D:E,MATCH(D98,'V004'!D:D,0),2),0)</f>
        <v>0</v>
      </c>
      <c r="G98" s="96">
        <f>IFERROR(INDEX('V001'!D:E,MATCH(D98,'V001'!D:D,0),2),0)</f>
        <v>400000</v>
      </c>
      <c r="H98" s="96">
        <f>IFERROR(INDEX(UBS!C:D,MATCH(D98,UBS!D:D,0),1),0)</f>
        <v>0</v>
      </c>
      <c r="I98" s="300">
        <f>SUM(T_Bonds[[#This Row],[V1412]:[UBS]])</f>
        <v>400000</v>
      </c>
      <c r="J98" s="970">
        <f>LEFT(A98,FIND("%",A98,1))+1-1</f>
        <v>7.6249999999999929E-2</v>
      </c>
      <c r="K98" s="744">
        <f t="shared" ref="K98" si="56">J98*I98</f>
        <v>30499.999999999971</v>
      </c>
      <c r="L98" s="744">
        <f t="shared" ca="1" si="51"/>
        <v>40790.699999999961</v>
      </c>
      <c r="M98" s="745">
        <v>54685</v>
      </c>
      <c r="N98" s="5">
        <f>IFERROR(INDEX(Cbonds!C:H,MATCH(D98,Cbonds!C:C,0),4)/100,0)</f>
        <v>0</v>
      </c>
      <c r="O98" s="75">
        <f>IFERROR(INDEX(Cbonds!C:H,MATCH(D98,Cbonds!C:C,0),5),0)</f>
        <v>0</v>
      </c>
      <c r="P98" s="91">
        <f>T_Bonds[[#This Row],[Market price]]-T_Bonds[[#This Row],[Cost price]]</f>
        <v>-6.7099999999999937E-3</v>
      </c>
      <c r="Q98" s="91">
        <f>T_Bonds[[#This Row],[Coupon]]/T_Bonds[[#This Row],[Cost price]]</f>
        <v>7.2199602310387204E-2</v>
      </c>
      <c r="R98" s="972">
        <f>N98*I98</f>
        <v>0</v>
      </c>
      <c r="S98" s="655">
        <f>IFERROR(VLOOKUP(D98,'V004'!$D:$J,7,0),0)</f>
        <v>0</v>
      </c>
      <c r="T98" s="222">
        <f>IFERROR(VLOOKUP(D98,'V001'!$D:$J,7,0),0)</f>
        <v>1.0561</v>
      </c>
      <c r="U98" s="223">
        <f>IFERROR(S98*T_Bonds[[#This Row],[V1412]]/(T_Bonds[[#This Row],[V1412]]+T_Bonds[[#This Row],[V1430]])+T98*T_Bonds[[#This Row],[V1430]]/(T_Bonds[[#This Row],[V1412]]+T_Bonds[[#This Row],[V1430]]),0)</f>
        <v>1.0561</v>
      </c>
      <c r="V98" s="971">
        <f t="shared" si="52"/>
        <v>28879.84092415488</v>
      </c>
      <c r="W98" s="963"/>
      <c r="X98" s="977">
        <v>1.04939</v>
      </c>
      <c r="Y98" s="973">
        <f ca="1">INDEX('Tech list'!A:C,MATCH(T_Bonds[[#This Row],[Risk CCY]],'Tech list'!A:A,0),3)</f>
        <v>1.3373999999999999</v>
      </c>
      <c r="Z98" s="974">
        <f>T_Bonds[[#This Row],[Market price]]*T_Bonds[[#This Row],[Quantity]]</f>
        <v>419756</v>
      </c>
      <c r="AA98" s="974">
        <f t="shared" ca="1" si="53"/>
        <v>561381.67440000002</v>
      </c>
      <c r="AB98" s="974">
        <f ca="1">T_Bonds[[#This Row],[Market value in CCY]]+T_Bonds[[#This Row],[AI, CCY]]</f>
        <v>421217.45833333331</v>
      </c>
      <c r="AC98" s="974">
        <f ca="1">T_Bonds[[#This Row],[Market value in USD]]+T_Bonds[[#This Row],[AI, USD]]</f>
        <v>563336.22877499997</v>
      </c>
      <c r="AD98" s="974">
        <f t="shared" si="54"/>
        <v>422440</v>
      </c>
      <c r="AE98" s="974">
        <f ca="1">T_Bonds[[#This Row],[Coupon in Loc.Curr]]*(TODAY()-EDATE(T_Bonds[[#This Row],[Next coupon date]],-12/T_Bonds[[#This Row],[Coupons per annum]]))/(T_Bonds[[#This Row],[Coupons per annum]]*360)</f>
        <v>1461.4583333333321</v>
      </c>
      <c r="AF98" s="974">
        <f ca="1">T_Bonds[[#This Row],[AI, CCY]]*T_Bonds[[#This Row],[Exchange rate, N]]</f>
        <v>1954.5543749999983</v>
      </c>
      <c r="AG98" s="313">
        <f>IFERROR(IF(INDEX(Cbonds!C:AC,MATCH(D98,Cbonds!C:C,0),27)&gt;5000,0,INDEX(Cbonds!C:AC,MATCH(D98,Cbonds!C:C,0),27)),0)</f>
        <v>0</v>
      </c>
      <c r="AH98" s="315"/>
      <c r="AI98" s="212">
        <v>49582</v>
      </c>
      <c r="AJ98" s="975"/>
      <c r="AK98" t="s">
        <v>289</v>
      </c>
      <c r="AL98" t="s">
        <v>294</v>
      </c>
      <c r="AM98" t="s">
        <v>2475</v>
      </c>
      <c r="AN98" t="s">
        <v>2534</v>
      </c>
      <c r="AO98" s="320">
        <v>4</v>
      </c>
      <c r="AP98" s="17">
        <v>46112</v>
      </c>
      <c r="AQ98" s="17">
        <f>EDATE(T_Bonds[[#This Row],[Next coupon date]],12/T_Bonds[[#This Row],[Coupons per annum]])</f>
        <v>46203</v>
      </c>
      <c r="AR98" s="17">
        <f>EDATE(T_Bonds[[#This Row],[Second next coupon date]],12/$AO98)</f>
        <v>46295</v>
      </c>
      <c r="AS98" s="17">
        <f>EDATE(T_Bonds[[#This Row],[Coupon date 3]],12/$AO98)</f>
        <v>46386</v>
      </c>
      <c r="AT98" s="25">
        <f>IF(
OR(
AT$1=MONTH($AP98),
AT$1=MONTH($AQ98),
AT$1=MONTH($AR98),
AT$1=MONTH($AS98)),
IF('CF USD'!$A$8="On",$L98,$K98)/T_Bonds[[#This Row],[Coupons per annum]],0)</f>
        <v>0</v>
      </c>
      <c r="AU98" s="25">
        <f>IF(
OR(
AU$1=MONTH($AP98),
AU$1=MONTH($AQ98),
AU$1=MONTH($AR98),
AU$1=MONTH($AS98)),
IF('CF USD'!$A$8="On",$L98,$K98)/T_Bonds[[#This Row],[Coupons per annum]],0)</f>
        <v>0</v>
      </c>
      <c r="AV98" s="25">
        <f>IF(
OR(
AV$1=MONTH($AP98),
AV$1=MONTH($AQ98),
AV$1=MONTH($AR98),
AV$1=MONTH($AS98)),
IF('CF USD'!$A$8="On",$L98,$K98)/T_Bonds[[#This Row],[Coupons per annum]],0)</f>
        <v>7624.9999999999927</v>
      </c>
      <c r="AW98" s="25">
        <f>IF(
OR(
AW$1=MONTH($AP98),
AW$1=MONTH($AQ98),
AW$1=MONTH($AR98),
AW$1=MONTH($AS98)),
IF('CF USD'!$A$8="On",$L98,$K98)/T_Bonds[[#This Row],[Coupons per annum]],0)</f>
        <v>0</v>
      </c>
      <c r="AX98" s="25">
        <f>IF(
OR(
AX$1=MONTH($AP98),
AX$1=MONTH($AQ98),
AX$1=MONTH($AR98),
AX$1=MONTH($AS98)),
IF('CF USD'!$A$8="On",$L98,$K98)/T_Bonds[[#This Row],[Coupons per annum]],0)</f>
        <v>0</v>
      </c>
      <c r="AY98" s="25">
        <f>IF(
OR(
AY$1=MONTH($AP98),
AY$1=MONTH($AQ98),
AY$1=MONTH($AR98),
AY$1=MONTH($AS98)),
IF('CF USD'!$A$8="On",$L98,$K98)/T_Bonds[[#This Row],[Coupons per annum]],0)</f>
        <v>7624.9999999999927</v>
      </c>
      <c r="AZ98" s="25">
        <f>IF(
OR(
AZ$1=MONTH($AP98),
AZ$1=MONTH($AQ98),
AZ$1=MONTH($AR98),
AZ$1=MONTH($AS98)),
IF('CF USD'!$A$8="On",$L98,$K98)/T_Bonds[[#This Row],[Coupons per annum]],0)</f>
        <v>0</v>
      </c>
      <c r="BA98" s="25">
        <f>IF(
OR(
BA$1=MONTH($AP98),
BA$1=MONTH($AQ98),
BA$1=MONTH($AR98),
BA$1=MONTH($AS98)),
IF('CF USD'!$A$8="On",$L98,$K98)/T_Bonds[[#This Row],[Coupons per annum]],0)</f>
        <v>0</v>
      </c>
      <c r="BB98" s="25">
        <f>IF(
OR(
BB$1=MONTH($AP98),
BB$1=MONTH($AQ98),
BB$1=MONTH($AR98),
BB$1=MONTH($AS98)),
IF('CF USD'!$A$8="On",$L98,$K98)/T_Bonds[[#This Row],[Coupons per annum]],0)</f>
        <v>7624.9999999999927</v>
      </c>
      <c r="BC98" s="25">
        <f>IF(
OR(
BC$1=MONTH($AP98),
BC$1=MONTH($AQ98),
BC$1=MONTH($AR98),
BC$1=MONTH($AS98)),
IF('CF USD'!$A$8="On",$L98,$K98)/T_Bonds[[#This Row],[Coupons per annum]],0)</f>
        <v>0</v>
      </c>
      <c r="BD98" s="25">
        <f>IF(
OR(
BD$1=MONTH($AP98),
BD$1=MONTH($AQ98),
BD$1=MONTH($AR98),
BD$1=MONTH($AS98)),
IF('CF USD'!$A$8="On",$L98,$K98)/T_Bonds[[#This Row],[Coupons per annum]],0)</f>
        <v>0</v>
      </c>
      <c r="BE98" s="25">
        <f>IF(
OR(
BE$1=MONTH($AP98),
BE$1=MONTH($AQ98),
BE$1=MONTH($AR98),
BE$1=MONTH($AS98)),
IF('CF USD'!$A$8="On",$L98,$K98)/T_Bonds[[#This Row],[Coupons per annum]],0)</f>
        <v>7624.9999999999927</v>
      </c>
      <c r="BF98">
        <f>DAY(T_Bonds[[#This Row],[Next coupon date]])</f>
        <v>31</v>
      </c>
    </row>
    <row r="107" spans="1:84" ht="45" x14ac:dyDescent="0.25">
      <c r="BP107" s="815" t="s">
        <v>2490</v>
      </c>
      <c r="BQ107" s="816" t="s">
        <v>1148</v>
      </c>
      <c r="BR107" s="817" t="s">
        <v>2491</v>
      </c>
      <c r="BT107" s="815" t="s">
        <v>199</v>
      </c>
      <c r="BU107" s="816" t="s">
        <v>1148</v>
      </c>
      <c r="BV107" s="817" t="s">
        <v>2491</v>
      </c>
      <c r="BX107" s="815" t="s">
        <v>199</v>
      </c>
      <c r="BY107" s="816" t="s">
        <v>280</v>
      </c>
      <c r="BZ107" s="816" t="s">
        <v>289</v>
      </c>
      <c r="CA107" s="816" t="s">
        <v>258</v>
      </c>
      <c r="CB107" s="816" t="s">
        <v>312</v>
      </c>
      <c r="CC107" s="816" t="s">
        <v>295</v>
      </c>
      <c r="CD107" s="816" t="s">
        <v>278</v>
      </c>
      <c r="CE107" s="816" t="s">
        <v>261</v>
      </c>
      <c r="CF107" s="368" t="s">
        <v>2247</v>
      </c>
    </row>
    <row r="108" spans="1:84" x14ac:dyDescent="0.25">
      <c r="BP108" s="50" t="s">
        <v>280</v>
      </c>
      <c r="BQ108" s="814">
        <f t="shared" ref="BQ108:BQ132" ca="1" si="57">SUMIFS($AC$2:$AC$98,$AK$2:$AK$98,BP108)</f>
        <v>16365970.291555554</v>
      </c>
      <c r="BR108" s="9">
        <f t="shared" ref="BR108:BR132" ca="1" si="58">BQ108/SUM($BQ$108:$BQ$134)</f>
        <v>0.22814421531540088</v>
      </c>
      <c r="BT108" s="22" t="s">
        <v>276</v>
      </c>
      <c r="BU108" s="819">
        <f t="shared" ref="BU108:BU132" ca="1" si="59">SUMIFS($AC$2:$AC$98,$AL$2:$AL$98,BT108)</f>
        <v>8799972.7941222228</v>
      </c>
      <c r="BV108" s="820">
        <f t="shared" ref="BV108:BV132" ca="1" si="60">BU108/SUM($BU$108:$BU$135)</f>
        <v>0.12267301309643679</v>
      </c>
      <c r="BX108" s="22" t="s">
        <v>276</v>
      </c>
      <c r="BY108" s="818">
        <f t="shared" ref="BY108:CE117" ca="1" si="61">SUMIFS($AC$2:$AC$98,$AL$2:$AL$98,$BT108,$AK$2:$AK$98,BY$107)/SUM($BU$108:$BU$135)</f>
        <v>2.5547866594884113E-2</v>
      </c>
      <c r="BZ108" s="818">
        <f t="shared" ca="1" si="61"/>
        <v>0</v>
      </c>
      <c r="CA108" s="818">
        <f t="shared" ca="1" si="61"/>
        <v>6.0261317747567912E-2</v>
      </c>
      <c r="CB108" s="818">
        <f t="shared" ca="1" si="61"/>
        <v>0</v>
      </c>
      <c r="CC108" s="818">
        <f t="shared" ca="1" si="61"/>
        <v>5.7604760928751378E-3</v>
      </c>
      <c r="CD108" s="818">
        <f t="shared" ca="1" si="61"/>
        <v>0</v>
      </c>
      <c r="CE108" s="818">
        <f t="shared" ca="1" si="61"/>
        <v>0</v>
      </c>
      <c r="CF108" s="818">
        <f t="shared" ref="CF108:CF132" ca="1" si="62">BV108-SUM(BY108:CE108)</f>
        <v>3.1103352661109626E-2</v>
      </c>
    </row>
    <row r="109" spans="1:84" x14ac:dyDescent="0.25">
      <c r="BP109" s="50" t="s">
        <v>289</v>
      </c>
      <c r="BQ109" s="814">
        <f t="shared" ca="1" si="57"/>
        <v>10684224.046955556</v>
      </c>
      <c r="BR109" s="9">
        <f t="shared" ca="1" si="58"/>
        <v>0.14893977369030945</v>
      </c>
      <c r="BT109" s="22" t="s">
        <v>302</v>
      </c>
      <c r="BU109" s="819">
        <f t="shared" ca="1" si="59"/>
        <v>6570154.9973750003</v>
      </c>
      <c r="BV109" s="820">
        <f t="shared" ca="1" si="60"/>
        <v>9.1589000204289575E-2</v>
      </c>
      <c r="BX109" s="22" t="s">
        <v>302</v>
      </c>
      <c r="BY109" s="818">
        <f t="shared" ca="1" si="61"/>
        <v>0</v>
      </c>
      <c r="BZ109" s="818">
        <f t="shared" ca="1" si="61"/>
        <v>3.7596984499221942E-2</v>
      </c>
      <c r="CA109" s="818">
        <f t="shared" ca="1" si="61"/>
        <v>0</v>
      </c>
      <c r="CB109" s="818">
        <f t="shared" ca="1" si="61"/>
        <v>0</v>
      </c>
      <c r="CC109" s="818">
        <f t="shared" ca="1" si="61"/>
        <v>2.3952789570560094E-2</v>
      </c>
      <c r="CD109" s="818">
        <f t="shared" ca="1" si="61"/>
        <v>0</v>
      </c>
      <c r="CE109" s="818">
        <f t="shared" ca="1" si="61"/>
        <v>0</v>
      </c>
      <c r="CF109" s="818">
        <f t="shared" ca="1" si="62"/>
        <v>3.0039226134507539E-2</v>
      </c>
    </row>
    <row r="110" spans="1:84" x14ac:dyDescent="0.25">
      <c r="BP110" s="50" t="s">
        <v>258</v>
      </c>
      <c r="BQ110" s="814">
        <f t="shared" ca="1" si="57"/>
        <v>9318956.9089933094</v>
      </c>
      <c r="BR110" s="9">
        <f t="shared" ca="1" si="58"/>
        <v>0.12990773377227202</v>
      </c>
      <c r="BT110" s="22" t="s">
        <v>259</v>
      </c>
      <c r="BU110" s="819">
        <f t="shared" ca="1" si="59"/>
        <v>6454864.8842044193</v>
      </c>
      <c r="BV110" s="820">
        <f t="shared" ca="1" si="60"/>
        <v>8.9981837785297683E-2</v>
      </c>
      <c r="BX110" s="22" t="s">
        <v>259</v>
      </c>
      <c r="BY110" s="818">
        <f t="shared" ca="1" si="61"/>
        <v>6.6445954600081528E-2</v>
      </c>
      <c r="BZ110" s="818">
        <f t="shared" ca="1" si="61"/>
        <v>0</v>
      </c>
      <c r="CA110" s="818">
        <f t="shared" ca="1" si="61"/>
        <v>1.2659013396063599E-2</v>
      </c>
      <c r="CB110" s="818">
        <f t="shared" ca="1" si="61"/>
        <v>0</v>
      </c>
      <c r="CC110" s="818">
        <f t="shared" ca="1" si="61"/>
        <v>1.0876869789152558E-2</v>
      </c>
      <c r="CD110" s="818">
        <f t="shared" ca="1" si="61"/>
        <v>0</v>
      </c>
      <c r="CE110" s="818">
        <f t="shared" ca="1" si="61"/>
        <v>0</v>
      </c>
      <c r="CF110" s="818">
        <f t="shared" ca="1" si="62"/>
        <v>0</v>
      </c>
    </row>
    <row r="111" spans="1:84" x14ac:dyDescent="0.25">
      <c r="BP111" s="50" t="s">
        <v>312</v>
      </c>
      <c r="BQ111" s="814">
        <f t="shared" ca="1" si="57"/>
        <v>8751754.5048611108</v>
      </c>
      <c r="BR111" s="9">
        <f t="shared" ca="1" si="58"/>
        <v>0.12200084251495877</v>
      </c>
      <c r="BT111" s="22" t="s">
        <v>283</v>
      </c>
      <c r="BU111" s="819">
        <f t="shared" ca="1" si="59"/>
        <v>7734545.9543911107</v>
      </c>
      <c r="BV111" s="820">
        <f t="shared" ca="1" si="60"/>
        <v>0.10782079437697348</v>
      </c>
      <c r="BX111" s="22" t="s">
        <v>283</v>
      </c>
      <c r="BY111" s="818">
        <f t="shared" ca="1" si="61"/>
        <v>2.5083780334420467E-2</v>
      </c>
      <c r="BZ111" s="818">
        <f t="shared" ca="1" si="61"/>
        <v>0</v>
      </c>
      <c r="CA111" s="818">
        <f t="shared" ca="1" si="61"/>
        <v>0</v>
      </c>
      <c r="CB111" s="818">
        <f t="shared" ca="1" si="61"/>
        <v>2.731338693665044E-2</v>
      </c>
      <c r="CC111" s="818">
        <f t="shared" ca="1" si="61"/>
        <v>0</v>
      </c>
      <c r="CD111" s="818">
        <f t="shared" ca="1" si="61"/>
        <v>5.2281002112644645E-3</v>
      </c>
      <c r="CE111" s="818">
        <f t="shared" ca="1" si="61"/>
        <v>0</v>
      </c>
      <c r="CF111" s="818">
        <f t="shared" ca="1" si="62"/>
        <v>5.0195526894638104E-2</v>
      </c>
    </row>
    <row r="112" spans="1:84" x14ac:dyDescent="0.25">
      <c r="BP112" s="50" t="s">
        <v>295</v>
      </c>
      <c r="BQ112" s="814">
        <f t="shared" ca="1" si="57"/>
        <v>3942420.5718888887</v>
      </c>
      <c r="BR112" s="9">
        <f t="shared" ca="1" si="58"/>
        <v>5.4957966548489584E-2</v>
      </c>
      <c r="BT112" s="22" t="s">
        <v>294</v>
      </c>
      <c r="BU112" s="819">
        <f t="shared" ca="1" si="59"/>
        <v>6054139.8516083341</v>
      </c>
      <c r="BV112" s="820">
        <f t="shared" ca="1" si="60"/>
        <v>8.4395667427525231E-2</v>
      </c>
      <c r="BX112" s="22" t="s">
        <v>294</v>
      </c>
      <c r="BY112" s="818">
        <f t="shared" ca="1" si="61"/>
        <v>0</v>
      </c>
      <c r="BZ112" s="818">
        <f t="shared" ca="1" si="61"/>
        <v>7.1513245847767706E-2</v>
      </c>
      <c r="CA112" s="818">
        <f t="shared" ca="1" si="61"/>
        <v>0</v>
      </c>
      <c r="CB112" s="818">
        <f t="shared" ca="1" si="61"/>
        <v>1.2882421579757514E-2</v>
      </c>
      <c r="CC112" s="818">
        <f t="shared" ca="1" si="61"/>
        <v>0</v>
      </c>
      <c r="CD112" s="818">
        <f t="shared" ca="1" si="61"/>
        <v>0</v>
      </c>
      <c r="CE112" s="818">
        <f t="shared" ca="1" si="61"/>
        <v>0</v>
      </c>
      <c r="CF112" s="818">
        <f t="shared" ca="1" si="62"/>
        <v>0</v>
      </c>
    </row>
    <row r="113" spans="68:84" x14ac:dyDescent="0.25">
      <c r="BP113" s="50" t="s">
        <v>278</v>
      </c>
      <c r="BQ113" s="814">
        <f t="shared" ca="1" si="57"/>
        <v>4080698.2444444438</v>
      </c>
      <c r="BR113" s="9">
        <f t="shared" ca="1" si="58"/>
        <v>5.6885579182438015E-2</v>
      </c>
      <c r="BT113" s="22" t="s">
        <v>281</v>
      </c>
      <c r="BU113" s="819">
        <f t="shared" ca="1" si="59"/>
        <v>4337997.083333333</v>
      </c>
      <c r="BV113" s="820">
        <f t="shared" ca="1" si="60"/>
        <v>6.0472365706800556E-2</v>
      </c>
      <c r="BX113" s="22" t="s">
        <v>281</v>
      </c>
      <c r="BY113" s="818">
        <f t="shared" ca="1" si="61"/>
        <v>3.967197682108544E-2</v>
      </c>
      <c r="BZ113" s="818">
        <f t="shared" ca="1" si="61"/>
        <v>0</v>
      </c>
      <c r="CA113" s="818">
        <f t="shared" ca="1" si="61"/>
        <v>0</v>
      </c>
      <c r="CB113" s="818">
        <f t="shared" ca="1" si="61"/>
        <v>0</v>
      </c>
      <c r="CC113" s="818">
        <f t="shared" ca="1" si="61"/>
        <v>0</v>
      </c>
      <c r="CD113" s="818">
        <f t="shared" ca="1" si="61"/>
        <v>0</v>
      </c>
      <c r="CE113" s="818">
        <f t="shared" ca="1" si="61"/>
        <v>0</v>
      </c>
      <c r="CF113" s="818">
        <f t="shared" ca="1" si="62"/>
        <v>2.0800388885715115E-2</v>
      </c>
    </row>
    <row r="114" spans="68:84" x14ac:dyDescent="0.25">
      <c r="BP114" s="50" t="s">
        <v>261</v>
      </c>
      <c r="BQ114" s="814">
        <f t="shared" ca="1" si="57"/>
        <v>3728370.0620012279</v>
      </c>
      <c r="BR114" s="9">
        <f t="shared" ca="1" si="58"/>
        <v>5.1974068573226902E-2</v>
      </c>
      <c r="BT114" s="22" t="s">
        <v>309</v>
      </c>
      <c r="BU114" s="819">
        <f t="shared" ca="1" si="59"/>
        <v>3904314.1404166669</v>
      </c>
      <c r="BV114" s="820">
        <f t="shared" ca="1" si="60"/>
        <v>5.4426756864503656E-2</v>
      </c>
      <c r="BX114" s="22" t="s">
        <v>309</v>
      </c>
      <c r="BY114" s="818">
        <f t="shared" ca="1" si="61"/>
        <v>0</v>
      </c>
      <c r="BZ114" s="818">
        <f t="shared" ca="1" si="61"/>
        <v>0</v>
      </c>
      <c r="CA114" s="818">
        <f t="shared" ca="1" si="61"/>
        <v>0</v>
      </c>
      <c r="CB114" s="818">
        <f t="shared" ca="1" si="61"/>
        <v>5.4426756864503656E-2</v>
      </c>
      <c r="CC114" s="818">
        <f t="shared" ca="1" si="61"/>
        <v>0</v>
      </c>
      <c r="CD114" s="818">
        <f t="shared" ca="1" si="61"/>
        <v>0</v>
      </c>
      <c r="CE114" s="818">
        <f t="shared" ca="1" si="61"/>
        <v>0</v>
      </c>
      <c r="CF114" s="818">
        <f t="shared" ca="1" si="62"/>
        <v>0</v>
      </c>
    </row>
    <row r="115" spans="68:84" x14ac:dyDescent="0.25">
      <c r="BP115" s="50" t="s">
        <v>327</v>
      </c>
      <c r="BQ115" s="814">
        <f t="shared" ca="1" si="57"/>
        <v>1870799.9228333333</v>
      </c>
      <c r="BR115" s="9">
        <f t="shared" ca="1" si="58"/>
        <v>2.6079246925380779E-2</v>
      </c>
      <c r="BT115" s="22" t="s">
        <v>262</v>
      </c>
      <c r="BU115" s="819">
        <f t="shared" ca="1" si="59"/>
        <v>3817299.5064456724</v>
      </c>
      <c r="BV115" s="820">
        <f t="shared" ca="1" si="60"/>
        <v>5.3213759099347474E-2</v>
      </c>
      <c r="BX115" s="22" t="s">
        <v>262</v>
      </c>
      <c r="BY115" s="818">
        <f t="shared" ca="1" si="61"/>
        <v>0</v>
      </c>
      <c r="BZ115" s="818">
        <f t="shared" ca="1" si="61"/>
        <v>0</v>
      </c>
      <c r="CA115" s="818">
        <f t="shared" ca="1" si="61"/>
        <v>0</v>
      </c>
      <c r="CB115" s="818">
        <f t="shared" ca="1" si="61"/>
        <v>0</v>
      </c>
      <c r="CC115" s="818">
        <f t="shared" ca="1" si="61"/>
        <v>0</v>
      </c>
      <c r="CD115" s="818">
        <f t="shared" ca="1" si="61"/>
        <v>0</v>
      </c>
      <c r="CE115" s="818">
        <f t="shared" ca="1" si="61"/>
        <v>4.3237562313334289E-2</v>
      </c>
      <c r="CF115" s="818">
        <f t="shared" ca="1" si="62"/>
        <v>9.9761967860131848E-3</v>
      </c>
    </row>
    <row r="116" spans="68:84" x14ac:dyDescent="0.25">
      <c r="BP116" s="50" t="s">
        <v>284</v>
      </c>
      <c r="BQ116" s="814">
        <f t="shared" ca="1" si="57"/>
        <v>1365730.5555555555</v>
      </c>
      <c r="BR116" s="9">
        <f t="shared" ca="1" si="58"/>
        <v>1.9038500032610855E-2</v>
      </c>
      <c r="BT116" s="22" t="s">
        <v>270</v>
      </c>
      <c r="BU116" s="819">
        <f t="shared" ca="1" si="59"/>
        <v>3641957.5</v>
      </c>
      <c r="BV116" s="820">
        <f t="shared" ca="1" si="60"/>
        <v>5.0769463786590086E-2</v>
      </c>
      <c r="BX116" s="22" t="s">
        <v>270</v>
      </c>
      <c r="BY116" s="818">
        <f t="shared" ca="1" si="61"/>
        <v>2.1952752065109295E-2</v>
      </c>
      <c r="BZ116" s="818">
        <f t="shared" ca="1" si="61"/>
        <v>0</v>
      </c>
      <c r="CA116" s="818">
        <f t="shared" ca="1" si="61"/>
        <v>2.0430056965757989E-2</v>
      </c>
      <c r="CB116" s="818">
        <f t="shared" ca="1" si="61"/>
        <v>0</v>
      </c>
      <c r="CC116" s="818">
        <f t="shared" ca="1" si="61"/>
        <v>0</v>
      </c>
      <c r="CD116" s="818">
        <f t="shared" ca="1" si="61"/>
        <v>0</v>
      </c>
      <c r="CE116" s="818">
        <f t="shared" ca="1" si="61"/>
        <v>0</v>
      </c>
      <c r="CF116" s="818">
        <f t="shared" ca="1" si="62"/>
        <v>8.3866547557227972E-3</v>
      </c>
    </row>
    <row r="117" spans="68:84" x14ac:dyDescent="0.25">
      <c r="BP117" s="50" t="s">
        <v>264</v>
      </c>
      <c r="BQ117" s="814">
        <f t="shared" ca="1" si="57"/>
        <v>1310781.7777777778</v>
      </c>
      <c r="BR117" s="9">
        <f t="shared" ca="1" si="58"/>
        <v>1.8272505376301366E-2</v>
      </c>
      <c r="BT117" s="22" t="s">
        <v>265</v>
      </c>
      <c r="BU117" s="819">
        <f t="shared" ca="1" si="59"/>
        <v>3178434.444444444</v>
      </c>
      <c r="BV117" s="820">
        <f t="shared" ca="1" si="60"/>
        <v>4.4307879052754677E-2</v>
      </c>
      <c r="BX117" s="22" t="s">
        <v>265</v>
      </c>
      <c r="BY117" s="818">
        <f t="shared" ca="1" si="61"/>
        <v>8.4761738051029531E-3</v>
      </c>
      <c r="BZ117" s="818">
        <f t="shared" ca="1" si="61"/>
        <v>0</v>
      </c>
      <c r="CA117" s="818">
        <f t="shared" ca="1" si="61"/>
        <v>8.7005406516806969E-3</v>
      </c>
      <c r="CB117" s="818">
        <f t="shared" ca="1" si="61"/>
        <v>0</v>
      </c>
      <c r="CC117" s="818">
        <f t="shared" ca="1" si="61"/>
        <v>0</v>
      </c>
      <c r="CD117" s="818">
        <f t="shared" ca="1" si="61"/>
        <v>1.4751591598154156E-2</v>
      </c>
      <c r="CE117" s="818">
        <f t="shared" ca="1" si="61"/>
        <v>0</v>
      </c>
      <c r="CF117" s="818">
        <f t="shared" ca="1" si="62"/>
        <v>1.2379572997816869E-2</v>
      </c>
    </row>
    <row r="118" spans="68:84" x14ac:dyDescent="0.25">
      <c r="BP118" s="50" t="s">
        <v>275</v>
      </c>
      <c r="BQ118" s="814">
        <f t="shared" ca="1" si="57"/>
        <v>1289932.0833333333</v>
      </c>
      <c r="BR118" s="9">
        <f t="shared" ca="1" si="58"/>
        <v>1.7981857336872378E-2</v>
      </c>
      <c r="BT118" s="22" t="s">
        <v>287</v>
      </c>
      <c r="BU118" s="819">
        <f t="shared" ca="1" si="59"/>
        <v>2656651.111111111</v>
      </c>
      <c r="BV118" s="820">
        <f t="shared" ca="1" si="60"/>
        <v>3.7034136828658727E-2</v>
      </c>
      <c r="BX118" s="22" t="s">
        <v>287</v>
      </c>
      <c r="BY118" s="818">
        <f t="shared" ref="BY118:CE132" ca="1" si="63">SUMIFS($AC$2:$AC$98,$AL$2:$AL$98,$BT118,$AK$2:$AK$98,BY$107)/SUM($BU$108:$BU$135)</f>
        <v>0</v>
      </c>
      <c r="BZ118" s="818">
        <f t="shared" ca="1" si="63"/>
        <v>0</v>
      </c>
      <c r="CA118" s="818">
        <f t="shared" ca="1" si="63"/>
        <v>0</v>
      </c>
      <c r="CB118" s="818">
        <f t="shared" ca="1" si="63"/>
        <v>2.7378277134047134E-2</v>
      </c>
      <c r="CC118" s="818">
        <f t="shared" ca="1" si="63"/>
        <v>0</v>
      </c>
      <c r="CD118" s="818">
        <f t="shared" ca="1" si="63"/>
        <v>0</v>
      </c>
      <c r="CE118" s="818">
        <f t="shared" ca="1" si="63"/>
        <v>0</v>
      </c>
      <c r="CF118" s="818">
        <f t="shared" ca="1" si="62"/>
        <v>9.6558596946115932E-3</v>
      </c>
    </row>
    <row r="119" spans="68:84" x14ac:dyDescent="0.25">
      <c r="BP119" s="50" t="s">
        <v>308</v>
      </c>
      <c r="BQ119" s="814">
        <f t="shared" ca="1" si="57"/>
        <v>1067662.5</v>
      </c>
      <c r="BR119" s="9">
        <f t="shared" ca="1" si="58"/>
        <v>1.4883384177341513E-2</v>
      </c>
      <c r="BT119" s="22" t="s">
        <v>340</v>
      </c>
      <c r="BU119" s="819">
        <f t="shared" ca="1" si="59"/>
        <v>1810912.926666667</v>
      </c>
      <c r="BV119" s="820">
        <f t="shared" ca="1" si="60"/>
        <v>2.5244412723397027E-2</v>
      </c>
      <c r="BX119" s="22" t="s">
        <v>340</v>
      </c>
      <c r="BY119" s="818">
        <f t="shared" ca="1" si="63"/>
        <v>0</v>
      </c>
      <c r="BZ119" s="818">
        <f t="shared" ca="1" si="63"/>
        <v>2.5244412723397027E-2</v>
      </c>
      <c r="CA119" s="818">
        <f t="shared" ca="1" si="63"/>
        <v>0</v>
      </c>
      <c r="CB119" s="818">
        <f t="shared" ca="1" si="63"/>
        <v>0</v>
      </c>
      <c r="CC119" s="818">
        <f t="shared" ca="1" si="63"/>
        <v>0</v>
      </c>
      <c r="CD119" s="818">
        <f t="shared" ca="1" si="63"/>
        <v>0</v>
      </c>
      <c r="CE119" s="818">
        <f t="shared" ca="1" si="63"/>
        <v>0</v>
      </c>
      <c r="CF119" s="818">
        <f t="shared" ca="1" si="62"/>
        <v>0</v>
      </c>
    </row>
    <row r="120" spans="68:84" x14ac:dyDescent="0.25">
      <c r="BP120" s="50" t="s">
        <v>357</v>
      </c>
      <c r="BQ120" s="814">
        <f t="shared" ca="1" si="57"/>
        <v>707432.98611111101</v>
      </c>
      <c r="BR120" s="9">
        <f t="shared" ca="1" si="58"/>
        <v>9.8617277576158822E-3</v>
      </c>
      <c r="BT120" s="22" t="s">
        <v>273</v>
      </c>
      <c r="BU120" s="819">
        <f t="shared" ca="1" si="59"/>
        <v>2274733.8277777778</v>
      </c>
      <c r="BV120" s="820">
        <f t="shared" ca="1" si="60"/>
        <v>3.1710149471402493E-2</v>
      </c>
      <c r="BX120" s="22" t="s">
        <v>273</v>
      </c>
      <c r="BY120" s="818">
        <f t="shared" ca="1" si="63"/>
        <v>9.0548994736754963E-3</v>
      </c>
      <c r="BZ120" s="818">
        <f t="shared" ca="1" si="63"/>
        <v>0</v>
      </c>
      <c r="CA120" s="818">
        <f t="shared" ca="1" si="63"/>
        <v>0</v>
      </c>
      <c r="CB120" s="818">
        <f t="shared" ca="1" si="63"/>
        <v>0</v>
      </c>
      <c r="CC120" s="818">
        <f t="shared" ca="1" si="63"/>
        <v>0</v>
      </c>
      <c r="CD120" s="818">
        <f t="shared" ca="1" si="63"/>
        <v>9.8287099120279373E-3</v>
      </c>
      <c r="CE120" s="818">
        <f t="shared" ca="1" si="63"/>
        <v>0</v>
      </c>
      <c r="CF120" s="818">
        <f t="shared" ca="1" si="62"/>
        <v>1.282654008569906E-2</v>
      </c>
    </row>
    <row r="121" spans="68:84" x14ac:dyDescent="0.25">
      <c r="BP121" s="50" t="s">
        <v>321</v>
      </c>
      <c r="BQ121" s="814">
        <f t="shared" ca="1" si="57"/>
        <v>920114.38333333319</v>
      </c>
      <c r="BR121" s="9">
        <f t="shared" ca="1" si="58"/>
        <v>1.2826540085699062E-2</v>
      </c>
      <c r="BT121" s="22" t="s">
        <v>299</v>
      </c>
      <c r="BU121" s="819">
        <f t="shared" ca="1" si="59"/>
        <v>1942386.6666666665</v>
      </c>
      <c r="BV121" s="820">
        <f t="shared" ca="1" si="60"/>
        <v>2.7077177460991447E-2</v>
      </c>
      <c r="BX121" s="22" t="s">
        <v>299</v>
      </c>
      <c r="BY121" s="818">
        <f t="shared" ca="1" si="63"/>
        <v>0</v>
      </c>
      <c r="BZ121" s="818">
        <f t="shared" ca="1" si="63"/>
        <v>0</v>
      </c>
      <c r="CA121" s="818">
        <f t="shared" ca="1" si="63"/>
        <v>0</v>
      </c>
      <c r="CB121" s="818">
        <f t="shared" ca="1" si="63"/>
        <v>0</v>
      </c>
      <c r="CC121" s="818">
        <f t="shared" ca="1" si="63"/>
        <v>0</v>
      </c>
      <c r="CD121" s="818">
        <f t="shared" ca="1" si="63"/>
        <v>2.7077177460991447E-2</v>
      </c>
      <c r="CE121" s="818">
        <f t="shared" ca="1" si="63"/>
        <v>0</v>
      </c>
      <c r="CF121" s="818">
        <f t="shared" ca="1" si="62"/>
        <v>0</v>
      </c>
    </row>
    <row r="122" spans="68:84" x14ac:dyDescent="0.25">
      <c r="BP122" s="50" t="s">
        <v>304</v>
      </c>
      <c r="BQ122" s="814">
        <f t="shared" ca="1" si="57"/>
        <v>857284.39999999991</v>
      </c>
      <c r="BR122" s="9">
        <f t="shared" ca="1" si="58"/>
        <v>1.1950680176967638E-2</v>
      </c>
      <c r="BT122" s="22" t="s">
        <v>323</v>
      </c>
      <c r="BU122" s="819">
        <f t="shared" ca="1" si="59"/>
        <v>1334147.986111111</v>
      </c>
      <c r="BV122" s="820">
        <f t="shared" ca="1" si="60"/>
        <v>1.8598234017508482E-2</v>
      </c>
      <c r="BX122" s="22" t="s">
        <v>323</v>
      </c>
      <c r="BY122" s="818">
        <f t="shared" ca="1" si="63"/>
        <v>0</v>
      </c>
      <c r="BZ122" s="818">
        <f t="shared" ca="1" si="63"/>
        <v>0</v>
      </c>
      <c r="CA122" s="818">
        <f t="shared" ca="1" si="63"/>
        <v>0</v>
      </c>
      <c r="CB122" s="818">
        <f t="shared" ca="1" si="63"/>
        <v>0</v>
      </c>
      <c r="CC122" s="818">
        <f t="shared" ca="1" si="63"/>
        <v>0</v>
      </c>
      <c r="CD122" s="818">
        <f t="shared" ca="1" si="63"/>
        <v>0</v>
      </c>
      <c r="CE122" s="818">
        <f t="shared" ca="1" si="63"/>
        <v>8.7365062598926003E-3</v>
      </c>
      <c r="CF122" s="818">
        <f t="shared" ca="1" si="62"/>
        <v>9.8617277576158822E-3</v>
      </c>
    </row>
    <row r="123" spans="68:84" x14ac:dyDescent="0.25">
      <c r="BP123" s="50" t="s">
        <v>319</v>
      </c>
      <c r="BQ123" s="814">
        <f t="shared" ca="1" si="57"/>
        <v>715644.44444444461</v>
      </c>
      <c r="BR123" s="9">
        <f t="shared" ca="1" si="58"/>
        <v>9.9761967860131865E-3</v>
      </c>
      <c r="BT123" s="22" t="s">
        <v>349</v>
      </c>
      <c r="BU123" s="819">
        <f t="shared" ca="1" si="59"/>
        <v>1442145.2777777778</v>
      </c>
      <c r="BV123" s="820">
        <f t="shared" ca="1" si="60"/>
        <v>2.0103733350853432E-2</v>
      </c>
      <c r="BX123" s="22" t="s">
        <v>349</v>
      </c>
      <c r="BY123" s="818">
        <f t="shared" ca="1" si="63"/>
        <v>2.0103733350853432E-2</v>
      </c>
      <c r="BZ123" s="818">
        <f t="shared" ca="1" si="63"/>
        <v>0</v>
      </c>
      <c r="CA123" s="818">
        <f t="shared" ca="1" si="63"/>
        <v>0</v>
      </c>
      <c r="CB123" s="818">
        <f t="shared" ca="1" si="63"/>
        <v>0</v>
      </c>
      <c r="CC123" s="818">
        <f t="shared" ca="1" si="63"/>
        <v>0</v>
      </c>
      <c r="CD123" s="818">
        <f t="shared" ca="1" si="63"/>
        <v>0</v>
      </c>
      <c r="CE123" s="818">
        <f t="shared" ca="1" si="63"/>
        <v>0</v>
      </c>
      <c r="CF123" s="818">
        <f t="shared" ca="1" si="62"/>
        <v>0</v>
      </c>
    </row>
    <row r="124" spans="68:84" x14ac:dyDescent="0.25">
      <c r="BP124" s="50" t="s">
        <v>286</v>
      </c>
      <c r="BQ124" s="814">
        <f t="shared" ca="1" si="57"/>
        <v>692665</v>
      </c>
      <c r="BR124" s="9">
        <f t="shared" ca="1" si="58"/>
        <v>9.6558596946116019E-3</v>
      </c>
      <c r="BT124" s="22" t="s">
        <v>267</v>
      </c>
      <c r="BU124" s="819">
        <f t="shared" ca="1" si="59"/>
        <v>1393365.625</v>
      </c>
      <c r="BV124" s="820">
        <f t="shared" ca="1" si="60"/>
        <v>1.942373727313319E-2</v>
      </c>
      <c r="BX124" s="22" t="s">
        <v>267</v>
      </c>
      <c r="BY124" s="818">
        <f t="shared" ca="1" si="63"/>
        <v>0</v>
      </c>
      <c r="BZ124" s="818">
        <f t="shared" ca="1" si="63"/>
        <v>0</v>
      </c>
      <c r="CA124" s="818">
        <f t="shared" ca="1" si="63"/>
        <v>1.942373727313319E-2</v>
      </c>
      <c r="CB124" s="818">
        <f t="shared" ca="1" si="63"/>
        <v>0</v>
      </c>
      <c r="CC124" s="818">
        <f t="shared" ca="1" si="63"/>
        <v>0</v>
      </c>
      <c r="CD124" s="818">
        <f t="shared" ca="1" si="63"/>
        <v>0</v>
      </c>
      <c r="CE124" s="818">
        <f t="shared" ca="1" si="63"/>
        <v>0</v>
      </c>
      <c r="CF124" s="818">
        <f t="shared" ca="1" si="62"/>
        <v>0</v>
      </c>
    </row>
    <row r="125" spans="68:84" x14ac:dyDescent="0.25">
      <c r="BP125" s="50" t="s">
        <v>293</v>
      </c>
      <c r="BQ125" s="814">
        <f t="shared" ca="1" si="57"/>
        <v>596426.66666666663</v>
      </c>
      <c r="BR125" s="9">
        <f t="shared" ca="1" si="58"/>
        <v>8.314282100955318E-3</v>
      </c>
      <c r="BT125" s="22" t="s">
        <v>354</v>
      </c>
      <c r="BU125" s="819">
        <f t="shared" ca="1" si="59"/>
        <v>1046267.2222222222</v>
      </c>
      <c r="BV125" s="820">
        <f t="shared" ca="1" si="60"/>
        <v>1.4585130619922752E-2</v>
      </c>
      <c r="BX125" s="22" t="s">
        <v>354</v>
      </c>
      <c r="BY125" s="818">
        <f t="shared" ca="1" si="63"/>
        <v>0</v>
      </c>
      <c r="BZ125" s="818">
        <f t="shared" ca="1" si="63"/>
        <v>1.4585130619922752E-2</v>
      </c>
      <c r="CA125" s="818">
        <f t="shared" ca="1" si="63"/>
        <v>0</v>
      </c>
      <c r="CB125" s="818">
        <f t="shared" ca="1" si="63"/>
        <v>0</v>
      </c>
      <c r="CC125" s="818">
        <f t="shared" ca="1" si="63"/>
        <v>0</v>
      </c>
      <c r="CD125" s="818">
        <f t="shared" ca="1" si="63"/>
        <v>0</v>
      </c>
      <c r="CE125" s="818">
        <f t="shared" ca="1" si="63"/>
        <v>0</v>
      </c>
      <c r="CF125" s="818">
        <f t="shared" ca="1" si="62"/>
        <v>0</v>
      </c>
    </row>
    <row r="126" spans="68:84" x14ac:dyDescent="0.25">
      <c r="BP126" s="50" t="s">
        <v>462</v>
      </c>
      <c r="BQ126" s="814">
        <f t="shared" ca="1" si="57"/>
        <v>566155.56828000001</v>
      </c>
      <c r="BR126" s="9">
        <f t="shared" ca="1" si="58"/>
        <v>7.8922981999015093E-3</v>
      </c>
      <c r="BT126" s="22" t="s">
        <v>282</v>
      </c>
      <c r="BU126" s="819">
        <f t="shared" ca="1" si="59"/>
        <v>846983.08888888883</v>
      </c>
      <c r="BV126" s="820">
        <f t="shared" ca="1" si="60"/>
        <v>1.1807078270188122E-2</v>
      </c>
      <c r="BX126" s="22" t="s">
        <v>282</v>
      </c>
      <c r="BY126" s="818">
        <f t="shared" ca="1" si="63"/>
        <v>1.1807078270188122E-2</v>
      </c>
      <c r="BZ126" s="818">
        <f t="shared" ca="1" si="63"/>
        <v>0</v>
      </c>
      <c r="CA126" s="818">
        <f t="shared" ca="1" si="63"/>
        <v>0</v>
      </c>
      <c r="CB126" s="818">
        <f t="shared" ca="1" si="63"/>
        <v>0</v>
      </c>
      <c r="CC126" s="818">
        <f t="shared" ca="1" si="63"/>
        <v>0</v>
      </c>
      <c r="CD126" s="818">
        <f t="shared" ca="1" si="63"/>
        <v>0</v>
      </c>
      <c r="CE126" s="818">
        <f t="shared" ca="1" si="63"/>
        <v>0</v>
      </c>
      <c r="CF126" s="818">
        <f t="shared" ca="1" si="62"/>
        <v>0</v>
      </c>
    </row>
    <row r="127" spans="68:84" x14ac:dyDescent="0.25">
      <c r="BP127" s="50" t="s">
        <v>1504</v>
      </c>
      <c r="BQ127" s="814">
        <f t="shared" ca="1" si="57"/>
        <v>601618.33333333337</v>
      </c>
      <c r="BR127" s="9">
        <f t="shared" ca="1" si="58"/>
        <v>8.386654755722811E-3</v>
      </c>
      <c r="BT127" s="22" t="s">
        <v>460</v>
      </c>
      <c r="BU127" s="819">
        <f t="shared" ca="1" si="59"/>
        <v>542380.34100000001</v>
      </c>
      <c r="BV127" s="820">
        <f t="shared" ca="1" si="60"/>
        <v>7.560867769862192E-3</v>
      </c>
      <c r="BX127" s="22" t="s">
        <v>460</v>
      </c>
      <c r="BY127" s="818">
        <f t="shared" ca="1" si="63"/>
        <v>0</v>
      </c>
      <c r="BZ127" s="818">
        <f t="shared" ca="1" si="63"/>
        <v>0</v>
      </c>
      <c r="CA127" s="818">
        <f t="shared" ca="1" si="63"/>
        <v>0</v>
      </c>
      <c r="CB127" s="818">
        <f t="shared" ca="1" si="63"/>
        <v>0</v>
      </c>
      <c r="CC127" s="818">
        <f t="shared" ca="1" si="63"/>
        <v>7.560867769862192E-3</v>
      </c>
      <c r="CD127" s="818">
        <f t="shared" ca="1" si="63"/>
        <v>0</v>
      </c>
      <c r="CE127" s="818">
        <f t="shared" ca="1" si="63"/>
        <v>0</v>
      </c>
      <c r="CF127" s="818">
        <f t="shared" ca="1" si="62"/>
        <v>0</v>
      </c>
    </row>
    <row r="128" spans="68:84" x14ac:dyDescent="0.25">
      <c r="BP128" s="50" t="s">
        <v>254</v>
      </c>
      <c r="BQ128" s="814">
        <f t="shared" ca="1" si="57"/>
        <v>440108.73853591166</v>
      </c>
      <c r="BR128" s="9">
        <f t="shared" ca="1" si="58"/>
        <v>6.1351854499292801E-3</v>
      </c>
      <c r="BT128" s="22" t="s">
        <v>464</v>
      </c>
      <c r="BU128" s="819">
        <f t="shared" ca="1" si="59"/>
        <v>488298.85699999996</v>
      </c>
      <c r="BV128" s="820">
        <f t="shared" ca="1" si="60"/>
        <v>6.8069633260395904E-3</v>
      </c>
      <c r="BX128" s="22" t="s">
        <v>464</v>
      </c>
      <c r="BY128" s="818">
        <f t="shared" ca="1" si="63"/>
        <v>0</v>
      </c>
      <c r="BZ128" s="818">
        <f t="shared" ca="1" si="63"/>
        <v>0</v>
      </c>
      <c r="CA128" s="818">
        <f t="shared" ca="1" si="63"/>
        <v>0</v>
      </c>
      <c r="CB128" s="818">
        <f t="shared" ca="1" si="63"/>
        <v>0</v>
      </c>
      <c r="CC128" s="818">
        <f t="shared" ca="1" si="63"/>
        <v>6.8069633260395904E-3</v>
      </c>
      <c r="CD128" s="818">
        <f t="shared" ca="1" si="63"/>
        <v>0</v>
      </c>
      <c r="CE128" s="818">
        <f t="shared" ca="1" si="63"/>
        <v>0</v>
      </c>
      <c r="CF128" s="818">
        <f t="shared" ca="1" si="62"/>
        <v>0</v>
      </c>
    </row>
    <row r="129" spans="68:84" x14ac:dyDescent="0.25">
      <c r="BP129" s="50" t="s">
        <v>332</v>
      </c>
      <c r="BQ129" s="814">
        <f t="shared" ca="1" si="57"/>
        <v>418186.66666666674</v>
      </c>
      <c r="BR129" s="9">
        <f t="shared" ca="1" si="58"/>
        <v>5.8295882995252311E-3</v>
      </c>
      <c r="BT129" s="22" t="s">
        <v>255</v>
      </c>
      <c r="BU129" s="819">
        <f t="shared" ca="1" si="59"/>
        <v>440108.73853591166</v>
      </c>
      <c r="BV129" s="820">
        <f t="shared" ca="1" si="60"/>
        <v>6.1351854499292792E-3</v>
      </c>
      <c r="BX129" s="22" t="s">
        <v>255</v>
      </c>
      <c r="BY129" s="818">
        <f t="shared" ca="1" si="63"/>
        <v>0</v>
      </c>
      <c r="BZ129" s="818">
        <f t="shared" ca="1" si="63"/>
        <v>0</v>
      </c>
      <c r="CA129" s="818">
        <f t="shared" ca="1" si="63"/>
        <v>0</v>
      </c>
      <c r="CB129" s="818">
        <f t="shared" ca="1" si="63"/>
        <v>0</v>
      </c>
      <c r="CC129" s="818">
        <f t="shared" ca="1" si="63"/>
        <v>0</v>
      </c>
      <c r="CD129" s="818">
        <f t="shared" ca="1" si="63"/>
        <v>0</v>
      </c>
      <c r="CE129" s="818">
        <f t="shared" ca="1" si="63"/>
        <v>0</v>
      </c>
      <c r="CF129" s="818">
        <f t="shared" ca="1" si="62"/>
        <v>6.1351854499292792E-3</v>
      </c>
    </row>
    <row r="130" spans="68:84" x14ac:dyDescent="0.25">
      <c r="BP130" s="50" t="s">
        <v>2489</v>
      </c>
      <c r="BQ130" s="814">
        <f t="shared" ca="1" si="57"/>
        <v>801208.72222222225</v>
      </c>
      <c r="BR130" s="9">
        <f t="shared" ca="1" si="58"/>
        <v>1.116897635635815E-2</v>
      </c>
      <c r="BT130" s="22" t="s">
        <v>306</v>
      </c>
      <c r="BU130" s="819">
        <f t="shared" ca="1" si="59"/>
        <v>218691.11111111107</v>
      </c>
      <c r="BV130" s="820">
        <f t="shared" ca="1" si="60"/>
        <v>3.0485886905612441E-3</v>
      </c>
      <c r="BX130" s="22" t="s">
        <v>306</v>
      </c>
      <c r="BY130" s="818">
        <f t="shared" ca="1" si="63"/>
        <v>0</v>
      </c>
      <c r="BZ130" s="818">
        <f t="shared" ca="1" si="63"/>
        <v>0</v>
      </c>
      <c r="CA130" s="818">
        <f t="shared" ca="1" si="63"/>
        <v>3.0485886905612441E-3</v>
      </c>
      <c r="CB130" s="818">
        <f t="shared" ca="1" si="63"/>
        <v>0</v>
      </c>
      <c r="CC130" s="818">
        <f t="shared" ca="1" si="63"/>
        <v>0</v>
      </c>
      <c r="CD130" s="818">
        <f t="shared" ca="1" si="63"/>
        <v>0</v>
      </c>
      <c r="CE130" s="818">
        <f t="shared" ca="1" si="63"/>
        <v>0</v>
      </c>
      <c r="CF130" s="818">
        <f t="shared" ca="1" si="62"/>
        <v>0</v>
      </c>
    </row>
    <row r="131" spans="68:84" x14ac:dyDescent="0.25">
      <c r="BP131" s="50" t="s">
        <v>335</v>
      </c>
      <c r="BQ131" s="814">
        <f t="shared" ca="1" si="57"/>
        <v>356980</v>
      </c>
      <c r="BR131" s="9">
        <f t="shared" ca="1" si="58"/>
        <v>4.9763576819710099E-3</v>
      </c>
      <c r="BT131" s="22" t="s">
        <v>333</v>
      </c>
      <c r="BU131" s="819">
        <f t="shared" ca="1" si="59"/>
        <v>418186.66666666674</v>
      </c>
      <c r="BV131" s="820">
        <f t="shared" ca="1" si="60"/>
        <v>5.8295882995252303E-3</v>
      </c>
      <c r="BX131" s="22" t="s">
        <v>333</v>
      </c>
      <c r="BY131" s="818">
        <f t="shared" ca="1" si="63"/>
        <v>0</v>
      </c>
      <c r="BZ131" s="818">
        <f t="shared" ca="1" si="63"/>
        <v>0</v>
      </c>
      <c r="CA131" s="818">
        <f t="shared" ca="1" si="63"/>
        <v>0</v>
      </c>
      <c r="CB131" s="818">
        <f t="shared" ca="1" si="63"/>
        <v>0</v>
      </c>
      <c r="CC131" s="818">
        <f t="shared" ca="1" si="63"/>
        <v>0</v>
      </c>
      <c r="CD131" s="818">
        <f t="shared" ca="1" si="63"/>
        <v>0</v>
      </c>
      <c r="CE131" s="818">
        <f t="shared" ca="1" si="63"/>
        <v>0</v>
      </c>
      <c r="CF131" s="818">
        <f t="shared" ca="1" si="62"/>
        <v>5.8295882995252303E-3</v>
      </c>
    </row>
    <row r="132" spans="68:84" x14ac:dyDescent="0.25">
      <c r="BP132" s="50" t="s">
        <v>1644</v>
      </c>
      <c r="BQ132" s="814">
        <f t="shared" ca="1" si="57"/>
        <v>284069.88974999997</v>
      </c>
      <c r="BR132" s="9">
        <f t="shared" ca="1" si="58"/>
        <v>3.9599792091267582E-3</v>
      </c>
      <c r="BT132" s="22" t="s">
        <v>337</v>
      </c>
      <c r="BU132" s="819">
        <f t="shared" ca="1" si="59"/>
        <v>386256.66666666669</v>
      </c>
      <c r="BV132" s="820">
        <f t="shared" ca="1" si="60"/>
        <v>5.3844790475073732E-3</v>
      </c>
      <c r="BX132" s="22" t="s">
        <v>337</v>
      </c>
      <c r="BY132" s="818">
        <f t="shared" ca="1" si="63"/>
        <v>0</v>
      </c>
      <c r="BZ132" s="818">
        <f t="shared" ca="1" si="63"/>
        <v>0</v>
      </c>
      <c r="CA132" s="818">
        <f t="shared" ca="1" si="63"/>
        <v>5.3844790475073732E-3</v>
      </c>
      <c r="CB132" s="818">
        <f t="shared" ca="1" si="63"/>
        <v>0</v>
      </c>
      <c r="CC132" s="818">
        <f t="shared" ca="1" si="63"/>
        <v>0</v>
      </c>
      <c r="CD132" s="818">
        <f t="shared" ca="1" si="63"/>
        <v>0</v>
      </c>
      <c r="CE132" s="818">
        <f t="shared" ca="1" si="63"/>
        <v>0</v>
      </c>
      <c r="CF132" s="818">
        <f t="shared" ca="1" si="62"/>
        <v>0</v>
      </c>
    </row>
    <row r="133" spans="68:84" x14ac:dyDescent="0.25">
      <c r="BT133" s="818"/>
      <c r="BU133" s="818"/>
      <c r="BV133" s="818"/>
      <c r="BW133" s="818"/>
      <c r="BX133" s="818"/>
      <c r="BY133" s="818"/>
      <c r="BZ133" s="818"/>
      <c r="CA133" s="818"/>
      <c r="CB133" s="818"/>
      <c r="CC133" s="818"/>
      <c r="CD133" s="818"/>
      <c r="CE133" s="818"/>
      <c r="CF133" s="818"/>
    </row>
    <row r="134" spans="68:84" x14ac:dyDescent="0.25">
      <c r="BT134" s="818"/>
      <c r="BU134" s="818"/>
      <c r="BV134" s="818"/>
      <c r="BW134" s="818"/>
      <c r="BX134" s="818"/>
      <c r="BY134" s="818"/>
      <c r="BZ134" s="818"/>
      <c r="CA134" s="818"/>
      <c r="CB134" s="818"/>
      <c r="CC134" s="818"/>
      <c r="CD134" s="818"/>
      <c r="CE134" s="818"/>
      <c r="CF134" s="818"/>
    </row>
    <row r="135" spans="68:84" x14ac:dyDescent="0.25">
      <c r="BP135" s="17"/>
      <c r="BQ135" s="9"/>
      <c r="BT135" s="818"/>
      <c r="BU135" s="818"/>
      <c r="BV135" s="818"/>
      <c r="BW135" s="818"/>
      <c r="BX135" s="818"/>
      <c r="BY135" s="818"/>
      <c r="BZ135" s="818"/>
      <c r="CA135" s="818"/>
      <c r="CB135" s="818"/>
      <c r="CC135" s="818"/>
      <c r="CD135" s="818"/>
      <c r="CE135" s="818"/>
      <c r="CF135" s="818"/>
    </row>
    <row r="136" spans="68:84" x14ac:dyDescent="0.25">
      <c r="BP136" s="17"/>
      <c r="BQ136" s="9"/>
      <c r="BT136" s="818"/>
      <c r="BU136" s="818"/>
      <c r="BV136" s="818"/>
      <c r="BW136" s="818"/>
      <c r="BX136" s="818"/>
      <c r="BY136" s="818"/>
      <c r="BZ136" s="818"/>
      <c r="CA136" s="818"/>
      <c r="CB136" s="818"/>
      <c r="CC136" s="818"/>
      <c r="CD136" s="818"/>
      <c r="CE136" s="818"/>
      <c r="CF136" s="818"/>
    </row>
    <row r="137" spans="68:84" x14ac:dyDescent="0.25">
      <c r="BP137" s="17"/>
      <c r="BQ137" s="9"/>
    </row>
    <row r="138" spans="68:84" ht="45" x14ac:dyDescent="0.25">
      <c r="BP138" s="17"/>
      <c r="BQ138" s="9"/>
      <c r="BT138" s="815" t="s">
        <v>2478</v>
      </c>
      <c r="BU138" s="816" t="s">
        <v>1148</v>
      </c>
      <c r="BV138" s="817" t="s">
        <v>2491</v>
      </c>
      <c r="BX138" s="815" t="s">
        <v>2478</v>
      </c>
      <c r="BY138" s="816" t="s">
        <v>280</v>
      </c>
      <c r="BZ138" s="816" t="s">
        <v>289</v>
      </c>
      <c r="CA138" s="816" t="s">
        <v>258</v>
      </c>
      <c r="CB138" s="816" t="s">
        <v>312</v>
      </c>
      <c r="CC138" s="816" t="s">
        <v>295</v>
      </c>
      <c r="CD138" s="816" t="s">
        <v>278</v>
      </c>
      <c r="CE138" s="816" t="s">
        <v>261</v>
      </c>
      <c r="CF138" s="368" t="s">
        <v>2247</v>
      </c>
    </row>
    <row r="139" spans="68:84" x14ac:dyDescent="0.25">
      <c r="BP139" s="17"/>
      <c r="BQ139" s="9"/>
      <c r="BT139" s="22" t="s">
        <v>2475</v>
      </c>
      <c r="BU139" s="821">
        <f ca="1">SUMIFS($AC$2:$AC$98,$AM$2:$AM$98,BT139)</f>
        <v>34591047.624013335</v>
      </c>
      <c r="BV139" s="76">
        <f ca="1">BU139/SUM($BU$139:$BU$141)</f>
        <v>0.48220467693199565</v>
      </c>
      <c r="BX139" s="22" t="s">
        <v>2476</v>
      </c>
      <c r="BY139" s="818">
        <f t="shared" ref="BY139:CE141" ca="1" si="64">SUMIFS($AC$2:$AC$98,$AM$2:$AM$98,$BX139,$AK$2:$AK$98,BY$138)/SUM($BU$139:$BU$141)</f>
        <v>0.18277718290568934</v>
      </c>
      <c r="BZ139" s="818">
        <f t="shared" ca="1" si="64"/>
        <v>0</v>
      </c>
      <c r="CA139" s="818">
        <f t="shared" ca="1" si="64"/>
        <v>9.3350388109389504E-2</v>
      </c>
      <c r="CB139" s="818">
        <f t="shared" ca="1" si="64"/>
        <v>0</v>
      </c>
      <c r="CC139" s="818">
        <f t="shared" ca="1" si="64"/>
        <v>1.6637345882027699E-2</v>
      </c>
      <c r="CD139" s="818">
        <f t="shared" ca="1" si="64"/>
        <v>9.828709912027939E-3</v>
      </c>
      <c r="CE139" s="818">
        <f t="shared" ca="1" si="64"/>
        <v>5.1974068573226902E-2</v>
      </c>
      <c r="CF139" s="818">
        <f ca="1">BV139-SUM(BY139:CE139)</f>
        <v>0.12763698154963427</v>
      </c>
    </row>
    <row r="140" spans="68:84" x14ac:dyDescent="0.25">
      <c r="BP140" s="17"/>
      <c r="BQ140" s="9"/>
      <c r="BT140" s="22" t="s">
        <v>2476</v>
      </c>
      <c r="BU140" s="821">
        <f ca="1">SUMIFS($AC$2:$AC$98,$AM$2:$AM$98,BT140)</f>
        <v>32961414.264974892</v>
      </c>
      <c r="BV140" s="76">
        <f ca="1">BU140/SUM($BU$139:$BU$141)</f>
        <v>0.45948733006369158</v>
      </c>
      <c r="BX140" s="22" t="s">
        <v>2475</v>
      </c>
      <c r="BY140" s="818">
        <f t="shared" ca="1" si="64"/>
        <v>3.355995413952343E-2</v>
      </c>
      <c r="BZ140" s="818">
        <f t="shared" ca="1" si="64"/>
        <v>0.14893977369030945</v>
      </c>
      <c r="CA140" s="818">
        <f t="shared" ca="1" si="64"/>
        <v>1.7133608389749314E-2</v>
      </c>
      <c r="CB140" s="818">
        <f t="shared" ca="1" si="64"/>
        <v>0.12200084251495877</v>
      </c>
      <c r="CC140" s="818">
        <f t="shared" ca="1" si="64"/>
        <v>3.8320620666461885E-2</v>
      </c>
      <c r="CD140" s="818">
        <f t="shared" ca="1" si="64"/>
        <v>1.9979691809418627E-2</v>
      </c>
      <c r="CE140" s="818">
        <f t="shared" ca="1" si="64"/>
        <v>0</v>
      </c>
      <c r="CF140" s="818">
        <f ca="1">BV140-SUM(BY140:CE140)</f>
        <v>7.9552838853270136E-2</v>
      </c>
    </row>
    <row r="141" spans="68:84" x14ac:dyDescent="0.25">
      <c r="BP141" s="17"/>
      <c r="BQ141" s="9"/>
      <c r="BT141" s="22" t="s">
        <v>2477</v>
      </c>
      <c r="BU141" s="821">
        <f ca="1">SUMIFS($AC$2:$AC$98,$AM$2:$AM$98,BT141)</f>
        <v>4182735.3805555552</v>
      </c>
      <c r="BV141" s="76">
        <f ca="1">BU141/SUM($BU$139:$BU$141)</f>
        <v>5.8307993004312768E-2</v>
      </c>
      <c r="BX141" s="22" t="s">
        <v>2477</v>
      </c>
      <c r="BY141" s="818">
        <f t="shared" ca="1" si="64"/>
        <v>1.1807078270188124E-2</v>
      </c>
      <c r="BZ141" s="818">
        <f t="shared" ca="1" si="64"/>
        <v>0</v>
      </c>
      <c r="CA141" s="818">
        <f t="shared" ca="1" si="64"/>
        <v>1.9423737273133193E-2</v>
      </c>
      <c r="CB141" s="818">
        <f t="shared" ca="1" si="64"/>
        <v>0</v>
      </c>
      <c r="CC141" s="818">
        <f t="shared" ca="1" si="64"/>
        <v>0</v>
      </c>
      <c r="CD141" s="818">
        <f t="shared" ca="1" si="64"/>
        <v>2.7077177460991454E-2</v>
      </c>
      <c r="CE141" s="818">
        <f t="shared" ca="1" si="64"/>
        <v>0</v>
      </c>
      <c r="CF141" s="818">
        <f ca="1">BV141-SUM(BY141:CE141)</f>
        <v>0</v>
      </c>
    </row>
    <row r="142" spans="68:84" x14ac:dyDescent="0.25">
      <c r="BP142" s="17"/>
      <c r="BQ142" s="9"/>
    </row>
    <row r="143" spans="68:84" x14ac:dyDescent="0.25">
      <c r="BP143" s="17"/>
      <c r="BQ143" s="9"/>
      <c r="BT143" s="815" t="s">
        <v>2478</v>
      </c>
      <c r="BU143" s="816" t="s">
        <v>1148</v>
      </c>
      <c r="BV143" s="817" t="s">
        <v>2491</v>
      </c>
    </row>
    <row r="144" spans="68:84" x14ac:dyDescent="0.25">
      <c r="BP144" s="17"/>
      <c r="BQ144" s="9"/>
      <c r="BT144" s="22" t="s">
        <v>283</v>
      </c>
      <c r="BU144" s="822">
        <f ca="1">SUMIFS($BU$108:$BU$135,$BT$108:$BT$135,BT144)</f>
        <v>7734545.9543911107</v>
      </c>
      <c r="BV144" s="76">
        <f t="shared" ref="BV144:BV156" ca="1" si="65">BU144/SUM($BU$144:$BU$156)</f>
        <v>0.10782079437697349</v>
      </c>
    </row>
    <row r="145" spans="68:74" x14ac:dyDescent="0.25">
      <c r="BP145" s="17"/>
      <c r="BQ145" s="9"/>
      <c r="BT145" s="22" t="s">
        <v>294</v>
      </c>
      <c r="BU145" s="822">
        <f ca="1">SUMIFS($BU$108:$BU$135,$BT$108:$BT$135,BT145)</f>
        <v>6054139.8516083341</v>
      </c>
      <c r="BV145" s="76">
        <f t="shared" ca="1" si="65"/>
        <v>8.4395667427525245E-2</v>
      </c>
    </row>
    <row r="146" spans="68:74" x14ac:dyDescent="0.25">
      <c r="BP146" s="17"/>
      <c r="BQ146" s="9"/>
      <c r="BT146" s="22" t="s">
        <v>209</v>
      </c>
      <c r="BU146" s="822">
        <f ca="1">BU140-SUM(BU144,BU145,BU147,BU148)-BU132-BU130</f>
        <v>12732695.125642115</v>
      </c>
      <c r="BV146" s="76">
        <f t="shared" ca="1" si="65"/>
        <v>0.17749578463971083</v>
      </c>
    </row>
    <row r="147" spans="68:74" x14ac:dyDescent="0.25">
      <c r="BP147" s="17"/>
      <c r="BQ147" s="9"/>
      <c r="BT147" s="22" t="s">
        <v>287</v>
      </c>
      <c r="BU147" s="822">
        <f ca="1">SUMIFS($BU$108:$BU$135,$BT$108:$BT$135,BT147)</f>
        <v>2656651.111111111</v>
      </c>
      <c r="BV147" s="76">
        <f t="shared" ca="1" si="65"/>
        <v>3.7034136828658734E-2</v>
      </c>
    </row>
    <row r="148" spans="68:74" x14ac:dyDescent="0.25">
      <c r="BP148" s="17"/>
      <c r="BQ148" s="9"/>
      <c r="BT148" s="22" t="s">
        <v>265</v>
      </c>
      <c r="BU148" s="822">
        <f ca="1">SUMIFS($BU$108:$BU$135,$BT$108:$BT$135,BT148)</f>
        <v>3178434.444444444</v>
      </c>
      <c r="BV148" s="826">
        <f t="shared" ca="1" si="65"/>
        <v>4.4307879052754684E-2</v>
      </c>
    </row>
    <row r="149" spans="68:74" x14ac:dyDescent="0.25">
      <c r="BP149" s="17"/>
      <c r="BQ149" s="9"/>
      <c r="BT149" s="823" t="s">
        <v>2493</v>
      </c>
      <c r="BU149" s="824">
        <f ca="1">SUM(BU132,BU130)</f>
        <v>604947.77777777775</v>
      </c>
      <c r="BV149" s="825">
        <f t="shared" ca="1" si="65"/>
        <v>8.4330677380686191E-3</v>
      </c>
    </row>
    <row r="150" spans="68:74" x14ac:dyDescent="0.25">
      <c r="BP150" s="17"/>
      <c r="BQ150" s="9"/>
      <c r="BT150" s="22" t="s">
        <v>276</v>
      </c>
      <c r="BU150" s="822">
        <f ca="1">SUMIFS($BU$108:$BU$135,$BT$108:$BT$135,BT150)</f>
        <v>8799972.7941222228</v>
      </c>
      <c r="BV150" s="76">
        <f t="shared" ca="1" si="65"/>
        <v>0.12267301309643681</v>
      </c>
    </row>
    <row r="151" spans="68:74" x14ac:dyDescent="0.25">
      <c r="BP151" s="17"/>
      <c r="BQ151" s="9"/>
      <c r="BT151" s="22" t="s">
        <v>259</v>
      </c>
      <c r="BU151" s="822">
        <f ca="1">SUMIFS($BU$108:$BU$135,$BT$108:$BT$135,BT151)</f>
        <v>6454864.8842044193</v>
      </c>
      <c r="BV151" s="76">
        <f t="shared" ca="1" si="65"/>
        <v>8.9981837785297697E-2</v>
      </c>
    </row>
    <row r="152" spans="68:74" x14ac:dyDescent="0.25">
      <c r="BP152" s="17"/>
      <c r="BQ152" s="9"/>
      <c r="BT152" s="22" t="s">
        <v>281</v>
      </c>
      <c r="BU152" s="822">
        <f ca="1">SUMIFS($BU$108:$BU$135,$BT$108:$BT$135,BT152)</f>
        <v>4337997.083333333</v>
      </c>
      <c r="BV152" s="76">
        <f t="shared" ca="1" si="65"/>
        <v>6.047236570680057E-2</v>
      </c>
    </row>
    <row r="153" spans="68:74" x14ac:dyDescent="0.25">
      <c r="BP153" s="17"/>
      <c r="BQ153" s="9"/>
      <c r="BT153" s="22" t="s">
        <v>262</v>
      </c>
      <c r="BU153" s="822">
        <f ca="1">SUMIFS($BU$108:$BU$135,$BT$108:$BT$135,BT153)</f>
        <v>3817299.5064456724</v>
      </c>
      <c r="BV153" s="76">
        <f t="shared" ca="1" si="65"/>
        <v>5.3213759099347488E-2</v>
      </c>
    </row>
    <row r="154" spans="68:74" x14ac:dyDescent="0.25">
      <c r="BP154" s="17"/>
      <c r="BQ154" s="9"/>
      <c r="BT154" s="22" t="s">
        <v>270</v>
      </c>
      <c r="BU154" s="822">
        <f ca="1">SUMIFS($BU$108:$BU$135,$BT$108:$BT$135,BT154)</f>
        <v>3641957.5</v>
      </c>
      <c r="BV154" s="76">
        <f t="shared" ca="1" si="65"/>
        <v>5.0769463786590099E-2</v>
      </c>
    </row>
    <row r="155" spans="68:74" x14ac:dyDescent="0.25">
      <c r="BP155" s="17"/>
      <c r="BQ155" s="9"/>
      <c r="BT155" s="823" t="s">
        <v>2492</v>
      </c>
      <c r="BU155" s="824">
        <f ca="1">BU139-SUM(BU150:BU154)</f>
        <v>7538955.8559076861</v>
      </c>
      <c r="BV155" s="825">
        <f t="shared" ca="1" si="65"/>
        <v>0.10509423745752294</v>
      </c>
    </row>
    <row r="156" spans="68:74" x14ac:dyDescent="0.25">
      <c r="BP156" s="17"/>
      <c r="BQ156" s="9"/>
      <c r="BT156" s="22" t="s">
        <v>2477</v>
      </c>
      <c r="BU156" s="822">
        <f ca="1">BU141</f>
        <v>4182735.3805555552</v>
      </c>
      <c r="BV156" s="76">
        <f t="shared" ca="1" si="65"/>
        <v>5.8307993004312768E-2</v>
      </c>
    </row>
    <row r="157" spans="68:74" x14ac:dyDescent="0.25">
      <c r="BP157" s="17"/>
      <c r="BQ157" s="9"/>
    </row>
  </sheetData>
  <autoFilter ref="AT1:BF98" xr:uid="{00000000-0001-0000-0200-000000000000}"/>
  <phoneticPr fontId="11" type="noConversion"/>
  <conditionalFormatting sqref="I1:I1048576 F3:F8">
    <cfRule type="cellIs" dxfId="11" priority="13" operator="equal">
      <formula>0</formula>
    </cfRule>
  </conditionalFormatting>
  <conditionalFormatting sqref="M1:M1048576">
    <cfRule type="cellIs" dxfId="10" priority="15" operator="between">
      <formula>TODAY()</formula>
      <formula>TODAY()+365</formula>
    </cfRule>
  </conditionalFormatting>
  <conditionalFormatting sqref="N2:N98">
    <cfRule type="dataBar" priority="15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{E5862E82-7CF2-4DEA-AF8A-14F84CCEA089}</x14:id>
        </ext>
      </extLst>
    </cfRule>
  </conditionalFormatting>
  <conditionalFormatting sqref="O2:O98">
    <cfRule type="colorScale" priority="15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2:P98">
    <cfRule type="colorScale" priority="15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1">
    <cfRule type="iconSet" priority="18">
      <iconSet iconSet="3Symbols2">
        <cfvo type="percent" val="0"/>
        <cfvo type="percent" val="33"/>
        <cfvo type="percent" val="67"/>
      </iconSet>
    </cfRule>
  </conditionalFormatting>
  <conditionalFormatting sqref="AI1">
    <cfRule type="iconSet" priority="19">
      <iconSet iconSet="3Symbols2">
        <cfvo type="percent" val="0"/>
        <cfvo type="percent" val="33"/>
        <cfvo type="percent" val="67"/>
      </iconSet>
    </cfRule>
  </conditionalFormatting>
  <conditionalFormatting sqref="AI156:AI1048576 BP135:BP157 AI2:AI104 BP107">
    <cfRule type="iconSet" priority="1431">
      <iconSet iconSet="3Arrows">
        <cfvo type="percent" val="0"/>
        <cfvo type="percent" val="33"/>
        <cfvo type="percent" val="67"/>
      </iconSet>
    </cfRule>
  </conditionalFormatting>
  <conditionalFormatting sqref="AJ1:AJ98">
    <cfRule type="iconSet" priority="1569">
      <iconSet iconSet="3Symbols2">
        <cfvo type="percent" val="0"/>
        <cfvo type="percent" val="33"/>
        <cfvo type="percent" val="67"/>
      </iconSet>
    </cfRule>
  </conditionalFormatting>
  <conditionalFormatting sqref="BT107">
    <cfRule type="iconSet" priority="12">
      <iconSet iconSet="3Arrows">
        <cfvo type="percent" val="0"/>
        <cfvo type="percent" val="33"/>
        <cfvo type="percent" val="67"/>
      </iconSet>
    </cfRule>
  </conditionalFormatting>
  <conditionalFormatting sqref="BT138">
    <cfRule type="iconSet" priority="6">
      <iconSet iconSet="3Arrows">
        <cfvo type="percent" val="0"/>
        <cfvo type="percent" val="33"/>
        <cfvo type="percent" val="67"/>
      </iconSet>
    </cfRule>
  </conditionalFormatting>
  <conditionalFormatting sqref="BT143">
    <cfRule type="iconSet" priority="1">
      <iconSet iconSet="3Arrows">
        <cfvo type="percent" val="0"/>
        <cfvo type="percent" val="33"/>
        <cfvo type="percent" val="67"/>
      </iconSet>
    </cfRule>
  </conditionalFormatting>
  <conditionalFormatting sqref="BX107">
    <cfRule type="iconSet" priority="8">
      <iconSet iconSet="3Arrows">
        <cfvo type="percent" val="0"/>
        <cfvo type="percent" val="33"/>
        <cfvo type="percent" val="67"/>
      </iconSet>
    </cfRule>
  </conditionalFormatting>
  <conditionalFormatting sqref="BX138">
    <cfRule type="iconSet" priority="5">
      <iconSet iconSet="3Arrows">
        <cfvo type="percent" val="0"/>
        <cfvo type="percent" val="33"/>
        <cfvo type="percent" val="67"/>
      </iconSet>
    </cfRule>
  </conditionalFormatting>
  <conditionalFormatting sqref="BY108:CF136 BT133:BX136">
    <cfRule type="cellIs" dxfId="9" priority="9" operator="notEqual">
      <formula>0</formula>
    </cfRule>
    <cfRule type="cellIs" dxfId="8" priority="10" operator="equal">
      <formula>0</formula>
    </cfRule>
    <cfRule type="colorScale" priority="11">
      <colorScale>
        <cfvo type="min"/>
        <cfvo type="max"/>
        <color rgb="FFFCFCFF"/>
        <color rgb="FF63BE7B"/>
      </colorScale>
    </cfRule>
  </conditionalFormatting>
  <conditionalFormatting sqref="BY139:CF141">
    <cfRule type="cellIs" dxfId="7" priority="2" operator="notEqual">
      <formula>0</formula>
    </cfRule>
    <cfRule type="cellIs" dxfId="6" priority="3" operator="equal">
      <formula>0</formula>
    </cfRule>
    <cfRule type="colorScale" priority="4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 r:id="rId1"/>
  <legacy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5862E82-7CF2-4DEA-AF8A-14F84CCEA08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N2:N98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9">
    <tabColor theme="8" tint="0.79998168889431442"/>
  </sheetPr>
  <dimension ref="A1:BG33"/>
  <sheetViews>
    <sheetView workbookViewId="0">
      <pane xSplit="3" ySplit="1" topLeftCell="AE2" activePane="bottomRight" state="frozen"/>
      <selection pane="topRight" activeCell="D1" sqref="D1"/>
      <selection pane="bottomLeft" activeCell="A2" sqref="A2"/>
      <selection pane="bottomRight" activeCell="AJ8" sqref="A8:BG8"/>
    </sheetView>
  </sheetViews>
  <sheetFormatPr defaultColWidth="9.140625" defaultRowHeight="15" x14ac:dyDescent="0.25"/>
  <cols>
    <col min="1" max="1" width="10" style="569" customWidth="1"/>
    <col min="2" max="2" width="12.5703125" style="569" customWidth="1"/>
    <col min="3" max="3" width="82.28515625" style="569" customWidth="1"/>
    <col min="4" max="4" width="17.5703125" style="569" customWidth="1"/>
    <col min="5" max="13" width="7.42578125" style="569" customWidth="1"/>
    <col min="14" max="14" width="18.7109375" style="569" customWidth="1"/>
    <col min="15" max="15" width="12.5703125" style="569" customWidth="1"/>
    <col min="16" max="20" width="12.42578125" style="569" customWidth="1"/>
    <col min="21" max="21" width="19.7109375" style="569" customWidth="1"/>
    <col min="22" max="22" width="16.28515625" style="569" customWidth="1"/>
    <col min="23" max="23" width="11.28515625" style="569" customWidth="1"/>
    <col min="24" max="25" width="12.85546875" style="569" customWidth="1"/>
    <col min="26" max="26" width="13.28515625" style="569" bestFit="1" customWidth="1"/>
    <col min="27" max="27" width="14.85546875" style="569" customWidth="1"/>
    <col min="28" max="28" width="9.140625" style="569" customWidth="1"/>
    <col min="29" max="29" width="14.42578125" style="569" customWidth="1"/>
    <col min="30" max="30" width="7" style="569" customWidth="1"/>
    <col min="31" max="31" width="16.42578125" style="569" customWidth="1"/>
    <col min="32" max="32" width="21.7109375" style="569" customWidth="1"/>
    <col min="33" max="33" width="15.140625" style="569" customWidth="1"/>
    <col min="34" max="34" width="10.28515625" style="569" customWidth="1"/>
    <col min="35" max="35" width="18.42578125" style="569" customWidth="1"/>
    <col min="36" max="36" width="16.28515625" style="569" bestFit="1" customWidth="1"/>
    <col min="37" max="37" width="13.28515625" style="569" bestFit="1" customWidth="1"/>
    <col min="38" max="47" width="11.42578125" style="569" customWidth="1"/>
    <col min="48" max="58" width="10.5703125" style="569" bestFit="1" customWidth="1"/>
    <col min="59" max="59" width="11" style="569" customWidth="1"/>
    <col min="60" max="62" width="9.28515625" style="569" bestFit="1" customWidth="1"/>
    <col min="63" max="69" width="9.140625" style="569"/>
    <col min="70" max="70" width="9.28515625" style="569" bestFit="1" customWidth="1"/>
    <col min="71" max="72" width="9.140625" style="569"/>
    <col min="73" max="85" width="9.28515625" style="569" bestFit="1" customWidth="1"/>
    <col min="86" max="97" width="10.5703125" style="569" bestFit="1" customWidth="1"/>
    <col min="98" max="16384" width="9.140625" style="569"/>
  </cols>
  <sheetData>
    <row r="1" spans="1:59" s="567" customFormat="1" x14ac:dyDescent="0.25">
      <c r="A1" s="565" t="s">
        <v>227</v>
      </c>
      <c r="B1" s="279" t="s">
        <v>375</v>
      </c>
      <c r="C1" s="279" t="s">
        <v>228</v>
      </c>
      <c r="D1" s="279" t="s">
        <v>2478</v>
      </c>
      <c r="E1" s="279" t="s">
        <v>283</v>
      </c>
      <c r="F1" s="279" t="s">
        <v>294</v>
      </c>
      <c r="G1" s="279" t="s">
        <v>209</v>
      </c>
      <c r="H1" s="279" t="s">
        <v>2476</v>
      </c>
      <c r="I1" s="279" t="s">
        <v>2493</v>
      </c>
      <c r="J1" s="279" t="s">
        <v>2492</v>
      </c>
      <c r="K1" s="279" t="s">
        <v>2501</v>
      </c>
      <c r="L1" s="279" t="s">
        <v>2502</v>
      </c>
      <c r="M1" s="279" t="s">
        <v>2247</v>
      </c>
      <c r="N1" s="279" t="s">
        <v>230</v>
      </c>
      <c r="O1" s="279" t="s">
        <v>231</v>
      </c>
      <c r="P1" s="285" t="s">
        <v>232</v>
      </c>
      <c r="Q1" s="279" t="s">
        <v>379</v>
      </c>
      <c r="R1" s="285" t="s">
        <v>946</v>
      </c>
      <c r="S1" s="285" t="s">
        <v>947</v>
      </c>
      <c r="T1" s="286" t="s">
        <v>233</v>
      </c>
      <c r="U1" s="286" t="s">
        <v>950</v>
      </c>
      <c r="V1" s="286" t="s">
        <v>235</v>
      </c>
      <c r="W1" s="287" t="s">
        <v>29</v>
      </c>
      <c r="X1" s="288" t="s">
        <v>239</v>
      </c>
      <c r="Y1" s="288" t="s">
        <v>1053</v>
      </c>
      <c r="Z1" s="279" t="s">
        <v>948</v>
      </c>
      <c r="AA1" s="279" t="s">
        <v>241</v>
      </c>
      <c r="AB1" s="279" t="s">
        <v>376</v>
      </c>
      <c r="AC1" s="279" t="s">
        <v>380</v>
      </c>
      <c r="AD1" s="279" t="s">
        <v>377</v>
      </c>
      <c r="AE1" s="279" t="s">
        <v>245</v>
      </c>
      <c r="AF1" s="289" t="s">
        <v>246</v>
      </c>
      <c r="AG1" s="279" t="s">
        <v>381</v>
      </c>
      <c r="AH1" s="279" t="s">
        <v>949</v>
      </c>
      <c r="AI1" s="279" t="s">
        <v>253</v>
      </c>
      <c r="AJ1" s="279" t="s">
        <v>918</v>
      </c>
      <c r="AK1" s="279" t="s">
        <v>914</v>
      </c>
      <c r="AL1" s="279" t="s">
        <v>875</v>
      </c>
      <c r="AM1" s="279" t="s">
        <v>876</v>
      </c>
      <c r="AN1" s="279" t="s">
        <v>877</v>
      </c>
      <c r="AO1" s="279" t="s">
        <v>878</v>
      </c>
      <c r="AP1" s="279" t="s">
        <v>879</v>
      </c>
      <c r="AQ1" s="279" t="s">
        <v>880</v>
      </c>
      <c r="AR1" s="279" t="s">
        <v>881</v>
      </c>
      <c r="AS1" s="279" t="s">
        <v>882</v>
      </c>
      <c r="AT1" s="279" t="s">
        <v>883</v>
      </c>
      <c r="AU1" s="279" t="s">
        <v>884</v>
      </c>
      <c r="AV1" s="566" t="s">
        <v>1217</v>
      </c>
      <c r="AW1" s="566" t="s">
        <v>1218</v>
      </c>
      <c r="AX1" s="566" t="s">
        <v>1219</v>
      </c>
      <c r="AY1" s="566" t="s">
        <v>1220</v>
      </c>
      <c r="AZ1" s="566" t="s">
        <v>1221</v>
      </c>
      <c r="BA1" s="566" t="s">
        <v>1222</v>
      </c>
      <c r="BB1" s="566" t="s">
        <v>1223</v>
      </c>
      <c r="BC1" s="566" t="s">
        <v>1224</v>
      </c>
      <c r="BD1" s="566" t="s">
        <v>1225</v>
      </c>
      <c r="BE1" s="566" t="s">
        <v>1226</v>
      </c>
      <c r="BF1" s="566" t="s">
        <v>1227</v>
      </c>
      <c r="BG1" s="566" t="s">
        <v>1228</v>
      </c>
    </row>
    <row r="2" spans="1:59" x14ac:dyDescent="0.25">
      <c r="A2" s="568" t="s">
        <v>366</v>
      </c>
      <c r="B2" s="298" t="s">
        <v>187</v>
      </c>
      <c r="C2" s="298" t="s">
        <v>1081</v>
      </c>
      <c r="D2" s="1" t="s">
        <v>2479</v>
      </c>
      <c r="E2" s="1"/>
      <c r="F2" s="1"/>
      <c r="G2" s="1"/>
      <c r="H2" s="1"/>
      <c r="I2" s="1"/>
      <c r="J2" s="1"/>
      <c r="K2" s="1"/>
      <c r="L2" s="1"/>
      <c r="M2" s="1"/>
      <c r="N2" s="1" t="s">
        <v>1082</v>
      </c>
      <c r="O2" s="1" t="s">
        <v>18</v>
      </c>
      <c r="P2" s="296">
        <v>63450</v>
      </c>
      <c r="Q2" s="571">
        <v>8.19</v>
      </c>
      <c r="R2" s="572">
        <f>T_bETFs[[#This Row],[Market Price]]*T_bETFs[[#This Row],[Quantity]]</f>
        <v>519655.49999999994</v>
      </c>
      <c r="S2" s="572">
        <f>T_bETFs[[#This Row],[Market Value, CCY]]*T_bETFs[[#This Row],[Exchange rate]]</f>
        <v>519655.49999999994</v>
      </c>
      <c r="T2" s="573">
        <f>T_bETFs[[#This Row],[Coupon in CCY]]/T_bETFs[[#This Row],[Market Value, CCY]]</f>
        <v>7.3101343101343128E-2</v>
      </c>
      <c r="U2" s="277">
        <f>'Tech list'!N62*12*T_bETFs[[#This Row],[Quantity]]</f>
        <v>37987.515000000007</v>
      </c>
      <c r="V2" s="277">
        <f>IFERROR(T_bETFs[[#This Row],[Coupon in CCY]]*INDEX('Tech list'!A:C,MATCH(T_bETFs[[#This Row],[Risk CCY]],'Tech list'!A:A,0),3),"")</f>
        <v>37987.515000000007</v>
      </c>
      <c r="W2" s="101">
        <v>8.8300000000000003E-2</v>
      </c>
      <c r="X2" s="77">
        <f>W2*R2</f>
        <v>45885.580649999996</v>
      </c>
      <c r="Y2" s="77">
        <v>7.91</v>
      </c>
      <c r="Z2" s="574">
        <f>T_bETFs[[#This Row],[Cost, CCY]]*T_bETFs[[#This Row],[Quantity]]</f>
        <v>501889.5</v>
      </c>
      <c r="AA2" s="111">
        <f>T_bETFs[[#This Row],[Coupon]]</f>
        <v>7.3101343101343128E-2</v>
      </c>
      <c r="AB2" s="4">
        <f>VLOOKUP(T_bETFs[[#This Row],[Risk CCY]],'Tech list'!$A$2:$D$8,3,0)</f>
        <v>1</v>
      </c>
      <c r="AC2" s="575">
        <f>R2</f>
        <v>519655.49999999994</v>
      </c>
      <c r="AD2" s="1">
        <f>INDEX('Tech list'!A:C,MATCH(T_bETFs[[#This Row],[Risk CCY]],'Tech list'!A:A,0),3)</f>
        <v>1</v>
      </c>
      <c r="AE2" s="77">
        <f>T_bETFs[[#This Row],[Market Value, CCY]]</f>
        <v>519655.49999999994</v>
      </c>
      <c r="AF2" s="576">
        <f>AC2*T_bETFs[[#This Row],[Exchange rate2]]</f>
        <v>519655.49999999994</v>
      </c>
      <c r="AG2" s="577">
        <f>T_bETFs[[#This Row],[Market value in CCY]]-T_bETFs[[#This Row],[Cost price, CCY]]</f>
        <v>17765.999999999942</v>
      </c>
      <c r="AH2" s="585">
        <f>T_bETFs[[#This Row],[P&amp;L]]/T_bETFs[[#This Row],[Cost price, CCY]]</f>
        <v>3.5398230088495457E-2</v>
      </c>
      <c r="AI2" s="570">
        <v>12</v>
      </c>
      <c r="AJ2" s="579">
        <v>45922</v>
      </c>
      <c r="AK2" s="579">
        <f>IFERROR(EDATE(T_bETFs[[#This Row],[Coupon date 1]],12/$AI2),"")</f>
        <v>45952</v>
      </c>
      <c r="AL2" s="579">
        <f>IFERROR(EDATE(T_bETFs[[#This Row],[Coupon date 2]],12/$AI2),"")</f>
        <v>45983</v>
      </c>
      <c r="AM2" s="579">
        <f>IFERROR(EDATE(T_bETFs[[#This Row],[Coupon date 3]],12/$AI2),"")</f>
        <v>46013</v>
      </c>
      <c r="AN2" s="579">
        <f>IFERROR(EDATE(T_bETFs[[#This Row],[Coupon date 4]],12/$AI2),"")</f>
        <v>46044</v>
      </c>
      <c r="AO2" s="579">
        <f>IFERROR(EDATE(T_bETFs[[#This Row],[Coupon date 5]],12/$AI2),"")</f>
        <v>46075</v>
      </c>
      <c r="AP2" s="579">
        <f>IFERROR(EDATE(T_bETFs[[#This Row],[Coupon date 6]],12/$AI2),"")</f>
        <v>46103</v>
      </c>
      <c r="AQ2" s="579">
        <f>IFERROR(EDATE(T_bETFs[[#This Row],[Coupon date 7]],12/$AI2),"")</f>
        <v>46134</v>
      </c>
      <c r="AR2" s="579">
        <f>IFERROR(EDATE(T_bETFs[[#This Row],[Coupon date 8]],12/$AI2),"")</f>
        <v>46164</v>
      </c>
      <c r="AS2" s="579">
        <f>IFERROR(EDATE(T_bETFs[[#This Row],[Coupon date 9]],12/$AI2),"")</f>
        <v>46195</v>
      </c>
      <c r="AT2" s="579">
        <f>IFERROR(EDATE(T_bETFs[[#This Row],[Coupon date 10]],12/$AI2),"")</f>
        <v>46225</v>
      </c>
      <c r="AU2" s="579">
        <f>IFERROR(EDATE(T_bETFs[[#This Row],[Coupon date 11]],12/$AI2),"")</f>
        <v>46256</v>
      </c>
      <c r="AV2" s="580">
        <f>IFERROR(IF(
OR(
AV$1+1-1=MONTH(T_bETFs[[#This Row],[Coupon date 1]]),
AV$1+1-1=MONTH(T_bETFs[[#This Row],[Coupon date 2]]),
AV$1+1-1=MONTH(T_bETFs[[#This Row],[Coupon date 3]]),
AV$1+1-1=MONTH(T_bETFs[[#This Row],[Coupon date 4]]),
AV$1+1-1=MONTH(T_bETFs[[#This Row],[Coupon date 5]]),
AV$1+1-1=MONTH(T_bETFs[[#This Row],[Coupon date 6]]),
AV$1+1-1=MONTH(T_bETFs[[#This Row],[Coupon date 7]]),
AV$1+1-1=MONTH(T_bETFs[[#This Row],[Coupon date 8]]),
AV$1+1-1=MONTH(T_bETFs[[#This Row],[Coupon date 9]]),
AV$1+1-1=MONTH(T_bETFs[[#This Row],[Coupon date 10]]),
AV$1+1-1=MONTH(T_bETFs[[#This Row],[Coupon date 11]]),
AV$1+1-1=MONTH(T_bETFs[[#This Row],[Coupon date 12]]),),
IF('CF USD'!$A$8="on",T_bETFs[[#This Row],[Coupon in USD]],T_bETFs[[#This Row],[Coupon in CCY]])/T_bETFs[[#This Row],[Coupons per annum]],0),
"")</f>
        <v>3165.6262500000007</v>
      </c>
      <c r="AW2" s="580">
        <f>IFERROR(IF(
OR(
AW$1+1-1=MONTH(T_bETFs[[#This Row],[Coupon date 1]]),
AW$1+1-1=MONTH(T_bETFs[[#This Row],[Coupon date 2]]),
AW$1+1-1=MONTH(T_bETFs[[#This Row],[Coupon date 3]]),
AW$1+1-1=MONTH(T_bETFs[[#This Row],[Coupon date 4]]),
AW$1+1-1=MONTH(T_bETFs[[#This Row],[Coupon date 5]]),
AW$1+1-1=MONTH(T_bETFs[[#This Row],[Coupon date 6]]),
AW$1+1-1=MONTH(T_bETFs[[#This Row],[Coupon date 7]]),
AW$1+1-1=MONTH(T_bETFs[[#This Row],[Coupon date 8]]),
AW$1+1-1=MONTH(T_bETFs[[#This Row],[Coupon date 9]]),
AW$1+1-1=MONTH(T_bETFs[[#This Row],[Coupon date 10]]),
AW$1+1-1=MONTH(T_bETFs[[#This Row],[Coupon date 11]]),
AW$1+1-1=MONTH(T_bETFs[[#This Row],[Coupon date 12]]),),
IF('CF USD'!$A$8="on",T_bETFs[[#This Row],[Coupon in USD]],T_bETFs[[#This Row],[Coupon in CCY]])/T_bETFs[[#This Row],[Coupons per annum]],0),
"")</f>
        <v>3165.6262500000007</v>
      </c>
      <c r="AX2" s="580">
        <f>IFERROR(IF(
OR(
AX$1+1-1=MONTH(T_bETFs[[#This Row],[Coupon date 1]]),
AX$1+1-1=MONTH(T_bETFs[[#This Row],[Coupon date 2]]),
AX$1+1-1=MONTH(T_bETFs[[#This Row],[Coupon date 3]]),
AX$1+1-1=MONTH(T_bETFs[[#This Row],[Coupon date 4]]),
AX$1+1-1=MONTH(T_bETFs[[#This Row],[Coupon date 5]]),
AX$1+1-1=MONTH(T_bETFs[[#This Row],[Coupon date 6]]),
AX$1+1-1=MONTH(T_bETFs[[#This Row],[Coupon date 7]]),
AX$1+1-1=MONTH(T_bETFs[[#This Row],[Coupon date 8]]),
AX$1+1-1=MONTH(T_bETFs[[#This Row],[Coupon date 9]]),
AX$1+1-1=MONTH(T_bETFs[[#This Row],[Coupon date 10]]),
AX$1+1-1=MONTH(T_bETFs[[#This Row],[Coupon date 11]]),
AX$1+1-1=MONTH(T_bETFs[[#This Row],[Coupon date 12]]),),
IF('CF USD'!$A$8="on",T_bETFs[[#This Row],[Coupon in USD]],T_bETFs[[#This Row],[Coupon in CCY]])/T_bETFs[[#This Row],[Coupons per annum]],0),
"")</f>
        <v>3165.6262500000007</v>
      </c>
      <c r="AY2" s="580">
        <f>IFERROR(IF(
OR(
AY$1+1-1=MONTH(T_bETFs[[#This Row],[Coupon date 1]]),
AY$1+1-1=MONTH(T_bETFs[[#This Row],[Coupon date 2]]),
AY$1+1-1=MONTH(T_bETFs[[#This Row],[Coupon date 3]]),
AY$1+1-1=MONTH(T_bETFs[[#This Row],[Coupon date 4]]),
AY$1+1-1=MONTH(T_bETFs[[#This Row],[Coupon date 5]]),
AY$1+1-1=MONTH(T_bETFs[[#This Row],[Coupon date 6]]),
AY$1+1-1=MONTH(T_bETFs[[#This Row],[Coupon date 7]]),
AY$1+1-1=MONTH(T_bETFs[[#This Row],[Coupon date 8]]),
AY$1+1-1=MONTH(T_bETFs[[#This Row],[Coupon date 9]]),
AY$1+1-1=MONTH(T_bETFs[[#This Row],[Coupon date 10]]),
AY$1+1-1=MONTH(T_bETFs[[#This Row],[Coupon date 11]]),
AY$1+1-1=MONTH(T_bETFs[[#This Row],[Coupon date 12]]),),
IF('CF USD'!$A$8="on",T_bETFs[[#This Row],[Coupon in USD]],T_bETFs[[#This Row],[Coupon in CCY]])/T_bETFs[[#This Row],[Coupons per annum]],0),
"")</f>
        <v>3165.6262500000007</v>
      </c>
      <c r="AZ2" s="580">
        <f>IFERROR(IF(
OR(
AZ$1+1-1=MONTH(T_bETFs[[#This Row],[Coupon date 1]]),
AZ$1+1-1=MONTH(T_bETFs[[#This Row],[Coupon date 2]]),
AZ$1+1-1=MONTH(T_bETFs[[#This Row],[Coupon date 3]]),
AZ$1+1-1=MONTH(T_bETFs[[#This Row],[Coupon date 4]]),
AZ$1+1-1=MONTH(T_bETFs[[#This Row],[Coupon date 5]]),
AZ$1+1-1=MONTH(T_bETFs[[#This Row],[Coupon date 6]]),
AZ$1+1-1=MONTH(T_bETFs[[#This Row],[Coupon date 7]]),
AZ$1+1-1=MONTH(T_bETFs[[#This Row],[Coupon date 8]]),
AZ$1+1-1=MONTH(T_bETFs[[#This Row],[Coupon date 9]]),
AZ$1+1-1=MONTH(T_bETFs[[#This Row],[Coupon date 10]]),
AZ$1+1-1=MONTH(T_bETFs[[#This Row],[Coupon date 11]]),
AZ$1+1-1=MONTH(T_bETFs[[#This Row],[Coupon date 12]]),),
IF('CF USD'!$A$8="on",T_bETFs[[#This Row],[Coupon in USD]],T_bETFs[[#This Row],[Coupon in CCY]])/T_bETFs[[#This Row],[Coupons per annum]],0),
"")</f>
        <v>3165.6262500000007</v>
      </c>
      <c r="BA2" s="580">
        <f>IFERROR(IF(
OR(
BA$1+1-1=MONTH(T_bETFs[[#This Row],[Coupon date 1]]),
BA$1+1-1=MONTH(T_bETFs[[#This Row],[Coupon date 2]]),
BA$1+1-1=MONTH(T_bETFs[[#This Row],[Coupon date 3]]),
BA$1+1-1=MONTH(T_bETFs[[#This Row],[Coupon date 4]]),
BA$1+1-1=MONTH(T_bETFs[[#This Row],[Coupon date 5]]),
BA$1+1-1=MONTH(T_bETFs[[#This Row],[Coupon date 6]]),
BA$1+1-1=MONTH(T_bETFs[[#This Row],[Coupon date 7]]),
BA$1+1-1=MONTH(T_bETFs[[#This Row],[Coupon date 8]]),
BA$1+1-1=MONTH(T_bETFs[[#This Row],[Coupon date 9]]),
BA$1+1-1=MONTH(T_bETFs[[#This Row],[Coupon date 10]]),
BA$1+1-1=MONTH(T_bETFs[[#This Row],[Coupon date 11]]),
BA$1+1-1=MONTH(T_bETFs[[#This Row],[Coupon date 12]]),),
IF('CF USD'!$A$8="on",T_bETFs[[#This Row],[Coupon in USD]],T_bETFs[[#This Row],[Coupon in CCY]])/T_bETFs[[#This Row],[Coupons per annum]],0),
"")</f>
        <v>3165.6262500000007</v>
      </c>
      <c r="BB2" s="580">
        <f>IFERROR(IF(
OR(
BB$1+1-1=MONTH(T_bETFs[[#This Row],[Coupon date 1]]),
BB$1+1-1=MONTH(T_bETFs[[#This Row],[Coupon date 2]]),
BB$1+1-1=MONTH(T_bETFs[[#This Row],[Coupon date 3]]),
BB$1+1-1=MONTH(T_bETFs[[#This Row],[Coupon date 4]]),
BB$1+1-1=MONTH(T_bETFs[[#This Row],[Coupon date 5]]),
BB$1+1-1=MONTH(T_bETFs[[#This Row],[Coupon date 6]]),
BB$1+1-1=MONTH(T_bETFs[[#This Row],[Coupon date 7]]),
BB$1+1-1=MONTH(T_bETFs[[#This Row],[Coupon date 8]]),
BB$1+1-1=MONTH(T_bETFs[[#This Row],[Coupon date 9]]),
BB$1+1-1=MONTH(T_bETFs[[#This Row],[Coupon date 10]]),
BB$1+1-1=MONTH(T_bETFs[[#This Row],[Coupon date 11]]),
BB$1+1-1=MONTH(T_bETFs[[#This Row],[Coupon date 12]]),),
IF('CF USD'!$A$8="on",T_bETFs[[#This Row],[Coupon in USD]],T_bETFs[[#This Row],[Coupon in CCY]])/T_bETFs[[#This Row],[Coupons per annum]],0),
"")</f>
        <v>3165.6262500000007</v>
      </c>
      <c r="BC2" s="580">
        <f>IFERROR(IF(
OR(
BC$1+1-1=MONTH(T_bETFs[[#This Row],[Coupon date 1]]),
BC$1+1-1=MONTH(T_bETFs[[#This Row],[Coupon date 2]]),
BC$1+1-1=MONTH(T_bETFs[[#This Row],[Coupon date 3]]),
BC$1+1-1=MONTH(T_bETFs[[#This Row],[Coupon date 4]]),
BC$1+1-1=MONTH(T_bETFs[[#This Row],[Coupon date 5]]),
BC$1+1-1=MONTH(T_bETFs[[#This Row],[Coupon date 6]]),
BC$1+1-1=MONTH(T_bETFs[[#This Row],[Coupon date 7]]),
BC$1+1-1=MONTH(T_bETFs[[#This Row],[Coupon date 8]]),
BC$1+1-1=MONTH(T_bETFs[[#This Row],[Coupon date 9]]),
BC$1+1-1=MONTH(T_bETFs[[#This Row],[Coupon date 10]]),
BC$1+1-1=MONTH(T_bETFs[[#This Row],[Coupon date 11]]),
BC$1+1-1=MONTH(T_bETFs[[#This Row],[Coupon date 12]]),),
IF('CF USD'!$A$8="on",T_bETFs[[#This Row],[Coupon in USD]],T_bETFs[[#This Row],[Coupon in CCY]])/T_bETFs[[#This Row],[Coupons per annum]],0),
"")</f>
        <v>3165.6262500000007</v>
      </c>
      <c r="BD2" s="580">
        <f>IFERROR(IF(
OR(
BD$1+1-1=MONTH(T_bETFs[[#This Row],[Coupon date 1]]),
BD$1+1-1=MONTH(T_bETFs[[#This Row],[Coupon date 2]]),
BD$1+1-1=MONTH(T_bETFs[[#This Row],[Coupon date 3]]),
BD$1+1-1=MONTH(T_bETFs[[#This Row],[Coupon date 4]]),
BD$1+1-1=MONTH(T_bETFs[[#This Row],[Coupon date 5]]),
BD$1+1-1=MONTH(T_bETFs[[#This Row],[Coupon date 6]]),
BD$1+1-1=MONTH(T_bETFs[[#This Row],[Coupon date 7]]),
BD$1+1-1=MONTH(T_bETFs[[#This Row],[Coupon date 8]]),
BD$1+1-1=MONTH(T_bETFs[[#This Row],[Coupon date 9]]),
BD$1+1-1=MONTH(T_bETFs[[#This Row],[Coupon date 10]]),
BD$1+1-1=MONTH(T_bETFs[[#This Row],[Coupon date 11]]),
BD$1+1-1=MONTH(T_bETFs[[#This Row],[Coupon date 12]]),),
IF('CF USD'!$A$8="on",T_bETFs[[#This Row],[Coupon in USD]],T_bETFs[[#This Row],[Coupon in CCY]])/T_bETFs[[#This Row],[Coupons per annum]],0),
"")</f>
        <v>3165.6262500000007</v>
      </c>
      <c r="BE2" s="580">
        <f>IFERROR(IF(
OR(
BE$1+1-1=MONTH(T_bETFs[[#This Row],[Coupon date 1]]),
BE$1+1-1=MONTH(T_bETFs[[#This Row],[Coupon date 2]]),
BE$1+1-1=MONTH(T_bETFs[[#This Row],[Coupon date 3]]),
BE$1+1-1=MONTH(T_bETFs[[#This Row],[Coupon date 4]]),
BE$1+1-1=MONTH(T_bETFs[[#This Row],[Coupon date 5]]),
BE$1+1-1=MONTH(T_bETFs[[#This Row],[Coupon date 6]]),
BE$1+1-1=MONTH(T_bETFs[[#This Row],[Coupon date 7]]),
BE$1+1-1=MONTH(T_bETFs[[#This Row],[Coupon date 8]]),
BE$1+1-1=MONTH(T_bETFs[[#This Row],[Coupon date 9]]),
BE$1+1-1=MONTH(T_bETFs[[#This Row],[Coupon date 10]]),
BE$1+1-1=MONTH(T_bETFs[[#This Row],[Coupon date 11]]),
BE$1+1-1=MONTH(T_bETFs[[#This Row],[Coupon date 12]]),),
IF('CF USD'!$A$8="on",T_bETFs[[#This Row],[Coupon in USD]],T_bETFs[[#This Row],[Coupon in CCY]])/T_bETFs[[#This Row],[Coupons per annum]],0),
"")</f>
        <v>3165.6262500000007</v>
      </c>
      <c r="BF2" s="580">
        <f>IFERROR(IF(
OR(
BF$1+1-1=MONTH(T_bETFs[[#This Row],[Coupon date 1]]),
BF$1+1-1=MONTH(T_bETFs[[#This Row],[Coupon date 2]]),
BF$1+1-1=MONTH(T_bETFs[[#This Row],[Coupon date 3]]),
BF$1+1-1=MONTH(T_bETFs[[#This Row],[Coupon date 4]]),
BF$1+1-1=MONTH(T_bETFs[[#This Row],[Coupon date 5]]),
BF$1+1-1=MONTH(T_bETFs[[#This Row],[Coupon date 6]]),
BF$1+1-1=MONTH(T_bETFs[[#This Row],[Coupon date 7]]),
BF$1+1-1=MONTH(T_bETFs[[#This Row],[Coupon date 8]]),
BF$1+1-1=MONTH(T_bETFs[[#This Row],[Coupon date 9]]),
BF$1+1-1=MONTH(T_bETFs[[#This Row],[Coupon date 10]]),
BF$1+1-1=MONTH(T_bETFs[[#This Row],[Coupon date 11]]),
BF$1+1-1=MONTH(T_bETFs[[#This Row],[Coupon date 12]]),),
IF('CF USD'!$A$8="on",T_bETFs[[#This Row],[Coupon in USD]],T_bETFs[[#This Row],[Coupon in CCY]])/T_bETFs[[#This Row],[Coupons per annum]],0),
"")</f>
        <v>3165.6262500000007</v>
      </c>
      <c r="BG2" s="580">
        <f>IFERROR(IF(
OR(
BG$1+1-1=MONTH(T_bETFs[[#This Row],[Coupon date 1]]),
BG$1+1-1=MONTH(T_bETFs[[#This Row],[Coupon date 2]]),
BG$1+1-1=MONTH(T_bETFs[[#This Row],[Coupon date 3]]),
BG$1+1-1=MONTH(T_bETFs[[#This Row],[Coupon date 4]]),
BG$1+1-1=MONTH(T_bETFs[[#This Row],[Coupon date 5]]),
BG$1+1-1=MONTH(T_bETFs[[#This Row],[Coupon date 6]]),
BG$1+1-1=MONTH(T_bETFs[[#This Row],[Coupon date 7]]),
BG$1+1-1=MONTH(T_bETFs[[#This Row],[Coupon date 8]]),
BG$1+1-1=MONTH(T_bETFs[[#This Row],[Coupon date 9]]),
BG$1+1-1=MONTH(T_bETFs[[#This Row],[Coupon date 10]]),
BG$1+1-1=MONTH(T_bETFs[[#This Row],[Coupon date 11]]),
BG$1+1-1=MONTH(T_bETFs[[#This Row],[Coupon date 12]]),),
IF('CF USD'!$A$8="on",T_bETFs[[#This Row],[Coupon in USD]],T_bETFs[[#This Row],[Coupon in CCY]])/T_bETFs[[#This Row],[Coupons per annum]],0),
"")</f>
        <v>3165.6262500000007</v>
      </c>
    </row>
    <row r="3" spans="1:59" x14ac:dyDescent="0.25">
      <c r="A3" s="568" t="s">
        <v>366</v>
      </c>
      <c r="B3" s="298" t="s">
        <v>187</v>
      </c>
      <c r="C3" s="568" t="s">
        <v>1342</v>
      </c>
      <c r="D3" s="1" t="s">
        <v>2479</v>
      </c>
      <c r="E3" s="1"/>
      <c r="F3" s="1"/>
      <c r="G3" s="1"/>
      <c r="H3" s="1"/>
      <c r="I3" s="1"/>
      <c r="J3" s="1"/>
      <c r="K3" s="1"/>
      <c r="L3" s="1"/>
      <c r="M3" s="1"/>
      <c r="N3" s="569" t="s">
        <v>1343</v>
      </c>
      <c r="O3" s="1" t="s">
        <v>18</v>
      </c>
      <c r="P3" s="296">
        <v>50865</v>
      </c>
      <c r="Q3" s="571">
        <v>9.9</v>
      </c>
      <c r="R3" s="572">
        <f>T_bETFs[[#This Row],[Market Price]]*T_bETFs[[#This Row],[Quantity]]</f>
        <v>503563.5</v>
      </c>
      <c r="S3" s="572">
        <f>T_bETFs[[#This Row],[Market Value, CCY]]*T_bETFs[[#This Row],[Exchange rate]]</f>
        <v>503563.5</v>
      </c>
      <c r="T3" s="573">
        <f>T_bETFs[[#This Row],[Coupon in CCY]]/T_bETFs[[#This Row],[Market Value, CCY]]</f>
        <v>4.8662727272727274E-2</v>
      </c>
      <c r="U3" s="277">
        <f>0.481761*T_bETFs[[#This Row],[Quantity]]</f>
        <v>24504.773265</v>
      </c>
      <c r="V3" s="277">
        <f>IFERROR(T_bETFs[[#This Row],[Coupon in CCY]]*INDEX('Tech list'!A:C,MATCH(T_bETFs[[#This Row],[Risk CCY]],'Tech list'!A:A,0),3),"")</f>
        <v>24504.773265</v>
      </c>
      <c r="W3" s="101">
        <v>6.4000000000000001E-2</v>
      </c>
      <c r="X3" s="562">
        <f>W3*R3</f>
        <v>32228.064000000002</v>
      </c>
      <c r="Y3" s="77">
        <v>9.82</v>
      </c>
      <c r="Z3" s="574">
        <f>T_bETFs[[#This Row],[Cost, CCY]]*T_bETFs[[#This Row],[Quantity]]</f>
        <v>499494.3</v>
      </c>
      <c r="AA3" s="561">
        <f>T_bETFs[[#This Row],[Coupon]]</f>
        <v>4.8662727272727274E-2</v>
      </c>
      <c r="AB3" s="4">
        <f>VLOOKUP(T_bETFs[[#This Row],[Risk CCY]],'Tech list'!$A$2:$D$8,3,0)</f>
        <v>1</v>
      </c>
      <c r="AC3" s="575">
        <f>R3</f>
        <v>503563.5</v>
      </c>
      <c r="AD3" s="1">
        <f>INDEX('Tech list'!A:C,MATCH(T_bETFs[[#This Row],[Risk CCY]],'Tech list'!A:A,0),3)</f>
        <v>1</v>
      </c>
      <c r="AE3" s="15">
        <f>T_bETFs[[#This Row],[Market Value, CCY]]</f>
        <v>503563.5</v>
      </c>
      <c r="AF3" s="575">
        <f>AC3*T_bETFs[[#This Row],[Exchange rate2]]</f>
        <v>503563.5</v>
      </c>
      <c r="AG3" s="577">
        <f>T_bETFs[[#This Row],[Market value in CCY]]-T_bETFs[[#This Row],[Cost price, CCY]]</f>
        <v>4069.2000000000116</v>
      </c>
      <c r="AH3" s="585">
        <f>T_bETFs[[#This Row],[P&amp;L]]/T_bETFs[[#This Row],[Cost price, CCY]]</f>
        <v>8.1466395112016528E-3</v>
      </c>
      <c r="AI3" s="586">
        <v>4</v>
      </c>
      <c r="AJ3" s="579">
        <v>45843</v>
      </c>
      <c r="AK3" s="579">
        <f>IFERROR(EDATE(T_bETFs[[#This Row],[Coupon date 1]],12/$AI3),"")</f>
        <v>45935</v>
      </c>
      <c r="AL3" s="579">
        <f>IFERROR(EDATE(T_bETFs[[#This Row],[Coupon date 2]],12/$AI3),"")</f>
        <v>46027</v>
      </c>
      <c r="AM3" s="579">
        <f>IFERROR(EDATE(T_bETFs[[#This Row],[Coupon date 3]],12/$AI3),"")</f>
        <v>46117</v>
      </c>
      <c r="AN3" s="579">
        <f>IFERROR(EDATE(T_bETFs[[#This Row],[Coupon date 4]],12/$AI3),"")</f>
        <v>46208</v>
      </c>
      <c r="AO3" s="579">
        <f>IFERROR(EDATE(T_bETFs[[#This Row],[Coupon date 5]],12/$AI3),"")</f>
        <v>46300</v>
      </c>
      <c r="AP3" s="579">
        <f>IFERROR(EDATE(T_bETFs[[#This Row],[Coupon date 6]],12/$AI3),"")</f>
        <v>46392</v>
      </c>
      <c r="AQ3" s="579">
        <f>IFERROR(EDATE(T_bETFs[[#This Row],[Coupon date 7]],12/$AI3),"")</f>
        <v>46482</v>
      </c>
      <c r="AR3" s="579">
        <f>IFERROR(EDATE(T_bETFs[[#This Row],[Coupon date 8]],12/$AI3),"")</f>
        <v>46573</v>
      </c>
      <c r="AS3" s="579">
        <f>IFERROR(EDATE(T_bETFs[[#This Row],[Coupon date 9]],12/$AI3),"")</f>
        <v>46665</v>
      </c>
      <c r="AT3" s="579">
        <f>IFERROR(EDATE(T_bETFs[[#This Row],[Coupon date 10]],12/$AI3),"")</f>
        <v>46757</v>
      </c>
      <c r="AU3" s="579">
        <f>IFERROR(EDATE(T_bETFs[[#This Row],[Coupon date 11]],12/$AI3),"")</f>
        <v>46848</v>
      </c>
      <c r="AV3" s="576">
        <f>IFERROR(IF(
OR(
AV$1+1-1=MONTH(T_bETFs[[#This Row],[Coupon date 1]]),
AV$1+1-1=MONTH(T_bETFs[[#This Row],[Coupon date 2]]),
AV$1+1-1=MONTH(T_bETFs[[#This Row],[Coupon date 3]]),
AV$1+1-1=MONTH(T_bETFs[[#This Row],[Coupon date 4]]),
AV$1+1-1=MONTH(T_bETFs[[#This Row],[Coupon date 5]]),
AV$1+1-1=MONTH(T_bETFs[[#This Row],[Coupon date 6]]),
AV$1+1-1=MONTH(T_bETFs[[#This Row],[Coupon date 7]]),
AV$1+1-1=MONTH(T_bETFs[[#This Row],[Coupon date 8]]),
AV$1+1-1=MONTH(T_bETFs[[#This Row],[Coupon date 9]]),
AV$1+1-1=MONTH(T_bETFs[[#This Row],[Coupon date 10]]),
AV$1+1-1=MONTH(T_bETFs[[#This Row],[Coupon date 11]]),
AV$1+1-1=MONTH(T_bETFs[[#This Row],[Coupon date 12]]),),
IF('CF USD'!$A$8="on",T_bETFs[[#This Row],[Coupon in USD]],T_bETFs[[#This Row],[Coupon in CCY]])/T_bETFs[[#This Row],[Coupons per annum]],0),
"")</f>
        <v>6126.19331625</v>
      </c>
      <c r="AW3" s="576">
        <f>IFERROR(IF(
OR(
AW$1+1-1=MONTH(T_bETFs[[#This Row],[Coupon date 1]]),
AW$1+1-1=MONTH(T_bETFs[[#This Row],[Coupon date 2]]),
AW$1+1-1=MONTH(T_bETFs[[#This Row],[Coupon date 3]]),
AW$1+1-1=MONTH(T_bETFs[[#This Row],[Coupon date 4]]),
AW$1+1-1=MONTH(T_bETFs[[#This Row],[Coupon date 5]]),
AW$1+1-1=MONTH(T_bETFs[[#This Row],[Coupon date 6]]),
AW$1+1-1=MONTH(T_bETFs[[#This Row],[Coupon date 7]]),
AW$1+1-1=MONTH(T_bETFs[[#This Row],[Coupon date 8]]),
AW$1+1-1=MONTH(T_bETFs[[#This Row],[Coupon date 9]]),
AW$1+1-1=MONTH(T_bETFs[[#This Row],[Coupon date 10]]),
AW$1+1-1=MONTH(T_bETFs[[#This Row],[Coupon date 11]]),
AW$1+1-1=MONTH(T_bETFs[[#This Row],[Coupon date 12]]),),
IF('CF USD'!$A$8="on",T_bETFs[[#This Row],[Coupon in USD]],T_bETFs[[#This Row],[Coupon in CCY]])/T_bETFs[[#This Row],[Coupons per annum]],0),
"")</f>
        <v>0</v>
      </c>
      <c r="AX3" s="576">
        <f>IFERROR(IF(
OR(
AX$1+1-1=MONTH(T_bETFs[[#This Row],[Coupon date 1]]),
AX$1+1-1=MONTH(T_bETFs[[#This Row],[Coupon date 2]]),
AX$1+1-1=MONTH(T_bETFs[[#This Row],[Coupon date 3]]),
AX$1+1-1=MONTH(T_bETFs[[#This Row],[Coupon date 4]]),
AX$1+1-1=MONTH(T_bETFs[[#This Row],[Coupon date 5]]),
AX$1+1-1=MONTH(T_bETFs[[#This Row],[Coupon date 6]]),
AX$1+1-1=MONTH(T_bETFs[[#This Row],[Coupon date 7]]),
AX$1+1-1=MONTH(T_bETFs[[#This Row],[Coupon date 8]]),
AX$1+1-1=MONTH(T_bETFs[[#This Row],[Coupon date 9]]),
AX$1+1-1=MONTH(T_bETFs[[#This Row],[Coupon date 10]]),
AX$1+1-1=MONTH(T_bETFs[[#This Row],[Coupon date 11]]),
AX$1+1-1=MONTH(T_bETFs[[#This Row],[Coupon date 12]]),),
IF('CF USD'!$A$8="on",T_bETFs[[#This Row],[Coupon in USD]],T_bETFs[[#This Row],[Coupon in CCY]])/T_bETFs[[#This Row],[Coupons per annum]],0),
"")</f>
        <v>0</v>
      </c>
      <c r="AY3" s="576">
        <f>IFERROR(IF(
OR(
AY$1+1-1=MONTH(T_bETFs[[#This Row],[Coupon date 1]]),
AY$1+1-1=MONTH(T_bETFs[[#This Row],[Coupon date 2]]),
AY$1+1-1=MONTH(T_bETFs[[#This Row],[Coupon date 3]]),
AY$1+1-1=MONTH(T_bETFs[[#This Row],[Coupon date 4]]),
AY$1+1-1=MONTH(T_bETFs[[#This Row],[Coupon date 5]]),
AY$1+1-1=MONTH(T_bETFs[[#This Row],[Coupon date 6]]),
AY$1+1-1=MONTH(T_bETFs[[#This Row],[Coupon date 7]]),
AY$1+1-1=MONTH(T_bETFs[[#This Row],[Coupon date 8]]),
AY$1+1-1=MONTH(T_bETFs[[#This Row],[Coupon date 9]]),
AY$1+1-1=MONTH(T_bETFs[[#This Row],[Coupon date 10]]),
AY$1+1-1=MONTH(T_bETFs[[#This Row],[Coupon date 11]]),
AY$1+1-1=MONTH(T_bETFs[[#This Row],[Coupon date 12]]),),
IF('CF USD'!$A$8="on",T_bETFs[[#This Row],[Coupon in USD]],T_bETFs[[#This Row],[Coupon in CCY]])/T_bETFs[[#This Row],[Coupons per annum]],0),
"")</f>
        <v>6126.19331625</v>
      </c>
      <c r="AZ3" s="576">
        <f>IFERROR(IF(
OR(
AZ$1+1-1=MONTH(T_bETFs[[#This Row],[Coupon date 1]]),
AZ$1+1-1=MONTH(T_bETFs[[#This Row],[Coupon date 2]]),
AZ$1+1-1=MONTH(T_bETFs[[#This Row],[Coupon date 3]]),
AZ$1+1-1=MONTH(T_bETFs[[#This Row],[Coupon date 4]]),
AZ$1+1-1=MONTH(T_bETFs[[#This Row],[Coupon date 5]]),
AZ$1+1-1=MONTH(T_bETFs[[#This Row],[Coupon date 6]]),
AZ$1+1-1=MONTH(T_bETFs[[#This Row],[Coupon date 7]]),
AZ$1+1-1=MONTH(T_bETFs[[#This Row],[Coupon date 8]]),
AZ$1+1-1=MONTH(T_bETFs[[#This Row],[Coupon date 9]]),
AZ$1+1-1=MONTH(T_bETFs[[#This Row],[Coupon date 10]]),
AZ$1+1-1=MONTH(T_bETFs[[#This Row],[Coupon date 11]]),
AZ$1+1-1=MONTH(T_bETFs[[#This Row],[Coupon date 12]]),),
IF('CF USD'!$A$8="on",T_bETFs[[#This Row],[Coupon in USD]],T_bETFs[[#This Row],[Coupon in CCY]])/T_bETFs[[#This Row],[Coupons per annum]],0),
"")</f>
        <v>0</v>
      </c>
      <c r="BA3" s="576">
        <f>IFERROR(IF(
OR(
BA$1+1-1=MONTH(T_bETFs[[#This Row],[Coupon date 1]]),
BA$1+1-1=MONTH(T_bETFs[[#This Row],[Coupon date 2]]),
BA$1+1-1=MONTH(T_bETFs[[#This Row],[Coupon date 3]]),
BA$1+1-1=MONTH(T_bETFs[[#This Row],[Coupon date 4]]),
BA$1+1-1=MONTH(T_bETFs[[#This Row],[Coupon date 5]]),
BA$1+1-1=MONTH(T_bETFs[[#This Row],[Coupon date 6]]),
BA$1+1-1=MONTH(T_bETFs[[#This Row],[Coupon date 7]]),
BA$1+1-1=MONTH(T_bETFs[[#This Row],[Coupon date 8]]),
BA$1+1-1=MONTH(T_bETFs[[#This Row],[Coupon date 9]]),
BA$1+1-1=MONTH(T_bETFs[[#This Row],[Coupon date 10]]),
BA$1+1-1=MONTH(T_bETFs[[#This Row],[Coupon date 11]]),
BA$1+1-1=MONTH(T_bETFs[[#This Row],[Coupon date 12]]),),
IF('CF USD'!$A$8="on",T_bETFs[[#This Row],[Coupon in USD]],T_bETFs[[#This Row],[Coupon in CCY]])/T_bETFs[[#This Row],[Coupons per annum]],0),
"")</f>
        <v>0</v>
      </c>
      <c r="BB3" s="576">
        <f>IFERROR(IF(
OR(
BB$1+1-1=MONTH(T_bETFs[[#This Row],[Coupon date 1]]),
BB$1+1-1=MONTH(T_bETFs[[#This Row],[Coupon date 2]]),
BB$1+1-1=MONTH(T_bETFs[[#This Row],[Coupon date 3]]),
BB$1+1-1=MONTH(T_bETFs[[#This Row],[Coupon date 4]]),
BB$1+1-1=MONTH(T_bETFs[[#This Row],[Coupon date 5]]),
BB$1+1-1=MONTH(T_bETFs[[#This Row],[Coupon date 6]]),
BB$1+1-1=MONTH(T_bETFs[[#This Row],[Coupon date 7]]),
BB$1+1-1=MONTH(T_bETFs[[#This Row],[Coupon date 8]]),
BB$1+1-1=MONTH(T_bETFs[[#This Row],[Coupon date 9]]),
BB$1+1-1=MONTH(T_bETFs[[#This Row],[Coupon date 10]]),
BB$1+1-1=MONTH(T_bETFs[[#This Row],[Coupon date 11]]),
BB$1+1-1=MONTH(T_bETFs[[#This Row],[Coupon date 12]]),),
IF('CF USD'!$A$8="on",T_bETFs[[#This Row],[Coupon in USD]],T_bETFs[[#This Row],[Coupon in CCY]])/T_bETFs[[#This Row],[Coupons per annum]],0),
"")</f>
        <v>6126.19331625</v>
      </c>
      <c r="BC3" s="576">
        <f>IFERROR(IF(
OR(
BC$1+1-1=MONTH(T_bETFs[[#This Row],[Coupon date 1]]),
BC$1+1-1=MONTH(T_bETFs[[#This Row],[Coupon date 2]]),
BC$1+1-1=MONTH(T_bETFs[[#This Row],[Coupon date 3]]),
BC$1+1-1=MONTH(T_bETFs[[#This Row],[Coupon date 4]]),
BC$1+1-1=MONTH(T_bETFs[[#This Row],[Coupon date 5]]),
BC$1+1-1=MONTH(T_bETFs[[#This Row],[Coupon date 6]]),
BC$1+1-1=MONTH(T_bETFs[[#This Row],[Coupon date 7]]),
BC$1+1-1=MONTH(T_bETFs[[#This Row],[Coupon date 8]]),
BC$1+1-1=MONTH(T_bETFs[[#This Row],[Coupon date 9]]),
BC$1+1-1=MONTH(T_bETFs[[#This Row],[Coupon date 10]]),
BC$1+1-1=MONTH(T_bETFs[[#This Row],[Coupon date 11]]),
BC$1+1-1=MONTH(T_bETFs[[#This Row],[Coupon date 12]]),),
IF('CF USD'!$A$8="on",T_bETFs[[#This Row],[Coupon in USD]],T_bETFs[[#This Row],[Coupon in CCY]])/T_bETFs[[#This Row],[Coupons per annum]],0),
"")</f>
        <v>0</v>
      </c>
      <c r="BD3" s="576">
        <f>IFERROR(IF(
OR(
BD$1+1-1=MONTH(T_bETFs[[#This Row],[Coupon date 1]]),
BD$1+1-1=MONTH(T_bETFs[[#This Row],[Coupon date 2]]),
BD$1+1-1=MONTH(T_bETFs[[#This Row],[Coupon date 3]]),
BD$1+1-1=MONTH(T_bETFs[[#This Row],[Coupon date 4]]),
BD$1+1-1=MONTH(T_bETFs[[#This Row],[Coupon date 5]]),
BD$1+1-1=MONTH(T_bETFs[[#This Row],[Coupon date 6]]),
BD$1+1-1=MONTH(T_bETFs[[#This Row],[Coupon date 7]]),
BD$1+1-1=MONTH(T_bETFs[[#This Row],[Coupon date 8]]),
BD$1+1-1=MONTH(T_bETFs[[#This Row],[Coupon date 9]]),
BD$1+1-1=MONTH(T_bETFs[[#This Row],[Coupon date 10]]),
BD$1+1-1=MONTH(T_bETFs[[#This Row],[Coupon date 11]]),
BD$1+1-1=MONTH(T_bETFs[[#This Row],[Coupon date 12]]),),
IF('CF USD'!$A$8="on",T_bETFs[[#This Row],[Coupon in USD]],T_bETFs[[#This Row],[Coupon in CCY]])/T_bETFs[[#This Row],[Coupons per annum]],0),
"")</f>
        <v>0</v>
      </c>
      <c r="BE3" s="576">
        <f>IFERROR(IF(
OR(
BE$1+1-1=MONTH(T_bETFs[[#This Row],[Coupon date 1]]),
BE$1+1-1=MONTH(T_bETFs[[#This Row],[Coupon date 2]]),
BE$1+1-1=MONTH(T_bETFs[[#This Row],[Coupon date 3]]),
BE$1+1-1=MONTH(T_bETFs[[#This Row],[Coupon date 4]]),
BE$1+1-1=MONTH(T_bETFs[[#This Row],[Coupon date 5]]),
BE$1+1-1=MONTH(T_bETFs[[#This Row],[Coupon date 6]]),
BE$1+1-1=MONTH(T_bETFs[[#This Row],[Coupon date 7]]),
BE$1+1-1=MONTH(T_bETFs[[#This Row],[Coupon date 8]]),
BE$1+1-1=MONTH(T_bETFs[[#This Row],[Coupon date 9]]),
BE$1+1-1=MONTH(T_bETFs[[#This Row],[Coupon date 10]]),
BE$1+1-1=MONTH(T_bETFs[[#This Row],[Coupon date 11]]),
BE$1+1-1=MONTH(T_bETFs[[#This Row],[Coupon date 12]]),),
IF('CF USD'!$A$8="on",T_bETFs[[#This Row],[Coupon in USD]],T_bETFs[[#This Row],[Coupon in CCY]])/T_bETFs[[#This Row],[Coupons per annum]],0),
"")</f>
        <v>6126.19331625</v>
      </c>
      <c r="BF3" s="576">
        <f>IFERROR(IF(
OR(
BF$1+1-1=MONTH(T_bETFs[[#This Row],[Coupon date 1]]),
BF$1+1-1=MONTH(T_bETFs[[#This Row],[Coupon date 2]]),
BF$1+1-1=MONTH(T_bETFs[[#This Row],[Coupon date 3]]),
BF$1+1-1=MONTH(T_bETFs[[#This Row],[Coupon date 4]]),
BF$1+1-1=MONTH(T_bETFs[[#This Row],[Coupon date 5]]),
BF$1+1-1=MONTH(T_bETFs[[#This Row],[Coupon date 6]]),
BF$1+1-1=MONTH(T_bETFs[[#This Row],[Coupon date 7]]),
BF$1+1-1=MONTH(T_bETFs[[#This Row],[Coupon date 8]]),
BF$1+1-1=MONTH(T_bETFs[[#This Row],[Coupon date 9]]),
BF$1+1-1=MONTH(T_bETFs[[#This Row],[Coupon date 10]]),
BF$1+1-1=MONTH(T_bETFs[[#This Row],[Coupon date 11]]),
BF$1+1-1=MONTH(T_bETFs[[#This Row],[Coupon date 12]]),),
IF('CF USD'!$A$8="on",T_bETFs[[#This Row],[Coupon in USD]],T_bETFs[[#This Row],[Coupon in CCY]])/T_bETFs[[#This Row],[Coupons per annum]],0),
"")</f>
        <v>0</v>
      </c>
      <c r="BG3" s="576">
        <f>IFERROR(IF(
OR(
BG$1+1-1=MONTH(T_bETFs[[#This Row],[Coupon date 1]]),
BG$1+1-1=MONTH(T_bETFs[[#This Row],[Coupon date 2]]),
BG$1+1-1=MONTH(T_bETFs[[#This Row],[Coupon date 3]]),
BG$1+1-1=MONTH(T_bETFs[[#This Row],[Coupon date 4]]),
BG$1+1-1=MONTH(T_bETFs[[#This Row],[Coupon date 5]]),
BG$1+1-1=MONTH(T_bETFs[[#This Row],[Coupon date 6]]),
BG$1+1-1=MONTH(T_bETFs[[#This Row],[Coupon date 7]]),
BG$1+1-1=MONTH(T_bETFs[[#This Row],[Coupon date 8]]),
BG$1+1-1=MONTH(T_bETFs[[#This Row],[Coupon date 9]]),
BG$1+1-1=MONTH(T_bETFs[[#This Row],[Coupon date 10]]),
BG$1+1-1=MONTH(T_bETFs[[#This Row],[Coupon date 11]]),
BG$1+1-1=MONTH(T_bETFs[[#This Row],[Coupon date 12]]),),
IF('CF USD'!$A$8="on",T_bETFs[[#This Row],[Coupon in USD]],T_bETFs[[#This Row],[Coupon in CCY]])/T_bETFs[[#This Row],[Coupons per annum]],0),
"")</f>
        <v>0</v>
      </c>
    </row>
    <row r="4" spans="1:59" x14ac:dyDescent="0.25">
      <c r="A4" s="569" t="s">
        <v>366</v>
      </c>
      <c r="B4" s="1" t="s">
        <v>187</v>
      </c>
      <c r="C4" s="569" t="s">
        <v>2352</v>
      </c>
      <c r="D4" s="1" t="s">
        <v>2479</v>
      </c>
      <c r="E4" s="1"/>
      <c r="F4" s="1"/>
      <c r="G4" s="1"/>
      <c r="H4" s="1"/>
      <c r="I4" s="1"/>
      <c r="J4" s="1"/>
      <c r="K4" s="1"/>
      <c r="L4" s="1"/>
      <c r="M4" s="1"/>
      <c r="N4" s="569" t="s">
        <v>2357</v>
      </c>
      <c r="O4" s="1" t="s">
        <v>18</v>
      </c>
      <c r="P4" s="296">
        <v>7450</v>
      </c>
      <c r="Q4" s="571">
        <v>68.33</v>
      </c>
      <c r="R4" s="572">
        <f>T_bETFs[[#This Row],[Market Price]]*T_bETFs[[#This Row],[Quantity]]</f>
        <v>509058.5</v>
      </c>
      <c r="S4" s="572">
        <f>T_bETFs[[#This Row],[Market Value, CCY]]*T_bETFs[[#This Row],[Exchange rate]]</f>
        <v>509058.5</v>
      </c>
      <c r="T4" s="573">
        <f>T_bETFs[[#This Row],[Coupon in CCY]]/T_bETFs[[#This Row],[Market Value, CCY]]</f>
        <v>5.6871066881311223E-2</v>
      </c>
      <c r="U4" s="277">
        <f>0.323833333333333*12*T_bETFs[[#This Row],[Quantity]]</f>
        <v>28950.699999999968</v>
      </c>
      <c r="V4" s="277">
        <f>IFERROR(T_bETFs[[#This Row],[Coupon in CCY]]*INDEX('Tech list'!A:C,MATCH(T_bETFs[[#This Row],[Risk CCY]],'Tech list'!A:A,0),3),"")</f>
        <v>28950.699999999968</v>
      </c>
      <c r="W4" s="101">
        <v>8.6499999999999994E-2</v>
      </c>
      <c r="X4" s="562">
        <f>W4*R4</f>
        <v>44033.560249999995</v>
      </c>
      <c r="Y4" s="77">
        <v>67.162589261744969</v>
      </c>
      <c r="Z4" s="574">
        <f>T_bETFs[[#This Row],[Cost, CCY]]*T_bETFs[[#This Row],[Quantity]]</f>
        <v>500361.29000000004</v>
      </c>
      <c r="AA4" s="561">
        <f>T_bETFs[[#This Row],[Coupon]]</f>
        <v>5.6871066881311223E-2</v>
      </c>
      <c r="AB4" s="4">
        <f>VLOOKUP(T_bETFs[[#This Row],[Risk CCY]],'Tech list'!$A$2:$D$8,3,0)</f>
        <v>1</v>
      </c>
      <c r="AC4" s="575">
        <f>R4</f>
        <v>509058.5</v>
      </c>
      <c r="AD4" s="1">
        <f>INDEX('Tech list'!A:C,MATCH(T_bETFs[[#This Row],[Risk CCY]],'Tech list'!A:A,0),3)</f>
        <v>1</v>
      </c>
      <c r="AE4" s="15">
        <f>T_bETFs[[#This Row],[Market Value, CCY]]</f>
        <v>509058.5</v>
      </c>
      <c r="AF4" s="575">
        <f>AC4*T_bETFs[[#This Row],[Exchange rate2]]</f>
        <v>509058.5</v>
      </c>
      <c r="AG4" s="577">
        <f>T_bETFs[[#This Row],[Market value in CCY]]-T_bETFs[[#This Row],[Cost price, CCY]]</f>
        <v>8697.2099999999627</v>
      </c>
      <c r="AH4" s="585">
        <f>T_bETFs[[#This Row],[P&amp;L]]/T_bETFs[[#This Row],[Cost price, CCY]]</f>
        <v>1.7381860215445449E-2</v>
      </c>
      <c r="AI4" s="586">
        <v>12</v>
      </c>
      <c r="AJ4" s="579">
        <v>46021</v>
      </c>
      <c r="AK4" s="579">
        <f>IFERROR(EDATE(T_bETFs[[#This Row],[Coupon date 1]],12/$AI4),"")</f>
        <v>46052</v>
      </c>
      <c r="AL4" s="579">
        <f>IFERROR(EDATE(T_bETFs[[#This Row],[Coupon date 2]],12/$AI4),"")</f>
        <v>46081</v>
      </c>
      <c r="AM4" s="579">
        <f>IFERROR(EDATE(T_bETFs[[#This Row],[Coupon date 3]],12/$AI4),"")</f>
        <v>46109</v>
      </c>
      <c r="AN4" s="579">
        <f>IFERROR(EDATE(T_bETFs[[#This Row],[Coupon date 4]],12/$AI4),"")</f>
        <v>46140</v>
      </c>
      <c r="AO4" s="579">
        <f>IFERROR(EDATE(T_bETFs[[#This Row],[Coupon date 5]],12/$AI4),"")</f>
        <v>46170</v>
      </c>
      <c r="AP4" s="579">
        <f>IFERROR(EDATE(T_bETFs[[#This Row],[Coupon date 6]],12/$AI4),"")</f>
        <v>46201</v>
      </c>
      <c r="AQ4" s="579">
        <f>IFERROR(EDATE(T_bETFs[[#This Row],[Coupon date 7]],12/$AI4),"")</f>
        <v>46231</v>
      </c>
      <c r="AR4" s="579">
        <f>IFERROR(EDATE(T_bETFs[[#This Row],[Coupon date 8]],12/$AI4),"")</f>
        <v>46262</v>
      </c>
      <c r="AS4" s="579">
        <f>IFERROR(EDATE(T_bETFs[[#This Row],[Coupon date 9]],12/$AI4),"")</f>
        <v>46293</v>
      </c>
      <c r="AT4" s="579">
        <f>IFERROR(EDATE(T_bETFs[[#This Row],[Coupon date 10]],12/$AI4),"")</f>
        <v>46323</v>
      </c>
      <c r="AU4" s="579">
        <f>IFERROR(EDATE(T_bETFs[[#This Row],[Coupon date 11]],12/$AI4),"")</f>
        <v>46354</v>
      </c>
      <c r="AV4" s="576">
        <f>IFERROR(IF(
OR(
AV$1+1-1=MONTH(T_bETFs[[#This Row],[Coupon date 1]]),
AV$1+1-1=MONTH(T_bETFs[[#This Row],[Coupon date 2]]),
AV$1+1-1=MONTH(T_bETFs[[#This Row],[Coupon date 3]]),
AV$1+1-1=MONTH(T_bETFs[[#This Row],[Coupon date 4]]),
AV$1+1-1=MONTH(T_bETFs[[#This Row],[Coupon date 5]]),
AV$1+1-1=MONTH(T_bETFs[[#This Row],[Coupon date 6]]),
AV$1+1-1=MONTH(T_bETFs[[#This Row],[Coupon date 7]]),
AV$1+1-1=MONTH(T_bETFs[[#This Row],[Coupon date 8]]),
AV$1+1-1=MONTH(T_bETFs[[#This Row],[Coupon date 9]]),
AV$1+1-1=MONTH(T_bETFs[[#This Row],[Coupon date 10]]),
AV$1+1-1=MONTH(T_bETFs[[#This Row],[Coupon date 11]]),
AV$1+1-1=MONTH(T_bETFs[[#This Row],[Coupon date 12]]),),
IF('CF USD'!$A$8="on",T_bETFs[[#This Row],[Coupon in USD]],T_bETFs[[#This Row],[Coupon in CCY]])/T_bETFs[[#This Row],[Coupons per annum]],0),
"")</f>
        <v>2412.5583333333307</v>
      </c>
      <c r="AW4" s="576">
        <f>IFERROR(IF(
OR(
AW$1+1-1=MONTH(T_bETFs[[#This Row],[Coupon date 1]]),
AW$1+1-1=MONTH(T_bETFs[[#This Row],[Coupon date 2]]),
AW$1+1-1=MONTH(T_bETFs[[#This Row],[Coupon date 3]]),
AW$1+1-1=MONTH(T_bETFs[[#This Row],[Coupon date 4]]),
AW$1+1-1=MONTH(T_bETFs[[#This Row],[Coupon date 5]]),
AW$1+1-1=MONTH(T_bETFs[[#This Row],[Coupon date 6]]),
AW$1+1-1=MONTH(T_bETFs[[#This Row],[Coupon date 7]]),
AW$1+1-1=MONTH(T_bETFs[[#This Row],[Coupon date 8]]),
AW$1+1-1=MONTH(T_bETFs[[#This Row],[Coupon date 9]]),
AW$1+1-1=MONTH(T_bETFs[[#This Row],[Coupon date 10]]),
AW$1+1-1=MONTH(T_bETFs[[#This Row],[Coupon date 11]]),
AW$1+1-1=MONTH(T_bETFs[[#This Row],[Coupon date 12]]),),
IF('CF USD'!$A$8="on",T_bETFs[[#This Row],[Coupon in USD]],T_bETFs[[#This Row],[Coupon in CCY]])/T_bETFs[[#This Row],[Coupons per annum]],0),
"")</f>
        <v>2412.5583333333307</v>
      </c>
      <c r="AX4" s="576">
        <f>IFERROR(IF(
OR(
AX$1+1-1=MONTH(T_bETFs[[#This Row],[Coupon date 1]]),
AX$1+1-1=MONTH(T_bETFs[[#This Row],[Coupon date 2]]),
AX$1+1-1=MONTH(T_bETFs[[#This Row],[Coupon date 3]]),
AX$1+1-1=MONTH(T_bETFs[[#This Row],[Coupon date 4]]),
AX$1+1-1=MONTH(T_bETFs[[#This Row],[Coupon date 5]]),
AX$1+1-1=MONTH(T_bETFs[[#This Row],[Coupon date 6]]),
AX$1+1-1=MONTH(T_bETFs[[#This Row],[Coupon date 7]]),
AX$1+1-1=MONTH(T_bETFs[[#This Row],[Coupon date 8]]),
AX$1+1-1=MONTH(T_bETFs[[#This Row],[Coupon date 9]]),
AX$1+1-1=MONTH(T_bETFs[[#This Row],[Coupon date 10]]),
AX$1+1-1=MONTH(T_bETFs[[#This Row],[Coupon date 11]]),
AX$1+1-1=MONTH(T_bETFs[[#This Row],[Coupon date 12]]),),
IF('CF USD'!$A$8="on",T_bETFs[[#This Row],[Coupon in USD]],T_bETFs[[#This Row],[Coupon in CCY]])/T_bETFs[[#This Row],[Coupons per annum]],0),
"")</f>
        <v>2412.5583333333307</v>
      </c>
      <c r="AY4" s="576">
        <f>IFERROR(IF(
OR(
AY$1+1-1=MONTH(T_bETFs[[#This Row],[Coupon date 1]]),
AY$1+1-1=MONTH(T_bETFs[[#This Row],[Coupon date 2]]),
AY$1+1-1=MONTH(T_bETFs[[#This Row],[Coupon date 3]]),
AY$1+1-1=MONTH(T_bETFs[[#This Row],[Coupon date 4]]),
AY$1+1-1=MONTH(T_bETFs[[#This Row],[Coupon date 5]]),
AY$1+1-1=MONTH(T_bETFs[[#This Row],[Coupon date 6]]),
AY$1+1-1=MONTH(T_bETFs[[#This Row],[Coupon date 7]]),
AY$1+1-1=MONTH(T_bETFs[[#This Row],[Coupon date 8]]),
AY$1+1-1=MONTH(T_bETFs[[#This Row],[Coupon date 9]]),
AY$1+1-1=MONTH(T_bETFs[[#This Row],[Coupon date 10]]),
AY$1+1-1=MONTH(T_bETFs[[#This Row],[Coupon date 11]]),
AY$1+1-1=MONTH(T_bETFs[[#This Row],[Coupon date 12]]),),
IF('CF USD'!$A$8="on",T_bETFs[[#This Row],[Coupon in USD]],T_bETFs[[#This Row],[Coupon in CCY]])/T_bETFs[[#This Row],[Coupons per annum]],0),
"")</f>
        <v>2412.5583333333307</v>
      </c>
      <c r="AZ4" s="576">
        <f>IFERROR(IF(
OR(
AZ$1+1-1=MONTH(T_bETFs[[#This Row],[Coupon date 1]]),
AZ$1+1-1=MONTH(T_bETFs[[#This Row],[Coupon date 2]]),
AZ$1+1-1=MONTH(T_bETFs[[#This Row],[Coupon date 3]]),
AZ$1+1-1=MONTH(T_bETFs[[#This Row],[Coupon date 4]]),
AZ$1+1-1=MONTH(T_bETFs[[#This Row],[Coupon date 5]]),
AZ$1+1-1=MONTH(T_bETFs[[#This Row],[Coupon date 6]]),
AZ$1+1-1=MONTH(T_bETFs[[#This Row],[Coupon date 7]]),
AZ$1+1-1=MONTH(T_bETFs[[#This Row],[Coupon date 8]]),
AZ$1+1-1=MONTH(T_bETFs[[#This Row],[Coupon date 9]]),
AZ$1+1-1=MONTH(T_bETFs[[#This Row],[Coupon date 10]]),
AZ$1+1-1=MONTH(T_bETFs[[#This Row],[Coupon date 11]]),
AZ$1+1-1=MONTH(T_bETFs[[#This Row],[Coupon date 12]]),),
IF('CF USD'!$A$8="on",T_bETFs[[#This Row],[Coupon in USD]],T_bETFs[[#This Row],[Coupon in CCY]])/T_bETFs[[#This Row],[Coupons per annum]],0),
"")</f>
        <v>2412.5583333333307</v>
      </c>
      <c r="BA4" s="576">
        <f>IFERROR(IF(
OR(
BA$1+1-1=MONTH(T_bETFs[[#This Row],[Coupon date 1]]),
BA$1+1-1=MONTH(T_bETFs[[#This Row],[Coupon date 2]]),
BA$1+1-1=MONTH(T_bETFs[[#This Row],[Coupon date 3]]),
BA$1+1-1=MONTH(T_bETFs[[#This Row],[Coupon date 4]]),
BA$1+1-1=MONTH(T_bETFs[[#This Row],[Coupon date 5]]),
BA$1+1-1=MONTH(T_bETFs[[#This Row],[Coupon date 6]]),
BA$1+1-1=MONTH(T_bETFs[[#This Row],[Coupon date 7]]),
BA$1+1-1=MONTH(T_bETFs[[#This Row],[Coupon date 8]]),
BA$1+1-1=MONTH(T_bETFs[[#This Row],[Coupon date 9]]),
BA$1+1-1=MONTH(T_bETFs[[#This Row],[Coupon date 10]]),
BA$1+1-1=MONTH(T_bETFs[[#This Row],[Coupon date 11]]),
BA$1+1-1=MONTH(T_bETFs[[#This Row],[Coupon date 12]]),),
IF('CF USD'!$A$8="on",T_bETFs[[#This Row],[Coupon in USD]],T_bETFs[[#This Row],[Coupon in CCY]])/T_bETFs[[#This Row],[Coupons per annum]],0),
"")</f>
        <v>2412.5583333333307</v>
      </c>
      <c r="BB4" s="576">
        <f>IFERROR(IF(
OR(
BB$1+1-1=MONTH(T_bETFs[[#This Row],[Coupon date 1]]),
BB$1+1-1=MONTH(T_bETFs[[#This Row],[Coupon date 2]]),
BB$1+1-1=MONTH(T_bETFs[[#This Row],[Coupon date 3]]),
BB$1+1-1=MONTH(T_bETFs[[#This Row],[Coupon date 4]]),
BB$1+1-1=MONTH(T_bETFs[[#This Row],[Coupon date 5]]),
BB$1+1-1=MONTH(T_bETFs[[#This Row],[Coupon date 6]]),
BB$1+1-1=MONTH(T_bETFs[[#This Row],[Coupon date 7]]),
BB$1+1-1=MONTH(T_bETFs[[#This Row],[Coupon date 8]]),
BB$1+1-1=MONTH(T_bETFs[[#This Row],[Coupon date 9]]),
BB$1+1-1=MONTH(T_bETFs[[#This Row],[Coupon date 10]]),
BB$1+1-1=MONTH(T_bETFs[[#This Row],[Coupon date 11]]),
BB$1+1-1=MONTH(T_bETFs[[#This Row],[Coupon date 12]]),),
IF('CF USD'!$A$8="on",T_bETFs[[#This Row],[Coupon in USD]],T_bETFs[[#This Row],[Coupon in CCY]])/T_bETFs[[#This Row],[Coupons per annum]],0),
"")</f>
        <v>2412.5583333333307</v>
      </c>
      <c r="BC4" s="576">
        <f>IFERROR(IF(
OR(
BC$1+1-1=MONTH(T_bETFs[[#This Row],[Coupon date 1]]),
BC$1+1-1=MONTH(T_bETFs[[#This Row],[Coupon date 2]]),
BC$1+1-1=MONTH(T_bETFs[[#This Row],[Coupon date 3]]),
BC$1+1-1=MONTH(T_bETFs[[#This Row],[Coupon date 4]]),
BC$1+1-1=MONTH(T_bETFs[[#This Row],[Coupon date 5]]),
BC$1+1-1=MONTH(T_bETFs[[#This Row],[Coupon date 6]]),
BC$1+1-1=MONTH(T_bETFs[[#This Row],[Coupon date 7]]),
BC$1+1-1=MONTH(T_bETFs[[#This Row],[Coupon date 8]]),
BC$1+1-1=MONTH(T_bETFs[[#This Row],[Coupon date 9]]),
BC$1+1-1=MONTH(T_bETFs[[#This Row],[Coupon date 10]]),
BC$1+1-1=MONTH(T_bETFs[[#This Row],[Coupon date 11]]),
BC$1+1-1=MONTH(T_bETFs[[#This Row],[Coupon date 12]]),),
IF('CF USD'!$A$8="on",T_bETFs[[#This Row],[Coupon in USD]],T_bETFs[[#This Row],[Coupon in CCY]])/T_bETFs[[#This Row],[Coupons per annum]],0),
"")</f>
        <v>2412.5583333333307</v>
      </c>
      <c r="BD4" s="576">
        <f>IFERROR(IF(
OR(
BD$1+1-1=MONTH(T_bETFs[[#This Row],[Coupon date 1]]),
BD$1+1-1=MONTH(T_bETFs[[#This Row],[Coupon date 2]]),
BD$1+1-1=MONTH(T_bETFs[[#This Row],[Coupon date 3]]),
BD$1+1-1=MONTH(T_bETFs[[#This Row],[Coupon date 4]]),
BD$1+1-1=MONTH(T_bETFs[[#This Row],[Coupon date 5]]),
BD$1+1-1=MONTH(T_bETFs[[#This Row],[Coupon date 6]]),
BD$1+1-1=MONTH(T_bETFs[[#This Row],[Coupon date 7]]),
BD$1+1-1=MONTH(T_bETFs[[#This Row],[Coupon date 8]]),
BD$1+1-1=MONTH(T_bETFs[[#This Row],[Coupon date 9]]),
BD$1+1-1=MONTH(T_bETFs[[#This Row],[Coupon date 10]]),
BD$1+1-1=MONTH(T_bETFs[[#This Row],[Coupon date 11]]),
BD$1+1-1=MONTH(T_bETFs[[#This Row],[Coupon date 12]]),),
IF('CF USD'!$A$8="on",T_bETFs[[#This Row],[Coupon in USD]],T_bETFs[[#This Row],[Coupon in CCY]])/T_bETFs[[#This Row],[Coupons per annum]],0),
"")</f>
        <v>2412.5583333333307</v>
      </c>
      <c r="BE4" s="576">
        <f>IFERROR(IF(
OR(
BE$1+1-1=MONTH(T_bETFs[[#This Row],[Coupon date 1]]),
BE$1+1-1=MONTH(T_bETFs[[#This Row],[Coupon date 2]]),
BE$1+1-1=MONTH(T_bETFs[[#This Row],[Coupon date 3]]),
BE$1+1-1=MONTH(T_bETFs[[#This Row],[Coupon date 4]]),
BE$1+1-1=MONTH(T_bETFs[[#This Row],[Coupon date 5]]),
BE$1+1-1=MONTH(T_bETFs[[#This Row],[Coupon date 6]]),
BE$1+1-1=MONTH(T_bETFs[[#This Row],[Coupon date 7]]),
BE$1+1-1=MONTH(T_bETFs[[#This Row],[Coupon date 8]]),
BE$1+1-1=MONTH(T_bETFs[[#This Row],[Coupon date 9]]),
BE$1+1-1=MONTH(T_bETFs[[#This Row],[Coupon date 10]]),
BE$1+1-1=MONTH(T_bETFs[[#This Row],[Coupon date 11]]),
BE$1+1-1=MONTH(T_bETFs[[#This Row],[Coupon date 12]]),),
IF('CF USD'!$A$8="on",T_bETFs[[#This Row],[Coupon in USD]],T_bETFs[[#This Row],[Coupon in CCY]])/T_bETFs[[#This Row],[Coupons per annum]],0),
"")</f>
        <v>2412.5583333333307</v>
      </c>
      <c r="BF4" s="576">
        <f>IFERROR(IF(
OR(
BF$1+1-1=MONTH(T_bETFs[[#This Row],[Coupon date 1]]),
BF$1+1-1=MONTH(T_bETFs[[#This Row],[Coupon date 2]]),
BF$1+1-1=MONTH(T_bETFs[[#This Row],[Coupon date 3]]),
BF$1+1-1=MONTH(T_bETFs[[#This Row],[Coupon date 4]]),
BF$1+1-1=MONTH(T_bETFs[[#This Row],[Coupon date 5]]),
BF$1+1-1=MONTH(T_bETFs[[#This Row],[Coupon date 6]]),
BF$1+1-1=MONTH(T_bETFs[[#This Row],[Coupon date 7]]),
BF$1+1-1=MONTH(T_bETFs[[#This Row],[Coupon date 8]]),
BF$1+1-1=MONTH(T_bETFs[[#This Row],[Coupon date 9]]),
BF$1+1-1=MONTH(T_bETFs[[#This Row],[Coupon date 10]]),
BF$1+1-1=MONTH(T_bETFs[[#This Row],[Coupon date 11]]),
BF$1+1-1=MONTH(T_bETFs[[#This Row],[Coupon date 12]]),),
IF('CF USD'!$A$8="on",T_bETFs[[#This Row],[Coupon in USD]],T_bETFs[[#This Row],[Coupon in CCY]])/T_bETFs[[#This Row],[Coupons per annum]],0),
"")</f>
        <v>2412.5583333333307</v>
      </c>
      <c r="BG4" s="576">
        <f>IFERROR(IF(
OR(
BG$1+1-1=MONTH(T_bETFs[[#This Row],[Coupon date 1]]),
BG$1+1-1=MONTH(T_bETFs[[#This Row],[Coupon date 2]]),
BG$1+1-1=MONTH(T_bETFs[[#This Row],[Coupon date 3]]),
BG$1+1-1=MONTH(T_bETFs[[#This Row],[Coupon date 4]]),
BG$1+1-1=MONTH(T_bETFs[[#This Row],[Coupon date 5]]),
BG$1+1-1=MONTH(T_bETFs[[#This Row],[Coupon date 6]]),
BG$1+1-1=MONTH(T_bETFs[[#This Row],[Coupon date 7]]),
BG$1+1-1=MONTH(T_bETFs[[#This Row],[Coupon date 8]]),
BG$1+1-1=MONTH(T_bETFs[[#This Row],[Coupon date 9]]),
BG$1+1-1=MONTH(T_bETFs[[#This Row],[Coupon date 10]]),
BG$1+1-1=MONTH(T_bETFs[[#This Row],[Coupon date 11]]),
BG$1+1-1=MONTH(T_bETFs[[#This Row],[Coupon date 12]]),),
IF('CF USD'!$A$8="on",T_bETFs[[#This Row],[Coupon in USD]],T_bETFs[[#This Row],[Coupon in CCY]])/T_bETFs[[#This Row],[Coupons per annum]],0),
"")</f>
        <v>2412.5583333333307</v>
      </c>
    </row>
    <row r="5" spans="1:59" x14ac:dyDescent="0.25">
      <c r="A5" s="568" t="s">
        <v>49</v>
      </c>
      <c r="B5" s="298" t="s">
        <v>187</v>
      </c>
      <c r="C5" s="568" t="s">
        <v>188</v>
      </c>
      <c r="D5" s="569" t="s">
        <v>2475</v>
      </c>
      <c r="E5" s="585">
        <v>0.7883</v>
      </c>
      <c r="F5" s="585">
        <v>0.1115</v>
      </c>
      <c r="G5" s="585">
        <v>1.8599999999999998E-2</v>
      </c>
      <c r="N5" s="569" t="s">
        <v>189</v>
      </c>
      <c r="O5" s="569" t="s">
        <v>18</v>
      </c>
      <c r="P5" s="570">
        <v>567730.07499999995</v>
      </c>
      <c r="Q5" s="571">
        <v>11.2</v>
      </c>
      <c r="R5" s="572">
        <f>T_bETFs[[#This Row],[Market Price]]*T_bETFs[[#This Row],[Quantity]]</f>
        <v>6358576.8399999989</v>
      </c>
      <c r="S5" s="572">
        <f>T_bETFs[[#This Row],[Market Value, CCY]]*T_bETFs[[#This Row],[Exchange rate]]</f>
        <v>6358576.8399999989</v>
      </c>
      <c r="T5" s="573">
        <f>T_bETFs[[#This Row],[Coupon in CCY]]/T_bETFs[[#This Row],[Market Value, CCY]]</f>
        <v>5.8928571428571434E-2</v>
      </c>
      <c r="U5" s="277">
        <f>T_bETFs[[#This Row],[Quantity]]*0.055*12</f>
        <v>374701.84949999995</v>
      </c>
      <c r="V5" s="277">
        <f>IFERROR(T_bETFs[[#This Row],[Coupon in CCY]]*INDEX('Tech list'!A:C,MATCH(T_bETFs[[#This Row],[Risk CCY]],'Tech list'!A:A,0),3),"")</f>
        <v>374701.84949999995</v>
      </c>
      <c r="W5" s="101">
        <v>6.7100000000000007E-2</v>
      </c>
      <c r="X5" s="77">
        <f t="shared" ref="X5:X18" si="0">W5*R5</f>
        <v>426660.50596399995</v>
      </c>
      <c r="Y5" s="77">
        <v>11.434661603932117</v>
      </c>
      <c r="Z5" s="574">
        <v>6137162.1100000003</v>
      </c>
      <c r="AA5" s="111">
        <f>T_bETFs[[#This Row],[Coupon]]</f>
        <v>5.8928571428571434E-2</v>
      </c>
      <c r="AB5" s="4">
        <f>VLOOKUP(T_bETFs[[#This Row],[Risk CCY]],'Tech list'!$A$2:$D$8,3,0)</f>
        <v>1</v>
      </c>
      <c r="AC5" s="575">
        <f t="shared" ref="AC5:AC16" si="1">R5</f>
        <v>6358576.8399999989</v>
      </c>
      <c r="AD5" s="1">
        <f>INDEX('Tech list'!A:C,MATCH(T_bETFs[[#This Row],[Risk CCY]],'Tech list'!A:A,0),3)</f>
        <v>1</v>
      </c>
      <c r="AE5" s="75">
        <f>T_bETFs[[#This Row],[Market Value, CCY]]</f>
        <v>6358576.8399999989</v>
      </c>
      <c r="AF5" s="576">
        <f>AC5*T_bETFs[[#This Row],[Exchange rate2]]</f>
        <v>6358576.8399999989</v>
      </c>
      <c r="AG5" s="577">
        <f>T_bETFs[[#This Row],[Market value in CCY]]-T_bETFs[[#This Row],[Cost price, CCY]]</f>
        <v>221414.72999999858</v>
      </c>
      <c r="AH5" s="578">
        <f>T_bETFs[[#This Row],[P&amp;L]]/T_bETFs[[#This Row],[Cost price, CCY]]</f>
        <v>3.6077705954552106E-2</v>
      </c>
      <c r="AI5" s="586">
        <v>12</v>
      </c>
      <c r="AJ5" s="579">
        <v>45837</v>
      </c>
      <c r="AK5" s="579">
        <f>IFERROR(EDATE(T_bETFs[[#This Row],[Coupon date 1]],12/$AI5),"")</f>
        <v>45867</v>
      </c>
      <c r="AL5" s="579">
        <f>IFERROR(EDATE(T_bETFs[[#This Row],[Coupon date 2]],12/$AI5),"")</f>
        <v>45898</v>
      </c>
      <c r="AM5" s="579">
        <f>IFERROR(EDATE(T_bETFs[[#This Row],[Coupon date 3]],12/$AI5),"")</f>
        <v>45929</v>
      </c>
      <c r="AN5" s="579">
        <f>IFERROR(EDATE(T_bETFs[[#This Row],[Coupon date 4]],12/$AI5),"")</f>
        <v>45959</v>
      </c>
      <c r="AO5" s="579">
        <f>IFERROR(EDATE(T_bETFs[[#This Row],[Coupon date 5]],12/$AI5),"")</f>
        <v>45990</v>
      </c>
      <c r="AP5" s="579">
        <f>IFERROR(EDATE(T_bETFs[[#This Row],[Coupon date 6]],12/$AI5),"")</f>
        <v>46020</v>
      </c>
      <c r="AQ5" s="579">
        <f>IFERROR(EDATE(T_bETFs[[#This Row],[Coupon date 7]],12/$AI5),"")</f>
        <v>46051</v>
      </c>
      <c r="AR5" s="579">
        <f>IFERROR(EDATE(T_bETFs[[#This Row],[Coupon date 8]],12/$AI5),"")</f>
        <v>46081</v>
      </c>
      <c r="AS5" s="579">
        <f>IFERROR(EDATE(T_bETFs[[#This Row],[Coupon date 9]],12/$AI5),"")</f>
        <v>46109</v>
      </c>
      <c r="AT5" s="579">
        <f>IFERROR(EDATE(T_bETFs[[#This Row],[Coupon date 10]],12/$AI5),"")</f>
        <v>46140</v>
      </c>
      <c r="AU5" s="579">
        <f>IFERROR(EDATE(T_bETFs[[#This Row],[Coupon date 11]],12/$AI5),"")</f>
        <v>46170</v>
      </c>
      <c r="AV5" s="580">
        <f>IFERROR(IF(
OR(
AV$1+1-1=MONTH(T_bETFs[[#This Row],[Coupon date 1]]),
AV$1+1-1=MONTH(T_bETFs[[#This Row],[Coupon date 2]]),
AV$1+1-1=MONTH(T_bETFs[[#This Row],[Coupon date 3]]),
AV$1+1-1=MONTH(T_bETFs[[#This Row],[Coupon date 4]]),
AV$1+1-1=MONTH(T_bETFs[[#This Row],[Coupon date 5]]),
AV$1+1-1=MONTH(T_bETFs[[#This Row],[Coupon date 6]]),
AV$1+1-1=MONTH(T_bETFs[[#This Row],[Coupon date 7]]),
AV$1+1-1=MONTH(T_bETFs[[#This Row],[Coupon date 8]]),
AV$1+1-1=MONTH(T_bETFs[[#This Row],[Coupon date 9]]),
AV$1+1-1=MONTH(T_bETFs[[#This Row],[Coupon date 10]]),
AV$1+1-1=MONTH(T_bETFs[[#This Row],[Coupon date 11]]),
AV$1+1-1=MONTH(T_bETFs[[#This Row],[Coupon date 12]]),),
IF('CF USD'!$A$8="on",T_bETFs[[#This Row],[Coupon in USD]],T_bETFs[[#This Row],[Coupon in CCY]])/T_bETFs[[#This Row],[Coupons per annum]],0),
"")</f>
        <v>31225.154124999997</v>
      </c>
      <c r="AW5" s="580">
        <f>IFERROR(IF(
OR(
AW$1+1-1=MONTH(T_bETFs[[#This Row],[Coupon date 1]]),
AW$1+1-1=MONTH(T_bETFs[[#This Row],[Coupon date 2]]),
AW$1+1-1=MONTH(T_bETFs[[#This Row],[Coupon date 3]]),
AW$1+1-1=MONTH(T_bETFs[[#This Row],[Coupon date 4]]),
AW$1+1-1=MONTH(T_bETFs[[#This Row],[Coupon date 5]]),
AW$1+1-1=MONTH(T_bETFs[[#This Row],[Coupon date 6]]),
AW$1+1-1=MONTH(T_bETFs[[#This Row],[Coupon date 7]]),
AW$1+1-1=MONTH(T_bETFs[[#This Row],[Coupon date 8]]),
AW$1+1-1=MONTH(T_bETFs[[#This Row],[Coupon date 9]]),
AW$1+1-1=MONTH(T_bETFs[[#This Row],[Coupon date 10]]),
AW$1+1-1=MONTH(T_bETFs[[#This Row],[Coupon date 11]]),
AW$1+1-1=MONTH(T_bETFs[[#This Row],[Coupon date 12]]),),
IF('CF USD'!$A$8="on",T_bETFs[[#This Row],[Coupon in USD]],T_bETFs[[#This Row],[Coupon in CCY]])/T_bETFs[[#This Row],[Coupons per annum]],0),
"")</f>
        <v>31225.154124999997</v>
      </c>
      <c r="AX5" s="580">
        <f>IFERROR(IF(
OR(
AX$1+1-1=MONTH(T_bETFs[[#This Row],[Coupon date 1]]),
AX$1+1-1=MONTH(T_bETFs[[#This Row],[Coupon date 2]]),
AX$1+1-1=MONTH(T_bETFs[[#This Row],[Coupon date 3]]),
AX$1+1-1=MONTH(T_bETFs[[#This Row],[Coupon date 4]]),
AX$1+1-1=MONTH(T_bETFs[[#This Row],[Coupon date 5]]),
AX$1+1-1=MONTH(T_bETFs[[#This Row],[Coupon date 6]]),
AX$1+1-1=MONTH(T_bETFs[[#This Row],[Coupon date 7]]),
AX$1+1-1=MONTH(T_bETFs[[#This Row],[Coupon date 8]]),
AX$1+1-1=MONTH(T_bETFs[[#This Row],[Coupon date 9]]),
AX$1+1-1=MONTH(T_bETFs[[#This Row],[Coupon date 10]]),
AX$1+1-1=MONTH(T_bETFs[[#This Row],[Coupon date 11]]),
AX$1+1-1=MONTH(T_bETFs[[#This Row],[Coupon date 12]]),),
IF('CF USD'!$A$8="on",T_bETFs[[#This Row],[Coupon in USD]],T_bETFs[[#This Row],[Coupon in CCY]])/T_bETFs[[#This Row],[Coupons per annum]],0),
"")</f>
        <v>31225.154124999997</v>
      </c>
      <c r="AY5" s="580">
        <f>IFERROR(IF(
OR(
AY$1+1-1=MONTH(T_bETFs[[#This Row],[Coupon date 1]]),
AY$1+1-1=MONTH(T_bETFs[[#This Row],[Coupon date 2]]),
AY$1+1-1=MONTH(T_bETFs[[#This Row],[Coupon date 3]]),
AY$1+1-1=MONTH(T_bETFs[[#This Row],[Coupon date 4]]),
AY$1+1-1=MONTH(T_bETFs[[#This Row],[Coupon date 5]]),
AY$1+1-1=MONTH(T_bETFs[[#This Row],[Coupon date 6]]),
AY$1+1-1=MONTH(T_bETFs[[#This Row],[Coupon date 7]]),
AY$1+1-1=MONTH(T_bETFs[[#This Row],[Coupon date 8]]),
AY$1+1-1=MONTH(T_bETFs[[#This Row],[Coupon date 9]]),
AY$1+1-1=MONTH(T_bETFs[[#This Row],[Coupon date 10]]),
AY$1+1-1=MONTH(T_bETFs[[#This Row],[Coupon date 11]]),
AY$1+1-1=MONTH(T_bETFs[[#This Row],[Coupon date 12]]),),
IF('CF USD'!$A$8="on",T_bETFs[[#This Row],[Coupon in USD]],T_bETFs[[#This Row],[Coupon in CCY]])/T_bETFs[[#This Row],[Coupons per annum]],0),
"")</f>
        <v>31225.154124999997</v>
      </c>
      <c r="AZ5" s="580">
        <f>IFERROR(IF(
OR(
AZ$1+1-1=MONTH(T_bETFs[[#This Row],[Coupon date 1]]),
AZ$1+1-1=MONTH(T_bETFs[[#This Row],[Coupon date 2]]),
AZ$1+1-1=MONTH(T_bETFs[[#This Row],[Coupon date 3]]),
AZ$1+1-1=MONTH(T_bETFs[[#This Row],[Coupon date 4]]),
AZ$1+1-1=MONTH(T_bETFs[[#This Row],[Coupon date 5]]),
AZ$1+1-1=MONTH(T_bETFs[[#This Row],[Coupon date 6]]),
AZ$1+1-1=MONTH(T_bETFs[[#This Row],[Coupon date 7]]),
AZ$1+1-1=MONTH(T_bETFs[[#This Row],[Coupon date 8]]),
AZ$1+1-1=MONTH(T_bETFs[[#This Row],[Coupon date 9]]),
AZ$1+1-1=MONTH(T_bETFs[[#This Row],[Coupon date 10]]),
AZ$1+1-1=MONTH(T_bETFs[[#This Row],[Coupon date 11]]),
AZ$1+1-1=MONTH(T_bETFs[[#This Row],[Coupon date 12]]),),
IF('CF USD'!$A$8="on",T_bETFs[[#This Row],[Coupon in USD]],T_bETFs[[#This Row],[Coupon in CCY]])/T_bETFs[[#This Row],[Coupons per annum]],0),
"")</f>
        <v>31225.154124999997</v>
      </c>
      <c r="BA5" s="580">
        <f>IFERROR(IF(
OR(
BA$1+1-1=MONTH(T_bETFs[[#This Row],[Coupon date 1]]),
BA$1+1-1=MONTH(T_bETFs[[#This Row],[Coupon date 2]]),
BA$1+1-1=MONTH(T_bETFs[[#This Row],[Coupon date 3]]),
BA$1+1-1=MONTH(T_bETFs[[#This Row],[Coupon date 4]]),
BA$1+1-1=MONTH(T_bETFs[[#This Row],[Coupon date 5]]),
BA$1+1-1=MONTH(T_bETFs[[#This Row],[Coupon date 6]]),
BA$1+1-1=MONTH(T_bETFs[[#This Row],[Coupon date 7]]),
BA$1+1-1=MONTH(T_bETFs[[#This Row],[Coupon date 8]]),
BA$1+1-1=MONTH(T_bETFs[[#This Row],[Coupon date 9]]),
BA$1+1-1=MONTH(T_bETFs[[#This Row],[Coupon date 10]]),
BA$1+1-1=MONTH(T_bETFs[[#This Row],[Coupon date 11]]),
BA$1+1-1=MONTH(T_bETFs[[#This Row],[Coupon date 12]]),),
IF('CF USD'!$A$8="on",T_bETFs[[#This Row],[Coupon in USD]],T_bETFs[[#This Row],[Coupon in CCY]])/T_bETFs[[#This Row],[Coupons per annum]],0),
"")</f>
        <v>31225.154124999997</v>
      </c>
      <c r="BB5" s="580">
        <f>IFERROR(IF(
OR(
BB$1+1-1=MONTH(T_bETFs[[#This Row],[Coupon date 1]]),
BB$1+1-1=MONTH(T_bETFs[[#This Row],[Coupon date 2]]),
BB$1+1-1=MONTH(T_bETFs[[#This Row],[Coupon date 3]]),
BB$1+1-1=MONTH(T_bETFs[[#This Row],[Coupon date 4]]),
BB$1+1-1=MONTH(T_bETFs[[#This Row],[Coupon date 5]]),
BB$1+1-1=MONTH(T_bETFs[[#This Row],[Coupon date 6]]),
BB$1+1-1=MONTH(T_bETFs[[#This Row],[Coupon date 7]]),
BB$1+1-1=MONTH(T_bETFs[[#This Row],[Coupon date 8]]),
BB$1+1-1=MONTH(T_bETFs[[#This Row],[Coupon date 9]]),
BB$1+1-1=MONTH(T_bETFs[[#This Row],[Coupon date 10]]),
BB$1+1-1=MONTH(T_bETFs[[#This Row],[Coupon date 11]]),
BB$1+1-1=MONTH(T_bETFs[[#This Row],[Coupon date 12]]),),
IF('CF USD'!$A$8="on",T_bETFs[[#This Row],[Coupon in USD]],T_bETFs[[#This Row],[Coupon in CCY]])/T_bETFs[[#This Row],[Coupons per annum]],0),
"")</f>
        <v>31225.154124999997</v>
      </c>
      <c r="BC5" s="580">
        <f>IFERROR(IF(
OR(
BC$1+1-1=MONTH(T_bETFs[[#This Row],[Coupon date 1]]),
BC$1+1-1=MONTH(T_bETFs[[#This Row],[Coupon date 2]]),
BC$1+1-1=MONTH(T_bETFs[[#This Row],[Coupon date 3]]),
BC$1+1-1=MONTH(T_bETFs[[#This Row],[Coupon date 4]]),
BC$1+1-1=MONTH(T_bETFs[[#This Row],[Coupon date 5]]),
BC$1+1-1=MONTH(T_bETFs[[#This Row],[Coupon date 6]]),
BC$1+1-1=MONTH(T_bETFs[[#This Row],[Coupon date 7]]),
BC$1+1-1=MONTH(T_bETFs[[#This Row],[Coupon date 8]]),
BC$1+1-1=MONTH(T_bETFs[[#This Row],[Coupon date 9]]),
BC$1+1-1=MONTH(T_bETFs[[#This Row],[Coupon date 10]]),
BC$1+1-1=MONTH(T_bETFs[[#This Row],[Coupon date 11]]),
BC$1+1-1=MONTH(T_bETFs[[#This Row],[Coupon date 12]]),),
IF('CF USD'!$A$8="on",T_bETFs[[#This Row],[Coupon in USD]],T_bETFs[[#This Row],[Coupon in CCY]])/T_bETFs[[#This Row],[Coupons per annum]],0),
"")</f>
        <v>31225.154124999997</v>
      </c>
      <c r="BD5" s="580">
        <f>IFERROR(IF(
OR(
BD$1+1-1=MONTH(T_bETFs[[#This Row],[Coupon date 1]]),
BD$1+1-1=MONTH(T_bETFs[[#This Row],[Coupon date 2]]),
BD$1+1-1=MONTH(T_bETFs[[#This Row],[Coupon date 3]]),
BD$1+1-1=MONTH(T_bETFs[[#This Row],[Coupon date 4]]),
BD$1+1-1=MONTH(T_bETFs[[#This Row],[Coupon date 5]]),
BD$1+1-1=MONTH(T_bETFs[[#This Row],[Coupon date 6]]),
BD$1+1-1=MONTH(T_bETFs[[#This Row],[Coupon date 7]]),
BD$1+1-1=MONTH(T_bETFs[[#This Row],[Coupon date 8]]),
BD$1+1-1=MONTH(T_bETFs[[#This Row],[Coupon date 9]]),
BD$1+1-1=MONTH(T_bETFs[[#This Row],[Coupon date 10]]),
BD$1+1-1=MONTH(T_bETFs[[#This Row],[Coupon date 11]]),
BD$1+1-1=MONTH(T_bETFs[[#This Row],[Coupon date 12]]),),
IF('CF USD'!$A$8="on",T_bETFs[[#This Row],[Coupon in USD]],T_bETFs[[#This Row],[Coupon in CCY]])/T_bETFs[[#This Row],[Coupons per annum]],0),
"")</f>
        <v>31225.154124999997</v>
      </c>
      <c r="BE5" s="580">
        <f>IFERROR(IF(
OR(
BE$1+1-1=MONTH(T_bETFs[[#This Row],[Coupon date 1]]),
BE$1+1-1=MONTH(T_bETFs[[#This Row],[Coupon date 2]]),
BE$1+1-1=MONTH(T_bETFs[[#This Row],[Coupon date 3]]),
BE$1+1-1=MONTH(T_bETFs[[#This Row],[Coupon date 4]]),
BE$1+1-1=MONTH(T_bETFs[[#This Row],[Coupon date 5]]),
BE$1+1-1=MONTH(T_bETFs[[#This Row],[Coupon date 6]]),
BE$1+1-1=MONTH(T_bETFs[[#This Row],[Coupon date 7]]),
BE$1+1-1=MONTH(T_bETFs[[#This Row],[Coupon date 8]]),
BE$1+1-1=MONTH(T_bETFs[[#This Row],[Coupon date 9]]),
BE$1+1-1=MONTH(T_bETFs[[#This Row],[Coupon date 10]]),
BE$1+1-1=MONTH(T_bETFs[[#This Row],[Coupon date 11]]),
BE$1+1-1=MONTH(T_bETFs[[#This Row],[Coupon date 12]]),),
IF('CF USD'!$A$8="on",T_bETFs[[#This Row],[Coupon in USD]],T_bETFs[[#This Row],[Coupon in CCY]])/T_bETFs[[#This Row],[Coupons per annum]],0),
"")</f>
        <v>31225.154124999997</v>
      </c>
      <c r="BF5" s="580">
        <f>IFERROR(IF(
OR(
BF$1+1-1=MONTH(T_bETFs[[#This Row],[Coupon date 1]]),
BF$1+1-1=MONTH(T_bETFs[[#This Row],[Coupon date 2]]),
BF$1+1-1=MONTH(T_bETFs[[#This Row],[Coupon date 3]]),
BF$1+1-1=MONTH(T_bETFs[[#This Row],[Coupon date 4]]),
BF$1+1-1=MONTH(T_bETFs[[#This Row],[Coupon date 5]]),
BF$1+1-1=MONTH(T_bETFs[[#This Row],[Coupon date 6]]),
BF$1+1-1=MONTH(T_bETFs[[#This Row],[Coupon date 7]]),
BF$1+1-1=MONTH(T_bETFs[[#This Row],[Coupon date 8]]),
BF$1+1-1=MONTH(T_bETFs[[#This Row],[Coupon date 9]]),
BF$1+1-1=MONTH(T_bETFs[[#This Row],[Coupon date 10]]),
BF$1+1-1=MONTH(T_bETFs[[#This Row],[Coupon date 11]]),
BF$1+1-1=MONTH(T_bETFs[[#This Row],[Coupon date 12]]),),
IF('CF USD'!$A$8="on",T_bETFs[[#This Row],[Coupon in USD]],T_bETFs[[#This Row],[Coupon in CCY]])/T_bETFs[[#This Row],[Coupons per annum]],0),
"")</f>
        <v>31225.154124999997</v>
      </c>
      <c r="BG5" s="580">
        <f>IFERROR(IF(
OR(
BG$1+1-1=MONTH(T_bETFs[[#This Row],[Coupon date 1]]),
BG$1+1-1=MONTH(T_bETFs[[#This Row],[Coupon date 2]]),
BG$1+1-1=MONTH(T_bETFs[[#This Row],[Coupon date 3]]),
BG$1+1-1=MONTH(T_bETFs[[#This Row],[Coupon date 4]]),
BG$1+1-1=MONTH(T_bETFs[[#This Row],[Coupon date 5]]),
BG$1+1-1=MONTH(T_bETFs[[#This Row],[Coupon date 6]]),
BG$1+1-1=MONTH(T_bETFs[[#This Row],[Coupon date 7]]),
BG$1+1-1=MONTH(T_bETFs[[#This Row],[Coupon date 8]]),
BG$1+1-1=MONTH(T_bETFs[[#This Row],[Coupon date 9]]),
BG$1+1-1=MONTH(T_bETFs[[#This Row],[Coupon date 10]]),
BG$1+1-1=MONTH(T_bETFs[[#This Row],[Coupon date 11]]),
BG$1+1-1=MONTH(T_bETFs[[#This Row],[Coupon date 12]]),),
IF('CF USD'!$A$8="on",T_bETFs[[#This Row],[Coupon in USD]],T_bETFs[[#This Row],[Coupon in CCY]])/T_bETFs[[#This Row],[Coupons per annum]],0),
"")</f>
        <v>31225.154124999997</v>
      </c>
    </row>
    <row r="6" spans="1:59" x14ac:dyDescent="0.25">
      <c r="A6" s="569" t="s">
        <v>49</v>
      </c>
      <c r="B6" s="1" t="s">
        <v>187</v>
      </c>
      <c r="C6" s="569" t="s">
        <v>190</v>
      </c>
      <c r="D6" s="1" t="s">
        <v>2479</v>
      </c>
      <c r="E6" s="1"/>
      <c r="F6" s="1"/>
      <c r="G6" s="1"/>
      <c r="H6" s="1"/>
      <c r="I6" s="1"/>
      <c r="J6" s="1"/>
      <c r="K6" s="1"/>
      <c r="L6" s="1"/>
      <c r="M6" s="1"/>
      <c r="N6" s="569" t="s">
        <v>191</v>
      </c>
      <c r="O6" s="569" t="s">
        <v>18</v>
      </c>
      <c r="P6" s="978">
        <f>729636.694+105000</f>
        <v>834636.69400000002</v>
      </c>
      <c r="Q6" s="571">
        <v>7.1099999940518339</v>
      </c>
      <c r="R6" s="581">
        <f>T_bETFs[[#This Row],[Market Price]]*T_bETFs[[#This Row],[Quantity]]</f>
        <v>5934266.8893754426</v>
      </c>
      <c r="S6" s="581">
        <f>T_bETFs[[#This Row],[Market Value, CCY]]*T_bETFs[[#This Row],[Exchange rate]]</f>
        <v>5934266.8893754426</v>
      </c>
      <c r="T6" s="573">
        <f>T_bETFs[[#This Row],[Coupon in CCY]]/T_bETFs[[#This Row],[Market Value, CCY]]</f>
        <v>8.3898734247404169E-2</v>
      </c>
      <c r="U6" s="277">
        <f>'Tech list'!D119*12*T_bETFs[[#This Row],[Quantity]]</f>
        <v>497877.48070488003</v>
      </c>
      <c r="V6" s="277">
        <f>IFERROR(T_bETFs[[#This Row],[Coupon in CCY]]*INDEX('Tech list'!A:C,MATCH(T_bETFs[[#This Row],[Risk CCY]],'Tech list'!A:A,0),3),"")</f>
        <v>497877.48070488003</v>
      </c>
      <c r="W6" s="101">
        <v>9.0499999999999997E-2</v>
      </c>
      <c r="X6" s="77">
        <f t="shared" si="0"/>
        <v>537051.15348847758</v>
      </c>
      <c r="Y6" s="77">
        <v>8.9502264259752273</v>
      </c>
      <c r="Z6" s="574">
        <v>6530413.6200000001</v>
      </c>
      <c r="AA6" s="111">
        <f>T_bETFs[[#This Row],[Coupon]]</f>
        <v>8.3898734247404169E-2</v>
      </c>
      <c r="AB6" s="4">
        <f>VLOOKUP(T_bETFs[[#This Row],[Risk CCY]],'Tech list'!$A$2:$D$8,3,0)</f>
        <v>1</v>
      </c>
      <c r="AC6" s="575">
        <f t="shared" si="1"/>
        <v>5934266.8893754426</v>
      </c>
      <c r="AD6" s="1">
        <f>INDEX('Tech list'!A:C,MATCH(T_bETFs[[#This Row],[Risk CCY]],'Tech list'!A:A,0),3)</f>
        <v>1</v>
      </c>
      <c r="AE6" s="75">
        <f>T_bETFs[[#This Row],[Market Value, CCY]]</f>
        <v>5934266.8893754426</v>
      </c>
      <c r="AF6" s="576">
        <f>AC6*T_bETFs[[#This Row],[Exchange rate2]]</f>
        <v>5934266.8893754426</v>
      </c>
      <c r="AG6" s="577">
        <f>T_bETFs[[#This Row],[Market value in CCY]]-T_bETFs[[#This Row],[Cost price, CCY]]</f>
        <v>-596146.73062455747</v>
      </c>
      <c r="AH6" s="578">
        <f>T_bETFs[[#This Row],[P&amp;L]]/T_bETFs[[#This Row],[Cost price, CCY]]</f>
        <v>-9.1287744592287778E-2</v>
      </c>
      <c r="AI6" s="586">
        <v>12</v>
      </c>
      <c r="AJ6" s="579">
        <v>45837</v>
      </c>
      <c r="AK6" s="579">
        <f>IFERROR(EDATE(T_bETFs[[#This Row],[Coupon date 1]],12/$AI6),"")</f>
        <v>45867</v>
      </c>
      <c r="AL6" s="579">
        <f>IFERROR(EDATE(T_bETFs[[#This Row],[Coupon date 2]],12/$AI6),"")</f>
        <v>45898</v>
      </c>
      <c r="AM6" s="579">
        <f>IFERROR(EDATE(T_bETFs[[#This Row],[Coupon date 3]],12/$AI6),"")</f>
        <v>45929</v>
      </c>
      <c r="AN6" s="579">
        <f>IFERROR(EDATE(T_bETFs[[#This Row],[Coupon date 4]],12/$AI6),"")</f>
        <v>45959</v>
      </c>
      <c r="AO6" s="579">
        <f>IFERROR(EDATE(T_bETFs[[#This Row],[Coupon date 5]],12/$AI6),"")</f>
        <v>45990</v>
      </c>
      <c r="AP6" s="579">
        <f>IFERROR(EDATE(T_bETFs[[#This Row],[Coupon date 6]],12/$AI6),"")</f>
        <v>46020</v>
      </c>
      <c r="AQ6" s="579">
        <f>IFERROR(EDATE(T_bETFs[[#This Row],[Coupon date 7]],12/$AI6),"")</f>
        <v>46051</v>
      </c>
      <c r="AR6" s="579">
        <f>IFERROR(EDATE(T_bETFs[[#This Row],[Coupon date 8]],12/$AI6),"")</f>
        <v>46081</v>
      </c>
      <c r="AS6" s="579">
        <f>IFERROR(EDATE(T_bETFs[[#This Row],[Coupon date 9]],12/$AI6),"")</f>
        <v>46109</v>
      </c>
      <c r="AT6" s="579">
        <f>IFERROR(EDATE(T_bETFs[[#This Row],[Coupon date 10]],12/$AI6),"")</f>
        <v>46140</v>
      </c>
      <c r="AU6" s="579">
        <f>IFERROR(EDATE(T_bETFs[[#This Row],[Coupon date 11]],12/$AI6),"")</f>
        <v>46170</v>
      </c>
      <c r="AV6" s="580">
        <f>IFERROR(IF(
OR(
AV$1+1-1=MONTH(T_bETFs[[#This Row],[Coupon date 1]]),
AV$1+1-1=MONTH(T_bETFs[[#This Row],[Coupon date 2]]),
AV$1+1-1=MONTH(T_bETFs[[#This Row],[Coupon date 3]]),
AV$1+1-1=MONTH(T_bETFs[[#This Row],[Coupon date 4]]),
AV$1+1-1=MONTH(T_bETFs[[#This Row],[Coupon date 5]]),
AV$1+1-1=MONTH(T_bETFs[[#This Row],[Coupon date 6]]),
AV$1+1-1=MONTH(T_bETFs[[#This Row],[Coupon date 7]]),
AV$1+1-1=MONTH(T_bETFs[[#This Row],[Coupon date 8]]),
AV$1+1-1=MONTH(T_bETFs[[#This Row],[Coupon date 9]]),
AV$1+1-1=MONTH(T_bETFs[[#This Row],[Coupon date 10]]),
AV$1+1-1=MONTH(T_bETFs[[#This Row],[Coupon date 11]]),
AV$1+1-1=MONTH(T_bETFs[[#This Row],[Coupon date 12]]),),
IF('CF USD'!$A$8="on",T_bETFs[[#This Row],[Coupon in USD]],T_bETFs[[#This Row],[Coupon in CCY]])/T_bETFs[[#This Row],[Coupons per annum]],0),
"")</f>
        <v>41489.79005874</v>
      </c>
      <c r="AW6" s="580">
        <f>IFERROR(IF(
OR(
AW$1+1-1=MONTH(T_bETFs[[#This Row],[Coupon date 1]]),
AW$1+1-1=MONTH(T_bETFs[[#This Row],[Coupon date 2]]),
AW$1+1-1=MONTH(T_bETFs[[#This Row],[Coupon date 3]]),
AW$1+1-1=MONTH(T_bETFs[[#This Row],[Coupon date 4]]),
AW$1+1-1=MONTH(T_bETFs[[#This Row],[Coupon date 5]]),
AW$1+1-1=MONTH(T_bETFs[[#This Row],[Coupon date 6]]),
AW$1+1-1=MONTH(T_bETFs[[#This Row],[Coupon date 7]]),
AW$1+1-1=MONTH(T_bETFs[[#This Row],[Coupon date 8]]),
AW$1+1-1=MONTH(T_bETFs[[#This Row],[Coupon date 9]]),
AW$1+1-1=MONTH(T_bETFs[[#This Row],[Coupon date 10]]),
AW$1+1-1=MONTH(T_bETFs[[#This Row],[Coupon date 11]]),
AW$1+1-1=MONTH(T_bETFs[[#This Row],[Coupon date 12]]),),
IF('CF USD'!$A$8="on",T_bETFs[[#This Row],[Coupon in USD]],T_bETFs[[#This Row],[Coupon in CCY]])/T_bETFs[[#This Row],[Coupons per annum]],0),
"")</f>
        <v>41489.79005874</v>
      </c>
      <c r="AX6" s="580">
        <f>IFERROR(IF(
OR(
AX$1+1-1=MONTH(T_bETFs[[#This Row],[Coupon date 1]]),
AX$1+1-1=MONTH(T_bETFs[[#This Row],[Coupon date 2]]),
AX$1+1-1=MONTH(T_bETFs[[#This Row],[Coupon date 3]]),
AX$1+1-1=MONTH(T_bETFs[[#This Row],[Coupon date 4]]),
AX$1+1-1=MONTH(T_bETFs[[#This Row],[Coupon date 5]]),
AX$1+1-1=MONTH(T_bETFs[[#This Row],[Coupon date 6]]),
AX$1+1-1=MONTH(T_bETFs[[#This Row],[Coupon date 7]]),
AX$1+1-1=MONTH(T_bETFs[[#This Row],[Coupon date 8]]),
AX$1+1-1=MONTH(T_bETFs[[#This Row],[Coupon date 9]]),
AX$1+1-1=MONTH(T_bETFs[[#This Row],[Coupon date 10]]),
AX$1+1-1=MONTH(T_bETFs[[#This Row],[Coupon date 11]]),
AX$1+1-1=MONTH(T_bETFs[[#This Row],[Coupon date 12]]),),
IF('CF USD'!$A$8="on",T_bETFs[[#This Row],[Coupon in USD]],T_bETFs[[#This Row],[Coupon in CCY]])/T_bETFs[[#This Row],[Coupons per annum]],0),
"")</f>
        <v>41489.79005874</v>
      </c>
      <c r="AY6" s="580">
        <f>IFERROR(IF(
OR(
AY$1+1-1=MONTH(T_bETFs[[#This Row],[Coupon date 1]]),
AY$1+1-1=MONTH(T_bETFs[[#This Row],[Coupon date 2]]),
AY$1+1-1=MONTH(T_bETFs[[#This Row],[Coupon date 3]]),
AY$1+1-1=MONTH(T_bETFs[[#This Row],[Coupon date 4]]),
AY$1+1-1=MONTH(T_bETFs[[#This Row],[Coupon date 5]]),
AY$1+1-1=MONTH(T_bETFs[[#This Row],[Coupon date 6]]),
AY$1+1-1=MONTH(T_bETFs[[#This Row],[Coupon date 7]]),
AY$1+1-1=MONTH(T_bETFs[[#This Row],[Coupon date 8]]),
AY$1+1-1=MONTH(T_bETFs[[#This Row],[Coupon date 9]]),
AY$1+1-1=MONTH(T_bETFs[[#This Row],[Coupon date 10]]),
AY$1+1-1=MONTH(T_bETFs[[#This Row],[Coupon date 11]]),
AY$1+1-1=MONTH(T_bETFs[[#This Row],[Coupon date 12]]),),
IF('CF USD'!$A$8="on",T_bETFs[[#This Row],[Coupon in USD]],T_bETFs[[#This Row],[Coupon in CCY]])/T_bETFs[[#This Row],[Coupons per annum]],0),
"")</f>
        <v>41489.79005874</v>
      </c>
      <c r="AZ6" s="580">
        <f>IFERROR(IF(
OR(
AZ$1+1-1=MONTH(T_bETFs[[#This Row],[Coupon date 1]]),
AZ$1+1-1=MONTH(T_bETFs[[#This Row],[Coupon date 2]]),
AZ$1+1-1=MONTH(T_bETFs[[#This Row],[Coupon date 3]]),
AZ$1+1-1=MONTH(T_bETFs[[#This Row],[Coupon date 4]]),
AZ$1+1-1=MONTH(T_bETFs[[#This Row],[Coupon date 5]]),
AZ$1+1-1=MONTH(T_bETFs[[#This Row],[Coupon date 6]]),
AZ$1+1-1=MONTH(T_bETFs[[#This Row],[Coupon date 7]]),
AZ$1+1-1=MONTH(T_bETFs[[#This Row],[Coupon date 8]]),
AZ$1+1-1=MONTH(T_bETFs[[#This Row],[Coupon date 9]]),
AZ$1+1-1=MONTH(T_bETFs[[#This Row],[Coupon date 10]]),
AZ$1+1-1=MONTH(T_bETFs[[#This Row],[Coupon date 11]]),
AZ$1+1-1=MONTH(T_bETFs[[#This Row],[Coupon date 12]]),),
IF('CF USD'!$A$8="on",T_bETFs[[#This Row],[Coupon in USD]],T_bETFs[[#This Row],[Coupon in CCY]])/T_bETFs[[#This Row],[Coupons per annum]],0),
"")</f>
        <v>41489.79005874</v>
      </c>
      <c r="BA6" s="580">
        <f>IFERROR(IF(
OR(
BA$1+1-1=MONTH(T_bETFs[[#This Row],[Coupon date 1]]),
BA$1+1-1=MONTH(T_bETFs[[#This Row],[Coupon date 2]]),
BA$1+1-1=MONTH(T_bETFs[[#This Row],[Coupon date 3]]),
BA$1+1-1=MONTH(T_bETFs[[#This Row],[Coupon date 4]]),
BA$1+1-1=MONTH(T_bETFs[[#This Row],[Coupon date 5]]),
BA$1+1-1=MONTH(T_bETFs[[#This Row],[Coupon date 6]]),
BA$1+1-1=MONTH(T_bETFs[[#This Row],[Coupon date 7]]),
BA$1+1-1=MONTH(T_bETFs[[#This Row],[Coupon date 8]]),
BA$1+1-1=MONTH(T_bETFs[[#This Row],[Coupon date 9]]),
BA$1+1-1=MONTH(T_bETFs[[#This Row],[Coupon date 10]]),
BA$1+1-1=MONTH(T_bETFs[[#This Row],[Coupon date 11]]),
BA$1+1-1=MONTH(T_bETFs[[#This Row],[Coupon date 12]]),),
IF('CF USD'!$A$8="on",T_bETFs[[#This Row],[Coupon in USD]],T_bETFs[[#This Row],[Coupon in CCY]])/T_bETFs[[#This Row],[Coupons per annum]],0),
"")</f>
        <v>41489.79005874</v>
      </c>
      <c r="BB6" s="580">
        <f>IFERROR(IF(
OR(
BB$1+1-1=MONTH(T_bETFs[[#This Row],[Coupon date 1]]),
BB$1+1-1=MONTH(T_bETFs[[#This Row],[Coupon date 2]]),
BB$1+1-1=MONTH(T_bETFs[[#This Row],[Coupon date 3]]),
BB$1+1-1=MONTH(T_bETFs[[#This Row],[Coupon date 4]]),
BB$1+1-1=MONTH(T_bETFs[[#This Row],[Coupon date 5]]),
BB$1+1-1=MONTH(T_bETFs[[#This Row],[Coupon date 6]]),
BB$1+1-1=MONTH(T_bETFs[[#This Row],[Coupon date 7]]),
BB$1+1-1=MONTH(T_bETFs[[#This Row],[Coupon date 8]]),
BB$1+1-1=MONTH(T_bETFs[[#This Row],[Coupon date 9]]),
BB$1+1-1=MONTH(T_bETFs[[#This Row],[Coupon date 10]]),
BB$1+1-1=MONTH(T_bETFs[[#This Row],[Coupon date 11]]),
BB$1+1-1=MONTH(T_bETFs[[#This Row],[Coupon date 12]]),),
IF('CF USD'!$A$8="on",T_bETFs[[#This Row],[Coupon in USD]],T_bETFs[[#This Row],[Coupon in CCY]])/T_bETFs[[#This Row],[Coupons per annum]],0),
"")</f>
        <v>41489.79005874</v>
      </c>
      <c r="BC6" s="580">
        <f>IFERROR(IF(
OR(
BC$1+1-1=MONTH(T_bETFs[[#This Row],[Coupon date 1]]),
BC$1+1-1=MONTH(T_bETFs[[#This Row],[Coupon date 2]]),
BC$1+1-1=MONTH(T_bETFs[[#This Row],[Coupon date 3]]),
BC$1+1-1=MONTH(T_bETFs[[#This Row],[Coupon date 4]]),
BC$1+1-1=MONTH(T_bETFs[[#This Row],[Coupon date 5]]),
BC$1+1-1=MONTH(T_bETFs[[#This Row],[Coupon date 6]]),
BC$1+1-1=MONTH(T_bETFs[[#This Row],[Coupon date 7]]),
BC$1+1-1=MONTH(T_bETFs[[#This Row],[Coupon date 8]]),
BC$1+1-1=MONTH(T_bETFs[[#This Row],[Coupon date 9]]),
BC$1+1-1=MONTH(T_bETFs[[#This Row],[Coupon date 10]]),
BC$1+1-1=MONTH(T_bETFs[[#This Row],[Coupon date 11]]),
BC$1+1-1=MONTH(T_bETFs[[#This Row],[Coupon date 12]]),),
IF('CF USD'!$A$8="on",T_bETFs[[#This Row],[Coupon in USD]],T_bETFs[[#This Row],[Coupon in CCY]])/T_bETFs[[#This Row],[Coupons per annum]],0),
"")</f>
        <v>41489.79005874</v>
      </c>
      <c r="BD6" s="580">
        <f>IFERROR(IF(
OR(
BD$1+1-1=MONTH(T_bETFs[[#This Row],[Coupon date 1]]),
BD$1+1-1=MONTH(T_bETFs[[#This Row],[Coupon date 2]]),
BD$1+1-1=MONTH(T_bETFs[[#This Row],[Coupon date 3]]),
BD$1+1-1=MONTH(T_bETFs[[#This Row],[Coupon date 4]]),
BD$1+1-1=MONTH(T_bETFs[[#This Row],[Coupon date 5]]),
BD$1+1-1=MONTH(T_bETFs[[#This Row],[Coupon date 6]]),
BD$1+1-1=MONTH(T_bETFs[[#This Row],[Coupon date 7]]),
BD$1+1-1=MONTH(T_bETFs[[#This Row],[Coupon date 8]]),
BD$1+1-1=MONTH(T_bETFs[[#This Row],[Coupon date 9]]),
BD$1+1-1=MONTH(T_bETFs[[#This Row],[Coupon date 10]]),
BD$1+1-1=MONTH(T_bETFs[[#This Row],[Coupon date 11]]),
BD$1+1-1=MONTH(T_bETFs[[#This Row],[Coupon date 12]]),),
IF('CF USD'!$A$8="on",T_bETFs[[#This Row],[Coupon in USD]],T_bETFs[[#This Row],[Coupon in CCY]])/T_bETFs[[#This Row],[Coupons per annum]],0),
"")</f>
        <v>41489.79005874</v>
      </c>
      <c r="BE6" s="580">
        <f>IFERROR(IF(
OR(
BE$1+1-1=MONTH(T_bETFs[[#This Row],[Coupon date 1]]),
BE$1+1-1=MONTH(T_bETFs[[#This Row],[Coupon date 2]]),
BE$1+1-1=MONTH(T_bETFs[[#This Row],[Coupon date 3]]),
BE$1+1-1=MONTH(T_bETFs[[#This Row],[Coupon date 4]]),
BE$1+1-1=MONTH(T_bETFs[[#This Row],[Coupon date 5]]),
BE$1+1-1=MONTH(T_bETFs[[#This Row],[Coupon date 6]]),
BE$1+1-1=MONTH(T_bETFs[[#This Row],[Coupon date 7]]),
BE$1+1-1=MONTH(T_bETFs[[#This Row],[Coupon date 8]]),
BE$1+1-1=MONTH(T_bETFs[[#This Row],[Coupon date 9]]),
BE$1+1-1=MONTH(T_bETFs[[#This Row],[Coupon date 10]]),
BE$1+1-1=MONTH(T_bETFs[[#This Row],[Coupon date 11]]),
BE$1+1-1=MONTH(T_bETFs[[#This Row],[Coupon date 12]]),),
IF('CF USD'!$A$8="on",T_bETFs[[#This Row],[Coupon in USD]],T_bETFs[[#This Row],[Coupon in CCY]])/T_bETFs[[#This Row],[Coupons per annum]],0),
"")</f>
        <v>41489.79005874</v>
      </c>
      <c r="BF6" s="580">
        <f>IFERROR(IF(
OR(
BF$1+1-1=MONTH(T_bETFs[[#This Row],[Coupon date 1]]),
BF$1+1-1=MONTH(T_bETFs[[#This Row],[Coupon date 2]]),
BF$1+1-1=MONTH(T_bETFs[[#This Row],[Coupon date 3]]),
BF$1+1-1=MONTH(T_bETFs[[#This Row],[Coupon date 4]]),
BF$1+1-1=MONTH(T_bETFs[[#This Row],[Coupon date 5]]),
BF$1+1-1=MONTH(T_bETFs[[#This Row],[Coupon date 6]]),
BF$1+1-1=MONTH(T_bETFs[[#This Row],[Coupon date 7]]),
BF$1+1-1=MONTH(T_bETFs[[#This Row],[Coupon date 8]]),
BF$1+1-1=MONTH(T_bETFs[[#This Row],[Coupon date 9]]),
BF$1+1-1=MONTH(T_bETFs[[#This Row],[Coupon date 10]]),
BF$1+1-1=MONTH(T_bETFs[[#This Row],[Coupon date 11]]),
BF$1+1-1=MONTH(T_bETFs[[#This Row],[Coupon date 12]]),),
IF('CF USD'!$A$8="on",T_bETFs[[#This Row],[Coupon in USD]],T_bETFs[[#This Row],[Coupon in CCY]])/T_bETFs[[#This Row],[Coupons per annum]],0),
"")</f>
        <v>41489.79005874</v>
      </c>
      <c r="BG6" s="580">
        <f>IFERROR(IF(
OR(
BG$1+1-1=MONTH(T_bETFs[[#This Row],[Coupon date 1]]),
BG$1+1-1=MONTH(T_bETFs[[#This Row],[Coupon date 2]]),
BG$1+1-1=MONTH(T_bETFs[[#This Row],[Coupon date 3]]),
BG$1+1-1=MONTH(T_bETFs[[#This Row],[Coupon date 4]]),
BG$1+1-1=MONTH(T_bETFs[[#This Row],[Coupon date 5]]),
BG$1+1-1=MONTH(T_bETFs[[#This Row],[Coupon date 6]]),
BG$1+1-1=MONTH(T_bETFs[[#This Row],[Coupon date 7]]),
BG$1+1-1=MONTH(T_bETFs[[#This Row],[Coupon date 8]]),
BG$1+1-1=MONTH(T_bETFs[[#This Row],[Coupon date 9]]),
BG$1+1-1=MONTH(T_bETFs[[#This Row],[Coupon date 10]]),
BG$1+1-1=MONTH(T_bETFs[[#This Row],[Coupon date 11]]),
BG$1+1-1=MONTH(T_bETFs[[#This Row],[Coupon date 12]]),),
IF('CF USD'!$A$8="on",T_bETFs[[#This Row],[Coupon in USD]],T_bETFs[[#This Row],[Coupon in CCY]])/T_bETFs[[#This Row],[Coupons per annum]],0),
"")</f>
        <v>41489.79005874</v>
      </c>
    </row>
    <row r="7" spans="1:59" x14ac:dyDescent="0.25">
      <c r="A7" s="569" t="s">
        <v>49</v>
      </c>
      <c r="B7" s="1" t="s">
        <v>187</v>
      </c>
      <c r="C7" s="569" t="s">
        <v>382</v>
      </c>
      <c r="D7" s="569" t="s">
        <v>2475</v>
      </c>
      <c r="N7" s="569" t="s">
        <v>383</v>
      </c>
      <c r="O7" s="569" t="s">
        <v>18</v>
      </c>
      <c r="P7" s="582">
        <v>0</v>
      </c>
      <c r="Q7" s="571"/>
      <c r="R7" s="572">
        <v>4911401.3599999994</v>
      </c>
      <c r="S7" s="572">
        <f>T_bETFs[[#This Row],[Market Value, CCY]]*T_bETFs[[#This Row],[Exchange rate]]</f>
        <v>4911401.3599999994</v>
      </c>
      <c r="T7" s="733">
        <v>9.7000000000000003E-2</v>
      </c>
      <c r="U7" s="734">
        <f>T_bETFs[[#This Row],[Market Value, CCY]]*T_bETFs[[#This Row],[Coupon]]</f>
        <v>476405.93191999994</v>
      </c>
      <c r="V7" s="277">
        <f>IFERROR(T_bETFs[[#This Row],[Coupon in CCY]]*INDEX('Tech list'!A:C,MATCH(T_bETFs[[#This Row],[Risk CCY]],'Tech list'!A:A,0),3),"")</f>
        <v>476405.93191999994</v>
      </c>
      <c r="W7" s="101">
        <f>T7</f>
        <v>9.7000000000000003E-2</v>
      </c>
      <c r="X7" s="77">
        <f t="shared" si="0"/>
        <v>476405.93191999994</v>
      </c>
      <c r="Y7" s="77"/>
      <c r="Z7" s="574">
        <v>7085240.5199999996</v>
      </c>
      <c r="AA7" s="111">
        <f>T_bETFs[[#This Row],[Coupon]]</f>
        <v>9.7000000000000003E-2</v>
      </c>
      <c r="AB7" s="4">
        <f>VLOOKUP(T_bETFs[[#This Row],[Risk CCY]],'Tech list'!$A$2:$D$8,3,0)</f>
        <v>1</v>
      </c>
      <c r="AC7" s="583">
        <f t="shared" si="1"/>
        <v>4911401.3599999994</v>
      </c>
      <c r="AD7" s="1">
        <f>INDEX('Tech list'!A:C,MATCH(T_bETFs[[#This Row],[Risk CCY]],'Tech list'!A:A,0),3)</f>
        <v>1</v>
      </c>
      <c r="AE7" s="75">
        <f>T_bETFs[[#This Row],[Market Value, CCY]]</f>
        <v>4911401.3599999994</v>
      </c>
      <c r="AF7" s="576">
        <f>AC7*T_bETFs[[#This Row],[Exchange rate2]]</f>
        <v>4911401.3599999994</v>
      </c>
      <c r="AG7" s="577">
        <f>T_bETFs[[#This Row],[Market value in CCY]]-T_bETFs[[#This Row],[Cost price, CCY]]</f>
        <v>-2173839.16</v>
      </c>
      <c r="AH7" s="578">
        <f>T_bETFs[[#This Row],[P&amp;L]]/T_bETFs[[#This Row],[Cost price, CCY]]</f>
        <v>-0.30681233105125416</v>
      </c>
      <c r="AI7" s="586">
        <v>12</v>
      </c>
      <c r="AJ7" s="579">
        <v>46091</v>
      </c>
      <c r="AK7" s="579">
        <f>IFERROR(EDATE(T_bETFs[[#This Row],[Coupon date 1]],12/$AI7),"")</f>
        <v>46122</v>
      </c>
      <c r="AL7" s="579">
        <f>IFERROR(EDATE(T_bETFs[[#This Row],[Coupon date 2]],12/$AI7),"")</f>
        <v>46152</v>
      </c>
      <c r="AM7" s="579">
        <f>IFERROR(EDATE(T_bETFs[[#This Row],[Coupon date 3]],12/$AI7),"")</f>
        <v>46183</v>
      </c>
      <c r="AN7" s="579">
        <f>IFERROR(EDATE(T_bETFs[[#This Row],[Coupon date 4]],12/$AI7),"")</f>
        <v>46213</v>
      </c>
      <c r="AO7" s="579">
        <f>IFERROR(EDATE(T_bETFs[[#This Row],[Coupon date 5]],12/$AI7),"")</f>
        <v>46244</v>
      </c>
      <c r="AP7" s="579">
        <f>IFERROR(EDATE(T_bETFs[[#This Row],[Coupon date 6]],12/$AI7),"")</f>
        <v>46275</v>
      </c>
      <c r="AQ7" s="579">
        <f>IFERROR(EDATE(T_bETFs[[#This Row],[Coupon date 7]],12/$AI7),"")</f>
        <v>46305</v>
      </c>
      <c r="AR7" s="579">
        <f>IFERROR(EDATE(T_bETFs[[#This Row],[Coupon date 8]],12/$AI7),"")</f>
        <v>46336</v>
      </c>
      <c r="AS7" s="579">
        <f>IFERROR(EDATE(T_bETFs[[#This Row],[Coupon date 9]],12/$AI7),"")</f>
        <v>46366</v>
      </c>
      <c r="AT7" s="579">
        <f>IFERROR(EDATE(T_bETFs[[#This Row],[Coupon date 10]],12/$AI7),"")</f>
        <v>46397</v>
      </c>
      <c r="AU7" s="579">
        <f>IFERROR(EDATE(T_bETFs[[#This Row],[Coupon date 11]],12/$AI7),"")</f>
        <v>46428</v>
      </c>
      <c r="AV7" s="580">
        <f>IFERROR(IF(
OR(
AV$1+1-1=MONTH(T_bETFs[[#This Row],[Coupon date 1]]),
AV$1+1-1=MONTH(T_bETFs[[#This Row],[Coupon date 2]]),
AV$1+1-1=MONTH(T_bETFs[[#This Row],[Coupon date 3]]),
AV$1+1-1=MONTH(T_bETFs[[#This Row],[Coupon date 4]]),
AV$1+1-1=MONTH(T_bETFs[[#This Row],[Coupon date 5]]),
AV$1+1-1=MONTH(T_bETFs[[#This Row],[Coupon date 6]]),
AV$1+1-1=MONTH(T_bETFs[[#This Row],[Coupon date 7]]),
AV$1+1-1=MONTH(T_bETFs[[#This Row],[Coupon date 8]]),
AV$1+1-1=MONTH(T_bETFs[[#This Row],[Coupon date 9]]),
AV$1+1-1=MONTH(T_bETFs[[#This Row],[Coupon date 10]]),
AV$1+1-1=MONTH(T_bETFs[[#This Row],[Coupon date 11]]),
AV$1+1-1=MONTH(T_bETFs[[#This Row],[Coupon date 12]]),),
IF('CF USD'!$A$8="on",T_bETFs[[#This Row],[Coupon in USD]],T_bETFs[[#This Row],[Coupon in CCY]])/T_bETFs[[#This Row],[Coupons per annum]],0),
"")</f>
        <v>39700.49432666666</v>
      </c>
      <c r="AW7" s="580">
        <f>IFERROR(IF(
OR(
AW$1+1-1=MONTH(T_bETFs[[#This Row],[Coupon date 1]]),
AW$1+1-1=MONTH(T_bETFs[[#This Row],[Coupon date 2]]),
AW$1+1-1=MONTH(T_bETFs[[#This Row],[Coupon date 3]]),
AW$1+1-1=MONTH(T_bETFs[[#This Row],[Coupon date 4]]),
AW$1+1-1=MONTH(T_bETFs[[#This Row],[Coupon date 5]]),
AW$1+1-1=MONTH(T_bETFs[[#This Row],[Coupon date 6]]),
AW$1+1-1=MONTH(T_bETFs[[#This Row],[Coupon date 7]]),
AW$1+1-1=MONTH(T_bETFs[[#This Row],[Coupon date 8]]),
AW$1+1-1=MONTH(T_bETFs[[#This Row],[Coupon date 9]]),
AW$1+1-1=MONTH(T_bETFs[[#This Row],[Coupon date 10]]),
AW$1+1-1=MONTH(T_bETFs[[#This Row],[Coupon date 11]]),
AW$1+1-1=MONTH(T_bETFs[[#This Row],[Coupon date 12]]),),
IF('CF USD'!$A$8="on",T_bETFs[[#This Row],[Coupon in USD]],T_bETFs[[#This Row],[Coupon in CCY]])/T_bETFs[[#This Row],[Coupons per annum]],0),
"")</f>
        <v>39700.49432666666</v>
      </c>
      <c r="AX7" s="580">
        <f>IFERROR(IF(
OR(
AX$1+1-1=MONTH(T_bETFs[[#This Row],[Coupon date 1]]),
AX$1+1-1=MONTH(T_bETFs[[#This Row],[Coupon date 2]]),
AX$1+1-1=MONTH(T_bETFs[[#This Row],[Coupon date 3]]),
AX$1+1-1=MONTH(T_bETFs[[#This Row],[Coupon date 4]]),
AX$1+1-1=MONTH(T_bETFs[[#This Row],[Coupon date 5]]),
AX$1+1-1=MONTH(T_bETFs[[#This Row],[Coupon date 6]]),
AX$1+1-1=MONTH(T_bETFs[[#This Row],[Coupon date 7]]),
AX$1+1-1=MONTH(T_bETFs[[#This Row],[Coupon date 8]]),
AX$1+1-1=MONTH(T_bETFs[[#This Row],[Coupon date 9]]),
AX$1+1-1=MONTH(T_bETFs[[#This Row],[Coupon date 10]]),
AX$1+1-1=MONTH(T_bETFs[[#This Row],[Coupon date 11]]),
AX$1+1-1=MONTH(T_bETFs[[#This Row],[Coupon date 12]]),),
IF('CF USD'!$A$8="on",T_bETFs[[#This Row],[Coupon in USD]],T_bETFs[[#This Row],[Coupon in CCY]])/T_bETFs[[#This Row],[Coupons per annum]],0),
"")</f>
        <v>39700.49432666666</v>
      </c>
      <c r="AY7" s="580">
        <f>IFERROR(IF(
OR(
AY$1+1-1=MONTH(T_bETFs[[#This Row],[Coupon date 1]]),
AY$1+1-1=MONTH(T_bETFs[[#This Row],[Coupon date 2]]),
AY$1+1-1=MONTH(T_bETFs[[#This Row],[Coupon date 3]]),
AY$1+1-1=MONTH(T_bETFs[[#This Row],[Coupon date 4]]),
AY$1+1-1=MONTH(T_bETFs[[#This Row],[Coupon date 5]]),
AY$1+1-1=MONTH(T_bETFs[[#This Row],[Coupon date 6]]),
AY$1+1-1=MONTH(T_bETFs[[#This Row],[Coupon date 7]]),
AY$1+1-1=MONTH(T_bETFs[[#This Row],[Coupon date 8]]),
AY$1+1-1=MONTH(T_bETFs[[#This Row],[Coupon date 9]]),
AY$1+1-1=MONTH(T_bETFs[[#This Row],[Coupon date 10]]),
AY$1+1-1=MONTH(T_bETFs[[#This Row],[Coupon date 11]]),
AY$1+1-1=MONTH(T_bETFs[[#This Row],[Coupon date 12]]),),
IF('CF USD'!$A$8="on",T_bETFs[[#This Row],[Coupon in USD]],T_bETFs[[#This Row],[Coupon in CCY]])/T_bETFs[[#This Row],[Coupons per annum]],0),
"")</f>
        <v>39700.49432666666</v>
      </c>
      <c r="AZ7" s="580">
        <f>IFERROR(IF(
OR(
AZ$1+1-1=MONTH(T_bETFs[[#This Row],[Coupon date 1]]),
AZ$1+1-1=MONTH(T_bETFs[[#This Row],[Coupon date 2]]),
AZ$1+1-1=MONTH(T_bETFs[[#This Row],[Coupon date 3]]),
AZ$1+1-1=MONTH(T_bETFs[[#This Row],[Coupon date 4]]),
AZ$1+1-1=MONTH(T_bETFs[[#This Row],[Coupon date 5]]),
AZ$1+1-1=MONTH(T_bETFs[[#This Row],[Coupon date 6]]),
AZ$1+1-1=MONTH(T_bETFs[[#This Row],[Coupon date 7]]),
AZ$1+1-1=MONTH(T_bETFs[[#This Row],[Coupon date 8]]),
AZ$1+1-1=MONTH(T_bETFs[[#This Row],[Coupon date 9]]),
AZ$1+1-1=MONTH(T_bETFs[[#This Row],[Coupon date 10]]),
AZ$1+1-1=MONTH(T_bETFs[[#This Row],[Coupon date 11]]),
AZ$1+1-1=MONTH(T_bETFs[[#This Row],[Coupon date 12]]),),
IF('CF USD'!$A$8="on",T_bETFs[[#This Row],[Coupon in USD]],T_bETFs[[#This Row],[Coupon in CCY]])/T_bETFs[[#This Row],[Coupons per annum]],0),
"")</f>
        <v>39700.49432666666</v>
      </c>
      <c r="BA7" s="580">
        <f>IFERROR(IF(
OR(
BA$1+1-1=MONTH(T_bETFs[[#This Row],[Coupon date 1]]),
BA$1+1-1=MONTH(T_bETFs[[#This Row],[Coupon date 2]]),
BA$1+1-1=MONTH(T_bETFs[[#This Row],[Coupon date 3]]),
BA$1+1-1=MONTH(T_bETFs[[#This Row],[Coupon date 4]]),
BA$1+1-1=MONTH(T_bETFs[[#This Row],[Coupon date 5]]),
BA$1+1-1=MONTH(T_bETFs[[#This Row],[Coupon date 6]]),
BA$1+1-1=MONTH(T_bETFs[[#This Row],[Coupon date 7]]),
BA$1+1-1=MONTH(T_bETFs[[#This Row],[Coupon date 8]]),
BA$1+1-1=MONTH(T_bETFs[[#This Row],[Coupon date 9]]),
BA$1+1-1=MONTH(T_bETFs[[#This Row],[Coupon date 10]]),
BA$1+1-1=MONTH(T_bETFs[[#This Row],[Coupon date 11]]),
BA$1+1-1=MONTH(T_bETFs[[#This Row],[Coupon date 12]]),),
IF('CF USD'!$A$8="on",T_bETFs[[#This Row],[Coupon in USD]],T_bETFs[[#This Row],[Coupon in CCY]])/T_bETFs[[#This Row],[Coupons per annum]],0),
"")</f>
        <v>39700.49432666666</v>
      </c>
      <c r="BB7" s="580">
        <f>IFERROR(IF(
OR(
BB$1+1-1=MONTH(T_bETFs[[#This Row],[Coupon date 1]]),
BB$1+1-1=MONTH(T_bETFs[[#This Row],[Coupon date 2]]),
BB$1+1-1=MONTH(T_bETFs[[#This Row],[Coupon date 3]]),
BB$1+1-1=MONTH(T_bETFs[[#This Row],[Coupon date 4]]),
BB$1+1-1=MONTH(T_bETFs[[#This Row],[Coupon date 5]]),
BB$1+1-1=MONTH(T_bETFs[[#This Row],[Coupon date 6]]),
BB$1+1-1=MONTH(T_bETFs[[#This Row],[Coupon date 7]]),
BB$1+1-1=MONTH(T_bETFs[[#This Row],[Coupon date 8]]),
BB$1+1-1=MONTH(T_bETFs[[#This Row],[Coupon date 9]]),
BB$1+1-1=MONTH(T_bETFs[[#This Row],[Coupon date 10]]),
BB$1+1-1=MONTH(T_bETFs[[#This Row],[Coupon date 11]]),
BB$1+1-1=MONTH(T_bETFs[[#This Row],[Coupon date 12]]),),
IF('CF USD'!$A$8="on",T_bETFs[[#This Row],[Coupon in USD]],T_bETFs[[#This Row],[Coupon in CCY]])/T_bETFs[[#This Row],[Coupons per annum]],0),
"")</f>
        <v>39700.49432666666</v>
      </c>
      <c r="BC7" s="580">
        <f>IFERROR(IF(
OR(
BC$1+1-1=MONTH(T_bETFs[[#This Row],[Coupon date 1]]),
BC$1+1-1=MONTH(T_bETFs[[#This Row],[Coupon date 2]]),
BC$1+1-1=MONTH(T_bETFs[[#This Row],[Coupon date 3]]),
BC$1+1-1=MONTH(T_bETFs[[#This Row],[Coupon date 4]]),
BC$1+1-1=MONTH(T_bETFs[[#This Row],[Coupon date 5]]),
BC$1+1-1=MONTH(T_bETFs[[#This Row],[Coupon date 6]]),
BC$1+1-1=MONTH(T_bETFs[[#This Row],[Coupon date 7]]),
BC$1+1-1=MONTH(T_bETFs[[#This Row],[Coupon date 8]]),
BC$1+1-1=MONTH(T_bETFs[[#This Row],[Coupon date 9]]),
BC$1+1-1=MONTH(T_bETFs[[#This Row],[Coupon date 10]]),
BC$1+1-1=MONTH(T_bETFs[[#This Row],[Coupon date 11]]),
BC$1+1-1=MONTH(T_bETFs[[#This Row],[Coupon date 12]]),),
IF('CF USD'!$A$8="on",T_bETFs[[#This Row],[Coupon in USD]],T_bETFs[[#This Row],[Coupon in CCY]])/T_bETFs[[#This Row],[Coupons per annum]],0),
"")</f>
        <v>39700.49432666666</v>
      </c>
      <c r="BD7" s="580">
        <f>IFERROR(IF(
OR(
BD$1+1-1=MONTH(T_bETFs[[#This Row],[Coupon date 1]]),
BD$1+1-1=MONTH(T_bETFs[[#This Row],[Coupon date 2]]),
BD$1+1-1=MONTH(T_bETFs[[#This Row],[Coupon date 3]]),
BD$1+1-1=MONTH(T_bETFs[[#This Row],[Coupon date 4]]),
BD$1+1-1=MONTH(T_bETFs[[#This Row],[Coupon date 5]]),
BD$1+1-1=MONTH(T_bETFs[[#This Row],[Coupon date 6]]),
BD$1+1-1=MONTH(T_bETFs[[#This Row],[Coupon date 7]]),
BD$1+1-1=MONTH(T_bETFs[[#This Row],[Coupon date 8]]),
BD$1+1-1=MONTH(T_bETFs[[#This Row],[Coupon date 9]]),
BD$1+1-1=MONTH(T_bETFs[[#This Row],[Coupon date 10]]),
BD$1+1-1=MONTH(T_bETFs[[#This Row],[Coupon date 11]]),
BD$1+1-1=MONTH(T_bETFs[[#This Row],[Coupon date 12]]),),
IF('CF USD'!$A$8="on",T_bETFs[[#This Row],[Coupon in USD]],T_bETFs[[#This Row],[Coupon in CCY]])/T_bETFs[[#This Row],[Coupons per annum]],0),
"")</f>
        <v>39700.49432666666</v>
      </c>
      <c r="BE7" s="580">
        <f>IFERROR(IF(
OR(
BE$1+1-1=MONTH(T_bETFs[[#This Row],[Coupon date 1]]),
BE$1+1-1=MONTH(T_bETFs[[#This Row],[Coupon date 2]]),
BE$1+1-1=MONTH(T_bETFs[[#This Row],[Coupon date 3]]),
BE$1+1-1=MONTH(T_bETFs[[#This Row],[Coupon date 4]]),
BE$1+1-1=MONTH(T_bETFs[[#This Row],[Coupon date 5]]),
BE$1+1-1=MONTH(T_bETFs[[#This Row],[Coupon date 6]]),
BE$1+1-1=MONTH(T_bETFs[[#This Row],[Coupon date 7]]),
BE$1+1-1=MONTH(T_bETFs[[#This Row],[Coupon date 8]]),
BE$1+1-1=MONTH(T_bETFs[[#This Row],[Coupon date 9]]),
BE$1+1-1=MONTH(T_bETFs[[#This Row],[Coupon date 10]]),
BE$1+1-1=MONTH(T_bETFs[[#This Row],[Coupon date 11]]),
BE$1+1-1=MONTH(T_bETFs[[#This Row],[Coupon date 12]]),),
IF('CF USD'!$A$8="on",T_bETFs[[#This Row],[Coupon in USD]],T_bETFs[[#This Row],[Coupon in CCY]])/T_bETFs[[#This Row],[Coupons per annum]],0),
"")</f>
        <v>39700.49432666666</v>
      </c>
      <c r="BF7" s="580">
        <f>IFERROR(IF(
OR(
BF$1+1-1=MONTH(T_bETFs[[#This Row],[Coupon date 1]]),
BF$1+1-1=MONTH(T_bETFs[[#This Row],[Coupon date 2]]),
BF$1+1-1=MONTH(T_bETFs[[#This Row],[Coupon date 3]]),
BF$1+1-1=MONTH(T_bETFs[[#This Row],[Coupon date 4]]),
BF$1+1-1=MONTH(T_bETFs[[#This Row],[Coupon date 5]]),
BF$1+1-1=MONTH(T_bETFs[[#This Row],[Coupon date 6]]),
BF$1+1-1=MONTH(T_bETFs[[#This Row],[Coupon date 7]]),
BF$1+1-1=MONTH(T_bETFs[[#This Row],[Coupon date 8]]),
BF$1+1-1=MONTH(T_bETFs[[#This Row],[Coupon date 9]]),
BF$1+1-1=MONTH(T_bETFs[[#This Row],[Coupon date 10]]),
BF$1+1-1=MONTH(T_bETFs[[#This Row],[Coupon date 11]]),
BF$1+1-1=MONTH(T_bETFs[[#This Row],[Coupon date 12]]),),
IF('CF USD'!$A$8="on",T_bETFs[[#This Row],[Coupon in USD]],T_bETFs[[#This Row],[Coupon in CCY]])/T_bETFs[[#This Row],[Coupons per annum]],0),
"")</f>
        <v>39700.49432666666</v>
      </c>
      <c r="BG7" s="580">
        <f>IFERROR(IF(
OR(
BG$1+1-1=MONTH(T_bETFs[[#This Row],[Coupon date 1]]),
BG$1+1-1=MONTH(T_bETFs[[#This Row],[Coupon date 2]]),
BG$1+1-1=MONTH(T_bETFs[[#This Row],[Coupon date 3]]),
BG$1+1-1=MONTH(T_bETFs[[#This Row],[Coupon date 4]]),
BG$1+1-1=MONTH(T_bETFs[[#This Row],[Coupon date 5]]),
BG$1+1-1=MONTH(T_bETFs[[#This Row],[Coupon date 6]]),
BG$1+1-1=MONTH(T_bETFs[[#This Row],[Coupon date 7]]),
BG$1+1-1=MONTH(T_bETFs[[#This Row],[Coupon date 8]]),
BG$1+1-1=MONTH(T_bETFs[[#This Row],[Coupon date 9]]),
BG$1+1-1=MONTH(T_bETFs[[#This Row],[Coupon date 10]]),
BG$1+1-1=MONTH(T_bETFs[[#This Row],[Coupon date 11]]),
BG$1+1-1=MONTH(T_bETFs[[#This Row],[Coupon date 12]]),),
IF('CF USD'!$A$8="on",T_bETFs[[#This Row],[Coupon in USD]],T_bETFs[[#This Row],[Coupon in CCY]])/T_bETFs[[#This Row],[Coupons per annum]],0),
"")</f>
        <v>39700.49432666666</v>
      </c>
    </row>
    <row r="8" spans="1:59" x14ac:dyDescent="0.25">
      <c r="A8" s="569" t="s">
        <v>90</v>
      </c>
      <c r="B8" s="1" t="s">
        <v>187</v>
      </c>
      <c r="C8" s="3" t="s">
        <v>2207</v>
      </c>
      <c r="D8" s="569" t="s">
        <v>2475</v>
      </c>
      <c r="N8" s="3" t="s">
        <v>2208</v>
      </c>
      <c r="O8" s="1" t="s">
        <v>18</v>
      </c>
      <c r="P8" s="978">
        <v>25480.204000000005</v>
      </c>
      <c r="Q8" s="571">
        <v>25.27</v>
      </c>
      <c r="R8" s="572">
        <f>T_bETFs[[#This Row],[Market Price]]*T_bETFs[[#This Row],[Quantity]]</f>
        <v>643884.75508000015</v>
      </c>
      <c r="S8" s="572">
        <f>T_bETFs[[#This Row],[Market Value, CCY]]*T_bETFs[[#This Row],[Exchange rate]]</f>
        <v>643884.75508000015</v>
      </c>
      <c r="T8" s="573">
        <f>T_bETFs[[#This Row],[Coupon in CCY]]/T_bETFs[[#This Row],[Market Value, CCY]]</f>
        <v>0.10209734863474475</v>
      </c>
      <c r="U8" s="277">
        <f>12*0.215*T_bETFs[[#This Row],[Quantity]]</f>
        <v>65738.926320000013</v>
      </c>
      <c r="V8" s="277">
        <f>IFERROR(T_bETFs[[#This Row],[Coupon in CCY]]*INDEX('Tech list'!A:C,MATCH(T_bETFs[[#This Row],[Risk CCY]],'Tech list'!A:A,0),3),"")</f>
        <v>65738.926320000013</v>
      </c>
      <c r="W8" s="101"/>
      <c r="X8" s="562">
        <f>W8*R8</f>
        <v>0</v>
      </c>
      <c r="Y8" s="569">
        <v>25.91</v>
      </c>
      <c r="Z8" s="574">
        <f>T_bETFs[[#This Row],[Cost, CCY]]*T_bETFs[[#This Row],[Quantity]]</f>
        <v>660192.08564000018</v>
      </c>
      <c r="AA8" s="561">
        <f>T_bETFs[[#This Row],[Coupon]]</f>
        <v>0.10209734863474475</v>
      </c>
      <c r="AB8" s="4">
        <f>VLOOKUP(T_bETFs[[#This Row],[Risk CCY]],'Tech list'!$A$2:$D$8,3,0)</f>
        <v>1</v>
      </c>
      <c r="AC8" s="575">
        <f>R8</f>
        <v>643884.75508000015</v>
      </c>
      <c r="AD8" s="1">
        <f>INDEX('Tech list'!A:C,MATCH(T_bETFs[[#This Row],[Risk CCY]],'Tech list'!A:A,0),3)</f>
        <v>1</v>
      </c>
      <c r="AE8" s="1">
        <f>T_bETFs[[#This Row],[Market Value, CCY]]</f>
        <v>643884.75508000015</v>
      </c>
      <c r="AF8" s="575">
        <f>AC8*T_bETFs[[#This Row],[Exchange rate2]]</f>
        <v>643884.75508000015</v>
      </c>
      <c r="AG8" s="577">
        <f>T_bETFs[[#This Row],[Market value in CCY]]-T_bETFs[[#This Row],[Cost price, CCY]]</f>
        <v>-16307.330560000031</v>
      </c>
      <c r="AH8" s="585">
        <f>T_bETFs[[#This Row],[P&amp;L]]/T_bETFs[[#This Row],[Cost price, CCY]]</f>
        <v>-2.4700887688151332E-2</v>
      </c>
      <c r="AI8" s="73">
        <v>12</v>
      </c>
      <c r="AJ8" s="579">
        <v>46111</v>
      </c>
      <c r="AK8" s="579">
        <f>IFERROR(EDATE(T_bETFs[[#This Row],[Coupon date 1]],12/$AI8),"")</f>
        <v>46142</v>
      </c>
      <c r="AL8" s="579">
        <f>IFERROR(EDATE(T_bETFs[[#This Row],[Coupon date 2]],12/$AI8),"")</f>
        <v>46172</v>
      </c>
      <c r="AM8" s="579">
        <f>IFERROR(EDATE(T_bETFs[[#This Row],[Coupon date 3]],12/$AI8),"")</f>
        <v>46203</v>
      </c>
      <c r="AN8" s="579">
        <f>IFERROR(EDATE(T_bETFs[[#This Row],[Coupon date 4]],12/$AI8),"")</f>
        <v>46233</v>
      </c>
      <c r="AO8" s="579">
        <f>IFERROR(EDATE(T_bETFs[[#This Row],[Coupon date 5]],12/$AI8),"")</f>
        <v>46264</v>
      </c>
      <c r="AP8" s="579">
        <f>IFERROR(EDATE(T_bETFs[[#This Row],[Coupon date 6]],12/$AI8),"")</f>
        <v>46295</v>
      </c>
      <c r="AQ8" s="579">
        <f>IFERROR(EDATE(T_bETFs[[#This Row],[Coupon date 7]],12/$AI8),"")</f>
        <v>46325</v>
      </c>
      <c r="AR8" s="579">
        <f>IFERROR(EDATE(T_bETFs[[#This Row],[Coupon date 8]],12/$AI8),"")</f>
        <v>46356</v>
      </c>
      <c r="AS8" s="579">
        <f>IFERROR(EDATE(T_bETFs[[#This Row],[Coupon date 9]],12/$AI8),"")</f>
        <v>46386</v>
      </c>
      <c r="AT8" s="579">
        <f>IFERROR(EDATE(T_bETFs[[#This Row],[Coupon date 10]],12/$AI8),"")</f>
        <v>46417</v>
      </c>
      <c r="AU8" s="579">
        <f>IFERROR(EDATE(T_bETFs[[#This Row],[Coupon date 11]],12/$AI8),"")</f>
        <v>46446</v>
      </c>
      <c r="AV8" s="576">
        <f>IFERROR(IF(
OR(
AV$1+1-1=MONTH(T_bETFs[[#This Row],[Coupon date 1]]),
AV$1+1-1=MONTH(T_bETFs[[#This Row],[Coupon date 2]]),
AV$1+1-1=MONTH(T_bETFs[[#This Row],[Coupon date 3]]),
AV$1+1-1=MONTH(T_bETFs[[#This Row],[Coupon date 4]]),
AV$1+1-1=MONTH(T_bETFs[[#This Row],[Coupon date 5]]),
AV$1+1-1=MONTH(T_bETFs[[#This Row],[Coupon date 6]]),
AV$1+1-1=MONTH(T_bETFs[[#This Row],[Coupon date 7]]),
AV$1+1-1=MONTH(T_bETFs[[#This Row],[Coupon date 8]]),
AV$1+1-1=MONTH(T_bETFs[[#This Row],[Coupon date 9]]),
AV$1+1-1=MONTH(T_bETFs[[#This Row],[Coupon date 10]]),
AV$1+1-1=MONTH(T_bETFs[[#This Row],[Coupon date 11]]),
AV$1+1-1=MONTH(T_bETFs[[#This Row],[Coupon date 12]]),),
IF('CF USD'!$A$8="on",T_bETFs[[#This Row],[Coupon in USD]],T_bETFs[[#This Row],[Coupon in CCY]])/T_bETFs[[#This Row],[Coupons per annum]],0),
"")</f>
        <v>5478.2438600000014</v>
      </c>
      <c r="AW8" s="576">
        <f>IFERROR(IF(
OR(
AW$1+1-1=MONTH(T_bETFs[[#This Row],[Coupon date 1]]),
AW$1+1-1=MONTH(T_bETFs[[#This Row],[Coupon date 2]]),
AW$1+1-1=MONTH(T_bETFs[[#This Row],[Coupon date 3]]),
AW$1+1-1=MONTH(T_bETFs[[#This Row],[Coupon date 4]]),
AW$1+1-1=MONTH(T_bETFs[[#This Row],[Coupon date 5]]),
AW$1+1-1=MONTH(T_bETFs[[#This Row],[Coupon date 6]]),
AW$1+1-1=MONTH(T_bETFs[[#This Row],[Coupon date 7]]),
AW$1+1-1=MONTH(T_bETFs[[#This Row],[Coupon date 8]]),
AW$1+1-1=MONTH(T_bETFs[[#This Row],[Coupon date 9]]),
AW$1+1-1=MONTH(T_bETFs[[#This Row],[Coupon date 10]]),
AW$1+1-1=MONTH(T_bETFs[[#This Row],[Coupon date 11]]),
AW$1+1-1=MONTH(T_bETFs[[#This Row],[Coupon date 12]]),),
IF('CF USD'!$A$8="on",T_bETFs[[#This Row],[Coupon in USD]],T_bETFs[[#This Row],[Coupon in CCY]])/T_bETFs[[#This Row],[Coupons per annum]],0),
"")</f>
        <v>5478.2438600000014</v>
      </c>
      <c r="AX8" s="576">
        <f>IFERROR(IF(
OR(
AX$1+1-1=MONTH(T_bETFs[[#This Row],[Coupon date 1]]),
AX$1+1-1=MONTH(T_bETFs[[#This Row],[Coupon date 2]]),
AX$1+1-1=MONTH(T_bETFs[[#This Row],[Coupon date 3]]),
AX$1+1-1=MONTH(T_bETFs[[#This Row],[Coupon date 4]]),
AX$1+1-1=MONTH(T_bETFs[[#This Row],[Coupon date 5]]),
AX$1+1-1=MONTH(T_bETFs[[#This Row],[Coupon date 6]]),
AX$1+1-1=MONTH(T_bETFs[[#This Row],[Coupon date 7]]),
AX$1+1-1=MONTH(T_bETFs[[#This Row],[Coupon date 8]]),
AX$1+1-1=MONTH(T_bETFs[[#This Row],[Coupon date 9]]),
AX$1+1-1=MONTH(T_bETFs[[#This Row],[Coupon date 10]]),
AX$1+1-1=MONTH(T_bETFs[[#This Row],[Coupon date 11]]),
AX$1+1-1=MONTH(T_bETFs[[#This Row],[Coupon date 12]]),),
IF('CF USD'!$A$8="on",T_bETFs[[#This Row],[Coupon in USD]],T_bETFs[[#This Row],[Coupon in CCY]])/T_bETFs[[#This Row],[Coupons per annum]],0),
"")</f>
        <v>5478.2438600000014</v>
      </c>
      <c r="AY8" s="576">
        <f>IFERROR(IF(
OR(
AY$1+1-1=MONTH(T_bETFs[[#This Row],[Coupon date 1]]),
AY$1+1-1=MONTH(T_bETFs[[#This Row],[Coupon date 2]]),
AY$1+1-1=MONTH(T_bETFs[[#This Row],[Coupon date 3]]),
AY$1+1-1=MONTH(T_bETFs[[#This Row],[Coupon date 4]]),
AY$1+1-1=MONTH(T_bETFs[[#This Row],[Coupon date 5]]),
AY$1+1-1=MONTH(T_bETFs[[#This Row],[Coupon date 6]]),
AY$1+1-1=MONTH(T_bETFs[[#This Row],[Coupon date 7]]),
AY$1+1-1=MONTH(T_bETFs[[#This Row],[Coupon date 8]]),
AY$1+1-1=MONTH(T_bETFs[[#This Row],[Coupon date 9]]),
AY$1+1-1=MONTH(T_bETFs[[#This Row],[Coupon date 10]]),
AY$1+1-1=MONTH(T_bETFs[[#This Row],[Coupon date 11]]),
AY$1+1-1=MONTH(T_bETFs[[#This Row],[Coupon date 12]]),),
IF('CF USD'!$A$8="on",T_bETFs[[#This Row],[Coupon in USD]],T_bETFs[[#This Row],[Coupon in CCY]])/T_bETFs[[#This Row],[Coupons per annum]],0),
"")</f>
        <v>5478.2438600000014</v>
      </c>
      <c r="AZ8" s="576">
        <f>IFERROR(IF(
OR(
AZ$1+1-1=MONTH(T_bETFs[[#This Row],[Coupon date 1]]),
AZ$1+1-1=MONTH(T_bETFs[[#This Row],[Coupon date 2]]),
AZ$1+1-1=MONTH(T_bETFs[[#This Row],[Coupon date 3]]),
AZ$1+1-1=MONTH(T_bETFs[[#This Row],[Coupon date 4]]),
AZ$1+1-1=MONTH(T_bETFs[[#This Row],[Coupon date 5]]),
AZ$1+1-1=MONTH(T_bETFs[[#This Row],[Coupon date 6]]),
AZ$1+1-1=MONTH(T_bETFs[[#This Row],[Coupon date 7]]),
AZ$1+1-1=MONTH(T_bETFs[[#This Row],[Coupon date 8]]),
AZ$1+1-1=MONTH(T_bETFs[[#This Row],[Coupon date 9]]),
AZ$1+1-1=MONTH(T_bETFs[[#This Row],[Coupon date 10]]),
AZ$1+1-1=MONTH(T_bETFs[[#This Row],[Coupon date 11]]),
AZ$1+1-1=MONTH(T_bETFs[[#This Row],[Coupon date 12]]),),
IF('CF USD'!$A$8="on",T_bETFs[[#This Row],[Coupon in USD]],T_bETFs[[#This Row],[Coupon in CCY]])/T_bETFs[[#This Row],[Coupons per annum]],0),
"")</f>
        <v>5478.2438600000014</v>
      </c>
      <c r="BA8" s="576">
        <f>IFERROR(IF(
OR(
BA$1+1-1=MONTH(T_bETFs[[#This Row],[Coupon date 1]]),
BA$1+1-1=MONTH(T_bETFs[[#This Row],[Coupon date 2]]),
BA$1+1-1=MONTH(T_bETFs[[#This Row],[Coupon date 3]]),
BA$1+1-1=MONTH(T_bETFs[[#This Row],[Coupon date 4]]),
BA$1+1-1=MONTH(T_bETFs[[#This Row],[Coupon date 5]]),
BA$1+1-1=MONTH(T_bETFs[[#This Row],[Coupon date 6]]),
BA$1+1-1=MONTH(T_bETFs[[#This Row],[Coupon date 7]]),
BA$1+1-1=MONTH(T_bETFs[[#This Row],[Coupon date 8]]),
BA$1+1-1=MONTH(T_bETFs[[#This Row],[Coupon date 9]]),
BA$1+1-1=MONTH(T_bETFs[[#This Row],[Coupon date 10]]),
BA$1+1-1=MONTH(T_bETFs[[#This Row],[Coupon date 11]]),
BA$1+1-1=MONTH(T_bETFs[[#This Row],[Coupon date 12]]),),
IF('CF USD'!$A$8="on",T_bETFs[[#This Row],[Coupon in USD]],T_bETFs[[#This Row],[Coupon in CCY]])/T_bETFs[[#This Row],[Coupons per annum]],0),
"")</f>
        <v>5478.2438600000014</v>
      </c>
      <c r="BB8" s="576">
        <f>IFERROR(IF(
OR(
BB$1+1-1=MONTH(T_bETFs[[#This Row],[Coupon date 1]]),
BB$1+1-1=MONTH(T_bETFs[[#This Row],[Coupon date 2]]),
BB$1+1-1=MONTH(T_bETFs[[#This Row],[Coupon date 3]]),
BB$1+1-1=MONTH(T_bETFs[[#This Row],[Coupon date 4]]),
BB$1+1-1=MONTH(T_bETFs[[#This Row],[Coupon date 5]]),
BB$1+1-1=MONTH(T_bETFs[[#This Row],[Coupon date 6]]),
BB$1+1-1=MONTH(T_bETFs[[#This Row],[Coupon date 7]]),
BB$1+1-1=MONTH(T_bETFs[[#This Row],[Coupon date 8]]),
BB$1+1-1=MONTH(T_bETFs[[#This Row],[Coupon date 9]]),
BB$1+1-1=MONTH(T_bETFs[[#This Row],[Coupon date 10]]),
BB$1+1-1=MONTH(T_bETFs[[#This Row],[Coupon date 11]]),
BB$1+1-1=MONTH(T_bETFs[[#This Row],[Coupon date 12]]),),
IF('CF USD'!$A$8="on",T_bETFs[[#This Row],[Coupon in USD]],T_bETFs[[#This Row],[Coupon in CCY]])/T_bETFs[[#This Row],[Coupons per annum]],0),
"")</f>
        <v>5478.2438600000014</v>
      </c>
      <c r="BC8" s="576">
        <f>IFERROR(IF(
OR(
BC$1+1-1=MONTH(T_bETFs[[#This Row],[Coupon date 1]]),
BC$1+1-1=MONTH(T_bETFs[[#This Row],[Coupon date 2]]),
BC$1+1-1=MONTH(T_bETFs[[#This Row],[Coupon date 3]]),
BC$1+1-1=MONTH(T_bETFs[[#This Row],[Coupon date 4]]),
BC$1+1-1=MONTH(T_bETFs[[#This Row],[Coupon date 5]]),
BC$1+1-1=MONTH(T_bETFs[[#This Row],[Coupon date 6]]),
BC$1+1-1=MONTH(T_bETFs[[#This Row],[Coupon date 7]]),
BC$1+1-1=MONTH(T_bETFs[[#This Row],[Coupon date 8]]),
BC$1+1-1=MONTH(T_bETFs[[#This Row],[Coupon date 9]]),
BC$1+1-1=MONTH(T_bETFs[[#This Row],[Coupon date 10]]),
BC$1+1-1=MONTH(T_bETFs[[#This Row],[Coupon date 11]]),
BC$1+1-1=MONTH(T_bETFs[[#This Row],[Coupon date 12]]),),
IF('CF USD'!$A$8="on",T_bETFs[[#This Row],[Coupon in USD]],T_bETFs[[#This Row],[Coupon in CCY]])/T_bETFs[[#This Row],[Coupons per annum]],0),
"")</f>
        <v>5478.2438600000014</v>
      </c>
      <c r="BD8" s="576">
        <f>IFERROR(IF(
OR(
BD$1+1-1=MONTH(T_bETFs[[#This Row],[Coupon date 1]]),
BD$1+1-1=MONTH(T_bETFs[[#This Row],[Coupon date 2]]),
BD$1+1-1=MONTH(T_bETFs[[#This Row],[Coupon date 3]]),
BD$1+1-1=MONTH(T_bETFs[[#This Row],[Coupon date 4]]),
BD$1+1-1=MONTH(T_bETFs[[#This Row],[Coupon date 5]]),
BD$1+1-1=MONTH(T_bETFs[[#This Row],[Coupon date 6]]),
BD$1+1-1=MONTH(T_bETFs[[#This Row],[Coupon date 7]]),
BD$1+1-1=MONTH(T_bETFs[[#This Row],[Coupon date 8]]),
BD$1+1-1=MONTH(T_bETFs[[#This Row],[Coupon date 9]]),
BD$1+1-1=MONTH(T_bETFs[[#This Row],[Coupon date 10]]),
BD$1+1-1=MONTH(T_bETFs[[#This Row],[Coupon date 11]]),
BD$1+1-1=MONTH(T_bETFs[[#This Row],[Coupon date 12]]),),
IF('CF USD'!$A$8="on",T_bETFs[[#This Row],[Coupon in USD]],T_bETFs[[#This Row],[Coupon in CCY]])/T_bETFs[[#This Row],[Coupons per annum]],0),
"")</f>
        <v>5478.2438600000014</v>
      </c>
      <c r="BE8" s="576">
        <f>IFERROR(IF(
OR(
BE$1+1-1=MONTH(T_bETFs[[#This Row],[Coupon date 1]]),
BE$1+1-1=MONTH(T_bETFs[[#This Row],[Coupon date 2]]),
BE$1+1-1=MONTH(T_bETFs[[#This Row],[Coupon date 3]]),
BE$1+1-1=MONTH(T_bETFs[[#This Row],[Coupon date 4]]),
BE$1+1-1=MONTH(T_bETFs[[#This Row],[Coupon date 5]]),
BE$1+1-1=MONTH(T_bETFs[[#This Row],[Coupon date 6]]),
BE$1+1-1=MONTH(T_bETFs[[#This Row],[Coupon date 7]]),
BE$1+1-1=MONTH(T_bETFs[[#This Row],[Coupon date 8]]),
BE$1+1-1=MONTH(T_bETFs[[#This Row],[Coupon date 9]]),
BE$1+1-1=MONTH(T_bETFs[[#This Row],[Coupon date 10]]),
BE$1+1-1=MONTH(T_bETFs[[#This Row],[Coupon date 11]]),
BE$1+1-1=MONTH(T_bETFs[[#This Row],[Coupon date 12]]),),
IF('CF USD'!$A$8="on",T_bETFs[[#This Row],[Coupon in USD]],T_bETFs[[#This Row],[Coupon in CCY]])/T_bETFs[[#This Row],[Coupons per annum]],0),
"")</f>
        <v>5478.2438600000014</v>
      </c>
      <c r="BF8" s="576">
        <f>IFERROR(IF(
OR(
BF$1+1-1=MONTH(T_bETFs[[#This Row],[Coupon date 1]]),
BF$1+1-1=MONTH(T_bETFs[[#This Row],[Coupon date 2]]),
BF$1+1-1=MONTH(T_bETFs[[#This Row],[Coupon date 3]]),
BF$1+1-1=MONTH(T_bETFs[[#This Row],[Coupon date 4]]),
BF$1+1-1=MONTH(T_bETFs[[#This Row],[Coupon date 5]]),
BF$1+1-1=MONTH(T_bETFs[[#This Row],[Coupon date 6]]),
BF$1+1-1=MONTH(T_bETFs[[#This Row],[Coupon date 7]]),
BF$1+1-1=MONTH(T_bETFs[[#This Row],[Coupon date 8]]),
BF$1+1-1=MONTH(T_bETFs[[#This Row],[Coupon date 9]]),
BF$1+1-1=MONTH(T_bETFs[[#This Row],[Coupon date 10]]),
BF$1+1-1=MONTH(T_bETFs[[#This Row],[Coupon date 11]]),
BF$1+1-1=MONTH(T_bETFs[[#This Row],[Coupon date 12]]),),
IF('CF USD'!$A$8="on",T_bETFs[[#This Row],[Coupon in USD]],T_bETFs[[#This Row],[Coupon in CCY]])/T_bETFs[[#This Row],[Coupons per annum]],0),
"")</f>
        <v>5478.2438600000014</v>
      </c>
      <c r="BG8" s="576">
        <f>IFERROR(IF(
OR(
BG$1+1-1=MONTH(T_bETFs[[#This Row],[Coupon date 1]]),
BG$1+1-1=MONTH(T_bETFs[[#This Row],[Coupon date 2]]),
BG$1+1-1=MONTH(T_bETFs[[#This Row],[Coupon date 3]]),
BG$1+1-1=MONTH(T_bETFs[[#This Row],[Coupon date 4]]),
BG$1+1-1=MONTH(T_bETFs[[#This Row],[Coupon date 5]]),
BG$1+1-1=MONTH(T_bETFs[[#This Row],[Coupon date 6]]),
BG$1+1-1=MONTH(T_bETFs[[#This Row],[Coupon date 7]]),
BG$1+1-1=MONTH(T_bETFs[[#This Row],[Coupon date 8]]),
BG$1+1-1=MONTH(T_bETFs[[#This Row],[Coupon date 9]]),
BG$1+1-1=MONTH(T_bETFs[[#This Row],[Coupon date 10]]),
BG$1+1-1=MONTH(T_bETFs[[#This Row],[Coupon date 11]]),
BG$1+1-1=MONTH(T_bETFs[[#This Row],[Coupon date 12]]),),
IF('CF USD'!$A$8="on",T_bETFs[[#This Row],[Coupon in USD]],T_bETFs[[#This Row],[Coupon in CCY]])/T_bETFs[[#This Row],[Coupons per annum]],0),
"")</f>
        <v>5478.2438600000014</v>
      </c>
    </row>
    <row r="9" spans="1:59" x14ac:dyDescent="0.25">
      <c r="A9" s="569" t="s">
        <v>90</v>
      </c>
      <c r="B9" s="1" t="s">
        <v>187</v>
      </c>
      <c r="C9" s="3" t="s">
        <v>2209</v>
      </c>
      <c r="D9" s="569" t="s">
        <v>2475</v>
      </c>
      <c r="N9" s="3"/>
      <c r="O9" s="1" t="s">
        <v>18</v>
      </c>
      <c r="P9" s="296">
        <v>832358.1</v>
      </c>
      <c r="Q9" s="571">
        <v>0.92773000000000005</v>
      </c>
      <c r="R9" s="572">
        <f>T_bETFs[[#This Row],[Market Price]]*T_bETFs[[#This Row],[Quantity]]</f>
        <v>772203.580113</v>
      </c>
      <c r="S9" s="572">
        <f>T_bETFs[[#This Row],[Market Value, CCY]]*T_bETFs[[#This Row],[Exchange rate]]</f>
        <v>772203.580113</v>
      </c>
      <c r="T9" s="573">
        <f>T_bETFs[[#This Row],[Coupon in CCY]]/T_bETFs[[#This Row],[Market Value, CCY]]</f>
        <v>0.29919180116490957</v>
      </c>
      <c r="U9" s="277">
        <v>231036.98</v>
      </c>
      <c r="V9" s="277">
        <f>IFERROR(T_bETFs[[#This Row],[Coupon in CCY]]*INDEX('Tech list'!A:C,MATCH(T_bETFs[[#This Row],[Risk CCY]],'Tech list'!A:A,0),3),"")</f>
        <v>231036.98</v>
      </c>
      <c r="W9" s="101"/>
      <c r="X9" s="562">
        <f>W9*R9</f>
        <v>0</v>
      </c>
      <c r="Y9" s="77">
        <f>T_bETFs[[#This Row],[Cost price, CCY]]/T_bETFs[[#This Row],[Quantity]]</f>
        <v>1</v>
      </c>
      <c r="Z9" s="574">
        <v>832358.1</v>
      </c>
      <c r="AA9" s="561">
        <f>T_bETFs[[#This Row],[Coupon]]</f>
        <v>0.29919180116490957</v>
      </c>
      <c r="AB9" s="4">
        <f>VLOOKUP(T_bETFs[[#This Row],[Risk CCY]],'Tech list'!$A$2:$D$8,3,0)</f>
        <v>1</v>
      </c>
      <c r="AC9" s="575">
        <f>R9</f>
        <v>772203.580113</v>
      </c>
      <c r="AD9" s="1">
        <f>INDEX('Tech list'!A:C,MATCH(T_bETFs[[#This Row],[Risk CCY]],'Tech list'!A:A,0),3)</f>
        <v>1</v>
      </c>
      <c r="AE9" s="1">
        <f>T_bETFs[[#This Row],[Market Value, CCY]]</f>
        <v>772203.580113</v>
      </c>
      <c r="AF9" s="575">
        <f>AC9*T_bETFs[[#This Row],[Exchange rate2]]</f>
        <v>772203.580113</v>
      </c>
      <c r="AG9" s="577">
        <f>T_bETFs[[#This Row],[Market value in CCY]]-T_bETFs[[#This Row],[Cost price, CCY]]</f>
        <v>-60154.519886999973</v>
      </c>
      <c r="AH9" s="585">
        <f>T_bETFs[[#This Row],[P&amp;L]]/T_bETFs[[#This Row],[Cost price, CCY]]</f>
        <v>-7.2269999999999973E-2</v>
      </c>
      <c r="AI9" s="73">
        <v>4</v>
      </c>
      <c r="AJ9" s="579"/>
      <c r="AK9" s="579">
        <f>IFERROR(EDATE(T_bETFs[[#This Row],[Coupon date 1]],12/$AI9),"")</f>
        <v>91</v>
      </c>
      <c r="AL9" s="579">
        <f>IFERROR(EDATE(T_bETFs[[#This Row],[Coupon date 2]],12/$AI9),"")</f>
        <v>182</v>
      </c>
      <c r="AM9" s="579">
        <f>IFERROR(EDATE(T_bETFs[[#This Row],[Coupon date 3]],12/$AI9),"")</f>
        <v>274</v>
      </c>
      <c r="AN9" s="579">
        <f>IFERROR(EDATE(T_bETFs[[#This Row],[Coupon date 4]],12/$AI9),"")</f>
        <v>365</v>
      </c>
      <c r="AO9" s="579">
        <f>IFERROR(EDATE(T_bETFs[[#This Row],[Coupon date 5]],12/$AI9),"")</f>
        <v>455</v>
      </c>
      <c r="AP9" s="579">
        <f>IFERROR(EDATE(T_bETFs[[#This Row],[Coupon date 6]],12/$AI9),"")</f>
        <v>547</v>
      </c>
      <c r="AQ9" s="579">
        <f>IFERROR(EDATE(T_bETFs[[#This Row],[Coupon date 7]],12/$AI9),"")</f>
        <v>639</v>
      </c>
      <c r="AR9" s="579">
        <f>IFERROR(EDATE(T_bETFs[[#This Row],[Coupon date 8]],12/$AI9),"")</f>
        <v>730</v>
      </c>
      <c r="AS9" s="579">
        <f>IFERROR(EDATE(T_bETFs[[#This Row],[Coupon date 9]],12/$AI9),"")</f>
        <v>820</v>
      </c>
      <c r="AT9" s="579">
        <f>IFERROR(EDATE(T_bETFs[[#This Row],[Coupon date 10]],12/$AI9),"")</f>
        <v>912</v>
      </c>
      <c r="AU9" s="579">
        <f>IFERROR(EDATE(T_bETFs[[#This Row],[Coupon date 11]],12/$AI9),"")</f>
        <v>1004</v>
      </c>
      <c r="AV9" s="576">
        <f>IFERROR(IF(
OR(
AV$1+1-1=MONTH(T_bETFs[[#This Row],[Coupon date 1]]),
AV$1+1-1=MONTH(T_bETFs[[#This Row],[Coupon date 2]]),
AV$1+1-1=MONTH(T_bETFs[[#This Row],[Coupon date 3]]),
AV$1+1-1=MONTH(T_bETFs[[#This Row],[Coupon date 4]]),
AV$1+1-1=MONTH(T_bETFs[[#This Row],[Coupon date 5]]),
AV$1+1-1=MONTH(T_bETFs[[#This Row],[Coupon date 6]]),
AV$1+1-1=MONTH(T_bETFs[[#This Row],[Coupon date 7]]),
AV$1+1-1=MONTH(T_bETFs[[#This Row],[Coupon date 8]]),
AV$1+1-1=MONTH(T_bETFs[[#This Row],[Coupon date 9]]),
AV$1+1-1=MONTH(T_bETFs[[#This Row],[Coupon date 10]]),
AV$1+1-1=MONTH(T_bETFs[[#This Row],[Coupon date 11]]),
AV$1+1-1=MONTH(T_bETFs[[#This Row],[Coupon date 12]]),),
IF('CF USD'!$A$8="on",T_bETFs[[#This Row],[Coupon in USD]],T_bETFs[[#This Row],[Coupon in CCY]])/T_bETFs[[#This Row],[Coupons per annum]],0),
"")</f>
        <v>57759.245000000003</v>
      </c>
      <c r="AW9" s="576">
        <f>IFERROR(IF(
OR(
AW$1+1-1=MONTH(T_bETFs[[#This Row],[Coupon date 1]]),
AW$1+1-1=MONTH(T_bETFs[[#This Row],[Coupon date 2]]),
AW$1+1-1=MONTH(T_bETFs[[#This Row],[Coupon date 3]]),
AW$1+1-1=MONTH(T_bETFs[[#This Row],[Coupon date 4]]),
AW$1+1-1=MONTH(T_bETFs[[#This Row],[Coupon date 5]]),
AW$1+1-1=MONTH(T_bETFs[[#This Row],[Coupon date 6]]),
AW$1+1-1=MONTH(T_bETFs[[#This Row],[Coupon date 7]]),
AW$1+1-1=MONTH(T_bETFs[[#This Row],[Coupon date 8]]),
AW$1+1-1=MONTH(T_bETFs[[#This Row],[Coupon date 9]]),
AW$1+1-1=MONTH(T_bETFs[[#This Row],[Coupon date 10]]),
AW$1+1-1=MONTH(T_bETFs[[#This Row],[Coupon date 11]]),
AW$1+1-1=MONTH(T_bETFs[[#This Row],[Coupon date 12]]),),
IF('CF USD'!$A$8="on",T_bETFs[[#This Row],[Coupon in USD]],T_bETFs[[#This Row],[Coupon in CCY]])/T_bETFs[[#This Row],[Coupons per annum]],0),
"")</f>
        <v>0</v>
      </c>
      <c r="AX9" s="576">
        <f>IFERROR(IF(
OR(
AX$1+1-1=MONTH(T_bETFs[[#This Row],[Coupon date 1]]),
AX$1+1-1=MONTH(T_bETFs[[#This Row],[Coupon date 2]]),
AX$1+1-1=MONTH(T_bETFs[[#This Row],[Coupon date 3]]),
AX$1+1-1=MONTH(T_bETFs[[#This Row],[Coupon date 4]]),
AX$1+1-1=MONTH(T_bETFs[[#This Row],[Coupon date 5]]),
AX$1+1-1=MONTH(T_bETFs[[#This Row],[Coupon date 6]]),
AX$1+1-1=MONTH(T_bETFs[[#This Row],[Coupon date 7]]),
AX$1+1-1=MONTH(T_bETFs[[#This Row],[Coupon date 8]]),
AX$1+1-1=MONTH(T_bETFs[[#This Row],[Coupon date 9]]),
AX$1+1-1=MONTH(T_bETFs[[#This Row],[Coupon date 10]]),
AX$1+1-1=MONTH(T_bETFs[[#This Row],[Coupon date 11]]),
AX$1+1-1=MONTH(T_bETFs[[#This Row],[Coupon date 12]]),),
IF('CF USD'!$A$8="on",T_bETFs[[#This Row],[Coupon in USD]],T_bETFs[[#This Row],[Coupon in CCY]])/T_bETFs[[#This Row],[Coupons per annum]],0),
"")</f>
        <v>57759.245000000003</v>
      </c>
      <c r="AY9" s="576">
        <f>IFERROR(IF(
OR(
AY$1+1-1=MONTH(T_bETFs[[#This Row],[Coupon date 1]]),
AY$1+1-1=MONTH(T_bETFs[[#This Row],[Coupon date 2]]),
AY$1+1-1=MONTH(T_bETFs[[#This Row],[Coupon date 3]]),
AY$1+1-1=MONTH(T_bETFs[[#This Row],[Coupon date 4]]),
AY$1+1-1=MONTH(T_bETFs[[#This Row],[Coupon date 5]]),
AY$1+1-1=MONTH(T_bETFs[[#This Row],[Coupon date 6]]),
AY$1+1-1=MONTH(T_bETFs[[#This Row],[Coupon date 7]]),
AY$1+1-1=MONTH(T_bETFs[[#This Row],[Coupon date 8]]),
AY$1+1-1=MONTH(T_bETFs[[#This Row],[Coupon date 9]]),
AY$1+1-1=MONTH(T_bETFs[[#This Row],[Coupon date 10]]),
AY$1+1-1=MONTH(T_bETFs[[#This Row],[Coupon date 11]]),
AY$1+1-1=MONTH(T_bETFs[[#This Row],[Coupon date 12]]),),
IF('CF USD'!$A$8="on",T_bETFs[[#This Row],[Coupon in USD]],T_bETFs[[#This Row],[Coupon in CCY]])/T_bETFs[[#This Row],[Coupons per annum]],0),
"")</f>
        <v>0</v>
      </c>
      <c r="AZ9" s="576">
        <f>IFERROR(IF(
OR(
AZ$1+1-1=MONTH(T_bETFs[[#This Row],[Coupon date 1]]),
AZ$1+1-1=MONTH(T_bETFs[[#This Row],[Coupon date 2]]),
AZ$1+1-1=MONTH(T_bETFs[[#This Row],[Coupon date 3]]),
AZ$1+1-1=MONTH(T_bETFs[[#This Row],[Coupon date 4]]),
AZ$1+1-1=MONTH(T_bETFs[[#This Row],[Coupon date 5]]),
AZ$1+1-1=MONTH(T_bETFs[[#This Row],[Coupon date 6]]),
AZ$1+1-1=MONTH(T_bETFs[[#This Row],[Coupon date 7]]),
AZ$1+1-1=MONTH(T_bETFs[[#This Row],[Coupon date 8]]),
AZ$1+1-1=MONTH(T_bETFs[[#This Row],[Coupon date 9]]),
AZ$1+1-1=MONTH(T_bETFs[[#This Row],[Coupon date 10]]),
AZ$1+1-1=MONTH(T_bETFs[[#This Row],[Coupon date 11]]),
AZ$1+1-1=MONTH(T_bETFs[[#This Row],[Coupon date 12]]),),
IF('CF USD'!$A$8="on",T_bETFs[[#This Row],[Coupon in USD]],T_bETFs[[#This Row],[Coupon in CCY]])/T_bETFs[[#This Row],[Coupons per annum]],0),
"")</f>
        <v>0</v>
      </c>
      <c r="BA9" s="576">
        <f>IFERROR(IF(
OR(
BA$1+1-1=MONTH(T_bETFs[[#This Row],[Coupon date 1]]),
BA$1+1-1=MONTH(T_bETFs[[#This Row],[Coupon date 2]]),
BA$1+1-1=MONTH(T_bETFs[[#This Row],[Coupon date 3]]),
BA$1+1-1=MONTH(T_bETFs[[#This Row],[Coupon date 4]]),
BA$1+1-1=MONTH(T_bETFs[[#This Row],[Coupon date 5]]),
BA$1+1-1=MONTH(T_bETFs[[#This Row],[Coupon date 6]]),
BA$1+1-1=MONTH(T_bETFs[[#This Row],[Coupon date 7]]),
BA$1+1-1=MONTH(T_bETFs[[#This Row],[Coupon date 8]]),
BA$1+1-1=MONTH(T_bETFs[[#This Row],[Coupon date 9]]),
BA$1+1-1=MONTH(T_bETFs[[#This Row],[Coupon date 10]]),
BA$1+1-1=MONTH(T_bETFs[[#This Row],[Coupon date 11]]),
BA$1+1-1=MONTH(T_bETFs[[#This Row],[Coupon date 12]]),),
IF('CF USD'!$A$8="on",T_bETFs[[#This Row],[Coupon in USD]],T_bETFs[[#This Row],[Coupon in CCY]])/T_bETFs[[#This Row],[Coupons per annum]],0),
"")</f>
        <v>57759.245000000003</v>
      </c>
      <c r="BB9" s="576">
        <f>IFERROR(IF(
OR(
BB$1+1-1=MONTH(T_bETFs[[#This Row],[Coupon date 1]]),
BB$1+1-1=MONTH(T_bETFs[[#This Row],[Coupon date 2]]),
BB$1+1-1=MONTH(T_bETFs[[#This Row],[Coupon date 3]]),
BB$1+1-1=MONTH(T_bETFs[[#This Row],[Coupon date 4]]),
BB$1+1-1=MONTH(T_bETFs[[#This Row],[Coupon date 5]]),
BB$1+1-1=MONTH(T_bETFs[[#This Row],[Coupon date 6]]),
BB$1+1-1=MONTH(T_bETFs[[#This Row],[Coupon date 7]]),
BB$1+1-1=MONTH(T_bETFs[[#This Row],[Coupon date 8]]),
BB$1+1-1=MONTH(T_bETFs[[#This Row],[Coupon date 9]]),
BB$1+1-1=MONTH(T_bETFs[[#This Row],[Coupon date 10]]),
BB$1+1-1=MONTH(T_bETFs[[#This Row],[Coupon date 11]]),
BB$1+1-1=MONTH(T_bETFs[[#This Row],[Coupon date 12]]),),
IF('CF USD'!$A$8="on",T_bETFs[[#This Row],[Coupon in USD]],T_bETFs[[#This Row],[Coupon in CCY]])/T_bETFs[[#This Row],[Coupons per annum]],0),
"")</f>
        <v>0</v>
      </c>
      <c r="BC9" s="576">
        <f>IFERROR(IF(
OR(
BC$1+1-1=MONTH(T_bETFs[[#This Row],[Coupon date 1]]),
BC$1+1-1=MONTH(T_bETFs[[#This Row],[Coupon date 2]]),
BC$1+1-1=MONTH(T_bETFs[[#This Row],[Coupon date 3]]),
BC$1+1-1=MONTH(T_bETFs[[#This Row],[Coupon date 4]]),
BC$1+1-1=MONTH(T_bETFs[[#This Row],[Coupon date 5]]),
BC$1+1-1=MONTH(T_bETFs[[#This Row],[Coupon date 6]]),
BC$1+1-1=MONTH(T_bETFs[[#This Row],[Coupon date 7]]),
BC$1+1-1=MONTH(T_bETFs[[#This Row],[Coupon date 8]]),
BC$1+1-1=MONTH(T_bETFs[[#This Row],[Coupon date 9]]),
BC$1+1-1=MONTH(T_bETFs[[#This Row],[Coupon date 10]]),
BC$1+1-1=MONTH(T_bETFs[[#This Row],[Coupon date 11]]),
BC$1+1-1=MONTH(T_bETFs[[#This Row],[Coupon date 12]]),),
IF('CF USD'!$A$8="on",T_bETFs[[#This Row],[Coupon in USD]],T_bETFs[[#This Row],[Coupon in CCY]])/T_bETFs[[#This Row],[Coupons per annum]],0),
"")</f>
        <v>0</v>
      </c>
      <c r="BD9" s="576">
        <f>IFERROR(IF(
OR(
BD$1+1-1=MONTH(T_bETFs[[#This Row],[Coupon date 1]]),
BD$1+1-1=MONTH(T_bETFs[[#This Row],[Coupon date 2]]),
BD$1+1-1=MONTH(T_bETFs[[#This Row],[Coupon date 3]]),
BD$1+1-1=MONTH(T_bETFs[[#This Row],[Coupon date 4]]),
BD$1+1-1=MONTH(T_bETFs[[#This Row],[Coupon date 5]]),
BD$1+1-1=MONTH(T_bETFs[[#This Row],[Coupon date 6]]),
BD$1+1-1=MONTH(T_bETFs[[#This Row],[Coupon date 7]]),
BD$1+1-1=MONTH(T_bETFs[[#This Row],[Coupon date 8]]),
BD$1+1-1=MONTH(T_bETFs[[#This Row],[Coupon date 9]]),
BD$1+1-1=MONTH(T_bETFs[[#This Row],[Coupon date 10]]),
BD$1+1-1=MONTH(T_bETFs[[#This Row],[Coupon date 11]]),
BD$1+1-1=MONTH(T_bETFs[[#This Row],[Coupon date 12]]),),
IF('CF USD'!$A$8="on",T_bETFs[[#This Row],[Coupon in USD]],T_bETFs[[#This Row],[Coupon in CCY]])/T_bETFs[[#This Row],[Coupons per annum]],0),
"")</f>
        <v>57759.245000000003</v>
      </c>
      <c r="BE9" s="576">
        <f>IFERROR(IF(
OR(
BE$1+1-1=MONTH(T_bETFs[[#This Row],[Coupon date 1]]),
BE$1+1-1=MONTH(T_bETFs[[#This Row],[Coupon date 2]]),
BE$1+1-1=MONTH(T_bETFs[[#This Row],[Coupon date 3]]),
BE$1+1-1=MONTH(T_bETFs[[#This Row],[Coupon date 4]]),
BE$1+1-1=MONTH(T_bETFs[[#This Row],[Coupon date 5]]),
BE$1+1-1=MONTH(T_bETFs[[#This Row],[Coupon date 6]]),
BE$1+1-1=MONTH(T_bETFs[[#This Row],[Coupon date 7]]),
BE$1+1-1=MONTH(T_bETFs[[#This Row],[Coupon date 8]]),
BE$1+1-1=MONTH(T_bETFs[[#This Row],[Coupon date 9]]),
BE$1+1-1=MONTH(T_bETFs[[#This Row],[Coupon date 10]]),
BE$1+1-1=MONTH(T_bETFs[[#This Row],[Coupon date 11]]),
BE$1+1-1=MONTH(T_bETFs[[#This Row],[Coupon date 12]]),),
IF('CF USD'!$A$8="on",T_bETFs[[#This Row],[Coupon in USD]],T_bETFs[[#This Row],[Coupon in CCY]])/T_bETFs[[#This Row],[Coupons per annum]],0),
"")</f>
        <v>0</v>
      </c>
      <c r="BF9" s="576">
        <f>IFERROR(IF(
OR(
BF$1+1-1=MONTH(T_bETFs[[#This Row],[Coupon date 1]]),
BF$1+1-1=MONTH(T_bETFs[[#This Row],[Coupon date 2]]),
BF$1+1-1=MONTH(T_bETFs[[#This Row],[Coupon date 3]]),
BF$1+1-1=MONTH(T_bETFs[[#This Row],[Coupon date 4]]),
BF$1+1-1=MONTH(T_bETFs[[#This Row],[Coupon date 5]]),
BF$1+1-1=MONTH(T_bETFs[[#This Row],[Coupon date 6]]),
BF$1+1-1=MONTH(T_bETFs[[#This Row],[Coupon date 7]]),
BF$1+1-1=MONTH(T_bETFs[[#This Row],[Coupon date 8]]),
BF$1+1-1=MONTH(T_bETFs[[#This Row],[Coupon date 9]]),
BF$1+1-1=MONTH(T_bETFs[[#This Row],[Coupon date 10]]),
BF$1+1-1=MONTH(T_bETFs[[#This Row],[Coupon date 11]]),
BF$1+1-1=MONTH(T_bETFs[[#This Row],[Coupon date 12]]),),
IF('CF USD'!$A$8="on",T_bETFs[[#This Row],[Coupon in USD]],T_bETFs[[#This Row],[Coupon in CCY]])/T_bETFs[[#This Row],[Coupons per annum]],0),
"")</f>
        <v>0</v>
      </c>
      <c r="BG9" s="576">
        <f>IFERROR(IF(
OR(
BG$1+1-1=MONTH(T_bETFs[[#This Row],[Coupon date 1]]),
BG$1+1-1=MONTH(T_bETFs[[#This Row],[Coupon date 2]]),
BG$1+1-1=MONTH(T_bETFs[[#This Row],[Coupon date 3]]),
BG$1+1-1=MONTH(T_bETFs[[#This Row],[Coupon date 4]]),
BG$1+1-1=MONTH(T_bETFs[[#This Row],[Coupon date 5]]),
BG$1+1-1=MONTH(T_bETFs[[#This Row],[Coupon date 6]]),
BG$1+1-1=MONTH(T_bETFs[[#This Row],[Coupon date 7]]),
BG$1+1-1=MONTH(T_bETFs[[#This Row],[Coupon date 8]]),
BG$1+1-1=MONTH(T_bETFs[[#This Row],[Coupon date 9]]),
BG$1+1-1=MONTH(T_bETFs[[#This Row],[Coupon date 10]]),
BG$1+1-1=MONTH(T_bETFs[[#This Row],[Coupon date 11]]),
BG$1+1-1=MONTH(T_bETFs[[#This Row],[Coupon date 12]]),),
IF('CF USD'!$A$8="on",T_bETFs[[#This Row],[Coupon in USD]],T_bETFs[[#This Row],[Coupon in CCY]])/T_bETFs[[#This Row],[Coupons per annum]],0),
"")</f>
        <v>57759.245000000003</v>
      </c>
    </row>
    <row r="10" spans="1:59" x14ac:dyDescent="0.25">
      <c r="A10" s="568" t="s">
        <v>90</v>
      </c>
      <c r="B10" s="298" t="s">
        <v>187</v>
      </c>
      <c r="C10" s="568" t="s">
        <v>188</v>
      </c>
      <c r="D10" s="569" t="s">
        <v>2475</v>
      </c>
      <c r="N10" s="569" t="s">
        <v>189</v>
      </c>
      <c r="O10" s="569" t="s">
        <v>18</v>
      </c>
      <c r="P10" s="570">
        <v>373558.18900000001</v>
      </c>
      <c r="Q10" s="571">
        <v>11.2</v>
      </c>
      <c r="R10" s="572">
        <f>T_bETFs[[#This Row],[Market Price]]*T_bETFs[[#This Row],[Quantity]]</f>
        <v>4183851.7168000001</v>
      </c>
      <c r="S10" s="572">
        <f>T_bETFs[[#This Row],[Market Value, CCY]]*T_bETFs[[#This Row],[Exchange rate]]</f>
        <v>4183851.7168000001</v>
      </c>
      <c r="T10" s="573">
        <f>T_bETFs[[#This Row],[Coupon in CCY]]/T_bETFs[[#This Row],[Market Value, CCY]]</f>
        <v>5.8928571428571427E-2</v>
      </c>
      <c r="U10" s="277">
        <f>T_bETFs[[#This Row],[Quantity]]*0.055*12</f>
        <v>246548.40474</v>
      </c>
      <c r="V10" s="277">
        <f>IFERROR(T_bETFs[[#This Row],[Coupon in CCY]]*INDEX('Tech list'!A:C,MATCH(T_bETFs[[#This Row],[Risk CCY]],'Tech list'!A:A,0),3),"")</f>
        <v>246548.40474</v>
      </c>
      <c r="W10" s="101">
        <v>6.7100000000000007E-2</v>
      </c>
      <c r="X10" s="77">
        <f>W10*R10</f>
        <v>280736.45019728004</v>
      </c>
      <c r="Y10" s="77">
        <v>10.75</v>
      </c>
      <c r="Z10" s="574">
        <f>T_bETFs[[#This Row],[Cost, CCY]]*T_bETFs[[#This Row],[Quantity]]</f>
        <v>4015750.5317500001</v>
      </c>
      <c r="AA10" s="111">
        <f>T_bETFs[[#This Row],[Coupon]]</f>
        <v>5.8928571428571427E-2</v>
      </c>
      <c r="AB10" s="4">
        <f>VLOOKUP(T_bETFs[[#This Row],[Risk CCY]],'Tech list'!$A$2:$D$8,3,0)</f>
        <v>1</v>
      </c>
      <c r="AC10" s="575">
        <f>R10</f>
        <v>4183851.7168000001</v>
      </c>
      <c r="AD10" s="1">
        <f>INDEX('Tech list'!A:C,MATCH(T_bETFs[[#This Row],[Risk CCY]],'Tech list'!A:A,0),3)</f>
        <v>1</v>
      </c>
      <c r="AE10" s="77">
        <f>T_bETFs[[#This Row],[Market Value, CCY]]</f>
        <v>4183851.7168000001</v>
      </c>
      <c r="AF10" s="576">
        <f>AC10*T_bETFs[[#This Row],[Exchange rate2]]</f>
        <v>4183851.7168000001</v>
      </c>
      <c r="AG10" s="577">
        <f>T_bETFs[[#This Row],[Market value in CCY]]-T_bETFs[[#This Row],[Cost price, CCY]]</f>
        <v>168101.18504999997</v>
      </c>
      <c r="AH10" s="578">
        <f>T_bETFs[[#This Row],[P&amp;L]]/T_bETFs[[#This Row],[Cost price, CCY]]</f>
        <v>4.1860465116279062E-2</v>
      </c>
      <c r="AI10" s="586">
        <v>12</v>
      </c>
      <c r="AJ10" s="579">
        <v>45837</v>
      </c>
      <c r="AK10" s="579">
        <f>IFERROR(EDATE(T_bETFs[[#This Row],[Coupon date 1]],12/$AI10),"")</f>
        <v>45867</v>
      </c>
      <c r="AL10" s="579">
        <f>IFERROR(EDATE(T_bETFs[[#This Row],[Coupon date 2]],12/$AI10),"")</f>
        <v>45898</v>
      </c>
      <c r="AM10" s="579">
        <f>IFERROR(EDATE(T_bETFs[[#This Row],[Coupon date 3]],12/$AI10),"")</f>
        <v>45929</v>
      </c>
      <c r="AN10" s="579">
        <f>IFERROR(EDATE(T_bETFs[[#This Row],[Coupon date 4]],12/$AI10),"")</f>
        <v>45959</v>
      </c>
      <c r="AO10" s="579">
        <f>IFERROR(EDATE(T_bETFs[[#This Row],[Coupon date 5]],12/$AI10),"")</f>
        <v>45990</v>
      </c>
      <c r="AP10" s="579">
        <f>IFERROR(EDATE(T_bETFs[[#This Row],[Coupon date 6]],12/$AI10),"")</f>
        <v>46020</v>
      </c>
      <c r="AQ10" s="579">
        <f>IFERROR(EDATE(T_bETFs[[#This Row],[Coupon date 7]],12/$AI10),"")</f>
        <v>46051</v>
      </c>
      <c r="AR10" s="579">
        <f>IFERROR(EDATE(T_bETFs[[#This Row],[Coupon date 8]],12/$AI10),"")</f>
        <v>46081</v>
      </c>
      <c r="AS10" s="579">
        <f>IFERROR(EDATE(T_bETFs[[#This Row],[Coupon date 9]],12/$AI10),"")</f>
        <v>46109</v>
      </c>
      <c r="AT10" s="579">
        <f>IFERROR(EDATE(T_bETFs[[#This Row],[Coupon date 10]],12/$AI10),"")</f>
        <v>46140</v>
      </c>
      <c r="AU10" s="579">
        <f>IFERROR(EDATE(T_bETFs[[#This Row],[Coupon date 11]],12/$AI10),"")</f>
        <v>46170</v>
      </c>
      <c r="AV10" s="580">
        <f>IFERROR(IF(
OR(
AV$1+1-1=MONTH(T_bETFs[[#This Row],[Coupon date 1]]),
AV$1+1-1=MONTH(T_bETFs[[#This Row],[Coupon date 2]]),
AV$1+1-1=MONTH(T_bETFs[[#This Row],[Coupon date 3]]),
AV$1+1-1=MONTH(T_bETFs[[#This Row],[Coupon date 4]]),
AV$1+1-1=MONTH(T_bETFs[[#This Row],[Coupon date 5]]),
AV$1+1-1=MONTH(T_bETFs[[#This Row],[Coupon date 6]]),
AV$1+1-1=MONTH(T_bETFs[[#This Row],[Coupon date 7]]),
AV$1+1-1=MONTH(T_bETFs[[#This Row],[Coupon date 8]]),
AV$1+1-1=MONTH(T_bETFs[[#This Row],[Coupon date 9]]),
AV$1+1-1=MONTH(T_bETFs[[#This Row],[Coupon date 10]]),
AV$1+1-1=MONTH(T_bETFs[[#This Row],[Coupon date 11]]),
AV$1+1-1=MONTH(T_bETFs[[#This Row],[Coupon date 12]]),),
IF('CF USD'!$A$8="on",T_bETFs[[#This Row],[Coupon in USD]],T_bETFs[[#This Row],[Coupon in CCY]])/T_bETFs[[#This Row],[Coupons per annum]],0),
"")</f>
        <v>20545.700395</v>
      </c>
      <c r="AW10" s="580">
        <f>IFERROR(IF(
OR(
AW$1+1-1=MONTH(T_bETFs[[#This Row],[Coupon date 1]]),
AW$1+1-1=MONTH(T_bETFs[[#This Row],[Coupon date 2]]),
AW$1+1-1=MONTH(T_bETFs[[#This Row],[Coupon date 3]]),
AW$1+1-1=MONTH(T_bETFs[[#This Row],[Coupon date 4]]),
AW$1+1-1=MONTH(T_bETFs[[#This Row],[Coupon date 5]]),
AW$1+1-1=MONTH(T_bETFs[[#This Row],[Coupon date 6]]),
AW$1+1-1=MONTH(T_bETFs[[#This Row],[Coupon date 7]]),
AW$1+1-1=MONTH(T_bETFs[[#This Row],[Coupon date 8]]),
AW$1+1-1=MONTH(T_bETFs[[#This Row],[Coupon date 9]]),
AW$1+1-1=MONTH(T_bETFs[[#This Row],[Coupon date 10]]),
AW$1+1-1=MONTH(T_bETFs[[#This Row],[Coupon date 11]]),
AW$1+1-1=MONTH(T_bETFs[[#This Row],[Coupon date 12]]),),
IF('CF USD'!$A$8="on",T_bETFs[[#This Row],[Coupon in USD]],T_bETFs[[#This Row],[Coupon in CCY]])/T_bETFs[[#This Row],[Coupons per annum]],0),
"")</f>
        <v>20545.700395</v>
      </c>
      <c r="AX10" s="580">
        <f>IFERROR(IF(
OR(
AX$1+1-1=MONTH(T_bETFs[[#This Row],[Coupon date 1]]),
AX$1+1-1=MONTH(T_bETFs[[#This Row],[Coupon date 2]]),
AX$1+1-1=MONTH(T_bETFs[[#This Row],[Coupon date 3]]),
AX$1+1-1=MONTH(T_bETFs[[#This Row],[Coupon date 4]]),
AX$1+1-1=MONTH(T_bETFs[[#This Row],[Coupon date 5]]),
AX$1+1-1=MONTH(T_bETFs[[#This Row],[Coupon date 6]]),
AX$1+1-1=MONTH(T_bETFs[[#This Row],[Coupon date 7]]),
AX$1+1-1=MONTH(T_bETFs[[#This Row],[Coupon date 8]]),
AX$1+1-1=MONTH(T_bETFs[[#This Row],[Coupon date 9]]),
AX$1+1-1=MONTH(T_bETFs[[#This Row],[Coupon date 10]]),
AX$1+1-1=MONTH(T_bETFs[[#This Row],[Coupon date 11]]),
AX$1+1-1=MONTH(T_bETFs[[#This Row],[Coupon date 12]]),),
IF('CF USD'!$A$8="on",T_bETFs[[#This Row],[Coupon in USD]],T_bETFs[[#This Row],[Coupon in CCY]])/T_bETFs[[#This Row],[Coupons per annum]],0),
"")</f>
        <v>20545.700395</v>
      </c>
      <c r="AY10" s="580">
        <f>IFERROR(IF(
OR(
AY$1+1-1=MONTH(T_bETFs[[#This Row],[Coupon date 1]]),
AY$1+1-1=MONTH(T_bETFs[[#This Row],[Coupon date 2]]),
AY$1+1-1=MONTH(T_bETFs[[#This Row],[Coupon date 3]]),
AY$1+1-1=MONTH(T_bETFs[[#This Row],[Coupon date 4]]),
AY$1+1-1=MONTH(T_bETFs[[#This Row],[Coupon date 5]]),
AY$1+1-1=MONTH(T_bETFs[[#This Row],[Coupon date 6]]),
AY$1+1-1=MONTH(T_bETFs[[#This Row],[Coupon date 7]]),
AY$1+1-1=MONTH(T_bETFs[[#This Row],[Coupon date 8]]),
AY$1+1-1=MONTH(T_bETFs[[#This Row],[Coupon date 9]]),
AY$1+1-1=MONTH(T_bETFs[[#This Row],[Coupon date 10]]),
AY$1+1-1=MONTH(T_bETFs[[#This Row],[Coupon date 11]]),
AY$1+1-1=MONTH(T_bETFs[[#This Row],[Coupon date 12]]),),
IF('CF USD'!$A$8="on",T_bETFs[[#This Row],[Coupon in USD]],T_bETFs[[#This Row],[Coupon in CCY]])/T_bETFs[[#This Row],[Coupons per annum]],0),
"")</f>
        <v>20545.700395</v>
      </c>
      <c r="AZ10" s="580">
        <f>IFERROR(IF(
OR(
AZ$1+1-1=MONTH(T_bETFs[[#This Row],[Coupon date 1]]),
AZ$1+1-1=MONTH(T_bETFs[[#This Row],[Coupon date 2]]),
AZ$1+1-1=MONTH(T_bETFs[[#This Row],[Coupon date 3]]),
AZ$1+1-1=MONTH(T_bETFs[[#This Row],[Coupon date 4]]),
AZ$1+1-1=MONTH(T_bETFs[[#This Row],[Coupon date 5]]),
AZ$1+1-1=MONTH(T_bETFs[[#This Row],[Coupon date 6]]),
AZ$1+1-1=MONTH(T_bETFs[[#This Row],[Coupon date 7]]),
AZ$1+1-1=MONTH(T_bETFs[[#This Row],[Coupon date 8]]),
AZ$1+1-1=MONTH(T_bETFs[[#This Row],[Coupon date 9]]),
AZ$1+1-1=MONTH(T_bETFs[[#This Row],[Coupon date 10]]),
AZ$1+1-1=MONTH(T_bETFs[[#This Row],[Coupon date 11]]),
AZ$1+1-1=MONTH(T_bETFs[[#This Row],[Coupon date 12]]),),
IF('CF USD'!$A$8="on",T_bETFs[[#This Row],[Coupon in USD]],T_bETFs[[#This Row],[Coupon in CCY]])/T_bETFs[[#This Row],[Coupons per annum]],0),
"")</f>
        <v>20545.700395</v>
      </c>
      <c r="BA10" s="580">
        <f>IFERROR(IF(
OR(
BA$1+1-1=MONTH(T_bETFs[[#This Row],[Coupon date 1]]),
BA$1+1-1=MONTH(T_bETFs[[#This Row],[Coupon date 2]]),
BA$1+1-1=MONTH(T_bETFs[[#This Row],[Coupon date 3]]),
BA$1+1-1=MONTH(T_bETFs[[#This Row],[Coupon date 4]]),
BA$1+1-1=MONTH(T_bETFs[[#This Row],[Coupon date 5]]),
BA$1+1-1=MONTH(T_bETFs[[#This Row],[Coupon date 6]]),
BA$1+1-1=MONTH(T_bETFs[[#This Row],[Coupon date 7]]),
BA$1+1-1=MONTH(T_bETFs[[#This Row],[Coupon date 8]]),
BA$1+1-1=MONTH(T_bETFs[[#This Row],[Coupon date 9]]),
BA$1+1-1=MONTH(T_bETFs[[#This Row],[Coupon date 10]]),
BA$1+1-1=MONTH(T_bETFs[[#This Row],[Coupon date 11]]),
BA$1+1-1=MONTH(T_bETFs[[#This Row],[Coupon date 12]]),),
IF('CF USD'!$A$8="on",T_bETFs[[#This Row],[Coupon in USD]],T_bETFs[[#This Row],[Coupon in CCY]])/T_bETFs[[#This Row],[Coupons per annum]],0),
"")</f>
        <v>20545.700395</v>
      </c>
      <c r="BB10" s="580">
        <f>IFERROR(IF(
OR(
BB$1+1-1=MONTH(T_bETFs[[#This Row],[Coupon date 1]]),
BB$1+1-1=MONTH(T_bETFs[[#This Row],[Coupon date 2]]),
BB$1+1-1=MONTH(T_bETFs[[#This Row],[Coupon date 3]]),
BB$1+1-1=MONTH(T_bETFs[[#This Row],[Coupon date 4]]),
BB$1+1-1=MONTH(T_bETFs[[#This Row],[Coupon date 5]]),
BB$1+1-1=MONTH(T_bETFs[[#This Row],[Coupon date 6]]),
BB$1+1-1=MONTH(T_bETFs[[#This Row],[Coupon date 7]]),
BB$1+1-1=MONTH(T_bETFs[[#This Row],[Coupon date 8]]),
BB$1+1-1=MONTH(T_bETFs[[#This Row],[Coupon date 9]]),
BB$1+1-1=MONTH(T_bETFs[[#This Row],[Coupon date 10]]),
BB$1+1-1=MONTH(T_bETFs[[#This Row],[Coupon date 11]]),
BB$1+1-1=MONTH(T_bETFs[[#This Row],[Coupon date 12]]),),
IF('CF USD'!$A$8="on",T_bETFs[[#This Row],[Coupon in USD]],T_bETFs[[#This Row],[Coupon in CCY]])/T_bETFs[[#This Row],[Coupons per annum]],0),
"")</f>
        <v>20545.700395</v>
      </c>
      <c r="BC10" s="580">
        <f>IFERROR(IF(
OR(
BC$1+1-1=MONTH(T_bETFs[[#This Row],[Coupon date 1]]),
BC$1+1-1=MONTH(T_bETFs[[#This Row],[Coupon date 2]]),
BC$1+1-1=MONTH(T_bETFs[[#This Row],[Coupon date 3]]),
BC$1+1-1=MONTH(T_bETFs[[#This Row],[Coupon date 4]]),
BC$1+1-1=MONTH(T_bETFs[[#This Row],[Coupon date 5]]),
BC$1+1-1=MONTH(T_bETFs[[#This Row],[Coupon date 6]]),
BC$1+1-1=MONTH(T_bETFs[[#This Row],[Coupon date 7]]),
BC$1+1-1=MONTH(T_bETFs[[#This Row],[Coupon date 8]]),
BC$1+1-1=MONTH(T_bETFs[[#This Row],[Coupon date 9]]),
BC$1+1-1=MONTH(T_bETFs[[#This Row],[Coupon date 10]]),
BC$1+1-1=MONTH(T_bETFs[[#This Row],[Coupon date 11]]),
BC$1+1-1=MONTH(T_bETFs[[#This Row],[Coupon date 12]]),),
IF('CF USD'!$A$8="on",T_bETFs[[#This Row],[Coupon in USD]],T_bETFs[[#This Row],[Coupon in CCY]])/T_bETFs[[#This Row],[Coupons per annum]],0),
"")</f>
        <v>20545.700395</v>
      </c>
      <c r="BD10" s="580">
        <f>IFERROR(IF(
OR(
BD$1+1-1=MONTH(T_bETFs[[#This Row],[Coupon date 1]]),
BD$1+1-1=MONTH(T_bETFs[[#This Row],[Coupon date 2]]),
BD$1+1-1=MONTH(T_bETFs[[#This Row],[Coupon date 3]]),
BD$1+1-1=MONTH(T_bETFs[[#This Row],[Coupon date 4]]),
BD$1+1-1=MONTH(T_bETFs[[#This Row],[Coupon date 5]]),
BD$1+1-1=MONTH(T_bETFs[[#This Row],[Coupon date 6]]),
BD$1+1-1=MONTH(T_bETFs[[#This Row],[Coupon date 7]]),
BD$1+1-1=MONTH(T_bETFs[[#This Row],[Coupon date 8]]),
BD$1+1-1=MONTH(T_bETFs[[#This Row],[Coupon date 9]]),
BD$1+1-1=MONTH(T_bETFs[[#This Row],[Coupon date 10]]),
BD$1+1-1=MONTH(T_bETFs[[#This Row],[Coupon date 11]]),
BD$1+1-1=MONTH(T_bETFs[[#This Row],[Coupon date 12]]),),
IF('CF USD'!$A$8="on",T_bETFs[[#This Row],[Coupon in USD]],T_bETFs[[#This Row],[Coupon in CCY]])/T_bETFs[[#This Row],[Coupons per annum]],0),
"")</f>
        <v>20545.700395</v>
      </c>
      <c r="BE10" s="580">
        <f>IFERROR(IF(
OR(
BE$1+1-1=MONTH(T_bETFs[[#This Row],[Coupon date 1]]),
BE$1+1-1=MONTH(T_bETFs[[#This Row],[Coupon date 2]]),
BE$1+1-1=MONTH(T_bETFs[[#This Row],[Coupon date 3]]),
BE$1+1-1=MONTH(T_bETFs[[#This Row],[Coupon date 4]]),
BE$1+1-1=MONTH(T_bETFs[[#This Row],[Coupon date 5]]),
BE$1+1-1=MONTH(T_bETFs[[#This Row],[Coupon date 6]]),
BE$1+1-1=MONTH(T_bETFs[[#This Row],[Coupon date 7]]),
BE$1+1-1=MONTH(T_bETFs[[#This Row],[Coupon date 8]]),
BE$1+1-1=MONTH(T_bETFs[[#This Row],[Coupon date 9]]),
BE$1+1-1=MONTH(T_bETFs[[#This Row],[Coupon date 10]]),
BE$1+1-1=MONTH(T_bETFs[[#This Row],[Coupon date 11]]),
BE$1+1-1=MONTH(T_bETFs[[#This Row],[Coupon date 12]]),),
IF('CF USD'!$A$8="on",T_bETFs[[#This Row],[Coupon in USD]],T_bETFs[[#This Row],[Coupon in CCY]])/T_bETFs[[#This Row],[Coupons per annum]],0),
"")</f>
        <v>20545.700395</v>
      </c>
      <c r="BF10" s="580">
        <f>IFERROR(IF(
OR(
BF$1+1-1=MONTH(T_bETFs[[#This Row],[Coupon date 1]]),
BF$1+1-1=MONTH(T_bETFs[[#This Row],[Coupon date 2]]),
BF$1+1-1=MONTH(T_bETFs[[#This Row],[Coupon date 3]]),
BF$1+1-1=MONTH(T_bETFs[[#This Row],[Coupon date 4]]),
BF$1+1-1=MONTH(T_bETFs[[#This Row],[Coupon date 5]]),
BF$1+1-1=MONTH(T_bETFs[[#This Row],[Coupon date 6]]),
BF$1+1-1=MONTH(T_bETFs[[#This Row],[Coupon date 7]]),
BF$1+1-1=MONTH(T_bETFs[[#This Row],[Coupon date 8]]),
BF$1+1-1=MONTH(T_bETFs[[#This Row],[Coupon date 9]]),
BF$1+1-1=MONTH(T_bETFs[[#This Row],[Coupon date 10]]),
BF$1+1-1=MONTH(T_bETFs[[#This Row],[Coupon date 11]]),
BF$1+1-1=MONTH(T_bETFs[[#This Row],[Coupon date 12]]),),
IF('CF USD'!$A$8="on",T_bETFs[[#This Row],[Coupon in USD]],T_bETFs[[#This Row],[Coupon in CCY]])/T_bETFs[[#This Row],[Coupons per annum]],0),
"")</f>
        <v>20545.700395</v>
      </c>
      <c r="BG10" s="580">
        <f>IFERROR(IF(
OR(
BG$1+1-1=MONTH(T_bETFs[[#This Row],[Coupon date 1]]),
BG$1+1-1=MONTH(T_bETFs[[#This Row],[Coupon date 2]]),
BG$1+1-1=MONTH(T_bETFs[[#This Row],[Coupon date 3]]),
BG$1+1-1=MONTH(T_bETFs[[#This Row],[Coupon date 4]]),
BG$1+1-1=MONTH(T_bETFs[[#This Row],[Coupon date 5]]),
BG$1+1-1=MONTH(T_bETFs[[#This Row],[Coupon date 6]]),
BG$1+1-1=MONTH(T_bETFs[[#This Row],[Coupon date 7]]),
BG$1+1-1=MONTH(T_bETFs[[#This Row],[Coupon date 8]]),
BG$1+1-1=MONTH(T_bETFs[[#This Row],[Coupon date 9]]),
BG$1+1-1=MONTH(T_bETFs[[#This Row],[Coupon date 10]]),
BG$1+1-1=MONTH(T_bETFs[[#This Row],[Coupon date 11]]),
BG$1+1-1=MONTH(T_bETFs[[#This Row],[Coupon date 12]]),),
IF('CF USD'!$A$8="on",T_bETFs[[#This Row],[Coupon in USD]],T_bETFs[[#This Row],[Coupon in CCY]])/T_bETFs[[#This Row],[Coupons per annum]],0),
"")</f>
        <v>20545.700395</v>
      </c>
    </row>
    <row r="11" spans="1:59" s="775" customFormat="1" x14ac:dyDescent="0.25">
      <c r="A11" s="773" t="s">
        <v>90</v>
      </c>
      <c r="B11" s="774" t="s">
        <v>187</v>
      </c>
      <c r="C11" s="773" t="s">
        <v>1342</v>
      </c>
      <c r="D11" s="1" t="s">
        <v>2479</v>
      </c>
      <c r="E11" s="1"/>
      <c r="F11" s="1"/>
      <c r="G11" s="1"/>
      <c r="H11" s="1"/>
      <c r="I11" s="1"/>
      <c r="J11" s="1"/>
      <c r="K11" s="1"/>
      <c r="L11" s="1"/>
      <c r="M11" s="1"/>
      <c r="N11" s="775" t="s">
        <v>1343</v>
      </c>
      <c r="O11" s="776" t="s">
        <v>18</v>
      </c>
      <c r="P11" s="777">
        <v>168297</v>
      </c>
      <c r="Q11" s="778">
        <v>9.9</v>
      </c>
      <c r="R11" s="779">
        <f>T_bETFs[[#This Row],[Market Price]]*T_bETFs[[#This Row],[Quantity]]</f>
        <v>1666140.3</v>
      </c>
      <c r="S11" s="779">
        <f>T_bETFs[[#This Row],[Market Value, CCY]]*T_bETFs[[#This Row],[Exchange rate]]</f>
        <v>1666140.3</v>
      </c>
      <c r="T11" s="780">
        <f>T_bETFs[[#This Row],[Coupon in CCY]]/T_bETFs[[#This Row],[Market Value, CCY]]</f>
        <v>4.8662727272727267E-2</v>
      </c>
      <c r="U11" s="781">
        <f>0.481761*T_bETFs[[#This Row],[Quantity]]</f>
        <v>81078.931016999995</v>
      </c>
      <c r="V11" s="781">
        <f>IFERROR(T_bETFs[[#This Row],[Coupon in CCY]]*INDEX('Tech list'!A:C,MATCH(T_bETFs[[#This Row],[Risk CCY]],'Tech list'!A:A,0),3),"")</f>
        <v>81078.931016999995</v>
      </c>
      <c r="W11" s="101">
        <v>6.4000000000000001E-2</v>
      </c>
      <c r="X11" s="782">
        <f>W11*R11</f>
        <v>106632.9792</v>
      </c>
      <c r="Y11" s="783">
        <v>9.11</v>
      </c>
      <c r="Z11" s="784">
        <f>T_bETFs[[#This Row],[Cost, CCY]]*T_bETFs[[#This Row],[Quantity]]</f>
        <v>1533185.67</v>
      </c>
      <c r="AA11" s="785">
        <f>T_bETFs[[#This Row],[Coupon]]</f>
        <v>4.8662727272727267E-2</v>
      </c>
      <c r="AB11" s="786">
        <f>VLOOKUP(T_bETFs[[#This Row],[Risk CCY]],'Tech list'!$A$2:$D$8,3,0)</f>
        <v>1</v>
      </c>
      <c r="AC11" s="787">
        <f>R11</f>
        <v>1666140.3</v>
      </c>
      <c r="AD11" s="776">
        <f>INDEX('Tech list'!A:C,MATCH(T_bETFs[[#This Row],[Risk CCY]],'Tech list'!A:A,0),3)</f>
        <v>1</v>
      </c>
      <c r="AE11" s="788">
        <f>T_bETFs[[#This Row],[Market Value, CCY]]</f>
        <v>1666140.3</v>
      </c>
      <c r="AF11" s="787">
        <f>AC11*T_bETFs[[#This Row],[Exchange rate2]]</f>
        <v>1666140.3</v>
      </c>
      <c r="AG11" s="789">
        <f>T_bETFs[[#This Row],[Market value in CCY]]-T_bETFs[[#This Row],[Cost price, CCY]]</f>
        <v>132954.63000000012</v>
      </c>
      <c r="AH11" s="790">
        <f>T_bETFs[[#This Row],[P&amp;L]]/T_bETFs[[#This Row],[Cost price, CCY]]</f>
        <v>8.6717892425905677E-2</v>
      </c>
      <c r="AI11" s="791">
        <v>4</v>
      </c>
      <c r="AJ11" s="792">
        <v>45843</v>
      </c>
      <c r="AK11" s="792">
        <f>IFERROR(EDATE(T_bETFs[[#This Row],[Coupon date 1]],12/$AI11),"")</f>
        <v>45935</v>
      </c>
      <c r="AL11" s="792">
        <f>IFERROR(EDATE(T_bETFs[[#This Row],[Coupon date 2]],12/$AI11),"")</f>
        <v>46027</v>
      </c>
      <c r="AM11" s="792">
        <f>IFERROR(EDATE(T_bETFs[[#This Row],[Coupon date 3]],12/$AI11),"")</f>
        <v>46117</v>
      </c>
      <c r="AN11" s="792">
        <f>IFERROR(EDATE(T_bETFs[[#This Row],[Coupon date 4]],12/$AI11),"")</f>
        <v>46208</v>
      </c>
      <c r="AO11" s="792">
        <f>IFERROR(EDATE(T_bETFs[[#This Row],[Coupon date 5]],12/$AI11),"")</f>
        <v>46300</v>
      </c>
      <c r="AP11" s="792">
        <f>IFERROR(EDATE(T_bETFs[[#This Row],[Coupon date 6]],12/$AI11),"")</f>
        <v>46392</v>
      </c>
      <c r="AQ11" s="792">
        <f>IFERROR(EDATE(T_bETFs[[#This Row],[Coupon date 7]],12/$AI11),"")</f>
        <v>46482</v>
      </c>
      <c r="AR11" s="792">
        <f>IFERROR(EDATE(T_bETFs[[#This Row],[Coupon date 8]],12/$AI11),"")</f>
        <v>46573</v>
      </c>
      <c r="AS11" s="792">
        <f>IFERROR(EDATE(T_bETFs[[#This Row],[Coupon date 9]],12/$AI11),"")</f>
        <v>46665</v>
      </c>
      <c r="AT11" s="792">
        <f>IFERROR(EDATE(T_bETFs[[#This Row],[Coupon date 10]],12/$AI11),"")</f>
        <v>46757</v>
      </c>
      <c r="AU11" s="792">
        <f>IFERROR(EDATE(T_bETFs[[#This Row],[Coupon date 11]],12/$AI11),"")</f>
        <v>46848</v>
      </c>
      <c r="AV11" s="793">
        <f>IFERROR(IF(
OR(
AV$1+1-1=MONTH(T_bETFs[[#This Row],[Coupon date 1]]),
AV$1+1-1=MONTH(T_bETFs[[#This Row],[Coupon date 2]]),
AV$1+1-1=MONTH(T_bETFs[[#This Row],[Coupon date 3]]),
AV$1+1-1=MONTH(T_bETFs[[#This Row],[Coupon date 4]]),
AV$1+1-1=MONTH(T_bETFs[[#This Row],[Coupon date 5]]),
AV$1+1-1=MONTH(T_bETFs[[#This Row],[Coupon date 6]]),
AV$1+1-1=MONTH(T_bETFs[[#This Row],[Coupon date 7]]),
AV$1+1-1=MONTH(T_bETFs[[#This Row],[Coupon date 8]]),
AV$1+1-1=MONTH(T_bETFs[[#This Row],[Coupon date 9]]),
AV$1+1-1=MONTH(T_bETFs[[#This Row],[Coupon date 10]]),
AV$1+1-1=MONTH(T_bETFs[[#This Row],[Coupon date 11]]),
AV$1+1-1=MONTH(T_bETFs[[#This Row],[Coupon date 12]]),),
IF('CF USD'!$A$8="on",T_bETFs[[#This Row],[Coupon in USD]],T_bETFs[[#This Row],[Coupon in CCY]])/T_bETFs[[#This Row],[Coupons per annum]],0),
"")</f>
        <v>20269.732754249999</v>
      </c>
      <c r="AW11" s="793">
        <f>IFERROR(IF(
OR(
AW$1+1-1=MONTH(T_bETFs[[#This Row],[Coupon date 1]]),
AW$1+1-1=MONTH(T_bETFs[[#This Row],[Coupon date 2]]),
AW$1+1-1=MONTH(T_bETFs[[#This Row],[Coupon date 3]]),
AW$1+1-1=MONTH(T_bETFs[[#This Row],[Coupon date 4]]),
AW$1+1-1=MONTH(T_bETFs[[#This Row],[Coupon date 5]]),
AW$1+1-1=MONTH(T_bETFs[[#This Row],[Coupon date 6]]),
AW$1+1-1=MONTH(T_bETFs[[#This Row],[Coupon date 7]]),
AW$1+1-1=MONTH(T_bETFs[[#This Row],[Coupon date 8]]),
AW$1+1-1=MONTH(T_bETFs[[#This Row],[Coupon date 9]]),
AW$1+1-1=MONTH(T_bETFs[[#This Row],[Coupon date 10]]),
AW$1+1-1=MONTH(T_bETFs[[#This Row],[Coupon date 11]]),
AW$1+1-1=MONTH(T_bETFs[[#This Row],[Coupon date 12]]),),
IF('CF USD'!$A$8="on",T_bETFs[[#This Row],[Coupon in USD]],T_bETFs[[#This Row],[Coupon in CCY]])/T_bETFs[[#This Row],[Coupons per annum]],0),
"")</f>
        <v>0</v>
      </c>
      <c r="AX11" s="793">
        <f>IFERROR(IF(
OR(
AX$1+1-1=MONTH(T_bETFs[[#This Row],[Coupon date 1]]),
AX$1+1-1=MONTH(T_bETFs[[#This Row],[Coupon date 2]]),
AX$1+1-1=MONTH(T_bETFs[[#This Row],[Coupon date 3]]),
AX$1+1-1=MONTH(T_bETFs[[#This Row],[Coupon date 4]]),
AX$1+1-1=MONTH(T_bETFs[[#This Row],[Coupon date 5]]),
AX$1+1-1=MONTH(T_bETFs[[#This Row],[Coupon date 6]]),
AX$1+1-1=MONTH(T_bETFs[[#This Row],[Coupon date 7]]),
AX$1+1-1=MONTH(T_bETFs[[#This Row],[Coupon date 8]]),
AX$1+1-1=MONTH(T_bETFs[[#This Row],[Coupon date 9]]),
AX$1+1-1=MONTH(T_bETFs[[#This Row],[Coupon date 10]]),
AX$1+1-1=MONTH(T_bETFs[[#This Row],[Coupon date 11]]),
AX$1+1-1=MONTH(T_bETFs[[#This Row],[Coupon date 12]]),),
IF('CF USD'!$A$8="on",T_bETFs[[#This Row],[Coupon in USD]],T_bETFs[[#This Row],[Coupon in CCY]])/T_bETFs[[#This Row],[Coupons per annum]],0),
"")</f>
        <v>0</v>
      </c>
      <c r="AY11" s="793">
        <f>IFERROR(IF(
OR(
AY$1+1-1=MONTH(T_bETFs[[#This Row],[Coupon date 1]]),
AY$1+1-1=MONTH(T_bETFs[[#This Row],[Coupon date 2]]),
AY$1+1-1=MONTH(T_bETFs[[#This Row],[Coupon date 3]]),
AY$1+1-1=MONTH(T_bETFs[[#This Row],[Coupon date 4]]),
AY$1+1-1=MONTH(T_bETFs[[#This Row],[Coupon date 5]]),
AY$1+1-1=MONTH(T_bETFs[[#This Row],[Coupon date 6]]),
AY$1+1-1=MONTH(T_bETFs[[#This Row],[Coupon date 7]]),
AY$1+1-1=MONTH(T_bETFs[[#This Row],[Coupon date 8]]),
AY$1+1-1=MONTH(T_bETFs[[#This Row],[Coupon date 9]]),
AY$1+1-1=MONTH(T_bETFs[[#This Row],[Coupon date 10]]),
AY$1+1-1=MONTH(T_bETFs[[#This Row],[Coupon date 11]]),
AY$1+1-1=MONTH(T_bETFs[[#This Row],[Coupon date 12]]),),
IF('CF USD'!$A$8="on",T_bETFs[[#This Row],[Coupon in USD]],T_bETFs[[#This Row],[Coupon in CCY]])/T_bETFs[[#This Row],[Coupons per annum]],0),
"")</f>
        <v>20269.732754249999</v>
      </c>
      <c r="AZ11" s="793">
        <f>IFERROR(IF(
OR(
AZ$1+1-1=MONTH(T_bETFs[[#This Row],[Coupon date 1]]),
AZ$1+1-1=MONTH(T_bETFs[[#This Row],[Coupon date 2]]),
AZ$1+1-1=MONTH(T_bETFs[[#This Row],[Coupon date 3]]),
AZ$1+1-1=MONTH(T_bETFs[[#This Row],[Coupon date 4]]),
AZ$1+1-1=MONTH(T_bETFs[[#This Row],[Coupon date 5]]),
AZ$1+1-1=MONTH(T_bETFs[[#This Row],[Coupon date 6]]),
AZ$1+1-1=MONTH(T_bETFs[[#This Row],[Coupon date 7]]),
AZ$1+1-1=MONTH(T_bETFs[[#This Row],[Coupon date 8]]),
AZ$1+1-1=MONTH(T_bETFs[[#This Row],[Coupon date 9]]),
AZ$1+1-1=MONTH(T_bETFs[[#This Row],[Coupon date 10]]),
AZ$1+1-1=MONTH(T_bETFs[[#This Row],[Coupon date 11]]),
AZ$1+1-1=MONTH(T_bETFs[[#This Row],[Coupon date 12]]),),
IF('CF USD'!$A$8="on",T_bETFs[[#This Row],[Coupon in USD]],T_bETFs[[#This Row],[Coupon in CCY]])/T_bETFs[[#This Row],[Coupons per annum]],0),
"")</f>
        <v>0</v>
      </c>
      <c r="BA11" s="793">
        <f>IFERROR(IF(
OR(
BA$1+1-1=MONTH(T_bETFs[[#This Row],[Coupon date 1]]),
BA$1+1-1=MONTH(T_bETFs[[#This Row],[Coupon date 2]]),
BA$1+1-1=MONTH(T_bETFs[[#This Row],[Coupon date 3]]),
BA$1+1-1=MONTH(T_bETFs[[#This Row],[Coupon date 4]]),
BA$1+1-1=MONTH(T_bETFs[[#This Row],[Coupon date 5]]),
BA$1+1-1=MONTH(T_bETFs[[#This Row],[Coupon date 6]]),
BA$1+1-1=MONTH(T_bETFs[[#This Row],[Coupon date 7]]),
BA$1+1-1=MONTH(T_bETFs[[#This Row],[Coupon date 8]]),
BA$1+1-1=MONTH(T_bETFs[[#This Row],[Coupon date 9]]),
BA$1+1-1=MONTH(T_bETFs[[#This Row],[Coupon date 10]]),
BA$1+1-1=MONTH(T_bETFs[[#This Row],[Coupon date 11]]),
BA$1+1-1=MONTH(T_bETFs[[#This Row],[Coupon date 12]]),),
IF('CF USD'!$A$8="on",T_bETFs[[#This Row],[Coupon in USD]],T_bETFs[[#This Row],[Coupon in CCY]])/T_bETFs[[#This Row],[Coupons per annum]],0),
"")</f>
        <v>0</v>
      </c>
      <c r="BB11" s="793">
        <f>IFERROR(IF(
OR(
BB$1+1-1=MONTH(T_bETFs[[#This Row],[Coupon date 1]]),
BB$1+1-1=MONTH(T_bETFs[[#This Row],[Coupon date 2]]),
BB$1+1-1=MONTH(T_bETFs[[#This Row],[Coupon date 3]]),
BB$1+1-1=MONTH(T_bETFs[[#This Row],[Coupon date 4]]),
BB$1+1-1=MONTH(T_bETFs[[#This Row],[Coupon date 5]]),
BB$1+1-1=MONTH(T_bETFs[[#This Row],[Coupon date 6]]),
BB$1+1-1=MONTH(T_bETFs[[#This Row],[Coupon date 7]]),
BB$1+1-1=MONTH(T_bETFs[[#This Row],[Coupon date 8]]),
BB$1+1-1=MONTH(T_bETFs[[#This Row],[Coupon date 9]]),
BB$1+1-1=MONTH(T_bETFs[[#This Row],[Coupon date 10]]),
BB$1+1-1=MONTH(T_bETFs[[#This Row],[Coupon date 11]]),
BB$1+1-1=MONTH(T_bETFs[[#This Row],[Coupon date 12]]),),
IF('CF USD'!$A$8="on",T_bETFs[[#This Row],[Coupon in USD]],T_bETFs[[#This Row],[Coupon in CCY]])/T_bETFs[[#This Row],[Coupons per annum]],0),
"")</f>
        <v>20269.732754249999</v>
      </c>
      <c r="BC11" s="793">
        <f>IFERROR(IF(
OR(
BC$1+1-1=MONTH(T_bETFs[[#This Row],[Coupon date 1]]),
BC$1+1-1=MONTH(T_bETFs[[#This Row],[Coupon date 2]]),
BC$1+1-1=MONTH(T_bETFs[[#This Row],[Coupon date 3]]),
BC$1+1-1=MONTH(T_bETFs[[#This Row],[Coupon date 4]]),
BC$1+1-1=MONTH(T_bETFs[[#This Row],[Coupon date 5]]),
BC$1+1-1=MONTH(T_bETFs[[#This Row],[Coupon date 6]]),
BC$1+1-1=MONTH(T_bETFs[[#This Row],[Coupon date 7]]),
BC$1+1-1=MONTH(T_bETFs[[#This Row],[Coupon date 8]]),
BC$1+1-1=MONTH(T_bETFs[[#This Row],[Coupon date 9]]),
BC$1+1-1=MONTH(T_bETFs[[#This Row],[Coupon date 10]]),
BC$1+1-1=MONTH(T_bETFs[[#This Row],[Coupon date 11]]),
BC$1+1-1=MONTH(T_bETFs[[#This Row],[Coupon date 12]]),),
IF('CF USD'!$A$8="on",T_bETFs[[#This Row],[Coupon in USD]],T_bETFs[[#This Row],[Coupon in CCY]])/T_bETFs[[#This Row],[Coupons per annum]],0),
"")</f>
        <v>0</v>
      </c>
      <c r="BD11" s="793">
        <f>IFERROR(IF(
OR(
BD$1+1-1=MONTH(T_bETFs[[#This Row],[Coupon date 1]]),
BD$1+1-1=MONTH(T_bETFs[[#This Row],[Coupon date 2]]),
BD$1+1-1=MONTH(T_bETFs[[#This Row],[Coupon date 3]]),
BD$1+1-1=MONTH(T_bETFs[[#This Row],[Coupon date 4]]),
BD$1+1-1=MONTH(T_bETFs[[#This Row],[Coupon date 5]]),
BD$1+1-1=MONTH(T_bETFs[[#This Row],[Coupon date 6]]),
BD$1+1-1=MONTH(T_bETFs[[#This Row],[Coupon date 7]]),
BD$1+1-1=MONTH(T_bETFs[[#This Row],[Coupon date 8]]),
BD$1+1-1=MONTH(T_bETFs[[#This Row],[Coupon date 9]]),
BD$1+1-1=MONTH(T_bETFs[[#This Row],[Coupon date 10]]),
BD$1+1-1=MONTH(T_bETFs[[#This Row],[Coupon date 11]]),
BD$1+1-1=MONTH(T_bETFs[[#This Row],[Coupon date 12]]),),
IF('CF USD'!$A$8="on",T_bETFs[[#This Row],[Coupon in USD]],T_bETFs[[#This Row],[Coupon in CCY]])/T_bETFs[[#This Row],[Coupons per annum]],0),
"")</f>
        <v>0</v>
      </c>
      <c r="BE11" s="793">
        <f>IFERROR(IF(
OR(
BE$1+1-1=MONTH(T_bETFs[[#This Row],[Coupon date 1]]),
BE$1+1-1=MONTH(T_bETFs[[#This Row],[Coupon date 2]]),
BE$1+1-1=MONTH(T_bETFs[[#This Row],[Coupon date 3]]),
BE$1+1-1=MONTH(T_bETFs[[#This Row],[Coupon date 4]]),
BE$1+1-1=MONTH(T_bETFs[[#This Row],[Coupon date 5]]),
BE$1+1-1=MONTH(T_bETFs[[#This Row],[Coupon date 6]]),
BE$1+1-1=MONTH(T_bETFs[[#This Row],[Coupon date 7]]),
BE$1+1-1=MONTH(T_bETFs[[#This Row],[Coupon date 8]]),
BE$1+1-1=MONTH(T_bETFs[[#This Row],[Coupon date 9]]),
BE$1+1-1=MONTH(T_bETFs[[#This Row],[Coupon date 10]]),
BE$1+1-1=MONTH(T_bETFs[[#This Row],[Coupon date 11]]),
BE$1+1-1=MONTH(T_bETFs[[#This Row],[Coupon date 12]]),),
IF('CF USD'!$A$8="on",T_bETFs[[#This Row],[Coupon in USD]],T_bETFs[[#This Row],[Coupon in CCY]])/T_bETFs[[#This Row],[Coupons per annum]],0),
"")</f>
        <v>20269.732754249999</v>
      </c>
      <c r="BF11" s="793">
        <f>IFERROR(IF(
OR(
BF$1+1-1=MONTH(T_bETFs[[#This Row],[Coupon date 1]]),
BF$1+1-1=MONTH(T_bETFs[[#This Row],[Coupon date 2]]),
BF$1+1-1=MONTH(T_bETFs[[#This Row],[Coupon date 3]]),
BF$1+1-1=MONTH(T_bETFs[[#This Row],[Coupon date 4]]),
BF$1+1-1=MONTH(T_bETFs[[#This Row],[Coupon date 5]]),
BF$1+1-1=MONTH(T_bETFs[[#This Row],[Coupon date 6]]),
BF$1+1-1=MONTH(T_bETFs[[#This Row],[Coupon date 7]]),
BF$1+1-1=MONTH(T_bETFs[[#This Row],[Coupon date 8]]),
BF$1+1-1=MONTH(T_bETFs[[#This Row],[Coupon date 9]]),
BF$1+1-1=MONTH(T_bETFs[[#This Row],[Coupon date 10]]),
BF$1+1-1=MONTH(T_bETFs[[#This Row],[Coupon date 11]]),
BF$1+1-1=MONTH(T_bETFs[[#This Row],[Coupon date 12]]),),
IF('CF USD'!$A$8="on",T_bETFs[[#This Row],[Coupon in USD]],T_bETFs[[#This Row],[Coupon in CCY]])/T_bETFs[[#This Row],[Coupons per annum]],0),
"")</f>
        <v>0</v>
      </c>
      <c r="BG11" s="793">
        <f>IFERROR(IF(
OR(
BG$1+1-1=MONTH(T_bETFs[[#This Row],[Coupon date 1]]),
BG$1+1-1=MONTH(T_bETFs[[#This Row],[Coupon date 2]]),
BG$1+1-1=MONTH(T_bETFs[[#This Row],[Coupon date 3]]),
BG$1+1-1=MONTH(T_bETFs[[#This Row],[Coupon date 4]]),
BG$1+1-1=MONTH(T_bETFs[[#This Row],[Coupon date 5]]),
BG$1+1-1=MONTH(T_bETFs[[#This Row],[Coupon date 6]]),
BG$1+1-1=MONTH(T_bETFs[[#This Row],[Coupon date 7]]),
BG$1+1-1=MONTH(T_bETFs[[#This Row],[Coupon date 8]]),
BG$1+1-1=MONTH(T_bETFs[[#This Row],[Coupon date 9]]),
BG$1+1-1=MONTH(T_bETFs[[#This Row],[Coupon date 10]]),
BG$1+1-1=MONTH(T_bETFs[[#This Row],[Coupon date 11]]),
BG$1+1-1=MONTH(T_bETFs[[#This Row],[Coupon date 12]]),),
IF('CF USD'!$A$8="on",T_bETFs[[#This Row],[Coupon in USD]],T_bETFs[[#This Row],[Coupon in CCY]])/T_bETFs[[#This Row],[Coupons per annum]],0),
"")</f>
        <v>0</v>
      </c>
    </row>
    <row r="12" spans="1:59" x14ac:dyDescent="0.25">
      <c r="A12" s="569" t="s">
        <v>51</v>
      </c>
      <c r="B12" s="1" t="s">
        <v>187</v>
      </c>
      <c r="C12" s="569" t="s">
        <v>192</v>
      </c>
      <c r="D12" s="1" t="s">
        <v>2479</v>
      </c>
      <c r="E12" s="1"/>
      <c r="F12" s="1"/>
      <c r="G12" s="1"/>
      <c r="H12" s="1"/>
      <c r="I12" s="1"/>
      <c r="J12" s="1"/>
      <c r="K12" s="1"/>
      <c r="L12" s="1"/>
      <c r="M12" s="1"/>
      <c r="N12" s="569" t="s">
        <v>193</v>
      </c>
      <c r="O12" s="569" t="s">
        <v>18</v>
      </c>
      <c r="P12" s="296">
        <v>15760</v>
      </c>
      <c r="Q12" s="563">
        <v>91.85</v>
      </c>
      <c r="R12" s="572">
        <f>T_bETFs[[#This Row],[Market Price]]*T_bETFs[[#This Row],[Quantity]]</f>
        <v>1447556</v>
      </c>
      <c r="S12" s="572">
        <f>T_bETFs[[#This Row],[Market Value, CCY]]*T_bETFs[[#This Row],[Exchange rate]]</f>
        <v>1447556</v>
      </c>
      <c r="T12" s="573">
        <v>4.9700000000000001E-2</v>
      </c>
      <c r="U12" s="277">
        <f>T_bETFs[[#This Row],[Coupon]]*T_bETFs[[#This Row],[Market Value, CCY]]</f>
        <v>71943.533200000005</v>
      </c>
      <c r="V12" s="277">
        <f>IFERROR(T_bETFs[[#This Row],[Coupon in CCY]]*INDEX('Tech list'!A:C,MATCH(T_bETFs[[#This Row],[Risk CCY]],'Tech list'!A:A,0),3),"")</f>
        <v>71943.533200000005</v>
      </c>
      <c r="W12" s="101">
        <v>8.5699999999999998E-2</v>
      </c>
      <c r="X12" s="77">
        <f t="shared" si="0"/>
        <v>124055.54919999999</v>
      </c>
      <c r="Y12" s="77">
        <v>79.739418781725888</v>
      </c>
      <c r="Z12" s="574">
        <f>T_bETFs[[#This Row],[Cost, CCY]]*T_bETFs[[#This Row],[Quantity]]</f>
        <v>1256693.24</v>
      </c>
      <c r="AA12" s="111">
        <f>T_bETFs[[#This Row],[Coupon]]</f>
        <v>4.9700000000000001E-2</v>
      </c>
      <c r="AB12" s="4">
        <f>VLOOKUP(T_bETFs[[#This Row],[Risk CCY]],'Tech list'!$A$2:$D$8,3,0)</f>
        <v>1</v>
      </c>
      <c r="AC12" s="583">
        <f t="shared" si="1"/>
        <v>1447556</v>
      </c>
      <c r="AD12" s="1">
        <f>INDEX('Tech list'!A:C,MATCH(T_bETFs[[#This Row],[Risk CCY]],'Tech list'!A:A,0),3)</f>
        <v>1</v>
      </c>
      <c r="AE12" s="75">
        <f>T_bETFs[[#This Row],[Market Value, CCY]]</f>
        <v>1447556</v>
      </c>
      <c r="AF12" s="576">
        <f>AC12*T_bETFs[[#This Row],[Exchange rate2]]</f>
        <v>1447556</v>
      </c>
      <c r="AG12" s="577">
        <f>T_bETFs[[#This Row],[Market value in CCY]]-T_bETFs[[#This Row],[Cost price, CCY]]</f>
        <v>190862.76</v>
      </c>
      <c r="AH12" s="578">
        <f>T_bETFs[[#This Row],[P&amp;L]]/T_bETFs[[#This Row],[Cost price, CCY]]</f>
        <v>0.15187696879789056</v>
      </c>
      <c r="AI12" s="586">
        <v>1</v>
      </c>
      <c r="AJ12" s="579">
        <v>45987</v>
      </c>
      <c r="AK12" s="579">
        <f>IFERROR(EDATE(T_bETFs[[#This Row],[Coupon date 1]],12/$AI12),"")</f>
        <v>46352</v>
      </c>
      <c r="AL12" s="579">
        <f>IFERROR(EDATE(T_bETFs[[#This Row],[Coupon date 2]],12/$AI12),"")</f>
        <v>46717</v>
      </c>
      <c r="AM12" s="579">
        <f>IFERROR(EDATE(T_bETFs[[#This Row],[Coupon date 3]],12/$AI12),"")</f>
        <v>47083</v>
      </c>
      <c r="AN12" s="579">
        <f>IFERROR(EDATE(T_bETFs[[#This Row],[Coupon date 4]],12/$AI12),"")</f>
        <v>47448</v>
      </c>
      <c r="AO12" s="579">
        <f>IFERROR(EDATE(T_bETFs[[#This Row],[Coupon date 5]],12/$AI12),"")</f>
        <v>47813</v>
      </c>
      <c r="AP12" s="579">
        <f>IFERROR(EDATE(T_bETFs[[#This Row],[Coupon date 6]],12/$AI12),"")</f>
        <v>48178</v>
      </c>
      <c r="AQ12" s="579">
        <f>IFERROR(EDATE(T_bETFs[[#This Row],[Coupon date 7]],12/$AI12),"")</f>
        <v>48544</v>
      </c>
      <c r="AR12" s="579">
        <f>IFERROR(EDATE(T_bETFs[[#This Row],[Coupon date 8]],12/$AI12),"")</f>
        <v>48909</v>
      </c>
      <c r="AS12" s="579">
        <f>IFERROR(EDATE(T_bETFs[[#This Row],[Coupon date 9]],12/$AI12),"")</f>
        <v>49274</v>
      </c>
      <c r="AT12" s="579">
        <f>IFERROR(EDATE(T_bETFs[[#This Row],[Coupon date 10]],12/$AI12),"")</f>
        <v>49639</v>
      </c>
      <c r="AU12" s="579">
        <f>IFERROR(EDATE(T_bETFs[[#This Row],[Coupon date 11]],12/$AI12),"")</f>
        <v>50005</v>
      </c>
      <c r="AV12" s="580">
        <f>IFERROR(IF(
OR(
AV$1+1-1=MONTH(T_bETFs[[#This Row],[Coupon date 1]]),
AV$1+1-1=MONTH(T_bETFs[[#This Row],[Coupon date 2]]),
AV$1+1-1=MONTH(T_bETFs[[#This Row],[Coupon date 3]]),
AV$1+1-1=MONTH(T_bETFs[[#This Row],[Coupon date 4]]),
AV$1+1-1=MONTH(T_bETFs[[#This Row],[Coupon date 5]]),
AV$1+1-1=MONTH(T_bETFs[[#This Row],[Coupon date 6]]),
AV$1+1-1=MONTH(T_bETFs[[#This Row],[Coupon date 7]]),
AV$1+1-1=MONTH(T_bETFs[[#This Row],[Coupon date 8]]),
AV$1+1-1=MONTH(T_bETFs[[#This Row],[Coupon date 9]]),
AV$1+1-1=MONTH(T_bETFs[[#This Row],[Coupon date 10]]),
AV$1+1-1=MONTH(T_bETFs[[#This Row],[Coupon date 11]]),
AV$1+1-1=MONTH(T_bETFs[[#This Row],[Coupon date 12]]),),
IF('CF USD'!$A$8="on",T_bETFs[[#This Row],[Coupon in USD]],T_bETFs[[#This Row],[Coupon in CCY]])/T_bETFs[[#This Row],[Coupons per annum]],0),
"")</f>
        <v>0</v>
      </c>
      <c r="AW12" s="580">
        <f>IFERROR(IF(
OR(
AW$1+1-1=MONTH(T_bETFs[[#This Row],[Coupon date 1]]),
AW$1+1-1=MONTH(T_bETFs[[#This Row],[Coupon date 2]]),
AW$1+1-1=MONTH(T_bETFs[[#This Row],[Coupon date 3]]),
AW$1+1-1=MONTH(T_bETFs[[#This Row],[Coupon date 4]]),
AW$1+1-1=MONTH(T_bETFs[[#This Row],[Coupon date 5]]),
AW$1+1-1=MONTH(T_bETFs[[#This Row],[Coupon date 6]]),
AW$1+1-1=MONTH(T_bETFs[[#This Row],[Coupon date 7]]),
AW$1+1-1=MONTH(T_bETFs[[#This Row],[Coupon date 8]]),
AW$1+1-1=MONTH(T_bETFs[[#This Row],[Coupon date 9]]),
AW$1+1-1=MONTH(T_bETFs[[#This Row],[Coupon date 10]]),
AW$1+1-1=MONTH(T_bETFs[[#This Row],[Coupon date 11]]),
AW$1+1-1=MONTH(T_bETFs[[#This Row],[Coupon date 12]]),),
IF('CF USD'!$A$8="on",T_bETFs[[#This Row],[Coupon in USD]],T_bETFs[[#This Row],[Coupon in CCY]])/T_bETFs[[#This Row],[Coupons per annum]],0),
"")</f>
        <v>0</v>
      </c>
      <c r="AX12" s="580">
        <f>IFERROR(IF(
OR(
AX$1+1-1=MONTH(T_bETFs[[#This Row],[Coupon date 1]]),
AX$1+1-1=MONTH(T_bETFs[[#This Row],[Coupon date 2]]),
AX$1+1-1=MONTH(T_bETFs[[#This Row],[Coupon date 3]]),
AX$1+1-1=MONTH(T_bETFs[[#This Row],[Coupon date 4]]),
AX$1+1-1=MONTH(T_bETFs[[#This Row],[Coupon date 5]]),
AX$1+1-1=MONTH(T_bETFs[[#This Row],[Coupon date 6]]),
AX$1+1-1=MONTH(T_bETFs[[#This Row],[Coupon date 7]]),
AX$1+1-1=MONTH(T_bETFs[[#This Row],[Coupon date 8]]),
AX$1+1-1=MONTH(T_bETFs[[#This Row],[Coupon date 9]]),
AX$1+1-1=MONTH(T_bETFs[[#This Row],[Coupon date 10]]),
AX$1+1-1=MONTH(T_bETFs[[#This Row],[Coupon date 11]]),
AX$1+1-1=MONTH(T_bETFs[[#This Row],[Coupon date 12]]),),
IF('CF USD'!$A$8="on",T_bETFs[[#This Row],[Coupon in USD]],T_bETFs[[#This Row],[Coupon in CCY]])/T_bETFs[[#This Row],[Coupons per annum]],0),
"")</f>
        <v>0</v>
      </c>
      <c r="AY12" s="580">
        <f>IFERROR(IF(
OR(
AY$1+1-1=MONTH(T_bETFs[[#This Row],[Coupon date 1]]),
AY$1+1-1=MONTH(T_bETFs[[#This Row],[Coupon date 2]]),
AY$1+1-1=MONTH(T_bETFs[[#This Row],[Coupon date 3]]),
AY$1+1-1=MONTH(T_bETFs[[#This Row],[Coupon date 4]]),
AY$1+1-1=MONTH(T_bETFs[[#This Row],[Coupon date 5]]),
AY$1+1-1=MONTH(T_bETFs[[#This Row],[Coupon date 6]]),
AY$1+1-1=MONTH(T_bETFs[[#This Row],[Coupon date 7]]),
AY$1+1-1=MONTH(T_bETFs[[#This Row],[Coupon date 8]]),
AY$1+1-1=MONTH(T_bETFs[[#This Row],[Coupon date 9]]),
AY$1+1-1=MONTH(T_bETFs[[#This Row],[Coupon date 10]]),
AY$1+1-1=MONTH(T_bETFs[[#This Row],[Coupon date 11]]),
AY$1+1-1=MONTH(T_bETFs[[#This Row],[Coupon date 12]]),),
IF('CF USD'!$A$8="on",T_bETFs[[#This Row],[Coupon in USD]],T_bETFs[[#This Row],[Coupon in CCY]])/T_bETFs[[#This Row],[Coupons per annum]],0),
"")</f>
        <v>0</v>
      </c>
      <c r="AZ12" s="580">
        <f>IFERROR(IF(
OR(
AZ$1+1-1=MONTH(T_bETFs[[#This Row],[Coupon date 1]]),
AZ$1+1-1=MONTH(T_bETFs[[#This Row],[Coupon date 2]]),
AZ$1+1-1=MONTH(T_bETFs[[#This Row],[Coupon date 3]]),
AZ$1+1-1=MONTH(T_bETFs[[#This Row],[Coupon date 4]]),
AZ$1+1-1=MONTH(T_bETFs[[#This Row],[Coupon date 5]]),
AZ$1+1-1=MONTH(T_bETFs[[#This Row],[Coupon date 6]]),
AZ$1+1-1=MONTH(T_bETFs[[#This Row],[Coupon date 7]]),
AZ$1+1-1=MONTH(T_bETFs[[#This Row],[Coupon date 8]]),
AZ$1+1-1=MONTH(T_bETFs[[#This Row],[Coupon date 9]]),
AZ$1+1-1=MONTH(T_bETFs[[#This Row],[Coupon date 10]]),
AZ$1+1-1=MONTH(T_bETFs[[#This Row],[Coupon date 11]]),
AZ$1+1-1=MONTH(T_bETFs[[#This Row],[Coupon date 12]]),),
IF('CF USD'!$A$8="on",T_bETFs[[#This Row],[Coupon in USD]],T_bETFs[[#This Row],[Coupon in CCY]])/T_bETFs[[#This Row],[Coupons per annum]],0),
"")</f>
        <v>0</v>
      </c>
      <c r="BA12" s="580">
        <f>IFERROR(IF(
OR(
BA$1+1-1=MONTH(T_bETFs[[#This Row],[Coupon date 1]]),
BA$1+1-1=MONTH(T_bETFs[[#This Row],[Coupon date 2]]),
BA$1+1-1=MONTH(T_bETFs[[#This Row],[Coupon date 3]]),
BA$1+1-1=MONTH(T_bETFs[[#This Row],[Coupon date 4]]),
BA$1+1-1=MONTH(T_bETFs[[#This Row],[Coupon date 5]]),
BA$1+1-1=MONTH(T_bETFs[[#This Row],[Coupon date 6]]),
BA$1+1-1=MONTH(T_bETFs[[#This Row],[Coupon date 7]]),
BA$1+1-1=MONTH(T_bETFs[[#This Row],[Coupon date 8]]),
BA$1+1-1=MONTH(T_bETFs[[#This Row],[Coupon date 9]]),
BA$1+1-1=MONTH(T_bETFs[[#This Row],[Coupon date 10]]),
BA$1+1-1=MONTH(T_bETFs[[#This Row],[Coupon date 11]]),
BA$1+1-1=MONTH(T_bETFs[[#This Row],[Coupon date 12]]),),
IF('CF USD'!$A$8="on",T_bETFs[[#This Row],[Coupon in USD]],T_bETFs[[#This Row],[Coupon in CCY]])/T_bETFs[[#This Row],[Coupons per annum]],0),
"")</f>
        <v>0</v>
      </c>
      <c r="BB12" s="580">
        <f>IFERROR(IF(
OR(
BB$1+1-1=MONTH(T_bETFs[[#This Row],[Coupon date 1]]),
BB$1+1-1=MONTH(T_bETFs[[#This Row],[Coupon date 2]]),
BB$1+1-1=MONTH(T_bETFs[[#This Row],[Coupon date 3]]),
BB$1+1-1=MONTH(T_bETFs[[#This Row],[Coupon date 4]]),
BB$1+1-1=MONTH(T_bETFs[[#This Row],[Coupon date 5]]),
BB$1+1-1=MONTH(T_bETFs[[#This Row],[Coupon date 6]]),
BB$1+1-1=MONTH(T_bETFs[[#This Row],[Coupon date 7]]),
BB$1+1-1=MONTH(T_bETFs[[#This Row],[Coupon date 8]]),
BB$1+1-1=MONTH(T_bETFs[[#This Row],[Coupon date 9]]),
BB$1+1-1=MONTH(T_bETFs[[#This Row],[Coupon date 10]]),
BB$1+1-1=MONTH(T_bETFs[[#This Row],[Coupon date 11]]),
BB$1+1-1=MONTH(T_bETFs[[#This Row],[Coupon date 12]]),),
IF('CF USD'!$A$8="on",T_bETFs[[#This Row],[Coupon in USD]],T_bETFs[[#This Row],[Coupon in CCY]])/T_bETFs[[#This Row],[Coupons per annum]],0),
"")</f>
        <v>0</v>
      </c>
      <c r="BC12" s="580">
        <f>IFERROR(IF(
OR(
BC$1+1-1=MONTH(T_bETFs[[#This Row],[Coupon date 1]]),
BC$1+1-1=MONTH(T_bETFs[[#This Row],[Coupon date 2]]),
BC$1+1-1=MONTH(T_bETFs[[#This Row],[Coupon date 3]]),
BC$1+1-1=MONTH(T_bETFs[[#This Row],[Coupon date 4]]),
BC$1+1-1=MONTH(T_bETFs[[#This Row],[Coupon date 5]]),
BC$1+1-1=MONTH(T_bETFs[[#This Row],[Coupon date 6]]),
BC$1+1-1=MONTH(T_bETFs[[#This Row],[Coupon date 7]]),
BC$1+1-1=MONTH(T_bETFs[[#This Row],[Coupon date 8]]),
BC$1+1-1=MONTH(T_bETFs[[#This Row],[Coupon date 9]]),
BC$1+1-1=MONTH(T_bETFs[[#This Row],[Coupon date 10]]),
BC$1+1-1=MONTH(T_bETFs[[#This Row],[Coupon date 11]]),
BC$1+1-1=MONTH(T_bETFs[[#This Row],[Coupon date 12]]),),
IF('CF USD'!$A$8="on",T_bETFs[[#This Row],[Coupon in USD]],T_bETFs[[#This Row],[Coupon in CCY]])/T_bETFs[[#This Row],[Coupons per annum]],0),
"")</f>
        <v>0</v>
      </c>
      <c r="BD12" s="580">
        <f>IFERROR(IF(
OR(
BD$1+1-1=MONTH(T_bETFs[[#This Row],[Coupon date 1]]),
BD$1+1-1=MONTH(T_bETFs[[#This Row],[Coupon date 2]]),
BD$1+1-1=MONTH(T_bETFs[[#This Row],[Coupon date 3]]),
BD$1+1-1=MONTH(T_bETFs[[#This Row],[Coupon date 4]]),
BD$1+1-1=MONTH(T_bETFs[[#This Row],[Coupon date 5]]),
BD$1+1-1=MONTH(T_bETFs[[#This Row],[Coupon date 6]]),
BD$1+1-1=MONTH(T_bETFs[[#This Row],[Coupon date 7]]),
BD$1+1-1=MONTH(T_bETFs[[#This Row],[Coupon date 8]]),
BD$1+1-1=MONTH(T_bETFs[[#This Row],[Coupon date 9]]),
BD$1+1-1=MONTH(T_bETFs[[#This Row],[Coupon date 10]]),
BD$1+1-1=MONTH(T_bETFs[[#This Row],[Coupon date 11]]),
BD$1+1-1=MONTH(T_bETFs[[#This Row],[Coupon date 12]]),),
IF('CF USD'!$A$8="on",T_bETFs[[#This Row],[Coupon in USD]],T_bETFs[[#This Row],[Coupon in CCY]])/T_bETFs[[#This Row],[Coupons per annum]],0),
"")</f>
        <v>0</v>
      </c>
      <c r="BE12" s="580">
        <f>IFERROR(IF(
OR(
BE$1+1-1=MONTH(T_bETFs[[#This Row],[Coupon date 1]]),
BE$1+1-1=MONTH(T_bETFs[[#This Row],[Coupon date 2]]),
BE$1+1-1=MONTH(T_bETFs[[#This Row],[Coupon date 3]]),
BE$1+1-1=MONTH(T_bETFs[[#This Row],[Coupon date 4]]),
BE$1+1-1=MONTH(T_bETFs[[#This Row],[Coupon date 5]]),
BE$1+1-1=MONTH(T_bETFs[[#This Row],[Coupon date 6]]),
BE$1+1-1=MONTH(T_bETFs[[#This Row],[Coupon date 7]]),
BE$1+1-1=MONTH(T_bETFs[[#This Row],[Coupon date 8]]),
BE$1+1-1=MONTH(T_bETFs[[#This Row],[Coupon date 9]]),
BE$1+1-1=MONTH(T_bETFs[[#This Row],[Coupon date 10]]),
BE$1+1-1=MONTH(T_bETFs[[#This Row],[Coupon date 11]]),
BE$1+1-1=MONTH(T_bETFs[[#This Row],[Coupon date 12]]),),
IF('CF USD'!$A$8="on",T_bETFs[[#This Row],[Coupon in USD]],T_bETFs[[#This Row],[Coupon in CCY]])/T_bETFs[[#This Row],[Coupons per annum]],0),
"")</f>
        <v>0</v>
      </c>
      <c r="BF12" s="580">
        <f>IFERROR(IF(
OR(
BF$1+1-1=MONTH(T_bETFs[[#This Row],[Coupon date 1]]),
BF$1+1-1=MONTH(T_bETFs[[#This Row],[Coupon date 2]]),
BF$1+1-1=MONTH(T_bETFs[[#This Row],[Coupon date 3]]),
BF$1+1-1=MONTH(T_bETFs[[#This Row],[Coupon date 4]]),
BF$1+1-1=MONTH(T_bETFs[[#This Row],[Coupon date 5]]),
BF$1+1-1=MONTH(T_bETFs[[#This Row],[Coupon date 6]]),
BF$1+1-1=MONTH(T_bETFs[[#This Row],[Coupon date 7]]),
BF$1+1-1=MONTH(T_bETFs[[#This Row],[Coupon date 8]]),
BF$1+1-1=MONTH(T_bETFs[[#This Row],[Coupon date 9]]),
BF$1+1-1=MONTH(T_bETFs[[#This Row],[Coupon date 10]]),
BF$1+1-1=MONTH(T_bETFs[[#This Row],[Coupon date 11]]),
BF$1+1-1=MONTH(T_bETFs[[#This Row],[Coupon date 12]]),),
IF('CF USD'!$A$8="on",T_bETFs[[#This Row],[Coupon in USD]],T_bETFs[[#This Row],[Coupon in CCY]])/T_bETFs[[#This Row],[Coupons per annum]],0),
"")</f>
        <v>71943.533200000005</v>
      </c>
      <c r="BG12" s="580">
        <f>IFERROR(IF(
OR(
BG$1+1-1=MONTH(T_bETFs[[#This Row],[Coupon date 1]]),
BG$1+1-1=MONTH(T_bETFs[[#This Row],[Coupon date 2]]),
BG$1+1-1=MONTH(T_bETFs[[#This Row],[Coupon date 3]]),
BG$1+1-1=MONTH(T_bETFs[[#This Row],[Coupon date 4]]),
BG$1+1-1=MONTH(T_bETFs[[#This Row],[Coupon date 5]]),
BG$1+1-1=MONTH(T_bETFs[[#This Row],[Coupon date 6]]),
BG$1+1-1=MONTH(T_bETFs[[#This Row],[Coupon date 7]]),
BG$1+1-1=MONTH(T_bETFs[[#This Row],[Coupon date 8]]),
BG$1+1-1=MONTH(T_bETFs[[#This Row],[Coupon date 9]]),
BG$1+1-1=MONTH(T_bETFs[[#This Row],[Coupon date 10]]),
BG$1+1-1=MONTH(T_bETFs[[#This Row],[Coupon date 11]]),
BG$1+1-1=MONTH(T_bETFs[[#This Row],[Coupon date 12]]),),
IF('CF USD'!$A$8="on",T_bETFs[[#This Row],[Coupon in USD]],T_bETFs[[#This Row],[Coupon in CCY]])/T_bETFs[[#This Row],[Coupons per annum]],0),
"")</f>
        <v>0</v>
      </c>
    </row>
    <row r="13" spans="1:59" x14ac:dyDescent="0.25">
      <c r="A13" s="569" t="s">
        <v>51</v>
      </c>
      <c r="B13" s="1" t="s">
        <v>187</v>
      </c>
      <c r="C13" s="1" t="s">
        <v>853</v>
      </c>
      <c r="D13" s="1" t="s">
        <v>2475</v>
      </c>
      <c r="E13" s="1"/>
      <c r="F13" s="1"/>
      <c r="G13" s="1"/>
      <c r="H13" s="1"/>
      <c r="I13" s="1"/>
      <c r="J13" s="1"/>
      <c r="K13" s="1"/>
      <c r="L13" s="1"/>
      <c r="M13" s="1"/>
      <c r="N13" s="1" t="s">
        <v>854</v>
      </c>
      <c r="O13" s="1" t="s">
        <v>18</v>
      </c>
      <c r="P13" s="978">
        <v>8920</v>
      </c>
      <c r="Q13" s="563">
        <v>115.56</v>
      </c>
      <c r="R13" s="572">
        <f>T_bETFs[[#This Row],[Market Price]]*T_bETFs[[#This Row],[Quantity]]</f>
        <v>1030795.2000000001</v>
      </c>
      <c r="S13" s="572">
        <f>T_bETFs[[#This Row],[Market Value, CCY]]*T_bETFs[[#This Row],[Exchange rate]]</f>
        <v>1030795.2000000001</v>
      </c>
      <c r="T13" s="573">
        <f>T_bETFs[[#This Row],[Coupon in CCY]]/T_bETFs[[#This Row],[Market Value, CCY]]</f>
        <v>5.6663205261336107E-2</v>
      </c>
      <c r="U13" s="277">
        <f>'Tech list'!D91*4*T_bETFs[[#This Row],[Quantity]]</f>
        <v>58408.160000000011</v>
      </c>
      <c r="V13" s="277">
        <f>IFERROR(T_bETFs[[#This Row],[Coupon in CCY]]*INDEX('Tech list'!A:C,MATCH(T_bETFs[[#This Row],[Risk CCY]],'Tech list'!A:A,0),3),"")</f>
        <v>58408.160000000011</v>
      </c>
      <c r="W13" s="101">
        <v>5.3999999999999999E-2</v>
      </c>
      <c r="X13" s="77">
        <f t="shared" si="0"/>
        <v>55662.940800000004</v>
      </c>
      <c r="Y13" s="77">
        <v>113.4499200968523</v>
      </c>
      <c r="Z13" s="574">
        <f>T_bETFs[[#This Row],[Cost, CCY]]*T_bETFs[[#This Row],[Quantity]]</f>
        <v>1011973.2872639225</v>
      </c>
      <c r="AA13" s="111">
        <f>T_bETFs[[#This Row],[Coupon]]</f>
        <v>5.6663205261336107E-2</v>
      </c>
      <c r="AB13" s="4">
        <f>VLOOKUP(T_bETFs[[#This Row],[Risk CCY]],'Tech list'!$A$2:$D$8,3,0)</f>
        <v>1</v>
      </c>
      <c r="AC13" s="575">
        <f t="shared" si="1"/>
        <v>1030795.2000000001</v>
      </c>
      <c r="AD13" s="1">
        <f>INDEX('Tech list'!A:C,MATCH(T_bETFs[[#This Row],[Risk CCY]],'Tech list'!A:A,0),3)</f>
        <v>1</v>
      </c>
      <c r="AE13" s="77">
        <f>T_bETFs[[#This Row],[Market Value, CCY]]</f>
        <v>1030795.2000000001</v>
      </c>
      <c r="AF13" s="576">
        <f>AC13*T_bETFs[[#This Row],[Exchange rate2]]</f>
        <v>1030795.2000000001</v>
      </c>
      <c r="AG13" s="577">
        <f>T_bETFs[[#This Row],[Market value in CCY]]-T_bETFs[[#This Row],[Cost price, CCY]]</f>
        <v>18821.91273607756</v>
      </c>
      <c r="AH13" s="578">
        <f>T_bETFs[[#This Row],[P&amp;L]]/T_bETFs[[#This Row],[Cost price, CCY]]</f>
        <v>1.8599218944767272E-2</v>
      </c>
      <c r="AI13" s="586">
        <v>4</v>
      </c>
      <c r="AJ13" s="579">
        <v>45846</v>
      </c>
      <c r="AK13" s="579">
        <f>IFERROR(EDATE(T_bETFs[[#This Row],[Coupon date 1]],12/$AI13),"")</f>
        <v>45938</v>
      </c>
      <c r="AL13" s="579">
        <f>IFERROR(EDATE(T_bETFs[[#This Row],[Coupon date 2]],12/$AI13),"")</f>
        <v>46030</v>
      </c>
      <c r="AM13" s="579">
        <f>IFERROR(EDATE(T_bETFs[[#This Row],[Coupon date 3]],12/$AI13),"")</f>
        <v>46120</v>
      </c>
      <c r="AN13" s="579">
        <f>IFERROR(EDATE(T_bETFs[[#This Row],[Coupon date 4]],12/$AI13),"")</f>
        <v>46211</v>
      </c>
      <c r="AO13" s="579">
        <f>IFERROR(EDATE(T_bETFs[[#This Row],[Coupon date 5]],12/$AI13),"")</f>
        <v>46303</v>
      </c>
      <c r="AP13" s="579">
        <f>IFERROR(EDATE(T_bETFs[[#This Row],[Coupon date 6]],12/$AI13),"")</f>
        <v>46395</v>
      </c>
      <c r="AQ13" s="579">
        <f>IFERROR(EDATE(T_bETFs[[#This Row],[Coupon date 7]],12/$AI13),"")</f>
        <v>46485</v>
      </c>
      <c r="AR13" s="579">
        <f>IFERROR(EDATE(T_bETFs[[#This Row],[Coupon date 8]],12/$AI13),"")</f>
        <v>46576</v>
      </c>
      <c r="AS13" s="579">
        <f>IFERROR(EDATE(T_bETFs[[#This Row],[Coupon date 9]],12/$AI13),"")</f>
        <v>46668</v>
      </c>
      <c r="AT13" s="579">
        <f>IFERROR(EDATE(T_bETFs[[#This Row],[Coupon date 10]],12/$AI13),"")</f>
        <v>46760</v>
      </c>
      <c r="AU13" s="579">
        <f>IFERROR(EDATE(T_bETFs[[#This Row],[Coupon date 11]],12/$AI13),"")</f>
        <v>46851</v>
      </c>
      <c r="AV13" s="580">
        <f>IFERROR(IF(
OR(
AV$1+1-1=MONTH(T_bETFs[[#This Row],[Coupon date 1]]),
AV$1+1-1=MONTH(T_bETFs[[#This Row],[Coupon date 2]]),
AV$1+1-1=MONTH(T_bETFs[[#This Row],[Coupon date 3]]),
AV$1+1-1=MONTH(T_bETFs[[#This Row],[Coupon date 4]]),
AV$1+1-1=MONTH(T_bETFs[[#This Row],[Coupon date 5]]),
AV$1+1-1=MONTH(T_bETFs[[#This Row],[Coupon date 6]]),
AV$1+1-1=MONTH(T_bETFs[[#This Row],[Coupon date 7]]),
AV$1+1-1=MONTH(T_bETFs[[#This Row],[Coupon date 8]]),
AV$1+1-1=MONTH(T_bETFs[[#This Row],[Coupon date 9]]),
AV$1+1-1=MONTH(T_bETFs[[#This Row],[Coupon date 10]]),
AV$1+1-1=MONTH(T_bETFs[[#This Row],[Coupon date 11]]),
AV$1+1-1=MONTH(T_bETFs[[#This Row],[Coupon date 12]]),),
IF('CF USD'!$A$8="on",T_bETFs[[#This Row],[Coupon in USD]],T_bETFs[[#This Row],[Coupon in CCY]])/T_bETFs[[#This Row],[Coupons per annum]],0),
"")</f>
        <v>14602.040000000003</v>
      </c>
      <c r="AW13" s="580">
        <f>IFERROR(IF(
OR(
AW$1+1-1=MONTH(T_bETFs[[#This Row],[Coupon date 1]]),
AW$1+1-1=MONTH(T_bETFs[[#This Row],[Coupon date 2]]),
AW$1+1-1=MONTH(T_bETFs[[#This Row],[Coupon date 3]]),
AW$1+1-1=MONTH(T_bETFs[[#This Row],[Coupon date 4]]),
AW$1+1-1=MONTH(T_bETFs[[#This Row],[Coupon date 5]]),
AW$1+1-1=MONTH(T_bETFs[[#This Row],[Coupon date 6]]),
AW$1+1-1=MONTH(T_bETFs[[#This Row],[Coupon date 7]]),
AW$1+1-1=MONTH(T_bETFs[[#This Row],[Coupon date 8]]),
AW$1+1-1=MONTH(T_bETFs[[#This Row],[Coupon date 9]]),
AW$1+1-1=MONTH(T_bETFs[[#This Row],[Coupon date 10]]),
AW$1+1-1=MONTH(T_bETFs[[#This Row],[Coupon date 11]]),
AW$1+1-1=MONTH(T_bETFs[[#This Row],[Coupon date 12]]),),
IF('CF USD'!$A$8="on",T_bETFs[[#This Row],[Coupon in USD]],T_bETFs[[#This Row],[Coupon in CCY]])/T_bETFs[[#This Row],[Coupons per annum]],0),
"")</f>
        <v>0</v>
      </c>
      <c r="AX13" s="580">
        <f>IFERROR(IF(
OR(
AX$1+1-1=MONTH(T_bETFs[[#This Row],[Coupon date 1]]),
AX$1+1-1=MONTH(T_bETFs[[#This Row],[Coupon date 2]]),
AX$1+1-1=MONTH(T_bETFs[[#This Row],[Coupon date 3]]),
AX$1+1-1=MONTH(T_bETFs[[#This Row],[Coupon date 4]]),
AX$1+1-1=MONTH(T_bETFs[[#This Row],[Coupon date 5]]),
AX$1+1-1=MONTH(T_bETFs[[#This Row],[Coupon date 6]]),
AX$1+1-1=MONTH(T_bETFs[[#This Row],[Coupon date 7]]),
AX$1+1-1=MONTH(T_bETFs[[#This Row],[Coupon date 8]]),
AX$1+1-1=MONTH(T_bETFs[[#This Row],[Coupon date 9]]),
AX$1+1-1=MONTH(T_bETFs[[#This Row],[Coupon date 10]]),
AX$1+1-1=MONTH(T_bETFs[[#This Row],[Coupon date 11]]),
AX$1+1-1=MONTH(T_bETFs[[#This Row],[Coupon date 12]]),),
IF('CF USD'!$A$8="on",T_bETFs[[#This Row],[Coupon in USD]],T_bETFs[[#This Row],[Coupon in CCY]])/T_bETFs[[#This Row],[Coupons per annum]],0),
"")</f>
        <v>0</v>
      </c>
      <c r="AY13" s="580">
        <f>IFERROR(IF(
OR(
AY$1+1-1=MONTH(T_bETFs[[#This Row],[Coupon date 1]]),
AY$1+1-1=MONTH(T_bETFs[[#This Row],[Coupon date 2]]),
AY$1+1-1=MONTH(T_bETFs[[#This Row],[Coupon date 3]]),
AY$1+1-1=MONTH(T_bETFs[[#This Row],[Coupon date 4]]),
AY$1+1-1=MONTH(T_bETFs[[#This Row],[Coupon date 5]]),
AY$1+1-1=MONTH(T_bETFs[[#This Row],[Coupon date 6]]),
AY$1+1-1=MONTH(T_bETFs[[#This Row],[Coupon date 7]]),
AY$1+1-1=MONTH(T_bETFs[[#This Row],[Coupon date 8]]),
AY$1+1-1=MONTH(T_bETFs[[#This Row],[Coupon date 9]]),
AY$1+1-1=MONTH(T_bETFs[[#This Row],[Coupon date 10]]),
AY$1+1-1=MONTH(T_bETFs[[#This Row],[Coupon date 11]]),
AY$1+1-1=MONTH(T_bETFs[[#This Row],[Coupon date 12]]),),
IF('CF USD'!$A$8="on",T_bETFs[[#This Row],[Coupon in USD]],T_bETFs[[#This Row],[Coupon in CCY]])/T_bETFs[[#This Row],[Coupons per annum]],0),
"")</f>
        <v>14602.040000000003</v>
      </c>
      <c r="AZ13" s="580">
        <f>IFERROR(IF(
OR(
AZ$1+1-1=MONTH(T_bETFs[[#This Row],[Coupon date 1]]),
AZ$1+1-1=MONTH(T_bETFs[[#This Row],[Coupon date 2]]),
AZ$1+1-1=MONTH(T_bETFs[[#This Row],[Coupon date 3]]),
AZ$1+1-1=MONTH(T_bETFs[[#This Row],[Coupon date 4]]),
AZ$1+1-1=MONTH(T_bETFs[[#This Row],[Coupon date 5]]),
AZ$1+1-1=MONTH(T_bETFs[[#This Row],[Coupon date 6]]),
AZ$1+1-1=MONTH(T_bETFs[[#This Row],[Coupon date 7]]),
AZ$1+1-1=MONTH(T_bETFs[[#This Row],[Coupon date 8]]),
AZ$1+1-1=MONTH(T_bETFs[[#This Row],[Coupon date 9]]),
AZ$1+1-1=MONTH(T_bETFs[[#This Row],[Coupon date 10]]),
AZ$1+1-1=MONTH(T_bETFs[[#This Row],[Coupon date 11]]),
AZ$1+1-1=MONTH(T_bETFs[[#This Row],[Coupon date 12]]),),
IF('CF USD'!$A$8="on",T_bETFs[[#This Row],[Coupon in USD]],T_bETFs[[#This Row],[Coupon in CCY]])/T_bETFs[[#This Row],[Coupons per annum]],0),
"")</f>
        <v>0</v>
      </c>
      <c r="BA13" s="580">
        <f>IFERROR(IF(
OR(
BA$1+1-1=MONTH(T_bETFs[[#This Row],[Coupon date 1]]),
BA$1+1-1=MONTH(T_bETFs[[#This Row],[Coupon date 2]]),
BA$1+1-1=MONTH(T_bETFs[[#This Row],[Coupon date 3]]),
BA$1+1-1=MONTH(T_bETFs[[#This Row],[Coupon date 4]]),
BA$1+1-1=MONTH(T_bETFs[[#This Row],[Coupon date 5]]),
BA$1+1-1=MONTH(T_bETFs[[#This Row],[Coupon date 6]]),
BA$1+1-1=MONTH(T_bETFs[[#This Row],[Coupon date 7]]),
BA$1+1-1=MONTH(T_bETFs[[#This Row],[Coupon date 8]]),
BA$1+1-1=MONTH(T_bETFs[[#This Row],[Coupon date 9]]),
BA$1+1-1=MONTH(T_bETFs[[#This Row],[Coupon date 10]]),
BA$1+1-1=MONTH(T_bETFs[[#This Row],[Coupon date 11]]),
BA$1+1-1=MONTH(T_bETFs[[#This Row],[Coupon date 12]]),),
IF('CF USD'!$A$8="on",T_bETFs[[#This Row],[Coupon in USD]],T_bETFs[[#This Row],[Coupon in CCY]])/T_bETFs[[#This Row],[Coupons per annum]],0),
"")</f>
        <v>0</v>
      </c>
      <c r="BB13" s="580">
        <f>IFERROR(IF(
OR(
BB$1+1-1=MONTH(T_bETFs[[#This Row],[Coupon date 1]]),
BB$1+1-1=MONTH(T_bETFs[[#This Row],[Coupon date 2]]),
BB$1+1-1=MONTH(T_bETFs[[#This Row],[Coupon date 3]]),
BB$1+1-1=MONTH(T_bETFs[[#This Row],[Coupon date 4]]),
BB$1+1-1=MONTH(T_bETFs[[#This Row],[Coupon date 5]]),
BB$1+1-1=MONTH(T_bETFs[[#This Row],[Coupon date 6]]),
BB$1+1-1=MONTH(T_bETFs[[#This Row],[Coupon date 7]]),
BB$1+1-1=MONTH(T_bETFs[[#This Row],[Coupon date 8]]),
BB$1+1-1=MONTH(T_bETFs[[#This Row],[Coupon date 9]]),
BB$1+1-1=MONTH(T_bETFs[[#This Row],[Coupon date 10]]),
BB$1+1-1=MONTH(T_bETFs[[#This Row],[Coupon date 11]]),
BB$1+1-1=MONTH(T_bETFs[[#This Row],[Coupon date 12]]),),
IF('CF USD'!$A$8="on",T_bETFs[[#This Row],[Coupon in USD]],T_bETFs[[#This Row],[Coupon in CCY]])/T_bETFs[[#This Row],[Coupons per annum]],0),
"")</f>
        <v>14602.040000000003</v>
      </c>
      <c r="BC13" s="580">
        <f>IFERROR(IF(
OR(
BC$1+1-1=MONTH(T_bETFs[[#This Row],[Coupon date 1]]),
BC$1+1-1=MONTH(T_bETFs[[#This Row],[Coupon date 2]]),
BC$1+1-1=MONTH(T_bETFs[[#This Row],[Coupon date 3]]),
BC$1+1-1=MONTH(T_bETFs[[#This Row],[Coupon date 4]]),
BC$1+1-1=MONTH(T_bETFs[[#This Row],[Coupon date 5]]),
BC$1+1-1=MONTH(T_bETFs[[#This Row],[Coupon date 6]]),
BC$1+1-1=MONTH(T_bETFs[[#This Row],[Coupon date 7]]),
BC$1+1-1=MONTH(T_bETFs[[#This Row],[Coupon date 8]]),
BC$1+1-1=MONTH(T_bETFs[[#This Row],[Coupon date 9]]),
BC$1+1-1=MONTH(T_bETFs[[#This Row],[Coupon date 10]]),
BC$1+1-1=MONTH(T_bETFs[[#This Row],[Coupon date 11]]),
BC$1+1-1=MONTH(T_bETFs[[#This Row],[Coupon date 12]]),),
IF('CF USD'!$A$8="on",T_bETFs[[#This Row],[Coupon in USD]],T_bETFs[[#This Row],[Coupon in CCY]])/T_bETFs[[#This Row],[Coupons per annum]],0),
"")</f>
        <v>0</v>
      </c>
      <c r="BD13" s="580">
        <f>IFERROR(IF(
OR(
BD$1+1-1=MONTH(T_bETFs[[#This Row],[Coupon date 1]]),
BD$1+1-1=MONTH(T_bETFs[[#This Row],[Coupon date 2]]),
BD$1+1-1=MONTH(T_bETFs[[#This Row],[Coupon date 3]]),
BD$1+1-1=MONTH(T_bETFs[[#This Row],[Coupon date 4]]),
BD$1+1-1=MONTH(T_bETFs[[#This Row],[Coupon date 5]]),
BD$1+1-1=MONTH(T_bETFs[[#This Row],[Coupon date 6]]),
BD$1+1-1=MONTH(T_bETFs[[#This Row],[Coupon date 7]]),
BD$1+1-1=MONTH(T_bETFs[[#This Row],[Coupon date 8]]),
BD$1+1-1=MONTH(T_bETFs[[#This Row],[Coupon date 9]]),
BD$1+1-1=MONTH(T_bETFs[[#This Row],[Coupon date 10]]),
BD$1+1-1=MONTH(T_bETFs[[#This Row],[Coupon date 11]]),
BD$1+1-1=MONTH(T_bETFs[[#This Row],[Coupon date 12]]),),
IF('CF USD'!$A$8="on",T_bETFs[[#This Row],[Coupon in USD]],T_bETFs[[#This Row],[Coupon in CCY]])/T_bETFs[[#This Row],[Coupons per annum]],0),
"")</f>
        <v>0</v>
      </c>
      <c r="BE13" s="580">
        <f>IFERROR(IF(
OR(
BE$1+1-1=MONTH(T_bETFs[[#This Row],[Coupon date 1]]),
BE$1+1-1=MONTH(T_bETFs[[#This Row],[Coupon date 2]]),
BE$1+1-1=MONTH(T_bETFs[[#This Row],[Coupon date 3]]),
BE$1+1-1=MONTH(T_bETFs[[#This Row],[Coupon date 4]]),
BE$1+1-1=MONTH(T_bETFs[[#This Row],[Coupon date 5]]),
BE$1+1-1=MONTH(T_bETFs[[#This Row],[Coupon date 6]]),
BE$1+1-1=MONTH(T_bETFs[[#This Row],[Coupon date 7]]),
BE$1+1-1=MONTH(T_bETFs[[#This Row],[Coupon date 8]]),
BE$1+1-1=MONTH(T_bETFs[[#This Row],[Coupon date 9]]),
BE$1+1-1=MONTH(T_bETFs[[#This Row],[Coupon date 10]]),
BE$1+1-1=MONTH(T_bETFs[[#This Row],[Coupon date 11]]),
BE$1+1-1=MONTH(T_bETFs[[#This Row],[Coupon date 12]]),),
IF('CF USD'!$A$8="on",T_bETFs[[#This Row],[Coupon in USD]],T_bETFs[[#This Row],[Coupon in CCY]])/T_bETFs[[#This Row],[Coupons per annum]],0),
"")</f>
        <v>14602.040000000003</v>
      </c>
      <c r="BF13" s="580">
        <f>IFERROR(IF(
OR(
BF$1+1-1=MONTH(T_bETFs[[#This Row],[Coupon date 1]]),
BF$1+1-1=MONTH(T_bETFs[[#This Row],[Coupon date 2]]),
BF$1+1-1=MONTH(T_bETFs[[#This Row],[Coupon date 3]]),
BF$1+1-1=MONTH(T_bETFs[[#This Row],[Coupon date 4]]),
BF$1+1-1=MONTH(T_bETFs[[#This Row],[Coupon date 5]]),
BF$1+1-1=MONTH(T_bETFs[[#This Row],[Coupon date 6]]),
BF$1+1-1=MONTH(T_bETFs[[#This Row],[Coupon date 7]]),
BF$1+1-1=MONTH(T_bETFs[[#This Row],[Coupon date 8]]),
BF$1+1-1=MONTH(T_bETFs[[#This Row],[Coupon date 9]]),
BF$1+1-1=MONTH(T_bETFs[[#This Row],[Coupon date 10]]),
BF$1+1-1=MONTH(T_bETFs[[#This Row],[Coupon date 11]]),
BF$1+1-1=MONTH(T_bETFs[[#This Row],[Coupon date 12]]),),
IF('CF USD'!$A$8="on",T_bETFs[[#This Row],[Coupon in USD]],T_bETFs[[#This Row],[Coupon in CCY]])/T_bETFs[[#This Row],[Coupons per annum]],0),
"")</f>
        <v>0</v>
      </c>
      <c r="BG13" s="580">
        <f>IFERROR(IF(
OR(
BG$1+1-1=MONTH(T_bETFs[[#This Row],[Coupon date 1]]),
BG$1+1-1=MONTH(T_bETFs[[#This Row],[Coupon date 2]]),
BG$1+1-1=MONTH(T_bETFs[[#This Row],[Coupon date 3]]),
BG$1+1-1=MONTH(T_bETFs[[#This Row],[Coupon date 4]]),
BG$1+1-1=MONTH(T_bETFs[[#This Row],[Coupon date 5]]),
BG$1+1-1=MONTH(T_bETFs[[#This Row],[Coupon date 6]]),
BG$1+1-1=MONTH(T_bETFs[[#This Row],[Coupon date 7]]),
BG$1+1-1=MONTH(T_bETFs[[#This Row],[Coupon date 8]]),
BG$1+1-1=MONTH(T_bETFs[[#This Row],[Coupon date 9]]),
BG$1+1-1=MONTH(T_bETFs[[#This Row],[Coupon date 10]]),
BG$1+1-1=MONTH(T_bETFs[[#This Row],[Coupon date 11]]),
BG$1+1-1=MONTH(T_bETFs[[#This Row],[Coupon date 12]]),),
IF('CF USD'!$A$8="on",T_bETFs[[#This Row],[Coupon in USD]],T_bETFs[[#This Row],[Coupon in CCY]])/T_bETFs[[#This Row],[Coupons per annum]],0),
"")</f>
        <v>0</v>
      </c>
    </row>
    <row r="14" spans="1:59" x14ac:dyDescent="0.25">
      <c r="A14" s="569" t="s">
        <v>51</v>
      </c>
      <c r="B14" s="1" t="s">
        <v>187</v>
      </c>
      <c r="C14" s="1" t="s">
        <v>856</v>
      </c>
      <c r="D14" s="1" t="s">
        <v>2475</v>
      </c>
      <c r="E14" s="1"/>
      <c r="F14" s="1"/>
      <c r="G14" s="1"/>
      <c r="H14" s="1"/>
      <c r="I14" s="1"/>
      <c r="J14" s="1"/>
      <c r="K14" s="1"/>
      <c r="L14" s="1"/>
      <c r="M14" s="1"/>
      <c r="N14" s="1" t="s">
        <v>857</v>
      </c>
      <c r="O14" s="1" t="s">
        <v>18</v>
      </c>
      <c r="P14" s="296">
        <v>9662</v>
      </c>
      <c r="Q14" s="563">
        <v>105.73</v>
      </c>
      <c r="R14" s="572">
        <f>T_bETFs[[#This Row],[Market Price]]*T_bETFs[[#This Row],[Quantity]]</f>
        <v>1021563.26</v>
      </c>
      <c r="S14" s="572">
        <f>T_bETFs[[#This Row],[Market Value, CCY]]*T_bETFs[[#This Row],[Exchange rate]]</f>
        <v>1021563.26</v>
      </c>
      <c r="T14" s="573">
        <f>T_bETFs[[#This Row],[Coupon in CCY]]/T_bETFs[[#This Row],[Market Value, CCY]]</f>
        <v>4.9755982218859358E-2</v>
      </c>
      <c r="U14" s="277">
        <f>'Tech list'!D63*4*T_bETFs[[#This Row],[Quantity]]</f>
        <v>50828.883399999999</v>
      </c>
      <c r="V14" s="277">
        <f>IFERROR(T_bETFs[[#This Row],[Coupon in CCY]]*INDEX('Tech list'!A:C,MATCH(T_bETFs[[#This Row],[Risk CCY]],'Tech list'!A:A,0),3),"")</f>
        <v>50828.883399999999</v>
      </c>
      <c r="W14" s="101"/>
      <c r="X14" s="77">
        <f t="shared" si="0"/>
        <v>0</v>
      </c>
      <c r="Y14" s="77">
        <v>103.82550507141379</v>
      </c>
      <c r="Z14" s="574">
        <f>T_bETFs[[#This Row],[Cost, CCY]]*T_bETFs[[#This Row],[Quantity]]</f>
        <v>1003162.03</v>
      </c>
      <c r="AA14" s="111">
        <f>T_bETFs[[#This Row],[Coupon]]</f>
        <v>4.9755982218859358E-2</v>
      </c>
      <c r="AB14" s="4">
        <f>VLOOKUP(T_bETFs[[#This Row],[Risk CCY]],'Tech list'!$A$2:$D$8,3,0)</f>
        <v>1</v>
      </c>
      <c r="AC14" s="575">
        <f>R14</f>
        <v>1021563.26</v>
      </c>
      <c r="AD14" s="1">
        <f>INDEX('Tech list'!A:C,MATCH(T_bETFs[[#This Row],[Risk CCY]],'Tech list'!A:A,0),3)</f>
        <v>1</v>
      </c>
      <c r="AE14" s="77">
        <f>T_bETFs[[#This Row],[Market Value, CCY]]</f>
        <v>1021563.26</v>
      </c>
      <c r="AF14" s="576">
        <f>AC14*T_bETFs[[#This Row],[Exchange rate2]]</f>
        <v>1021563.26</v>
      </c>
      <c r="AG14" s="577">
        <f>T_bETFs[[#This Row],[Market value in CCY]]-T_bETFs[[#This Row],[Cost price, CCY]]</f>
        <v>18401.229999999981</v>
      </c>
      <c r="AH14" s="578">
        <f>T_bETFs[[#This Row],[P&amp;L]]/T_bETFs[[#This Row],[Cost price, CCY]]</f>
        <v>1.8343228162254088E-2</v>
      </c>
      <c r="AI14" s="570">
        <v>4</v>
      </c>
      <c r="AJ14" s="579">
        <v>45922</v>
      </c>
      <c r="AK14" s="579">
        <f>IFERROR(EDATE(T_bETFs[[#This Row],[Coupon date 1]],12/$AI14),"")</f>
        <v>46013</v>
      </c>
      <c r="AL14" s="579">
        <f>IFERROR(EDATE(T_bETFs[[#This Row],[Coupon date 2]],12/$AI14),"")</f>
        <v>46103</v>
      </c>
      <c r="AM14" s="579">
        <f>IFERROR(EDATE(T_bETFs[[#This Row],[Coupon date 3]],12/$AI14),"")</f>
        <v>46195</v>
      </c>
      <c r="AN14" s="579">
        <f>IFERROR(EDATE(T_bETFs[[#This Row],[Coupon date 4]],12/$AI14),"")</f>
        <v>46287</v>
      </c>
      <c r="AO14" s="579">
        <f>IFERROR(EDATE(T_bETFs[[#This Row],[Coupon date 5]],12/$AI14),"")</f>
        <v>46378</v>
      </c>
      <c r="AP14" s="579">
        <f>IFERROR(EDATE(T_bETFs[[#This Row],[Coupon date 6]],12/$AI14),"")</f>
        <v>46468</v>
      </c>
      <c r="AQ14" s="579">
        <f>IFERROR(EDATE(T_bETFs[[#This Row],[Coupon date 7]],12/$AI14),"")</f>
        <v>46560</v>
      </c>
      <c r="AR14" s="579">
        <f>IFERROR(EDATE(T_bETFs[[#This Row],[Coupon date 8]],12/$AI14),"")</f>
        <v>46652</v>
      </c>
      <c r="AS14" s="579">
        <f>IFERROR(EDATE(T_bETFs[[#This Row],[Coupon date 9]],12/$AI14),"")</f>
        <v>46743</v>
      </c>
      <c r="AT14" s="579">
        <f>IFERROR(EDATE(T_bETFs[[#This Row],[Coupon date 10]],12/$AI14),"")</f>
        <v>46834</v>
      </c>
      <c r="AU14" s="579">
        <f>IFERROR(EDATE(T_bETFs[[#This Row],[Coupon date 11]],12/$AI14),"")</f>
        <v>46926</v>
      </c>
      <c r="AV14" s="580">
        <f>IFERROR(IF(
OR(
AV$1+1-1=MONTH(T_bETFs[[#This Row],[Coupon date 1]]),
AV$1+1-1=MONTH(T_bETFs[[#This Row],[Coupon date 2]]),
AV$1+1-1=MONTH(T_bETFs[[#This Row],[Coupon date 3]]),
AV$1+1-1=MONTH(T_bETFs[[#This Row],[Coupon date 4]]),
AV$1+1-1=MONTH(T_bETFs[[#This Row],[Coupon date 5]]),
AV$1+1-1=MONTH(T_bETFs[[#This Row],[Coupon date 6]]),
AV$1+1-1=MONTH(T_bETFs[[#This Row],[Coupon date 7]]),
AV$1+1-1=MONTH(T_bETFs[[#This Row],[Coupon date 8]]),
AV$1+1-1=MONTH(T_bETFs[[#This Row],[Coupon date 9]]),
AV$1+1-1=MONTH(T_bETFs[[#This Row],[Coupon date 10]]),
AV$1+1-1=MONTH(T_bETFs[[#This Row],[Coupon date 11]]),
AV$1+1-1=MONTH(T_bETFs[[#This Row],[Coupon date 12]]),),
IF('CF USD'!$A$8="on",T_bETFs[[#This Row],[Coupon in USD]],T_bETFs[[#This Row],[Coupon in CCY]])/T_bETFs[[#This Row],[Coupons per annum]],0),
"")</f>
        <v>0</v>
      </c>
      <c r="AW14" s="580">
        <f>IFERROR(IF(
OR(
AW$1+1-1=MONTH(T_bETFs[[#This Row],[Coupon date 1]]),
AW$1+1-1=MONTH(T_bETFs[[#This Row],[Coupon date 2]]),
AW$1+1-1=MONTH(T_bETFs[[#This Row],[Coupon date 3]]),
AW$1+1-1=MONTH(T_bETFs[[#This Row],[Coupon date 4]]),
AW$1+1-1=MONTH(T_bETFs[[#This Row],[Coupon date 5]]),
AW$1+1-1=MONTH(T_bETFs[[#This Row],[Coupon date 6]]),
AW$1+1-1=MONTH(T_bETFs[[#This Row],[Coupon date 7]]),
AW$1+1-1=MONTH(T_bETFs[[#This Row],[Coupon date 8]]),
AW$1+1-1=MONTH(T_bETFs[[#This Row],[Coupon date 9]]),
AW$1+1-1=MONTH(T_bETFs[[#This Row],[Coupon date 10]]),
AW$1+1-1=MONTH(T_bETFs[[#This Row],[Coupon date 11]]),
AW$1+1-1=MONTH(T_bETFs[[#This Row],[Coupon date 12]]),),
IF('CF USD'!$A$8="on",T_bETFs[[#This Row],[Coupon in USD]],T_bETFs[[#This Row],[Coupon in CCY]])/T_bETFs[[#This Row],[Coupons per annum]],0),
"")</f>
        <v>0</v>
      </c>
      <c r="AX14" s="580">
        <f>IFERROR(IF(
OR(
AX$1+1-1=MONTH(T_bETFs[[#This Row],[Coupon date 1]]),
AX$1+1-1=MONTH(T_bETFs[[#This Row],[Coupon date 2]]),
AX$1+1-1=MONTH(T_bETFs[[#This Row],[Coupon date 3]]),
AX$1+1-1=MONTH(T_bETFs[[#This Row],[Coupon date 4]]),
AX$1+1-1=MONTH(T_bETFs[[#This Row],[Coupon date 5]]),
AX$1+1-1=MONTH(T_bETFs[[#This Row],[Coupon date 6]]),
AX$1+1-1=MONTH(T_bETFs[[#This Row],[Coupon date 7]]),
AX$1+1-1=MONTH(T_bETFs[[#This Row],[Coupon date 8]]),
AX$1+1-1=MONTH(T_bETFs[[#This Row],[Coupon date 9]]),
AX$1+1-1=MONTH(T_bETFs[[#This Row],[Coupon date 10]]),
AX$1+1-1=MONTH(T_bETFs[[#This Row],[Coupon date 11]]),
AX$1+1-1=MONTH(T_bETFs[[#This Row],[Coupon date 12]]),),
IF('CF USD'!$A$8="on",T_bETFs[[#This Row],[Coupon in USD]],T_bETFs[[#This Row],[Coupon in CCY]])/T_bETFs[[#This Row],[Coupons per annum]],0),
"")</f>
        <v>12707.22085</v>
      </c>
      <c r="AY14" s="580">
        <f>IFERROR(IF(
OR(
AY$1+1-1=MONTH(T_bETFs[[#This Row],[Coupon date 1]]),
AY$1+1-1=MONTH(T_bETFs[[#This Row],[Coupon date 2]]),
AY$1+1-1=MONTH(T_bETFs[[#This Row],[Coupon date 3]]),
AY$1+1-1=MONTH(T_bETFs[[#This Row],[Coupon date 4]]),
AY$1+1-1=MONTH(T_bETFs[[#This Row],[Coupon date 5]]),
AY$1+1-1=MONTH(T_bETFs[[#This Row],[Coupon date 6]]),
AY$1+1-1=MONTH(T_bETFs[[#This Row],[Coupon date 7]]),
AY$1+1-1=MONTH(T_bETFs[[#This Row],[Coupon date 8]]),
AY$1+1-1=MONTH(T_bETFs[[#This Row],[Coupon date 9]]),
AY$1+1-1=MONTH(T_bETFs[[#This Row],[Coupon date 10]]),
AY$1+1-1=MONTH(T_bETFs[[#This Row],[Coupon date 11]]),
AY$1+1-1=MONTH(T_bETFs[[#This Row],[Coupon date 12]]),),
IF('CF USD'!$A$8="on",T_bETFs[[#This Row],[Coupon in USD]],T_bETFs[[#This Row],[Coupon in CCY]])/T_bETFs[[#This Row],[Coupons per annum]],0),
"")</f>
        <v>0</v>
      </c>
      <c r="AZ14" s="580">
        <f>IFERROR(IF(
OR(
AZ$1+1-1=MONTH(T_bETFs[[#This Row],[Coupon date 1]]),
AZ$1+1-1=MONTH(T_bETFs[[#This Row],[Coupon date 2]]),
AZ$1+1-1=MONTH(T_bETFs[[#This Row],[Coupon date 3]]),
AZ$1+1-1=MONTH(T_bETFs[[#This Row],[Coupon date 4]]),
AZ$1+1-1=MONTH(T_bETFs[[#This Row],[Coupon date 5]]),
AZ$1+1-1=MONTH(T_bETFs[[#This Row],[Coupon date 6]]),
AZ$1+1-1=MONTH(T_bETFs[[#This Row],[Coupon date 7]]),
AZ$1+1-1=MONTH(T_bETFs[[#This Row],[Coupon date 8]]),
AZ$1+1-1=MONTH(T_bETFs[[#This Row],[Coupon date 9]]),
AZ$1+1-1=MONTH(T_bETFs[[#This Row],[Coupon date 10]]),
AZ$1+1-1=MONTH(T_bETFs[[#This Row],[Coupon date 11]]),
AZ$1+1-1=MONTH(T_bETFs[[#This Row],[Coupon date 12]]),),
IF('CF USD'!$A$8="on",T_bETFs[[#This Row],[Coupon in USD]],T_bETFs[[#This Row],[Coupon in CCY]])/T_bETFs[[#This Row],[Coupons per annum]],0),
"")</f>
        <v>0</v>
      </c>
      <c r="BA14" s="580">
        <f>IFERROR(IF(
OR(
BA$1+1-1=MONTH(T_bETFs[[#This Row],[Coupon date 1]]),
BA$1+1-1=MONTH(T_bETFs[[#This Row],[Coupon date 2]]),
BA$1+1-1=MONTH(T_bETFs[[#This Row],[Coupon date 3]]),
BA$1+1-1=MONTH(T_bETFs[[#This Row],[Coupon date 4]]),
BA$1+1-1=MONTH(T_bETFs[[#This Row],[Coupon date 5]]),
BA$1+1-1=MONTH(T_bETFs[[#This Row],[Coupon date 6]]),
BA$1+1-1=MONTH(T_bETFs[[#This Row],[Coupon date 7]]),
BA$1+1-1=MONTH(T_bETFs[[#This Row],[Coupon date 8]]),
BA$1+1-1=MONTH(T_bETFs[[#This Row],[Coupon date 9]]),
BA$1+1-1=MONTH(T_bETFs[[#This Row],[Coupon date 10]]),
BA$1+1-1=MONTH(T_bETFs[[#This Row],[Coupon date 11]]),
BA$1+1-1=MONTH(T_bETFs[[#This Row],[Coupon date 12]]),),
IF('CF USD'!$A$8="on",T_bETFs[[#This Row],[Coupon in USD]],T_bETFs[[#This Row],[Coupon in CCY]])/T_bETFs[[#This Row],[Coupons per annum]],0),
"")</f>
        <v>12707.22085</v>
      </c>
      <c r="BB14" s="580">
        <f>IFERROR(IF(
OR(
BB$1+1-1=MONTH(T_bETFs[[#This Row],[Coupon date 1]]),
BB$1+1-1=MONTH(T_bETFs[[#This Row],[Coupon date 2]]),
BB$1+1-1=MONTH(T_bETFs[[#This Row],[Coupon date 3]]),
BB$1+1-1=MONTH(T_bETFs[[#This Row],[Coupon date 4]]),
BB$1+1-1=MONTH(T_bETFs[[#This Row],[Coupon date 5]]),
BB$1+1-1=MONTH(T_bETFs[[#This Row],[Coupon date 6]]),
BB$1+1-1=MONTH(T_bETFs[[#This Row],[Coupon date 7]]),
BB$1+1-1=MONTH(T_bETFs[[#This Row],[Coupon date 8]]),
BB$1+1-1=MONTH(T_bETFs[[#This Row],[Coupon date 9]]),
BB$1+1-1=MONTH(T_bETFs[[#This Row],[Coupon date 10]]),
BB$1+1-1=MONTH(T_bETFs[[#This Row],[Coupon date 11]]),
BB$1+1-1=MONTH(T_bETFs[[#This Row],[Coupon date 12]]),),
IF('CF USD'!$A$8="on",T_bETFs[[#This Row],[Coupon in USD]],T_bETFs[[#This Row],[Coupon in CCY]])/T_bETFs[[#This Row],[Coupons per annum]],0),
"")</f>
        <v>0</v>
      </c>
      <c r="BC14" s="580">
        <f>IFERROR(IF(
OR(
BC$1+1-1=MONTH(T_bETFs[[#This Row],[Coupon date 1]]),
BC$1+1-1=MONTH(T_bETFs[[#This Row],[Coupon date 2]]),
BC$1+1-1=MONTH(T_bETFs[[#This Row],[Coupon date 3]]),
BC$1+1-1=MONTH(T_bETFs[[#This Row],[Coupon date 4]]),
BC$1+1-1=MONTH(T_bETFs[[#This Row],[Coupon date 5]]),
BC$1+1-1=MONTH(T_bETFs[[#This Row],[Coupon date 6]]),
BC$1+1-1=MONTH(T_bETFs[[#This Row],[Coupon date 7]]),
BC$1+1-1=MONTH(T_bETFs[[#This Row],[Coupon date 8]]),
BC$1+1-1=MONTH(T_bETFs[[#This Row],[Coupon date 9]]),
BC$1+1-1=MONTH(T_bETFs[[#This Row],[Coupon date 10]]),
BC$1+1-1=MONTH(T_bETFs[[#This Row],[Coupon date 11]]),
BC$1+1-1=MONTH(T_bETFs[[#This Row],[Coupon date 12]]),),
IF('CF USD'!$A$8="on",T_bETFs[[#This Row],[Coupon in USD]],T_bETFs[[#This Row],[Coupon in CCY]])/T_bETFs[[#This Row],[Coupons per annum]],0),
"")</f>
        <v>0</v>
      </c>
      <c r="BD14" s="580">
        <f>IFERROR(IF(
OR(
BD$1+1-1=MONTH(T_bETFs[[#This Row],[Coupon date 1]]),
BD$1+1-1=MONTH(T_bETFs[[#This Row],[Coupon date 2]]),
BD$1+1-1=MONTH(T_bETFs[[#This Row],[Coupon date 3]]),
BD$1+1-1=MONTH(T_bETFs[[#This Row],[Coupon date 4]]),
BD$1+1-1=MONTH(T_bETFs[[#This Row],[Coupon date 5]]),
BD$1+1-1=MONTH(T_bETFs[[#This Row],[Coupon date 6]]),
BD$1+1-1=MONTH(T_bETFs[[#This Row],[Coupon date 7]]),
BD$1+1-1=MONTH(T_bETFs[[#This Row],[Coupon date 8]]),
BD$1+1-1=MONTH(T_bETFs[[#This Row],[Coupon date 9]]),
BD$1+1-1=MONTH(T_bETFs[[#This Row],[Coupon date 10]]),
BD$1+1-1=MONTH(T_bETFs[[#This Row],[Coupon date 11]]),
BD$1+1-1=MONTH(T_bETFs[[#This Row],[Coupon date 12]]),),
IF('CF USD'!$A$8="on",T_bETFs[[#This Row],[Coupon in USD]],T_bETFs[[#This Row],[Coupon in CCY]])/T_bETFs[[#This Row],[Coupons per annum]],0),
"")</f>
        <v>12707.22085</v>
      </c>
      <c r="BE14" s="580">
        <f>IFERROR(IF(
OR(
BE$1+1-1=MONTH(T_bETFs[[#This Row],[Coupon date 1]]),
BE$1+1-1=MONTH(T_bETFs[[#This Row],[Coupon date 2]]),
BE$1+1-1=MONTH(T_bETFs[[#This Row],[Coupon date 3]]),
BE$1+1-1=MONTH(T_bETFs[[#This Row],[Coupon date 4]]),
BE$1+1-1=MONTH(T_bETFs[[#This Row],[Coupon date 5]]),
BE$1+1-1=MONTH(T_bETFs[[#This Row],[Coupon date 6]]),
BE$1+1-1=MONTH(T_bETFs[[#This Row],[Coupon date 7]]),
BE$1+1-1=MONTH(T_bETFs[[#This Row],[Coupon date 8]]),
BE$1+1-1=MONTH(T_bETFs[[#This Row],[Coupon date 9]]),
BE$1+1-1=MONTH(T_bETFs[[#This Row],[Coupon date 10]]),
BE$1+1-1=MONTH(T_bETFs[[#This Row],[Coupon date 11]]),
BE$1+1-1=MONTH(T_bETFs[[#This Row],[Coupon date 12]]),),
IF('CF USD'!$A$8="on",T_bETFs[[#This Row],[Coupon in USD]],T_bETFs[[#This Row],[Coupon in CCY]])/T_bETFs[[#This Row],[Coupons per annum]],0),
"")</f>
        <v>0</v>
      </c>
      <c r="BF14" s="580">
        <f>IFERROR(IF(
OR(
BF$1+1-1=MONTH(T_bETFs[[#This Row],[Coupon date 1]]),
BF$1+1-1=MONTH(T_bETFs[[#This Row],[Coupon date 2]]),
BF$1+1-1=MONTH(T_bETFs[[#This Row],[Coupon date 3]]),
BF$1+1-1=MONTH(T_bETFs[[#This Row],[Coupon date 4]]),
BF$1+1-1=MONTH(T_bETFs[[#This Row],[Coupon date 5]]),
BF$1+1-1=MONTH(T_bETFs[[#This Row],[Coupon date 6]]),
BF$1+1-1=MONTH(T_bETFs[[#This Row],[Coupon date 7]]),
BF$1+1-1=MONTH(T_bETFs[[#This Row],[Coupon date 8]]),
BF$1+1-1=MONTH(T_bETFs[[#This Row],[Coupon date 9]]),
BF$1+1-1=MONTH(T_bETFs[[#This Row],[Coupon date 10]]),
BF$1+1-1=MONTH(T_bETFs[[#This Row],[Coupon date 11]]),
BF$1+1-1=MONTH(T_bETFs[[#This Row],[Coupon date 12]]),),
IF('CF USD'!$A$8="on",T_bETFs[[#This Row],[Coupon in USD]],T_bETFs[[#This Row],[Coupon in CCY]])/T_bETFs[[#This Row],[Coupons per annum]],0),
"")</f>
        <v>0</v>
      </c>
      <c r="BG14" s="580">
        <f>IFERROR(IF(
OR(
BG$1+1-1=MONTH(T_bETFs[[#This Row],[Coupon date 1]]),
BG$1+1-1=MONTH(T_bETFs[[#This Row],[Coupon date 2]]),
BG$1+1-1=MONTH(T_bETFs[[#This Row],[Coupon date 3]]),
BG$1+1-1=MONTH(T_bETFs[[#This Row],[Coupon date 4]]),
BG$1+1-1=MONTH(T_bETFs[[#This Row],[Coupon date 5]]),
BG$1+1-1=MONTH(T_bETFs[[#This Row],[Coupon date 6]]),
BG$1+1-1=MONTH(T_bETFs[[#This Row],[Coupon date 7]]),
BG$1+1-1=MONTH(T_bETFs[[#This Row],[Coupon date 8]]),
BG$1+1-1=MONTH(T_bETFs[[#This Row],[Coupon date 9]]),
BG$1+1-1=MONTH(T_bETFs[[#This Row],[Coupon date 10]]),
BG$1+1-1=MONTH(T_bETFs[[#This Row],[Coupon date 11]]),
BG$1+1-1=MONTH(T_bETFs[[#This Row],[Coupon date 12]]),),
IF('CF USD'!$A$8="on",T_bETFs[[#This Row],[Coupon in USD]],T_bETFs[[#This Row],[Coupon in CCY]])/T_bETFs[[#This Row],[Coupons per annum]],0),
"")</f>
        <v>12707.22085</v>
      </c>
    </row>
    <row r="15" spans="1:59" x14ac:dyDescent="0.25">
      <c r="A15" s="569" t="s">
        <v>51</v>
      </c>
      <c r="B15" s="1" t="s">
        <v>187</v>
      </c>
      <c r="C15" s="1" t="s">
        <v>859</v>
      </c>
      <c r="D15" s="1" t="s">
        <v>2475</v>
      </c>
      <c r="E15" s="1"/>
      <c r="F15" s="1"/>
      <c r="G15" s="1"/>
      <c r="H15" s="1"/>
      <c r="I15" s="1"/>
      <c r="J15" s="1"/>
      <c r="K15" s="1"/>
      <c r="L15" s="1"/>
      <c r="M15" s="1"/>
      <c r="N15" s="1" t="s">
        <v>860</v>
      </c>
      <c r="O15" s="1" t="s">
        <v>18</v>
      </c>
      <c r="P15" s="296">
        <v>4128</v>
      </c>
      <c r="Q15" s="563">
        <v>258.76</v>
      </c>
      <c r="R15" s="572">
        <f>T_bETFs[[#This Row],[Market Price]]*T_bETFs[[#This Row],[Quantity]]</f>
        <v>1068161.28</v>
      </c>
      <c r="S15" s="572">
        <f>T_bETFs[[#This Row],[Market Value, CCY]]*T_bETFs[[#This Row],[Exchange rate]]</f>
        <v>1068161.28</v>
      </c>
      <c r="T15" s="584" t="s">
        <v>342</v>
      </c>
      <c r="U15" s="794">
        <v>0</v>
      </c>
      <c r="V15" s="277">
        <f>IFERROR(T_bETFs[[#This Row],[Coupon in CCY]]*INDEX('Tech list'!A:C,MATCH(T_bETFs[[#This Row],[Risk CCY]],'Tech list'!A:A,0),3),"")</f>
        <v>0</v>
      </c>
      <c r="W15" s="101">
        <v>9.4799999999999995E-2</v>
      </c>
      <c r="X15" s="77">
        <f t="shared" si="0"/>
        <v>101261.689344</v>
      </c>
      <c r="Y15" s="77">
        <v>243.81257267441862</v>
      </c>
      <c r="Z15" s="574">
        <f>T_bETFs[[#This Row],[Cost, CCY]]*T_bETFs[[#This Row],[Quantity]]</f>
        <v>1006458.3</v>
      </c>
      <c r="AA15" s="111" t="str">
        <f>T_bETFs[[#This Row],[Coupon]]</f>
        <v>-</v>
      </c>
      <c r="AB15" s="4">
        <f>VLOOKUP(T_bETFs[[#This Row],[Risk CCY]],'Tech list'!$A$2:$D$8,3,0)</f>
        <v>1</v>
      </c>
      <c r="AC15" s="575">
        <f t="shared" si="1"/>
        <v>1068161.28</v>
      </c>
      <c r="AD15" s="1">
        <f>INDEX('Tech list'!A:C,MATCH(T_bETFs[[#This Row],[Risk CCY]],'Tech list'!A:A,0),3)</f>
        <v>1</v>
      </c>
      <c r="AE15" s="77">
        <f>T_bETFs[[#This Row],[Market Value, CCY]]</f>
        <v>1068161.28</v>
      </c>
      <c r="AF15" s="576">
        <f>AC15*T_bETFs[[#This Row],[Exchange rate2]]</f>
        <v>1068161.28</v>
      </c>
      <c r="AG15" s="577">
        <f>T_bETFs[[#This Row],[Market value in CCY]]-T_bETFs[[#This Row],[Cost price, CCY]]</f>
        <v>61702.979999999981</v>
      </c>
      <c r="AH15" s="578">
        <f>T_bETFs[[#This Row],[P&amp;L]]/T_bETFs[[#This Row],[Cost price, CCY]]</f>
        <v>6.1307040738796607E-2</v>
      </c>
      <c r="AI15" s="586">
        <v>0</v>
      </c>
      <c r="AJ15" s="579" t="s">
        <v>342</v>
      </c>
      <c r="AK15" s="579" t="str">
        <f>IFERROR(EDATE(T_bETFs[[#This Row],[Coupon date 1]],12/$AI15),"")</f>
        <v/>
      </c>
      <c r="AL15" s="579" t="str">
        <f>IFERROR(EDATE(T_bETFs[[#This Row],[Coupon date 2]],12/$AI15),"")</f>
        <v/>
      </c>
      <c r="AM15" s="579" t="str">
        <f>IFERROR(EDATE(T_bETFs[[#This Row],[Coupon date 3]],12/$AI15),"")</f>
        <v/>
      </c>
      <c r="AN15" s="579" t="str">
        <f>IFERROR(EDATE(T_bETFs[[#This Row],[Coupon date 4]],12/$AI15),"")</f>
        <v/>
      </c>
      <c r="AO15" s="579" t="str">
        <f>IFERROR(EDATE(T_bETFs[[#This Row],[Coupon date 5]],12/$AI15),"")</f>
        <v/>
      </c>
      <c r="AP15" s="579" t="str">
        <f>IFERROR(EDATE(T_bETFs[[#This Row],[Coupon date 6]],12/$AI15),"")</f>
        <v/>
      </c>
      <c r="AQ15" s="579" t="str">
        <f>IFERROR(EDATE(T_bETFs[[#This Row],[Coupon date 7]],12/$AI15),"")</f>
        <v/>
      </c>
      <c r="AR15" s="579" t="str">
        <f>IFERROR(EDATE(T_bETFs[[#This Row],[Coupon date 8]],12/$AI15),"")</f>
        <v/>
      </c>
      <c r="AS15" s="579" t="str">
        <f>IFERROR(EDATE(T_bETFs[[#This Row],[Coupon date 9]],12/$AI15),"")</f>
        <v/>
      </c>
      <c r="AT15" s="579" t="str">
        <f>IFERROR(EDATE(T_bETFs[[#This Row],[Coupon date 10]],12/$AI15),"")</f>
        <v/>
      </c>
      <c r="AU15" s="579" t="str">
        <f>IFERROR(EDATE(T_bETFs[[#This Row],[Coupon date 11]],12/$AI15),"")</f>
        <v/>
      </c>
      <c r="AV15" s="580" t="str">
        <f>IFERROR(IF(
OR(
AV$1+1-1=MONTH(T_bETFs[[#This Row],[Coupon date 1]]),
AV$1+1-1=MONTH(T_bETFs[[#This Row],[Coupon date 2]]),
AV$1+1-1=MONTH(T_bETFs[[#This Row],[Coupon date 3]]),
AV$1+1-1=MONTH(T_bETFs[[#This Row],[Coupon date 4]]),
AV$1+1-1=MONTH(T_bETFs[[#This Row],[Coupon date 5]]),
AV$1+1-1=MONTH(T_bETFs[[#This Row],[Coupon date 6]]),
AV$1+1-1=MONTH(T_bETFs[[#This Row],[Coupon date 7]]),
AV$1+1-1=MONTH(T_bETFs[[#This Row],[Coupon date 8]]),
AV$1+1-1=MONTH(T_bETFs[[#This Row],[Coupon date 9]]),
AV$1+1-1=MONTH(T_bETFs[[#This Row],[Coupon date 10]]),
AV$1+1-1=MONTH(T_bETFs[[#This Row],[Coupon date 11]]),
AV$1+1-1=MONTH(T_bETFs[[#This Row],[Coupon date 12]]),),
IF('CF USD'!$A$8="on",T_bETFs[[#This Row],[Coupon in USD]],T_bETFs[[#This Row],[Coupon in CCY]])/T_bETFs[[#This Row],[Coupons per annum]],0),
"")</f>
        <v/>
      </c>
      <c r="AW15" s="580" t="str">
        <f>IFERROR(IF(
OR(
AW$1+1-1=MONTH(T_bETFs[[#This Row],[Coupon date 1]]),
AW$1+1-1=MONTH(T_bETFs[[#This Row],[Coupon date 2]]),
AW$1+1-1=MONTH(T_bETFs[[#This Row],[Coupon date 3]]),
AW$1+1-1=MONTH(T_bETFs[[#This Row],[Coupon date 4]]),
AW$1+1-1=MONTH(T_bETFs[[#This Row],[Coupon date 5]]),
AW$1+1-1=MONTH(T_bETFs[[#This Row],[Coupon date 6]]),
AW$1+1-1=MONTH(T_bETFs[[#This Row],[Coupon date 7]]),
AW$1+1-1=MONTH(T_bETFs[[#This Row],[Coupon date 8]]),
AW$1+1-1=MONTH(T_bETFs[[#This Row],[Coupon date 9]]),
AW$1+1-1=MONTH(T_bETFs[[#This Row],[Coupon date 10]]),
AW$1+1-1=MONTH(T_bETFs[[#This Row],[Coupon date 11]]),
AW$1+1-1=MONTH(T_bETFs[[#This Row],[Coupon date 12]]),),
IF('CF USD'!$A$8="on",T_bETFs[[#This Row],[Coupon in USD]],T_bETFs[[#This Row],[Coupon in CCY]])/T_bETFs[[#This Row],[Coupons per annum]],0),
"")</f>
        <v/>
      </c>
      <c r="AX15" s="580" t="str">
        <f>IFERROR(IF(
OR(
AX$1+1-1=MONTH(T_bETFs[[#This Row],[Coupon date 1]]),
AX$1+1-1=MONTH(T_bETFs[[#This Row],[Coupon date 2]]),
AX$1+1-1=MONTH(T_bETFs[[#This Row],[Coupon date 3]]),
AX$1+1-1=MONTH(T_bETFs[[#This Row],[Coupon date 4]]),
AX$1+1-1=MONTH(T_bETFs[[#This Row],[Coupon date 5]]),
AX$1+1-1=MONTH(T_bETFs[[#This Row],[Coupon date 6]]),
AX$1+1-1=MONTH(T_bETFs[[#This Row],[Coupon date 7]]),
AX$1+1-1=MONTH(T_bETFs[[#This Row],[Coupon date 8]]),
AX$1+1-1=MONTH(T_bETFs[[#This Row],[Coupon date 9]]),
AX$1+1-1=MONTH(T_bETFs[[#This Row],[Coupon date 10]]),
AX$1+1-1=MONTH(T_bETFs[[#This Row],[Coupon date 11]]),
AX$1+1-1=MONTH(T_bETFs[[#This Row],[Coupon date 12]]),),
IF('CF USD'!$A$8="on",T_bETFs[[#This Row],[Coupon in USD]],T_bETFs[[#This Row],[Coupon in CCY]])/T_bETFs[[#This Row],[Coupons per annum]],0),
"")</f>
        <v/>
      </c>
      <c r="AY15" s="580" t="str">
        <f>IFERROR(IF(
OR(
AY$1+1-1=MONTH(T_bETFs[[#This Row],[Coupon date 1]]),
AY$1+1-1=MONTH(T_bETFs[[#This Row],[Coupon date 2]]),
AY$1+1-1=MONTH(T_bETFs[[#This Row],[Coupon date 3]]),
AY$1+1-1=MONTH(T_bETFs[[#This Row],[Coupon date 4]]),
AY$1+1-1=MONTH(T_bETFs[[#This Row],[Coupon date 5]]),
AY$1+1-1=MONTH(T_bETFs[[#This Row],[Coupon date 6]]),
AY$1+1-1=MONTH(T_bETFs[[#This Row],[Coupon date 7]]),
AY$1+1-1=MONTH(T_bETFs[[#This Row],[Coupon date 8]]),
AY$1+1-1=MONTH(T_bETFs[[#This Row],[Coupon date 9]]),
AY$1+1-1=MONTH(T_bETFs[[#This Row],[Coupon date 10]]),
AY$1+1-1=MONTH(T_bETFs[[#This Row],[Coupon date 11]]),
AY$1+1-1=MONTH(T_bETFs[[#This Row],[Coupon date 12]]),),
IF('CF USD'!$A$8="on",T_bETFs[[#This Row],[Coupon in USD]],T_bETFs[[#This Row],[Coupon in CCY]])/T_bETFs[[#This Row],[Coupons per annum]],0),
"")</f>
        <v/>
      </c>
      <c r="AZ15" s="580" t="str">
        <f>IFERROR(IF(
OR(
AZ$1+1-1=MONTH(T_bETFs[[#This Row],[Coupon date 1]]),
AZ$1+1-1=MONTH(T_bETFs[[#This Row],[Coupon date 2]]),
AZ$1+1-1=MONTH(T_bETFs[[#This Row],[Coupon date 3]]),
AZ$1+1-1=MONTH(T_bETFs[[#This Row],[Coupon date 4]]),
AZ$1+1-1=MONTH(T_bETFs[[#This Row],[Coupon date 5]]),
AZ$1+1-1=MONTH(T_bETFs[[#This Row],[Coupon date 6]]),
AZ$1+1-1=MONTH(T_bETFs[[#This Row],[Coupon date 7]]),
AZ$1+1-1=MONTH(T_bETFs[[#This Row],[Coupon date 8]]),
AZ$1+1-1=MONTH(T_bETFs[[#This Row],[Coupon date 9]]),
AZ$1+1-1=MONTH(T_bETFs[[#This Row],[Coupon date 10]]),
AZ$1+1-1=MONTH(T_bETFs[[#This Row],[Coupon date 11]]),
AZ$1+1-1=MONTH(T_bETFs[[#This Row],[Coupon date 12]]),),
IF('CF USD'!$A$8="on",T_bETFs[[#This Row],[Coupon in USD]],T_bETFs[[#This Row],[Coupon in CCY]])/T_bETFs[[#This Row],[Coupons per annum]],0),
"")</f>
        <v/>
      </c>
      <c r="BA15" s="580" t="str">
        <f>IFERROR(IF(
OR(
BA$1+1-1=MONTH(T_bETFs[[#This Row],[Coupon date 1]]),
BA$1+1-1=MONTH(T_bETFs[[#This Row],[Coupon date 2]]),
BA$1+1-1=MONTH(T_bETFs[[#This Row],[Coupon date 3]]),
BA$1+1-1=MONTH(T_bETFs[[#This Row],[Coupon date 4]]),
BA$1+1-1=MONTH(T_bETFs[[#This Row],[Coupon date 5]]),
BA$1+1-1=MONTH(T_bETFs[[#This Row],[Coupon date 6]]),
BA$1+1-1=MONTH(T_bETFs[[#This Row],[Coupon date 7]]),
BA$1+1-1=MONTH(T_bETFs[[#This Row],[Coupon date 8]]),
BA$1+1-1=MONTH(T_bETFs[[#This Row],[Coupon date 9]]),
BA$1+1-1=MONTH(T_bETFs[[#This Row],[Coupon date 10]]),
BA$1+1-1=MONTH(T_bETFs[[#This Row],[Coupon date 11]]),
BA$1+1-1=MONTH(T_bETFs[[#This Row],[Coupon date 12]]),),
IF('CF USD'!$A$8="on",T_bETFs[[#This Row],[Coupon in USD]],T_bETFs[[#This Row],[Coupon in CCY]])/T_bETFs[[#This Row],[Coupons per annum]],0),
"")</f>
        <v/>
      </c>
      <c r="BB15" s="580" t="str">
        <f>IFERROR(IF(
OR(
BB$1+1-1=MONTH(T_bETFs[[#This Row],[Coupon date 1]]),
BB$1+1-1=MONTH(T_bETFs[[#This Row],[Coupon date 2]]),
BB$1+1-1=MONTH(T_bETFs[[#This Row],[Coupon date 3]]),
BB$1+1-1=MONTH(T_bETFs[[#This Row],[Coupon date 4]]),
BB$1+1-1=MONTH(T_bETFs[[#This Row],[Coupon date 5]]),
BB$1+1-1=MONTH(T_bETFs[[#This Row],[Coupon date 6]]),
BB$1+1-1=MONTH(T_bETFs[[#This Row],[Coupon date 7]]),
BB$1+1-1=MONTH(T_bETFs[[#This Row],[Coupon date 8]]),
BB$1+1-1=MONTH(T_bETFs[[#This Row],[Coupon date 9]]),
BB$1+1-1=MONTH(T_bETFs[[#This Row],[Coupon date 10]]),
BB$1+1-1=MONTH(T_bETFs[[#This Row],[Coupon date 11]]),
BB$1+1-1=MONTH(T_bETFs[[#This Row],[Coupon date 12]]),),
IF('CF USD'!$A$8="on",T_bETFs[[#This Row],[Coupon in USD]],T_bETFs[[#This Row],[Coupon in CCY]])/T_bETFs[[#This Row],[Coupons per annum]],0),
"")</f>
        <v/>
      </c>
      <c r="BC15" s="580" t="str">
        <f>IFERROR(IF(
OR(
BC$1+1-1=MONTH(T_bETFs[[#This Row],[Coupon date 1]]),
BC$1+1-1=MONTH(T_bETFs[[#This Row],[Coupon date 2]]),
BC$1+1-1=MONTH(T_bETFs[[#This Row],[Coupon date 3]]),
BC$1+1-1=MONTH(T_bETFs[[#This Row],[Coupon date 4]]),
BC$1+1-1=MONTH(T_bETFs[[#This Row],[Coupon date 5]]),
BC$1+1-1=MONTH(T_bETFs[[#This Row],[Coupon date 6]]),
BC$1+1-1=MONTH(T_bETFs[[#This Row],[Coupon date 7]]),
BC$1+1-1=MONTH(T_bETFs[[#This Row],[Coupon date 8]]),
BC$1+1-1=MONTH(T_bETFs[[#This Row],[Coupon date 9]]),
BC$1+1-1=MONTH(T_bETFs[[#This Row],[Coupon date 10]]),
BC$1+1-1=MONTH(T_bETFs[[#This Row],[Coupon date 11]]),
BC$1+1-1=MONTH(T_bETFs[[#This Row],[Coupon date 12]]),),
IF('CF USD'!$A$8="on",T_bETFs[[#This Row],[Coupon in USD]],T_bETFs[[#This Row],[Coupon in CCY]])/T_bETFs[[#This Row],[Coupons per annum]],0),
"")</f>
        <v/>
      </c>
      <c r="BD15" s="580" t="str">
        <f>IFERROR(IF(
OR(
BD$1+1-1=MONTH(T_bETFs[[#This Row],[Coupon date 1]]),
BD$1+1-1=MONTH(T_bETFs[[#This Row],[Coupon date 2]]),
BD$1+1-1=MONTH(T_bETFs[[#This Row],[Coupon date 3]]),
BD$1+1-1=MONTH(T_bETFs[[#This Row],[Coupon date 4]]),
BD$1+1-1=MONTH(T_bETFs[[#This Row],[Coupon date 5]]),
BD$1+1-1=MONTH(T_bETFs[[#This Row],[Coupon date 6]]),
BD$1+1-1=MONTH(T_bETFs[[#This Row],[Coupon date 7]]),
BD$1+1-1=MONTH(T_bETFs[[#This Row],[Coupon date 8]]),
BD$1+1-1=MONTH(T_bETFs[[#This Row],[Coupon date 9]]),
BD$1+1-1=MONTH(T_bETFs[[#This Row],[Coupon date 10]]),
BD$1+1-1=MONTH(T_bETFs[[#This Row],[Coupon date 11]]),
BD$1+1-1=MONTH(T_bETFs[[#This Row],[Coupon date 12]]),),
IF('CF USD'!$A$8="on",T_bETFs[[#This Row],[Coupon in USD]],T_bETFs[[#This Row],[Coupon in CCY]])/T_bETFs[[#This Row],[Coupons per annum]],0),
"")</f>
        <v/>
      </c>
      <c r="BE15" s="580" t="str">
        <f>IFERROR(IF(
OR(
BE$1+1-1=MONTH(T_bETFs[[#This Row],[Coupon date 1]]),
BE$1+1-1=MONTH(T_bETFs[[#This Row],[Coupon date 2]]),
BE$1+1-1=MONTH(T_bETFs[[#This Row],[Coupon date 3]]),
BE$1+1-1=MONTH(T_bETFs[[#This Row],[Coupon date 4]]),
BE$1+1-1=MONTH(T_bETFs[[#This Row],[Coupon date 5]]),
BE$1+1-1=MONTH(T_bETFs[[#This Row],[Coupon date 6]]),
BE$1+1-1=MONTH(T_bETFs[[#This Row],[Coupon date 7]]),
BE$1+1-1=MONTH(T_bETFs[[#This Row],[Coupon date 8]]),
BE$1+1-1=MONTH(T_bETFs[[#This Row],[Coupon date 9]]),
BE$1+1-1=MONTH(T_bETFs[[#This Row],[Coupon date 10]]),
BE$1+1-1=MONTH(T_bETFs[[#This Row],[Coupon date 11]]),
BE$1+1-1=MONTH(T_bETFs[[#This Row],[Coupon date 12]]),),
IF('CF USD'!$A$8="on",T_bETFs[[#This Row],[Coupon in USD]],T_bETFs[[#This Row],[Coupon in CCY]])/T_bETFs[[#This Row],[Coupons per annum]],0),
"")</f>
        <v/>
      </c>
      <c r="BF15" s="580" t="str">
        <f>IFERROR(IF(
OR(
BF$1+1-1=MONTH(T_bETFs[[#This Row],[Coupon date 1]]),
BF$1+1-1=MONTH(T_bETFs[[#This Row],[Coupon date 2]]),
BF$1+1-1=MONTH(T_bETFs[[#This Row],[Coupon date 3]]),
BF$1+1-1=MONTH(T_bETFs[[#This Row],[Coupon date 4]]),
BF$1+1-1=MONTH(T_bETFs[[#This Row],[Coupon date 5]]),
BF$1+1-1=MONTH(T_bETFs[[#This Row],[Coupon date 6]]),
BF$1+1-1=MONTH(T_bETFs[[#This Row],[Coupon date 7]]),
BF$1+1-1=MONTH(T_bETFs[[#This Row],[Coupon date 8]]),
BF$1+1-1=MONTH(T_bETFs[[#This Row],[Coupon date 9]]),
BF$1+1-1=MONTH(T_bETFs[[#This Row],[Coupon date 10]]),
BF$1+1-1=MONTH(T_bETFs[[#This Row],[Coupon date 11]]),
BF$1+1-1=MONTH(T_bETFs[[#This Row],[Coupon date 12]]),),
IF('CF USD'!$A$8="on",T_bETFs[[#This Row],[Coupon in USD]],T_bETFs[[#This Row],[Coupon in CCY]])/T_bETFs[[#This Row],[Coupons per annum]],0),
"")</f>
        <v/>
      </c>
      <c r="BG15" s="580" t="str">
        <f>IFERROR(IF(
OR(
BG$1+1-1=MONTH(T_bETFs[[#This Row],[Coupon date 1]]),
BG$1+1-1=MONTH(T_bETFs[[#This Row],[Coupon date 2]]),
BG$1+1-1=MONTH(T_bETFs[[#This Row],[Coupon date 3]]),
BG$1+1-1=MONTH(T_bETFs[[#This Row],[Coupon date 4]]),
BG$1+1-1=MONTH(T_bETFs[[#This Row],[Coupon date 5]]),
BG$1+1-1=MONTH(T_bETFs[[#This Row],[Coupon date 6]]),
BG$1+1-1=MONTH(T_bETFs[[#This Row],[Coupon date 7]]),
BG$1+1-1=MONTH(T_bETFs[[#This Row],[Coupon date 8]]),
BG$1+1-1=MONTH(T_bETFs[[#This Row],[Coupon date 9]]),
BG$1+1-1=MONTH(T_bETFs[[#This Row],[Coupon date 10]]),
BG$1+1-1=MONTH(T_bETFs[[#This Row],[Coupon date 11]]),
BG$1+1-1=MONTH(T_bETFs[[#This Row],[Coupon date 12]]),),
IF('CF USD'!$A$8="on",T_bETFs[[#This Row],[Coupon in USD]],T_bETFs[[#This Row],[Coupon in CCY]])/T_bETFs[[#This Row],[Coupons per annum]],0),
"")</f>
        <v/>
      </c>
    </row>
    <row r="16" spans="1:59" x14ac:dyDescent="0.25">
      <c r="A16" s="979" t="s">
        <v>49</v>
      </c>
      <c r="B16" s="980" t="s">
        <v>187</v>
      </c>
      <c r="C16" s="980" t="s">
        <v>1081</v>
      </c>
      <c r="D16" s="981" t="s">
        <v>2479</v>
      </c>
      <c r="E16" s="981"/>
      <c r="F16" s="981"/>
      <c r="G16" s="981"/>
      <c r="H16" s="981"/>
      <c r="I16" s="981"/>
      <c r="J16" s="981"/>
      <c r="K16" s="981"/>
      <c r="L16" s="981"/>
      <c r="M16" s="981"/>
      <c r="N16" s="981" t="s">
        <v>1082</v>
      </c>
      <c r="O16" s="981" t="s">
        <v>18</v>
      </c>
      <c r="P16" s="978">
        <v>60900</v>
      </c>
      <c r="Q16" s="982">
        <v>8.19</v>
      </c>
      <c r="R16" s="983">
        <f>T_bETFs[[#This Row],[Market Price]]*T_bETFs[[#This Row],[Quantity]]</f>
        <v>498770.99999999994</v>
      </c>
      <c r="S16" s="983">
        <f>T_bETFs[[#This Row],[Market Value, CCY]]*T_bETFs[[#This Row],[Exchange rate]]</f>
        <v>498770.99999999994</v>
      </c>
      <c r="T16" s="984">
        <f>T_bETFs[[#This Row],[Coupon in CCY]]/T_bETFs[[#This Row],[Market Value, CCY]]</f>
        <v>7.3101343101343128E-2</v>
      </c>
      <c r="U16" s="985">
        <f>'Tech list'!N62*12*T_bETFs[[#This Row],[Quantity]]</f>
        <v>36460.830000000009</v>
      </c>
      <c r="V16" s="985">
        <f>IFERROR(T_bETFs[[#This Row],[Coupon in CCY]]*INDEX('Tech list'!A:C,MATCH(T_bETFs[[#This Row],[Risk CCY]],'Tech list'!A:A,0),3),"")</f>
        <v>36460.830000000009</v>
      </c>
      <c r="W16" s="986">
        <v>8.8300000000000003E-2</v>
      </c>
      <c r="X16" s="987">
        <f t="shared" ref="X16" si="2">W16*R16</f>
        <v>44041.479299999999</v>
      </c>
      <c r="Y16" s="987">
        <v>8.2100000000000009</v>
      </c>
      <c r="Z16" s="988">
        <f>T_bETFs[[#This Row],[Cost, CCY]]*T_bETFs[[#This Row],[Quantity]]</f>
        <v>499989.00000000006</v>
      </c>
      <c r="AA16" s="989">
        <f>T_bETFs[[#This Row],[Coupon]]</f>
        <v>7.3101343101343128E-2</v>
      </c>
      <c r="AB16" s="990">
        <f>VLOOKUP(T_bETFs[[#This Row],[Risk CCY]],'Tech list'!$A$2:$D$8,3,0)</f>
        <v>1</v>
      </c>
      <c r="AC16" s="991">
        <f t="shared" si="1"/>
        <v>498770.99999999994</v>
      </c>
      <c r="AD16" s="981">
        <f>INDEX('Tech list'!A:C,MATCH(T_bETFs[[#This Row],[Risk CCY]],'Tech list'!A:A,0),3)</f>
        <v>1</v>
      </c>
      <c r="AE16" s="987">
        <f>T_bETFs[[#This Row],[Market Value, CCY]]</f>
        <v>498770.99999999994</v>
      </c>
      <c r="AF16" s="992">
        <f>AC16*T_bETFs[[#This Row],[Exchange rate2]]</f>
        <v>498770.99999999994</v>
      </c>
      <c r="AG16" s="993">
        <f>T_bETFs[[#This Row],[Market value in CCY]]-T_bETFs[[#This Row],[Cost price, CCY]]</f>
        <v>-1218.0000000001164</v>
      </c>
      <c r="AH16" s="994">
        <f>T_bETFs[[#This Row],[P&amp;L]]/T_bETFs[[#This Row],[Cost price, CCY]]</f>
        <v>-2.4360535931792827E-3</v>
      </c>
      <c r="AI16" s="978">
        <v>12</v>
      </c>
      <c r="AJ16" s="995">
        <v>45902</v>
      </c>
      <c r="AK16" s="995">
        <f>IFERROR(EDATE(T_bETFs[[#This Row],[Coupon date 1]],12/$AI16),"")</f>
        <v>45932</v>
      </c>
      <c r="AL16" s="995">
        <f>IFERROR(EDATE(T_bETFs[[#This Row],[Coupon date 2]],12/$AI16),"")</f>
        <v>45963</v>
      </c>
      <c r="AM16" s="995">
        <f>IFERROR(EDATE(T_bETFs[[#This Row],[Coupon date 3]],12/$AI16),"")</f>
        <v>45993</v>
      </c>
      <c r="AN16" s="995">
        <f>IFERROR(EDATE(T_bETFs[[#This Row],[Coupon date 4]],12/$AI16),"")</f>
        <v>46024</v>
      </c>
      <c r="AO16" s="995">
        <f>IFERROR(EDATE(T_bETFs[[#This Row],[Coupon date 5]],12/$AI16),"")</f>
        <v>46055</v>
      </c>
      <c r="AP16" s="995">
        <f>IFERROR(EDATE(T_bETFs[[#This Row],[Coupon date 6]],12/$AI16),"")</f>
        <v>46083</v>
      </c>
      <c r="AQ16" s="995">
        <f>IFERROR(EDATE(T_bETFs[[#This Row],[Coupon date 7]],12/$AI16),"")</f>
        <v>46114</v>
      </c>
      <c r="AR16" s="995">
        <f>IFERROR(EDATE(T_bETFs[[#This Row],[Coupon date 8]],12/$AI16),"")</f>
        <v>46144</v>
      </c>
      <c r="AS16" s="995">
        <f>IFERROR(EDATE(T_bETFs[[#This Row],[Coupon date 9]],12/$AI16),"")</f>
        <v>46175</v>
      </c>
      <c r="AT16" s="995">
        <f>IFERROR(EDATE(T_bETFs[[#This Row],[Coupon date 10]],12/$AI16),"")</f>
        <v>46205</v>
      </c>
      <c r="AU16" s="995">
        <f>IFERROR(EDATE(T_bETFs[[#This Row],[Coupon date 11]],12/$AI16),"")</f>
        <v>46236</v>
      </c>
      <c r="AV16" s="996">
        <f>IFERROR(IF(
OR(
AV$1+1-1=MONTH(T_bETFs[[#This Row],[Coupon date 1]]),
AV$1+1-1=MONTH(T_bETFs[[#This Row],[Coupon date 2]]),
AV$1+1-1=MONTH(T_bETFs[[#This Row],[Coupon date 3]]),
AV$1+1-1=MONTH(T_bETFs[[#This Row],[Coupon date 4]]),
AV$1+1-1=MONTH(T_bETFs[[#This Row],[Coupon date 5]]),
AV$1+1-1=MONTH(T_bETFs[[#This Row],[Coupon date 6]]),
AV$1+1-1=MONTH(T_bETFs[[#This Row],[Coupon date 7]]),
AV$1+1-1=MONTH(T_bETFs[[#This Row],[Coupon date 8]]),
AV$1+1-1=MONTH(T_bETFs[[#This Row],[Coupon date 9]]),
AV$1+1-1=MONTH(T_bETFs[[#This Row],[Coupon date 10]]),
AV$1+1-1=MONTH(T_bETFs[[#This Row],[Coupon date 11]]),
AV$1+1-1=MONTH(T_bETFs[[#This Row],[Coupon date 12]]),),
IF('CF USD'!$A$8="on",T_bETFs[[#This Row],[Coupon in USD]],T_bETFs[[#This Row],[Coupon in CCY]])/T_bETFs[[#This Row],[Coupons per annum]],0),
"")</f>
        <v>3038.4025000000006</v>
      </c>
      <c r="AW16" s="996">
        <f>IFERROR(IF(
OR(
AW$1+1-1=MONTH(T_bETFs[[#This Row],[Coupon date 1]]),
AW$1+1-1=MONTH(T_bETFs[[#This Row],[Coupon date 2]]),
AW$1+1-1=MONTH(T_bETFs[[#This Row],[Coupon date 3]]),
AW$1+1-1=MONTH(T_bETFs[[#This Row],[Coupon date 4]]),
AW$1+1-1=MONTH(T_bETFs[[#This Row],[Coupon date 5]]),
AW$1+1-1=MONTH(T_bETFs[[#This Row],[Coupon date 6]]),
AW$1+1-1=MONTH(T_bETFs[[#This Row],[Coupon date 7]]),
AW$1+1-1=MONTH(T_bETFs[[#This Row],[Coupon date 8]]),
AW$1+1-1=MONTH(T_bETFs[[#This Row],[Coupon date 9]]),
AW$1+1-1=MONTH(T_bETFs[[#This Row],[Coupon date 10]]),
AW$1+1-1=MONTH(T_bETFs[[#This Row],[Coupon date 11]]),
AW$1+1-1=MONTH(T_bETFs[[#This Row],[Coupon date 12]]),),
IF('CF USD'!$A$8="on",T_bETFs[[#This Row],[Coupon in USD]],T_bETFs[[#This Row],[Coupon in CCY]])/T_bETFs[[#This Row],[Coupons per annum]],0),
"")</f>
        <v>3038.4025000000006</v>
      </c>
      <c r="AX16" s="996">
        <f>IFERROR(IF(
OR(
AX$1+1-1=MONTH(T_bETFs[[#This Row],[Coupon date 1]]),
AX$1+1-1=MONTH(T_bETFs[[#This Row],[Coupon date 2]]),
AX$1+1-1=MONTH(T_bETFs[[#This Row],[Coupon date 3]]),
AX$1+1-1=MONTH(T_bETFs[[#This Row],[Coupon date 4]]),
AX$1+1-1=MONTH(T_bETFs[[#This Row],[Coupon date 5]]),
AX$1+1-1=MONTH(T_bETFs[[#This Row],[Coupon date 6]]),
AX$1+1-1=MONTH(T_bETFs[[#This Row],[Coupon date 7]]),
AX$1+1-1=MONTH(T_bETFs[[#This Row],[Coupon date 8]]),
AX$1+1-1=MONTH(T_bETFs[[#This Row],[Coupon date 9]]),
AX$1+1-1=MONTH(T_bETFs[[#This Row],[Coupon date 10]]),
AX$1+1-1=MONTH(T_bETFs[[#This Row],[Coupon date 11]]),
AX$1+1-1=MONTH(T_bETFs[[#This Row],[Coupon date 12]]),),
IF('CF USD'!$A$8="on",T_bETFs[[#This Row],[Coupon in USD]],T_bETFs[[#This Row],[Coupon in CCY]])/T_bETFs[[#This Row],[Coupons per annum]],0),
"")</f>
        <v>3038.4025000000006</v>
      </c>
      <c r="AY16" s="996">
        <f>IFERROR(IF(
OR(
AY$1+1-1=MONTH(T_bETFs[[#This Row],[Coupon date 1]]),
AY$1+1-1=MONTH(T_bETFs[[#This Row],[Coupon date 2]]),
AY$1+1-1=MONTH(T_bETFs[[#This Row],[Coupon date 3]]),
AY$1+1-1=MONTH(T_bETFs[[#This Row],[Coupon date 4]]),
AY$1+1-1=MONTH(T_bETFs[[#This Row],[Coupon date 5]]),
AY$1+1-1=MONTH(T_bETFs[[#This Row],[Coupon date 6]]),
AY$1+1-1=MONTH(T_bETFs[[#This Row],[Coupon date 7]]),
AY$1+1-1=MONTH(T_bETFs[[#This Row],[Coupon date 8]]),
AY$1+1-1=MONTH(T_bETFs[[#This Row],[Coupon date 9]]),
AY$1+1-1=MONTH(T_bETFs[[#This Row],[Coupon date 10]]),
AY$1+1-1=MONTH(T_bETFs[[#This Row],[Coupon date 11]]),
AY$1+1-1=MONTH(T_bETFs[[#This Row],[Coupon date 12]]),),
IF('CF USD'!$A$8="on",T_bETFs[[#This Row],[Coupon in USD]],T_bETFs[[#This Row],[Coupon in CCY]])/T_bETFs[[#This Row],[Coupons per annum]],0),
"")</f>
        <v>3038.4025000000006</v>
      </c>
      <c r="AZ16" s="996">
        <f>IFERROR(IF(
OR(
AZ$1+1-1=MONTH(T_bETFs[[#This Row],[Coupon date 1]]),
AZ$1+1-1=MONTH(T_bETFs[[#This Row],[Coupon date 2]]),
AZ$1+1-1=MONTH(T_bETFs[[#This Row],[Coupon date 3]]),
AZ$1+1-1=MONTH(T_bETFs[[#This Row],[Coupon date 4]]),
AZ$1+1-1=MONTH(T_bETFs[[#This Row],[Coupon date 5]]),
AZ$1+1-1=MONTH(T_bETFs[[#This Row],[Coupon date 6]]),
AZ$1+1-1=MONTH(T_bETFs[[#This Row],[Coupon date 7]]),
AZ$1+1-1=MONTH(T_bETFs[[#This Row],[Coupon date 8]]),
AZ$1+1-1=MONTH(T_bETFs[[#This Row],[Coupon date 9]]),
AZ$1+1-1=MONTH(T_bETFs[[#This Row],[Coupon date 10]]),
AZ$1+1-1=MONTH(T_bETFs[[#This Row],[Coupon date 11]]),
AZ$1+1-1=MONTH(T_bETFs[[#This Row],[Coupon date 12]]),),
IF('CF USD'!$A$8="on",T_bETFs[[#This Row],[Coupon in USD]],T_bETFs[[#This Row],[Coupon in CCY]])/T_bETFs[[#This Row],[Coupons per annum]],0),
"")</f>
        <v>3038.4025000000006</v>
      </c>
      <c r="BA16" s="996">
        <f>IFERROR(IF(
OR(
BA$1+1-1=MONTH(T_bETFs[[#This Row],[Coupon date 1]]),
BA$1+1-1=MONTH(T_bETFs[[#This Row],[Coupon date 2]]),
BA$1+1-1=MONTH(T_bETFs[[#This Row],[Coupon date 3]]),
BA$1+1-1=MONTH(T_bETFs[[#This Row],[Coupon date 4]]),
BA$1+1-1=MONTH(T_bETFs[[#This Row],[Coupon date 5]]),
BA$1+1-1=MONTH(T_bETFs[[#This Row],[Coupon date 6]]),
BA$1+1-1=MONTH(T_bETFs[[#This Row],[Coupon date 7]]),
BA$1+1-1=MONTH(T_bETFs[[#This Row],[Coupon date 8]]),
BA$1+1-1=MONTH(T_bETFs[[#This Row],[Coupon date 9]]),
BA$1+1-1=MONTH(T_bETFs[[#This Row],[Coupon date 10]]),
BA$1+1-1=MONTH(T_bETFs[[#This Row],[Coupon date 11]]),
BA$1+1-1=MONTH(T_bETFs[[#This Row],[Coupon date 12]]),),
IF('CF USD'!$A$8="on",T_bETFs[[#This Row],[Coupon in USD]],T_bETFs[[#This Row],[Coupon in CCY]])/T_bETFs[[#This Row],[Coupons per annum]],0),
"")</f>
        <v>3038.4025000000006</v>
      </c>
      <c r="BB16" s="996">
        <f>IFERROR(IF(
OR(
BB$1+1-1=MONTH(T_bETFs[[#This Row],[Coupon date 1]]),
BB$1+1-1=MONTH(T_bETFs[[#This Row],[Coupon date 2]]),
BB$1+1-1=MONTH(T_bETFs[[#This Row],[Coupon date 3]]),
BB$1+1-1=MONTH(T_bETFs[[#This Row],[Coupon date 4]]),
BB$1+1-1=MONTH(T_bETFs[[#This Row],[Coupon date 5]]),
BB$1+1-1=MONTH(T_bETFs[[#This Row],[Coupon date 6]]),
BB$1+1-1=MONTH(T_bETFs[[#This Row],[Coupon date 7]]),
BB$1+1-1=MONTH(T_bETFs[[#This Row],[Coupon date 8]]),
BB$1+1-1=MONTH(T_bETFs[[#This Row],[Coupon date 9]]),
BB$1+1-1=MONTH(T_bETFs[[#This Row],[Coupon date 10]]),
BB$1+1-1=MONTH(T_bETFs[[#This Row],[Coupon date 11]]),
BB$1+1-1=MONTH(T_bETFs[[#This Row],[Coupon date 12]]),),
IF('CF USD'!$A$8="on",T_bETFs[[#This Row],[Coupon in USD]],T_bETFs[[#This Row],[Coupon in CCY]])/T_bETFs[[#This Row],[Coupons per annum]],0),
"")</f>
        <v>3038.4025000000006</v>
      </c>
      <c r="BC16" s="996">
        <f>IFERROR(IF(
OR(
BC$1+1-1=MONTH(T_bETFs[[#This Row],[Coupon date 1]]),
BC$1+1-1=MONTH(T_bETFs[[#This Row],[Coupon date 2]]),
BC$1+1-1=MONTH(T_bETFs[[#This Row],[Coupon date 3]]),
BC$1+1-1=MONTH(T_bETFs[[#This Row],[Coupon date 4]]),
BC$1+1-1=MONTH(T_bETFs[[#This Row],[Coupon date 5]]),
BC$1+1-1=MONTH(T_bETFs[[#This Row],[Coupon date 6]]),
BC$1+1-1=MONTH(T_bETFs[[#This Row],[Coupon date 7]]),
BC$1+1-1=MONTH(T_bETFs[[#This Row],[Coupon date 8]]),
BC$1+1-1=MONTH(T_bETFs[[#This Row],[Coupon date 9]]),
BC$1+1-1=MONTH(T_bETFs[[#This Row],[Coupon date 10]]),
BC$1+1-1=MONTH(T_bETFs[[#This Row],[Coupon date 11]]),
BC$1+1-1=MONTH(T_bETFs[[#This Row],[Coupon date 12]]),),
IF('CF USD'!$A$8="on",T_bETFs[[#This Row],[Coupon in USD]],T_bETFs[[#This Row],[Coupon in CCY]])/T_bETFs[[#This Row],[Coupons per annum]],0),
"")</f>
        <v>3038.4025000000006</v>
      </c>
      <c r="BD16" s="996">
        <f>IFERROR(IF(
OR(
BD$1+1-1=MONTH(T_bETFs[[#This Row],[Coupon date 1]]),
BD$1+1-1=MONTH(T_bETFs[[#This Row],[Coupon date 2]]),
BD$1+1-1=MONTH(T_bETFs[[#This Row],[Coupon date 3]]),
BD$1+1-1=MONTH(T_bETFs[[#This Row],[Coupon date 4]]),
BD$1+1-1=MONTH(T_bETFs[[#This Row],[Coupon date 5]]),
BD$1+1-1=MONTH(T_bETFs[[#This Row],[Coupon date 6]]),
BD$1+1-1=MONTH(T_bETFs[[#This Row],[Coupon date 7]]),
BD$1+1-1=MONTH(T_bETFs[[#This Row],[Coupon date 8]]),
BD$1+1-1=MONTH(T_bETFs[[#This Row],[Coupon date 9]]),
BD$1+1-1=MONTH(T_bETFs[[#This Row],[Coupon date 10]]),
BD$1+1-1=MONTH(T_bETFs[[#This Row],[Coupon date 11]]),
BD$1+1-1=MONTH(T_bETFs[[#This Row],[Coupon date 12]]),),
IF('CF USD'!$A$8="on",T_bETFs[[#This Row],[Coupon in USD]],T_bETFs[[#This Row],[Coupon in CCY]])/T_bETFs[[#This Row],[Coupons per annum]],0),
"")</f>
        <v>3038.4025000000006</v>
      </c>
      <c r="BE16" s="996">
        <f>IFERROR(IF(
OR(
BE$1+1-1=MONTH(T_bETFs[[#This Row],[Coupon date 1]]),
BE$1+1-1=MONTH(T_bETFs[[#This Row],[Coupon date 2]]),
BE$1+1-1=MONTH(T_bETFs[[#This Row],[Coupon date 3]]),
BE$1+1-1=MONTH(T_bETFs[[#This Row],[Coupon date 4]]),
BE$1+1-1=MONTH(T_bETFs[[#This Row],[Coupon date 5]]),
BE$1+1-1=MONTH(T_bETFs[[#This Row],[Coupon date 6]]),
BE$1+1-1=MONTH(T_bETFs[[#This Row],[Coupon date 7]]),
BE$1+1-1=MONTH(T_bETFs[[#This Row],[Coupon date 8]]),
BE$1+1-1=MONTH(T_bETFs[[#This Row],[Coupon date 9]]),
BE$1+1-1=MONTH(T_bETFs[[#This Row],[Coupon date 10]]),
BE$1+1-1=MONTH(T_bETFs[[#This Row],[Coupon date 11]]),
BE$1+1-1=MONTH(T_bETFs[[#This Row],[Coupon date 12]]),),
IF('CF USD'!$A$8="on",T_bETFs[[#This Row],[Coupon in USD]],T_bETFs[[#This Row],[Coupon in CCY]])/T_bETFs[[#This Row],[Coupons per annum]],0),
"")</f>
        <v>3038.4025000000006</v>
      </c>
      <c r="BF16" s="996">
        <f>IFERROR(IF(
OR(
BF$1+1-1=MONTH(T_bETFs[[#This Row],[Coupon date 1]]),
BF$1+1-1=MONTH(T_bETFs[[#This Row],[Coupon date 2]]),
BF$1+1-1=MONTH(T_bETFs[[#This Row],[Coupon date 3]]),
BF$1+1-1=MONTH(T_bETFs[[#This Row],[Coupon date 4]]),
BF$1+1-1=MONTH(T_bETFs[[#This Row],[Coupon date 5]]),
BF$1+1-1=MONTH(T_bETFs[[#This Row],[Coupon date 6]]),
BF$1+1-1=MONTH(T_bETFs[[#This Row],[Coupon date 7]]),
BF$1+1-1=MONTH(T_bETFs[[#This Row],[Coupon date 8]]),
BF$1+1-1=MONTH(T_bETFs[[#This Row],[Coupon date 9]]),
BF$1+1-1=MONTH(T_bETFs[[#This Row],[Coupon date 10]]),
BF$1+1-1=MONTH(T_bETFs[[#This Row],[Coupon date 11]]),
BF$1+1-1=MONTH(T_bETFs[[#This Row],[Coupon date 12]]),),
IF('CF USD'!$A$8="on",T_bETFs[[#This Row],[Coupon in USD]],T_bETFs[[#This Row],[Coupon in CCY]])/T_bETFs[[#This Row],[Coupons per annum]],0),
"")</f>
        <v>3038.4025000000006</v>
      </c>
      <c r="BG16" s="996">
        <f>IFERROR(IF(
OR(
BG$1+1-1=MONTH(T_bETFs[[#This Row],[Coupon date 1]]),
BG$1+1-1=MONTH(T_bETFs[[#This Row],[Coupon date 2]]),
BG$1+1-1=MONTH(T_bETFs[[#This Row],[Coupon date 3]]),
BG$1+1-1=MONTH(T_bETFs[[#This Row],[Coupon date 4]]),
BG$1+1-1=MONTH(T_bETFs[[#This Row],[Coupon date 5]]),
BG$1+1-1=MONTH(T_bETFs[[#This Row],[Coupon date 6]]),
BG$1+1-1=MONTH(T_bETFs[[#This Row],[Coupon date 7]]),
BG$1+1-1=MONTH(T_bETFs[[#This Row],[Coupon date 8]]),
BG$1+1-1=MONTH(T_bETFs[[#This Row],[Coupon date 9]]),
BG$1+1-1=MONTH(T_bETFs[[#This Row],[Coupon date 10]]),
BG$1+1-1=MONTH(T_bETFs[[#This Row],[Coupon date 11]]),
BG$1+1-1=MONTH(T_bETFs[[#This Row],[Coupon date 12]]),),
IF('CF USD'!$A$8="on",T_bETFs[[#This Row],[Coupon in USD]],T_bETFs[[#This Row],[Coupon in CCY]])/T_bETFs[[#This Row],[Coupons per annum]],0),
"")</f>
        <v>3038.4025000000006</v>
      </c>
    </row>
    <row r="17" spans="1:59" x14ac:dyDescent="0.25">
      <c r="A17" s="568" t="s">
        <v>51</v>
      </c>
      <c r="B17" s="298" t="s">
        <v>187</v>
      </c>
      <c r="C17" s="298" t="s">
        <v>1081</v>
      </c>
      <c r="D17" s="1" t="s">
        <v>2479</v>
      </c>
      <c r="E17" s="1"/>
      <c r="F17" s="1"/>
      <c r="G17" s="1"/>
      <c r="H17" s="1"/>
      <c r="I17" s="1"/>
      <c r="J17" s="1"/>
      <c r="K17" s="1"/>
      <c r="L17" s="1"/>
      <c r="M17" s="1"/>
      <c r="N17" s="1" t="s">
        <v>1082</v>
      </c>
      <c r="O17" s="1" t="s">
        <v>18</v>
      </c>
      <c r="P17" s="296">
        <v>152133.94500000001</v>
      </c>
      <c r="Q17" s="571">
        <v>8.19</v>
      </c>
      <c r="R17" s="572">
        <f>T_bETFs[[#This Row],[Market Price]]*T_bETFs[[#This Row],[Quantity]]</f>
        <v>1245977.0095500001</v>
      </c>
      <c r="S17" s="572">
        <f>T_bETFs[[#This Row],[Market Value, CCY]]*T_bETFs[[#This Row],[Exchange rate]]</f>
        <v>1245977.0095500001</v>
      </c>
      <c r="T17" s="573">
        <f>T_bETFs[[#This Row],[Coupon in CCY]]/T_bETFs[[#This Row],[Market Value, CCY]]</f>
        <v>7.3101343101343114E-2</v>
      </c>
      <c r="U17" s="277">
        <f>'Tech list'!N62*12*T_bETFs[[#This Row],[Quantity]]</f>
        <v>91082.592871500019</v>
      </c>
      <c r="V17" s="277">
        <f>IFERROR(T_bETFs[[#This Row],[Coupon in CCY]]*INDEX('Tech list'!A:C,MATCH(T_bETFs[[#This Row],[Risk CCY]],'Tech list'!A:A,0),3),"")</f>
        <v>91082.592871500019</v>
      </c>
      <c r="W17" s="101">
        <v>8.8300000000000003E-2</v>
      </c>
      <c r="X17" s="77">
        <f t="shared" si="0"/>
        <v>110019.76994326501</v>
      </c>
      <c r="Y17" s="77">
        <v>7.899617669153324</v>
      </c>
      <c r="Z17" s="574">
        <f>T_bETFs[[#This Row],[Cost, CCY]]*T_bETFs[[#This Row],[Quantity]]</f>
        <v>1201800</v>
      </c>
      <c r="AA17" s="111">
        <f>T_bETFs[[#This Row],[Coupon]]</f>
        <v>7.3101343101343114E-2</v>
      </c>
      <c r="AB17" s="4">
        <f>VLOOKUP(T_bETFs[[#This Row],[Risk CCY]],'Tech list'!$A$2:$D$8,3,0)</f>
        <v>1</v>
      </c>
      <c r="AC17" s="575">
        <f t="shared" ref="AC17:AC18" si="3">R17</f>
        <v>1245977.0095500001</v>
      </c>
      <c r="AD17" s="1">
        <f>INDEX('Tech list'!A:C,MATCH(T_bETFs[[#This Row],[Risk CCY]],'Tech list'!A:A,0),3)</f>
        <v>1</v>
      </c>
      <c r="AE17" s="77">
        <f>T_bETFs[[#This Row],[Market Value, CCY]]</f>
        <v>1245977.0095500001</v>
      </c>
      <c r="AF17" s="576">
        <f>AC17*T_bETFs[[#This Row],[Exchange rate2]]</f>
        <v>1245977.0095500001</v>
      </c>
      <c r="AG17" s="577">
        <f>T_bETFs[[#This Row],[Market value in CCY]]-T_bETFs[[#This Row],[Cost price, CCY]]</f>
        <v>44177.009550000075</v>
      </c>
      <c r="AH17" s="585">
        <f>T_bETFs[[#This Row],[P&amp;L]]/T_bETFs[[#This Row],[Cost price, CCY]]</f>
        <v>3.6759036070893723E-2</v>
      </c>
      <c r="AI17" s="570">
        <v>12</v>
      </c>
      <c r="AJ17" s="579">
        <v>45902</v>
      </c>
      <c r="AK17" s="579">
        <f>IFERROR(EDATE(T_bETFs[[#This Row],[Coupon date 1]],12/$AI17),"")</f>
        <v>45932</v>
      </c>
      <c r="AL17" s="579">
        <f>IFERROR(EDATE(T_bETFs[[#This Row],[Coupon date 2]],12/$AI17),"")</f>
        <v>45963</v>
      </c>
      <c r="AM17" s="579">
        <f>IFERROR(EDATE(T_bETFs[[#This Row],[Coupon date 3]],12/$AI17),"")</f>
        <v>45993</v>
      </c>
      <c r="AN17" s="579">
        <f>IFERROR(EDATE(T_bETFs[[#This Row],[Coupon date 4]],12/$AI17),"")</f>
        <v>46024</v>
      </c>
      <c r="AO17" s="579">
        <f>IFERROR(EDATE(T_bETFs[[#This Row],[Coupon date 5]],12/$AI17),"")</f>
        <v>46055</v>
      </c>
      <c r="AP17" s="579">
        <f>IFERROR(EDATE(T_bETFs[[#This Row],[Coupon date 6]],12/$AI17),"")</f>
        <v>46083</v>
      </c>
      <c r="AQ17" s="579">
        <f>IFERROR(EDATE(T_bETFs[[#This Row],[Coupon date 7]],12/$AI17),"")</f>
        <v>46114</v>
      </c>
      <c r="AR17" s="579">
        <f>IFERROR(EDATE(T_bETFs[[#This Row],[Coupon date 8]],12/$AI17),"")</f>
        <v>46144</v>
      </c>
      <c r="AS17" s="579">
        <f>IFERROR(EDATE(T_bETFs[[#This Row],[Coupon date 9]],12/$AI17),"")</f>
        <v>46175</v>
      </c>
      <c r="AT17" s="579">
        <f>IFERROR(EDATE(T_bETFs[[#This Row],[Coupon date 10]],12/$AI17),"")</f>
        <v>46205</v>
      </c>
      <c r="AU17" s="579">
        <f>IFERROR(EDATE(T_bETFs[[#This Row],[Coupon date 11]],12/$AI17),"")</f>
        <v>46236</v>
      </c>
      <c r="AV17" s="580">
        <f>IFERROR(IF(
OR(
AV$1+1-1=MONTH(T_bETFs[[#This Row],[Coupon date 1]]),
AV$1+1-1=MONTH(T_bETFs[[#This Row],[Coupon date 2]]),
AV$1+1-1=MONTH(T_bETFs[[#This Row],[Coupon date 3]]),
AV$1+1-1=MONTH(T_bETFs[[#This Row],[Coupon date 4]]),
AV$1+1-1=MONTH(T_bETFs[[#This Row],[Coupon date 5]]),
AV$1+1-1=MONTH(T_bETFs[[#This Row],[Coupon date 6]]),
AV$1+1-1=MONTH(T_bETFs[[#This Row],[Coupon date 7]]),
AV$1+1-1=MONTH(T_bETFs[[#This Row],[Coupon date 8]]),
AV$1+1-1=MONTH(T_bETFs[[#This Row],[Coupon date 9]]),
AV$1+1-1=MONTH(T_bETFs[[#This Row],[Coupon date 10]]),
AV$1+1-1=MONTH(T_bETFs[[#This Row],[Coupon date 11]]),
AV$1+1-1=MONTH(T_bETFs[[#This Row],[Coupon date 12]]),),
IF('CF USD'!$A$8="on",T_bETFs[[#This Row],[Coupon in USD]],T_bETFs[[#This Row],[Coupon in CCY]])/T_bETFs[[#This Row],[Coupons per annum]],0),
"")</f>
        <v>7590.2160726250013</v>
      </c>
      <c r="AW17" s="580">
        <f>IFERROR(IF(
OR(
AW$1+1-1=MONTH(T_bETFs[[#This Row],[Coupon date 1]]),
AW$1+1-1=MONTH(T_bETFs[[#This Row],[Coupon date 2]]),
AW$1+1-1=MONTH(T_bETFs[[#This Row],[Coupon date 3]]),
AW$1+1-1=MONTH(T_bETFs[[#This Row],[Coupon date 4]]),
AW$1+1-1=MONTH(T_bETFs[[#This Row],[Coupon date 5]]),
AW$1+1-1=MONTH(T_bETFs[[#This Row],[Coupon date 6]]),
AW$1+1-1=MONTH(T_bETFs[[#This Row],[Coupon date 7]]),
AW$1+1-1=MONTH(T_bETFs[[#This Row],[Coupon date 8]]),
AW$1+1-1=MONTH(T_bETFs[[#This Row],[Coupon date 9]]),
AW$1+1-1=MONTH(T_bETFs[[#This Row],[Coupon date 10]]),
AW$1+1-1=MONTH(T_bETFs[[#This Row],[Coupon date 11]]),
AW$1+1-1=MONTH(T_bETFs[[#This Row],[Coupon date 12]]),),
IF('CF USD'!$A$8="on",T_bETFs[[#This Row],[Coupon in USD]],T_bETFs[[#This Row],[Coupon in CCY]])/T_bETFs[[#This Row],[Coupons per annum]],0),
"")</f>
        <v>7590.2160726250013</v>
      </c>
      <c r="AX17" s="580">
        <f>IFERROR(IF(
OR(
AX$1+1-1=MONTH(T_bETFs[[#This Row],[Coupon date 1]]),
AX$1+1-1=MONTH(T_bETFs[[#This Row],[Coupon date 2]]),
AX$1+1-1=MONTH(T_bETFs[[#This Row],[Coupon date 3]]),
AX$1+1-1=MONTH(T_bETFs[[#This Row],[Coupon date 4]]),
AX$1+1-1=MONTH(T_bETFs[[#This Row],[Coupon date 5]]),
AX$1+1-1=MONTH(T_bETFs[[#This Row],[Coupon date 6]]),
AX$1+1-1=MONTH(T_bETFs[[#This Row],[Coupon date 7]]),
AX$1+1-1=MONTH(T_bETFs[[#This Row],[Coupon date 8]]),
AX$1+1-1=MONTH(T_bETFs[[#This Row],[Coupon date 9]]),
AX$1+1-1=MONTH(T_bETFs[[#This Row],[Coupon date 10]]),
AX$1+1-1=MONTH(T_bETFs[[#This Row],[Coupon date 11]]),
AX$1+1-1=MONTH(T_bETFs[[#This Row],[Coupon date 12]]),),
IF('CF USD'!$A$8="on",T_bETFs[[#This Row],[Coupon in USD]],T_bETFs[[#This Row],[Coupon in CCY]])/T_bETFs[[#This Row],[Coupons per annum]],0),
"")</f>
        <v>7590.2160726250013</v>
      </c>
      <c r="AY17" s="580">
        <f>IFERROR(IF(
OR(
AY$1+1-1=MONTH(T_bETFs[[#This Row],[Coupon date 1]]),
AY$1+1-1=MONTH(T_bETFs[[#This Row],[Coupon date 2]]),
AY$1+1-1=MONTH(T_bETFs[[#This Row],[Coupon date 3]]),
AY$1+1-1=MONTH(T_bETFs[[#This Row],[Coupon date 4]]),
AY$1+1-1=MONTH(T_bETFs[[#This Row],[Coupon date 5]]),
AY$1+1-1=MONTH(T_bETFs[[#This Row],[Coupon date 6]]),
AY$1+1-1=MONTH(T_bETFs[[#This Row],[Coupon date 7]]),
AY$1+1-1=MONTH(T_bETFs[[#This Row],[Coupon date 8]]),
AY$1+1-1=MONTH(T_bETFs[[#This Row],[Coupon date 9]]),
AY$1+1-1=MONTH(T_bETFs[[#This Row],[Coupon date 10]]),
AY$1+1-1=MONTH(T_bETFs[[#This Row],[Coupon date 11]]),
AY$1+1-1=MONTH(T_bETFs[[#This Row],[Coupon date 12]]),),
IF('CF USD'!$A$8="on",T_bETFs[[#This Row],[Coupon in USD]],T_bETFs[[#This Row],[Coupon in CCY]])/T_bETFs[[#This Row],[Coupons per annum]],0),
"")</f>
        <v>7590.2160726250013</v>
      </c>
      <c r="AZ17" s="580">
        <f>IFERROR(IF(
OR(
AZ$1+1-1=MONTH(T_bETFs[[#This Row],[Coupon date 1]]),
AZ$1+1-1=MONTH(T_bETFs[[#This Row],[Coupon date 2]]),
AZ$1+1-1=MONTH(T_bETFs[[#This Row],[Coupon date 3]]),
AZ$1+1-1=MONTH(T_bETFs[[#This Row],[Coupon date 4]]),
AZ$1+1-1=MONTH(T_bETFs[[#This Row],[Coupon date 5]]),
AZ$1+1-1=MONTH(T_bETFs[[#This Row],[Coupon date 6]]),
AZ$1+1-1=MONTH(T_bETFs[[#This Row],[Coupon date 7]]),
AZ$1+1-1=MONTH(T_bETFs[[#This Row],[Coupon date 8]]),
AZ$1+1-1=MONTH(T_bETFs[[#This Row],[Coupon date 9]]),
AZ$1+1-1=MONTH(T_bETFs[[#This Row],[Coupon date 10]]),
AZ$1+1-1=MONTH(T_bETFs[[#This Row],[Coupon date 11]]),
AZ$1+1-1=MONTH(T_bETFs[[#This Row],[Coupon date 12]]),),
IF('CF USD'!$A$8="on",T_bETFs[[#This Row],[Coupon in USD]],T_bETFs[[#This Row],[Coupon in CCY]])/T_bETFs[[#This Row],[Coupons per annum]],0),
"")</f>
        <v>7590.2160726250013</v>
      </c>
      <c r="BA17" s="580">
        <f>IFERROR(IF(
OR(
BA$1+1-1=MONTH(T_bETFs[[#This Row],[Coupon date 1]]),
BA$1+1-1=MONTH(T_bETFs[[#This Row],[Coupon date 2]]),
BA$1+1-1=MONTH(T_bETFs[[#This Row],[Coupon date 3]]),
BA$1+1-1=MONTH(T_bETFs[[#This Row],[Coupon date 4]]),
BA$1+1-1=MONTH(T_bETFs[[#This Row],[Coupon date 5]]),
BA$1+1-1=MONTH(T_bETFs[[#This Row],[Coupon date 6]]),
BA$1+1-1=MONTH(T_bETFs[[#This Row],[Coupon date 7]]),
BA$1+1-1=MONTH(T_bETFs[[#This Row],[Coupon date 8]]),
BA$1+1-1=MONTH(T_bETFs[[#This Row],[Coupon date 9]]),
BA$1+1-1=MONTH(T_bETFs[[#This Row],[Coupon date 10]]),
BA$1+1-1=MONTH(T_bETFs[[#This Row],[Coupon date 11]]),
BA$1+1-1=MONTH(T_bETFs[[#This Row],[Coupon date 12]]),),
IF('CF USD'!$A$8="on",T_bETFs[[#This Row],[Coupon in USD]],T_bETFs[[#This Row],[Coupon in CCY]])/T_bETFs[[#This Row],[Coupons per annum]],0),
"")</f>
        <v>7590.2160726250013</v>
      </c>
      <c r="BB17" s="580">
        <f>IFERROR(IF(
OR(
BB$1+1-1=MONTH(T_bETFs[[#This Row],[Coupon date 1]]),
BB$1+1-1=MONTH(T_bETFs[[#This Row],[Coupon date 2]]),
BB$1+1-1=MONTH(T_bETFs[[#This Row],[Coupon date 3]]),
BB$1+1-1=MONTH(T_bETFs[[#This Row],[Coupon date 4]]),
BB$1+1-1=MONTH(T_bETFs[[#This Row],[Coupon date 5]]),
BB$1+1-1=MONTH(T_bETFs[[#This Row],[Coupon date 6]]),
BB$1+1-1=MONTH(T_bETFs[[#This Row],[Coupon date 7]]),
BB$1+1-1=MONTH(T_bETFs[[#This Row],[Coupon date 8]]),
BB$1+1-1=MONTH(T_bETFs[[#This Row],[Coupon date 9]]),
BB$1+1-1=MONTH(T_bETFs[[#This Row],[Coupon date 10]]),
BB$1+1-1=MONTH(T_bETFs[[#This Row],[Coupon date 11]]),
BB$1+1-1=MONTH(T_bETFs[[#This Row],[Coupon date 12]]),),
IF('CF USD'!$A$8="on",T_bETFs[[#This Row],[Coupon in USD]],T_bETFs[[#This Row],[Coupon in CCY]])/T_bETFs[[#This Row],[Coupons per annum]],0),
"")</f>
        <v>7590.2160726250013</v>
      </c>
      <c r="BC17" s="580">
        <f>IFERROR(IF(
OR(
BC$1+1-1=MONTH(T_bETFs[[#This Row],[Coupon date 1]]),
BC$1+1-1=MONTH(T_bETFs[[#This Row],[Coupon date 2]]),
BC$1+1-1=MONTH(T_bETFs[[#This Row],[Coupon date 3]]),
BC$1+1-1=MONTH(T_bETFs[[#This Row],[Coupon date 4]]),
BC$1+1-1=MONTH(T_bETFs[[#This Row],[Coupon date 5]]),
BC$1+1-1=MONTH(T_bETFs[[#This Row],[Coupon date 6]]),
BC$1+1-1=MONTH(T_bETFs[[#This Row],[Coupon date 7]]),
BC$1+1-1=MONTH(T_bETFs[[#This Row],[Coupon date 8]]),
BC$1+1-1=MONTH(T_bETFs[[#This Row],[Coupon date 9]]),
BC$1+1-1=MONTH(T_bETFs[[#This Row],[Coupon date 10]]),
BC$1+1-1=MONTH(T_bETFs[[#This Row],[Coupon date 11]]),
BC$1+1-1=MONTH(T_bETFs[[#This Row],[Coupon date 12]]),),
IF('CF USD'!$A$8="on",T_bETFs[[#This Row],[Coupon in USD]],T_bETFs[[#This Row],[Coupon in CCY]])/T_bETFs[[#This Row],[Coupons per annum]],0),
"")</f>
        <v>7590.2160726250013</v>
      </c>
      <c r="BD17" s="580">
        <f>IFERROR(IF(
OR(
BD$1+1-1=MONTH(T_bETFs[[#This Row],[Coupon date 1]]),
BD$1+1-1=MONTH(T_bETFs[[#This Row],[Coupon date 2]]),
BD$1+1-1=MONTH(T_bETFs[[#This Row],[Coupon date 3]]),
BD$1+1-1=MONTH(T_bETFs[[#This Row],[Coupon date 4]]),
BD$1+1-1=MONTH(T_bETFs[[#This Row],[Coupon date 5]]),
BD$1+1-1=MONTH(T_bETFs[[#This Row],[Coupon date 6]]),
BD$1+1-1=MONTH(T_bETFs[[#This Row],[Coupon date 7]]),
BD$1+1-1=MONTH(T_bETFs[[#This Row],[Coupon date 8]]),
BD$1+1-1=MONTH(T_bETFs[[#This Row],[Coupon date 9]]),
BD$1+1-1=MONTH(T_bETFs[[#This Row],[Coupon date 10]]),
BD$1+1-1=MONTH(T_bETFs[[#This Row],[Coupon date 11]]),
BD$1+1-1=MONTH(T_bETFs[[#This Row],[Coupon date 12]]),),
IF('CF USD'!$A$8="on",T_bETFs[[#This Row],[Coupon in USD]],T_bETFs[[#This Row],[Coupon in CCY]])/T_bETFs[[#This Row],[Coupons per annum]],0),
"")</f>
        <v>7590.2160726250013</v>
      </c>
      <c r="BE17" s="580">
        <f>IFERROR(IF(
OR(
BE$1+1-1=MONTH(T_bETFs[[#This Row],[Coupon date 1]]),
BE$1+1-1=MONTH(T_bETFs[[#This Row],[Coupon date 2]]),
BE$1+1-1=MONTH(T_bETFs[[#This Row],[Coupon date 3]]),
BE$1+1-1=MONTH(T_bETFs[[#This Row],[Coupon date 4]]),
BE$1+1-1=MONTH(T_bETFs[[#This Row],[Coupon date 5]]),
BE$1+1-1=MONTH(T_bETFs[[#This Row],[Coupon date 6]]),
BE$1+1-1=MONTH(T_bETFs[[#This Row],[Coupon date 7]]),
BE$1+1-1=MONTH(T_bETFs[[#This Row],[Coupon date 8]]),
BE$1+1-1=MONTH(T_bETFs[[#This Row],[Coupon date 9]]),
BE$1+1-1=MONTH(T_bETFs[[#This Row],[Coupon date 10]]),
BE$1+1-1=MONTH(T_bETFs[[#This Row],[Coupon date 11]]),
BE$1+1-1=MONTH(T_bETFs[[#This Row],[Coupon date 12]]),),
IF('CF USD'!$A$8="on",T_bETFs[[#This Row],[Coupon in USD]],T_bETFs[[#This Row],[Coupon in CCY]])/T_bETFs[[#This Row],[Coupons per annum]],0),
"")</f>
        <v>7590.2160726250013</v>
      </c>
      <c r="BF17" s="580">
        <f>IFERROR(IF(
OR(
BF$1+1-1=MONTH(T_bETFs[[#This Row],[Coupon date 1]]),
BF$1+1-1=MONTH(T_bETFs[[#This Row],[Coupon date 2]]),
BF$1+1-1=MONTH(T_bETFs[[#This Row],[Coupon date 3]]),
BF$1+1-1=MONTH(T_bETFs[[#This Row],[Coupon date 4]]),
BF$1+1-1=MONTH(T_bETFs[[#This Row],[Coupon date 5]]),
BF$1+1-1=MONTH(T_bETFs[[#This Row],[Coupon date 6]]),
BF$1+1-1=MONTH(T_bETFs[[#This Row],[Coupon date 7]]),
BF$1+1-1=MONTH(T_bETFs[[#This Row],[Coupon date 8]]),
BF$1+1-1=MONTH(T_bETFs[[#This Row],[Coupon date 9]]),
BF$1+1-1=MONTH(T_bETFs[[#This Row],[Coupon date 10]]),
BF$1+1-1=MONTH(T_bETFs[[#This Row],[Coupon date 11]]),
BF$1+1-1=MONTH(T_bETFs[[#This Row],[Coupon date 12]]),),
IF('CF USD'!$A$8="on",T_bETFs[[#This Row],[Coupon in USD]],T_bETFs[[#This Row],[Coupon in CCY]])/T_bETFs[[#This Row],[Coupons per annum]],0),
"")</f>
        <v>7590.2160726250013</v>
      </c>
      <c r="BG17" s="580">
        <f>IFERROR(IF(
OR(
BG$1+1-1=MONTH(T_bETFs[[#This Row],[Coupon date 1]]),
BG$1+1-1=MONTH(T_bETFs[[#This Row],[Coupon date 2]]),
BG$1+1-1=MONTH(T_bETFs[[#This Row],[Coupon date 3]]),
BG$1+1-1=MONTH(T_bETFs[[#This Row],[Coupon date 4]]),
BG$1+1-1=MONTH(T_bETFs[[#This Row],[Coupon date 5]]),
BG$1+1-1=MONTH(T_bETFs[[#This Row],[Coupon date 6]]),
BG$1+1-1=MONTH(T_bETFs[[#This Row],[Coupon date 7]]),
BG$1+1-1=MONTH(T_bETFs[[#This Row],[Coupon date 8]]),
BG$1+1-1=MONTH(T_bETFs[[#This Row],[Coupon date 9]]),
BG$1+1-1=MONTH(T_bETFs[[#This Row],[Coupon date 10]]),
BG$1+1-1=MONTH(T_bETFs[[#This Row],[Coupon date 11]]),
BG$1+1-1=MONTH(T_bETFs[[#This Row],[Coupon date 12]]),),
IF('CF USD'!$A$8="on",T_bETFs[[#This Row],[Coupon in USD]],T_bETFs[[#This Row],[Coupon in CCY]])/T_bETFs[[#This Row],[Coupons per annum]],0),
"")</f>
        <v>7590.2160726250013</v>
      </c>
    </row>
    <row r="18" spans="1:59" x14ac:dyDescent="0.25">
      <c r="A18" s="569" t="s">
        <v>51</v>
      </c>
      <c r="B18" s="1" t="s">
        <v>187</v>
      </c>
      <c r="C18" s="1" t="s">
        <v>1182</v>
      </c>
      <c r="D18" s="1" t="s">
        <v>2479</v>
      </c>
      <c r="E18" s="1"/>
      <c r="F18" s="1"/>
      <c r="G18" s="1"/>
      <c r="H18" s="1"/>
      <c r="I18" s="1"/>
      <c r="J18" s="1"/>
      <c r="K18" s="1"/>
      <c r="L18" s="1"/>
      <c r="M18" s="1"/>
      <c r="N18" s="1" t="s">
        <v>1183</v>
      </c>
      <c r="O18" s="1" t="s">
        <v>18</v>
      </c>
      <c r="P18" s="296">
        <v>18359.226999999999</v>
      </c>
      <c r="Q18" s="571">
        <v>109.16</v>
      </c>
      <c r="R18" s="572">
        <f>T_bETFs[[#This Row],[Market Price]]*T_bETFs[[#This Row],[Quantity]]</f>
        <v>2004093.2193199999</v>
      </c>
      <c r="S18" s="572">
        <f>T_bETFs[[#This Row],[Market Value, CCY]]*T_bETFs[[#This Row],[Exchange rate]]</f>
        <v>2004093.2193199999</v>
      </c>
      <c r="T18" s="573">
        <f>T_bETFs[[#This Row],[Coupon in CCY]]/T_bETFs[[#This Row],[Market Value, CCY]]</f>
        <v>5.927079516306339E-2</v>
      </c>
      <c r="U18" s="277">
        <f>6.47*T_bETFs[[#This Row],[Quantity]]</f>
        <v>118784.19868999999</v>
      </c>
      <c r="V18" s="277">
        <f>IFERROR(T_bETFs[[#This Row],[Coupon in CCY]]*INDEX('Tech list'!A:C,MATCH(T_bETFs[[#This Row],[Risk CCY]],'Tech list'!A:A,0),3),"")</f>
        <v>118784.19868999999</v>
      </c>
      <c r="W18" s="101"/>
      <c r="X18" s="564">
        <f t="shared" si="0"/>
        <v>0</v>
      </c>
      <c r="Y18" s="77">
        <v>109.14837318586453</v>
      </c>
      <c r="Z18" s="574">
        <f>T_bETFs[[#This Row],[Cost, CCY]]*T_bETFs[[#This Row],[Quantity]]</f>
        <v>2003879.76</v>
      </c>
      <c r="AA18" s="561">
        <f>T_bETFs[[#This Row],[Coupon]]</f>
        <v>5.927079516306339E-2</v>
      </c>
      <c r="AB18" s="4">
        <f>VLOOKUP(T_bETFs[[#This Row],[Risk CCY]],'Tech list'!$A$2:$D$8,3,0)</f>
        <v>1</v>
      </c>
      <c r="AC18" s="575">
        <f t="shared" si="3"/>
        <v>2004093.2193199999</v>
      </c>
      <c r="AD18" s="1">
        <f>INDEX('Tech list'!A:C,MATCH(T_bETFs[[#This Row],[Risk CCY]],'Tech list'!A:A,0),3)</f>
        <v>1</v>
      </c>
      <c r="AE18" s="77">
        <f>T_bETFs[[#This Row],[Market Value, CCY]]</f>
        <v>2004093.2193199999</v>
      </c>
      <c r="AF18" s="576">
        <f>AC18*T_bETFs[[#This Row],[Exchange rate2]]</f>
        <v>2004093.2193199999</v>
      </c>
      <c r="AG18" s="577">
        <f>T_bETFs[[#This Row],[Market value in CCY]]-T_bETFs[[#This Row],[Cost price, CCY]]</f>
        <v>213.45931999990717</v>
      </c>
      <c r="AH18" s="585">
        <f>T_bETFs[[#This Row],[P&amp;L]]/T_bETFs[[#This Row],[Cost price, CCY]]</f>
        <v>1.0652301812754831E-4</v>
      </c>
      <c r="AI18" s="570">
        <v>1</v>
      </c>
      <c r="AJ18" s="579">
        <v>46008</v>
      </c>
      <c r="AK18" s="579">
        <f>IFERROR(EDATE(T_bETFs[[#This Row],[Coupon date 1]],12/$AI18),"")</f>
        <v>46373</v>
      </c>
      <c r="AL18" s="579">
        <f>IFERROR(EDATE(T_bETFs[[#This Row],[Coupon date 2]],12/$AI18),"")</f>
        <v>46738</v>
      </c>
      <c r="AM18" s="579">
        <f>IFERROR(EDATE(T_bETFs[[#This Row],[Coupon date 3]],12/$AI18),"")</f>
        <v>47104</v>
      </c>
      <c r="AN18" s="579">
        <f>IFERROR(EDATE(T_bETFs[[#This Row],[Coupon date 4]],12/$AI18),"")</f>
        <v>47469</v>
      </c>
      <c r="AO18" s="579">
        <f>IFERROR(EDATE(T_bETFs[[#This Row],[Coupon date 5]],12/$AI18),"")</f>
        <v>47834</v>
      </c>
      <c r="AP18" s="579">
        <f>IFERROR(EDATE(T_bETFs[[#This Row],[Coupon date 6]],12/$AI18),"")</f>
        <v>48199</v>
      </c>
      <c r="AQ18" s="579">
        <f>IFERROR(EDATE(T_bETFs[[#This Row],[Coupon date 7]],12/$AI18),"")</f>
        <v>48565</v>
      </c>
      <c r="AR18" s="579">
        <f>IFERROR(EDATE(T_bETFs[[#This Row],[Coupon date 8]],12/$AI18),"")</f>
        <v>48930</v>
      </c>
      <c r="AS18" s="579">
        <f>IFERROR(EDATE(T_bETFs[[#This Row],[Coupon date 9]],12/$AI18),"")</f>
        <v>49295</v>
      </c>
      <c r="AT18" s="579">
        <f>IFERROR(EDATE(T_bETFs[[#This Row],[Coupon date 10]],12/$AI18),"")</f>
        <v>49660</v>
      </c>
      <c r="AU18" s="579">
        <f>IFERROR(EDATE(T_bETFs[[#This Row],[Coupon date 11]],12/$AI18),"")</f>
        <v>50026</v>
      </c>
      <c r="AV18" s="580">
        <f>IFERROR(IF(
OR(
AV$1+1-1=MONTH(T_bETFs[[#This Row],[Coupon date 1]]),
AV$1+1-1=MONTH(T_bETFs[[#This Row],[Coupon date 2]]),
AV$1+1-1=MONTH(T_bETFs[[#This Row],[Coupon date 3]]),
AV$1+1-1=MONTH(T_bETFs[[#This Row],[Coupon date 4]]),
AV$1+1-1=MONTH(T_bETFs[[#This Row],[Coupon date 5]]),
AV$1+1-1=MONTH(T_bETFs[[#This Row],[Coupon date 6]]),
AV$1+1-1=MONTH(T_bETFs[[#This Row],[Coupon date 7]]),
AV$1+1-1=MONTH(T_bETFs[[#This Row],[Coupon date 8]]),
AV$1+1-1=MONTH(T_bETFs[[#This Row],[Coupon date 9]]),
AV$1+1-1=MONTH(T_bETFs[[#This Row],[Coupon date 10]]),
AV$1+1-1=MONTH(T_bETFs[[#This Row],[Coupon date 11]]),
AV$1+1-1=MONTH(T_bETFs[[#This Row],[Coupon date 12]]),),
IF('CF USD'!$A$8="on",T_bETFs[[#This Row],[Coupon in USD]],T_bETFs[[#This Row],[Coupon in CCY]])/T_bETFs[[#This Row],[Coupons per annum]],0),
"")</f>
        <v>0</v>
      </c>
      <c r="AW18" s="580">
        <f>IFERROR(IF(
OR(
AW$1+1-1=MONTH(T_bETFs[[#This Row],[Coupon date 1]]),
AW$1+1-1=MONTH(T_bETFs[[#This Row],[Coupon date 2]]),
AW$1+1-1=MONTH(T_bETFs[[#This Row],[Coupon date 3]]),
AW$1+1-1=MONTH(T_bETFs[[#This Row],[Coupon date 4]]),
AW$1+1-1=MONTH(T_bETFs[[#This Row],[Coupon date 5]]),
AW$1+1-1=MONTH(T_bETFs[[#This Row],[Coupon date 6]]),
AW$1+1-1=MONTH(T_bETFs[[#This Row],[Coupon date 7]]),
AW$1+1-1=MONTH(T_bETFs[[#This Row],[Coupon date 8]]),
AW$1+1-1=MONTH(T_bETFs[[#This Row],[Coupon date 9]]),
AW$1+1-1=MONTH(T_bETFs[[#This Row],[Coupon date 10]]),
AW$1+1-1=MONTH(T_bETFs[[#This Row],[Coupon date 11]]),
AW$1+1-1=MONTH(T_bETFs[[#This Row],[Coupon date 12]]),),
IF('CF USD'!$A$8="on",T_bETFs[[#This Row],[Coupon in USD]],T_bETFs[[#This Row],[Coupon in CCY]])/T_bETFs[[#This Row],[Coupons per annum]],0),
"")</f>
        <v>0</v>
      </c>
      <c r="AX18" s="580">
        <f>IFERROR(IF(
OR(
AX$1+1-1=MONTH(T_bETFs[[#This Row],[Coupon date 1]]),
AX$1+1-1=MONTH(T_bETFs[[#This Row],[Coupon date 2]]),
AX$1+1-1=MONTH(T_bETFs[[#This Row],[Coupon date 3]]),
AX$1+1-1=MONTH(T_bETFs[[#This Row],[Coupon date 4]]),
AX$1+1-1=MONTH(T_bETFs[[#This Row],[Coupon date 5]]),
AX$1+1-1=MONTH(T_bETFs[[#This Row],[Coupon date 6]]),
AX$1+1-1=MONTH(T_bETFs[[#This Row],[Coupon date 7]]),
AX$1+1-1=MONTH(T_bETFs[[#This Row],[Coupon date 8]]),
AX$1+1-1=MONTH(T_bETFs[[#This Row],[Coupon date 9]]),
AX$1+1-1=MONTH(T_bETFs[[#This Row],[Coupon date 10]]),
AX$1+1-1=MONTH(T_bETFs[[#This Row],[Coupon date 11]]),
AX$1+1-1=MONTH(T_bETFs[[#This Row],[Coupon date 12]]),),
IF('CF USD'!$A$8="on",T_bETFs[[#This Row],[Coupon in USD]],T_bETFs[[#This Row],[Coupon in CCY]])/T_bETFs[[#This Row],[Coupons per annum]],0),
"")</f>
        <v>0</v>
      </c>
      <c r="AY18" s="580">
        <f>IFERROR(IF(
OR(
AY$1+1-1=MONTH(T_bETFs[[#This Row],[Coupon date 1]]),
AY$1+1-1=MONTH(T_bETFs[[#This Row],[Coupon date 2]]),
AY$1+1-1=MONTH(T_bETFs[[#This Row],[Coupon date 3]]),
AY$1+1-1=MONTH(T_bETFs[[#This Row],[Coupon date 4]]),
AY$1+1-1=MONTH(T_bETFs[[#This Row],[Coupon date 5]]),
AY$1+1-1=MONTH(T_bETFs[[#This Row],[Coupon date 6]]),
AY$1+1-1=MONTH(T_bETFs[[#This Row],[Coupon date 7]]),
AY$1+1-1=MONTH(T_bETFs[[#This Row],[Coupon date 8]]),
AY$1+1-1=MONTH(T_bETFs[[#This Row],[Coupon date 9]]),
AY$1+1-1=MONTH(T_bETFs[[#This Row],[Coupon date 10]]),
AY$1+1-1=MONTH(T_bETFs[[#This Row],[Coupon date 11]]),
AY$1+1-1=MONTH(T_bETFs[[#This Row],[Coupon date 12]]),),
IF('CF USD'!$A$8="on",T_bETFs[[#This Row],[Coupon in USD]],T_bETFs[[#This Row],[Coupon in CCY]])/T_bETFs[[#This Row],[Coupons per annum]],0),
"")</f>
        <v>0</v>
      </c>
      <c r="AZ18" s="580">
        <f>IFERROR(IF(
OR(
AZ$1+1-1=MONTH(T_bETFs[[#This Row],[Coupon date 1]]),
AZ$1+1-1=MONTH(T_bETFs[[#This Row],[Coupon date 2]]),
AZ$1+1-1=MONTH(T_bETFs[[#This Row],[Coupon date 3]]),
AZ$1+1-1=MONTH(T_bETFs[[#This Row],[Coupon date 4]]),
AZ$1+1-1=MONTH(T_bETFs[[#This Row],[Coupon date 5]]),
AZ$1+1-1=MONTH(T_bETFs[[#This Row],[Coupon date 6]]),
AZ$1+1-1=MONTH(T_bETFs[[#This Row],[Coupon date 7]]),
AZ$1+1-1=MONTH(T_bETFs[[#This Row],[Coupon date 8]]),
AZ$1+1-1=MONTH(T_bETFs[[#This Row],[Coupon date 9]]),
AZ$1+1-1=MONTH(T_bETFs[[#This Row],[Coupon date 10]]),
AZ$1+1-1=MONTH(T_bETFs[[#This Row],[Coupon date 11]]),
AZ$1+1-1=MONTH(T_bETFs[[#This Row],[Coupon date 12]]),),
IF('CF USD'!$A$8="on",T_bETFs[[#This Row],[Coupon in USD]],T_bETFs[[#This Row],[Coupon in CCY]])/T_bETFs[[#This Row],[Coupons per annum]],0),
"")</f>
        <v>0</v>
      </c>
      <c r="BA18" s="580">
        <f>IFERROR(IF(
OR(
BA$1+1-1=MONTH(T_bETFs[[#This Row],[Coupon date 1]]),
BA$1+1-1=MONTH(T_bETFs[[#This Row],[Coupon date 2]]),
BA$1+1-1=MONTH(T_bETFs[[#This Row],[Coupon date 3]]),
BA$1+1-1=MONTH(T_bETFs[[#This Row],[Coupon date 4]]),
BA$1+1-1=MONTH(T_bETFs[[#This Row],[Coupon date 5]]),
BA$1+1-1=MONTH(T_bETFs[[#This Row],[Coupon date 6]]),
BA$1+1-1=MONTH(T_bETFs[[#This Row],[Coupon date 7]]),
BA$1+1-1=MONTH(T_bETFs[[#This Row],[Coupon date 8]]),
BA$1+1-1=MONTH(T_bETFs[[#This Row],[Coupon date 9]]),
BA$1+1-1=MONTH(T_bETFs[[#This Row],[Coupon date 10]]),
BA$1+1-1=MONTH(T_bETFs[[#This Row],[Coupon date 11]]),
BA$1+1-1=MONTH(T_bETFs[[#This Row],[Coupon date 12]]),),
IF('CF USD'!$A$8="on",T_bETFs[[#This Row],[Coupon in USD]],T_bETFs[[#This Row],[Coupon in CCY]])/T_bETFs[[#This Row],[Coupons per annum]],0),
"")</f>
        <v>0</v>
      </c>
      <c r="BB18" s="580">
        <f>IFERROR(IF(
OR(
BB$1+1-1=MONTH(T_bETFs[[#This Row],[Coupon date 1]]),
BB$1+1-1=MONTH(T_bETFs[[#This Row],[Coupon date 2]]),
BB$1+1-1=MONTH(T_bETFs[[#This Row],[Coupon date 3]]),
BB$1+1-1=MONTH(T_bETFs[[#This Row],[Coupon date 4]]),
BB$1+1-1=MONTH(T_bETFs[[#This Row],[Coupon date 5]]),
BB$1+1-1=MONTH(T_bETFs[[#This Row],[Coupon date 6]]),
BB$1+1-1=MONTH(T_bETFs[[#This Row],[Coupon date 7]]),
BB$1+1-1=MONTH(T_bETFs[[#This Row],[Coupon date 8]]),
BB$1+1-1=MONTH(T_bETFs[[#This Row],[Coupon date 9]]),
BB$1+1-1=MONTH(T_bETFs[[#This Row],[Coupon date 10]]),
BB$1+1-1=MONTH(T_bETFs[[#This Row],[Coupon date 11]]),
BB$1+1-1=MONTH(T_bETFs[[#This Row],[Coupon date 12]]),),
IF('CF USD'!$A$8="on",T_bETFs[[#This Row],[Coupon in USD]],T_bETFs[[#This Row],[Coupon in CCY]])/T_bETFs[[#This Row],[Coupons per annum]],0),
"")</f>
        <v>0</v>
      </c>
      <c r="BC18" s="580">
        <f>IFERROR(IF(
OR(
BC$1+1-1=MONTH(T_bETFs[[#This Row],[Coupon date 1]]),
BC$1+1-1=MONTH(T_bETFs[[#This Row],[Coupon date 2]]),
BC$1+1-1=MONTH(T_bETFs[[#This Row],[Coupon date 3]]),
BC$1+1-1=MONTH(T_bETFs[[#This Row],[Coupon date 4]]),
BC$1+1-1=MONTH(T_bETFs[[#This Row],[Coupon date 5]]),
BC$1+1-1=MONTH(T_bETFs[[#This Row],[Coupon date 6]]),
BC$1+1-1=MONTH(T_bETFs[[#This Row],[Coupon date 7]]),
BC$1+1-1=MONTH(T_bETFs[[#This Row],[Coupon date 8]]),
BC$1+1-1=MONTH(T_bETFs[[#This Row],[Coupon date 9]]),
BC$1+1-1=MONTH(T_bETFs[[#This Row],[Coupon date 10]]),
BC$1+1-1=MONTH(T_bETFs[[#This Row],[Coupon date 11]]),
BC$1+1-1=MONTH(T_bETFs[[#This Row],[Coupon date 12]]),),
IF('CF USD'!$A$8="on",T_bETFs[[#This Row],[Coupon in USD]],T_bETFs[[#This Row],[Coupon in CCY]])/T_bETFs[[#This Row],[Coupons per annum]],0),
"")</f>
        <v>0</v>
      </c>
      <c r="BD18" s="580">
        <f>IFERROR(IF(
OR(
BD$1+1-1=MONTH(T_bETFs[[#This Row],[Coupon date 1]]),
BD$1+1-1=MONTH(T_bETFs[[#This Row],[Coupon date 2]]),
BD$1+1-1=MONTH(T_bETFs[[#This Row],[Coupon date 3]]),
BD$1+1-1=MONTH(T_bETFs[[#This Row],[Coupon date 4]]),
BD$1+1-1=MONTH(T_bETFs[[#This Row],[Coupon date 5]]),
BD$1+1-1=MONTH(T_bETFs[[#This Row],[Coupon date 6]]),
BD$1+1-1=MONTH(T_bETFs[[#This Row],[Coupon date 7]]),
BD$1+1-1=MONTH(T_bETFs[[#This Row],[Coupon date 8]]),
BD$1+1-1=MONTH(T_bETFs[[#This Row],[Coupon date 9]]),
BD$1+1-1=MONTH(T_bETFs[[#This Row],[Coupon date 10]]),
BD$1+1-1=MONTH(T_bETFs[[#This Row],[Coupon date 11]]),
BD$1+1-1=MONTH(T_bETFs[[#This Row],[Coupon date 12]]),),
IF('CF USD'!$A$8="on",T_bETFs[[#This Row],[Coupon in USD]],T_bETFs[[#This Row],[Coupon in CCY]])/T_bETFs[[#This Row],[Coupons per annum]],0),
"")</f>
        <v>0</v>
      </c>
      <c r="BE18" s="580">
        <f>IFERROR(IF(
OR(
BE$1+1-1=MONTH(T_bETFs[[#This Row],[Coupon date 1]]),
BE$1+1-1=MONTH(T_bETFs[[#This Row],[Coupon date 2]]),
BE$1+1-1=MONTH(T_bETFs[[#This Row],[Coupon date 3]]),
BE$1+1-1=MONTH(T_bETFs[[#This Row],[Coupon date 4]]),
BE$1+1-1=MONTH(T_bETFs[[#This Row],[Coupon date 5]]),
BE$1+1-1=MONTH(T_bETFs[[#This Row],[Coupon date 6]]),
BE$1+1-1=MONTH(T_bETFs[[#This Row],[Coupon date 7]]),
BE$1+1-1=MONTH(T_bETFs[[#This Row],[Coupon date 8]]),
BE$1+1-1=MONTH(T_bETFs[[#This Row],[Coupon date 9]]),
BE$1+1-1=MONTH(T_bETFs[[#This Row],[Coupon date 10]]),
BE$1+1-1=MONTH(T_bETFs[[#This Row],[Coupon date 11]]),
BE$1+1-1=MONTH(T_bETFs[[#This Row],[Coupon date 12]]),),
IF('CF USD'!$A$8="on",T_bETFs[[#This Row],[Coupon in USD]],T_bETFs[[#This Row],[Coupon in CCY]])/T_bETFs[[#This Row],[Coupons per annum]],0),
"")</f>
        <v>0</v>
      </c>
      <c r="BF18" s="580">
        <f>IFERROR(IF(
OR(
BF$1+1-1=MONTH(T_bETFs[[#This Row],[Coupon date 1]]),
BF$1+1-1=MONTH(T_bETFs[[#This Row],[Coupon date 2]]),
BF$1+1-1=MONTH(T_bETFs[[#This Row],[Coupon date 3]]),
BF$1+1-1=MONTH(T_bETFs[[#This Row],[Coupon date 4]]),
BF$1+1-1=MONTH(T_bETFs[[#This Row],[Coupon date 5]]),
BF$1+1-1=MONTH(T_bETFs[[#This Row],[Coupon date 6]]),
BF$1+1-1=MONTH(T_bETFs[[#This Row],[Coupon date 7]]),
BF$1+1-1=MONTH(T_bETFs[[#This Row],[Coupon date 8]]),
BF$1+1-1=MONTH(T_bETFs[[#This Row],[Coupon date 9]]),
BF$1+1-1=MONTH(T_bETFs[[#This Row],[Coupon date 10]]),
BF$1+1-1=MONTH(T_bETFs[[#This Row],[Coupon date 11]]),
BF$1+1-1=MONTH(T_bETFs[[#This Row],[Coupon date 12]]),),
IF('CF USD'!$A$8="on",T_bETFs[[#This Row],[Coupon in USD]],T_bETFs[[#This Row],[Coupon in CCY]])/T_bETFs[[#This Row],[Coupons per annum]],0),
"")</f>
        <v>0</v>
      </c>
      <c r="BG18" s="580">
        <f>IFERROR(IF(
OR(
BG$1+1-1=MONTH(T_bETFs[[#This Row],[Coupon date 1]]),
BG$1+1-1=MONTH(T_bETFs[[#This Row],[Coupon date 2]]),
BG$1+1-1=MONTH(T_bETFs[[#This Row],[Coupon date 3]]),
BG$1+1-1=MONTH(T_bETFs[[#This Row],[Coupon date 4]]),
BG$1+1-1=MONTH(T_bETFs[[#This Row],[Coupon date 5]]),
BG$1+1-1=MONTH(T_bETFs[[#This Row],[Coupon date 6]]),
BG$1+1-1=MONTH(T_bETFs[[#This Row],[Coupon date 7]]),
BG$1+1-1=MONTH(T_bETFs[[#This Row],[Coupon date 8]]),
BG$1+1-1=MONTH(T_bETFs[[#This Row],[Coupon date 9]]),
BG$1+1-1=MONTH(T_bETFs[[#This Row],[Coupon date 10]]),
BG$1+1-1=MONTH(T_bETFs[[#This Row],[Coupon date 11]]),
BG$1+1-1=MONTH(T_bETFs[[#This Row],[Coupon date 12]]),),
IF('CF USD'!$A$8="on",T_bETFs[[#This Row],[Coupon in USD]],T_bETFs[[#This Row],[Coupon in CCY]])/T_bETFs[[#This Row],[Coupons per annum]],0),
"")</f>
        <v>118784.19868999999</v>
      </c>
    </row>
    <row r="19" spans="1:59" x14ac:dyDescent="0.25">
      <c r="A19" s="569" t="s">
        <v>51</v>
      </c>
      <c r="B19" s="1" t="s">
        <v>187</v>
      </c>
      <c r="C19" s="569" t="s">
        <v>2401</v>
      </c>
      <c r="D19" s="1" t="s">
        <v>2479</v>
      </c>
      <c r="E19" s="1"/>
      <c r="F19" s="1"/>
      <c r="G19" s="1"/>
      <c r="H19" s="1"/>
      <c r="I19" s="1"/>
      <c r="J19" s="1"/>
      <c r="K19" s="1"/>
      <c r="L19" s="1"/>
      <c r="M19" s="1"/>
      <c r="N19" s="754" t="s">
        <v>2402</v>
      </c>
      <c r="O19" s="569" t="s">
        <v>18</v>
      </c>
      <c r="P19" s="296">
        <v>10707.402</v>
      </c>
      <c r="Q19" s="571">
        <v>139.95769899999999</v>
      </c>
      <c r="R19" s="572">
        <f>T_bETFs[[#This Row],[Market Price]]*T_bETFs[[#This Row],[Quantity]]</f>
        <v>1498583.3461879978</v>
      </c>
      <c r="S19" s="572">
        <f>T_bETFs[[#This Row],[Market Value, CCY]]*T_bETFs[[#This Row],[Exchange rate]]</f>
        <v>1498583.3461879978</v>
      </c>
      <c r="T19" s="573">
        <f>T_bETFs[[#This Row],[Coupon in CCY]]/T_bETFs[[#This Row],[Market Value, CCY]]</f>
        <v>0</v>
      </c>
      <c r="U19" s="277">
        <v>0</v>
      </c>
      <c r="V19" s="277">
        <f>IFERROR(T_bETFs[[#This Row],[Coupon in CCY]]*INDEX('Tech list'!A:C,MATCH(T_bETFs[[#This Row],[Risk CCY]],'Tech list'!A:A,0),3),"")</f>
        <v>0</v>
      </c>
      <c r="W19" s="101">
        <v>9.1899999999999996E-2</v>
      </c>
      <c r="X19" s="752">
        <f t="shared" ref="X19:X20" si="4">W19*R19</f>
        <v>137719.80951467701</v>
      </c>
      <c r="Y19" s="77">
        <v>140.30013536430218</v>
      </c>
      <c r="Z19" s="574">
        <f>T_bETFs[[#This Row],[Cost, CCY]]*T_bETFs[[#This Row],[Quantity]]</f>
        <v>1502249.95</v>
      </c>
      <c r="AA19" s="561">
        <f>T_bETFs[[#This Row],[Coupon]]</f>
        <v>0</v>
      </c>
      <c r="AB19" s="4">
        <f>VLOOKUP(T_bETFs[[#This Row],[Risk CCY]],'Tech list'!$A$2:$D$8,3,0)</f>
        <v>1</v>
      </c>
      <c r="AC19" s="575">
        <f t="shared" ref="AC19:AC20" si="5">R19</f>
        <v>1498583.3461879978</v>
      </c>
      <c r="AD19" s="1">
        <f>INDEX('Tech list'!A:C,MATCH(T_bETFs[[#This Row],[Risk CCY]],'Tech list'!A:A,0),3)</f>
        <v>1</v>
      </c>
      <c r="AE19" s="1">
        <f>T_bETFs[[#This Row],[Market Value, CCY]]</f>
        <v>1498583.3461879978</v>
      </c>
      <c r="AF19" s="753">
        <f>AC19*T_bETFs[[#This Row],[Exchange rate2]]</f>
        <v>1498583.3461879978</v>
      </c>
      <c r="AG19" s="577">
        <f>T_bETFs[[#This Row],[Market value in CCY]]-T_bETFs[[#This Row],[Cost price, CCY]]</f>
        <v>-3666.6038120021112</v>
      </c>
      <c r="AH19" s="585">
        <f>T_bETFs[[#This Row],[P&amp;L]]/T_bETFs[[#This Row],[Cost price, CCY]]</f>
        <v>-2.4407415104271504E-3</v>
      </c>
      <c r="AI19" s="569">
        <v>12</v>
      </c>
      <c r="AJ19" s="579">
        <v>46023</v>
      </c>
      <c r="AK19" s="579">
        <f>IFERROR(EDATE(T_bETFs[[#This Row],[Coupon date 1]],12/$AI19),"")</f>
        <v>46054</v>
      </c>
      <c r="AL19" s="579">
        <f>IFERROR(EDATE(T_bETFs[[#This Row],[Coupon date 2]],12/$AI19),"")</f>
        <v>46082</v>
      </c>
      <c r="AM19" s="579">
        <f>IFERROR(EDATE(T_bETFs[[#This Row],[Coupon date 3]],12/$AI19),"")</f>
        <v>46113</v>
      </c>
      <c r="AN19" s="579">
        <f>IFERROR(EDATE(T_bETFs[[#This Row],[Coupon date 4]],12/$AI19),"")</f>
        <v>46143</v>
      </c>
      <c r="AO19" s="579">
        <f>IFERROR(EDATE(T_bETFs[[#This Row],[Coupon date 5]],12/$AI19),"")</f>
        <v>46174</v>
      </c>
      <c r="AP19" s="579">
        <f>IFERROR(EDATE(T_bETFs[[#This Row],[Coupon date 6]],12/$AI19),"")</f>
        <v>46204</v>
      </c>
      <c r="AQ19" s="579">
        <f>IFERROR(EDATE(T_bETFs[[#This Row],[Coupon date 7]],12/$AI19),"")</f>
        <v>46235</v>
      </c>
      <c r="AR19" s="579">
        <f>IFERROR(EDATE(T_bETFs[[#This Row],[Coupon date 8]],12/$AI19),"")</f>
        <v>46266</v>
      </c>
      <c r="AS19" s="579">
        <f>IFERROR(EDATE(T_bETFs[[#This Row],[Coupon date 9]],12/$AI19),"")</f>
        <v>46296</v>
      </c>
      <c r="AT19" s="579">
        <f>IFERROR(EDATE(T_bETFs[[#This Row],[Coupon date 10]],12/$AI19),"")</f>
        <v>46327</v>
      </c>
      <c r="AU19" s="579">
        <f>IFERROR(EDATE(T_bETFs[[#This Row],[Coupon date 11]],12/$AI19),"")</f>
        <v>46357</v>
      </c>
      <c r="AV19" s="576">
        <f>IFERROR(IF(
OR(
AV$1+1-1=MONTH(T_bETFs[[#This Row],[Coupon date 1]]),
AV$1+1-1=MONTH(T_bETFs[[#This Row],[Coupon date 2]]),
AV$1+1-1=MONTH(T_bETFs[[#This Row],[Coupon date 3]]),
AV$1+1-1=MONTH(T_bETFs[[#This Row],[Coupon date 4]]),
AV$1+1-1=MONTH(T_bETFs[[#This Row],[Coupon date 5]]),
AV$1+1-1=MONTH(T_bETFs[[#This Row],[Coupon date 6]]),
AV$1+1-1=MONTH(T_bETFs[[#This Row],[Coupon date 7]]),
AV$1+1-1=MONTH(T_bETFs[[#This Row],[Coupon date 8]]),
AV$1+1-1=MONTH(T_bETFs[[#This Row],[Coupon date 9]]),
AV$1+1-1=MONTH(T_bETFs[[#This Row],[Coupon date 10]]),
AV$1+1-1=MONTH(T_bETFs[[#This Row],[Coupon date 11]]),
AV$1+1-1=MONTH(T_bETFs[[#This Row],[Coupon date 12]]),),
IF('CF USD'!$A$8="on",T_bETFs[[#This Row],[Coupon in USD]],T_bETFs[[#This Row],[Coupon in CCY]])/T_bETFs[[#This Row],[Coupons per annum]],0),
"")</f>
        <v>0</v>
      </c>
      <c r="AW19" s="576">
        <f>IFERROR(IF(
OR(
AW$1+1-1=MONTH(T_bETFs[[#This Row],[Coupon date 1]]),
AW$1+1-1=MONTH(T_bETFs[[#This Row],[Coupon date 2]]),
AW$1+1-1=MONTH(T_bETFs[[#This Row],[Coupon date 3]]),
AW$1+1-1=MONTH(T_bETFs[[#This Row],[Coupon date 4]]),
AW$1+1-1=MONTH(T_bETFs[[#This Row],[Coupon date 5]]),
AW$1+1-1=MONTH(T_bETFs[[#This Row],[Coupon date 6]]),
AW$1+1-1=MONTH(T_bETFs[[#This Row],[Coupon date 7]]),
AW$1+1-1=MONTH(T_bETFs[[#This Row],[Coupon date 8]]),
AW$1+1-1=MONTH(T_bETFs[[#This Row],[Coupon date 9]]),
AW$1+1-1=MONTH(T_bETFs[[#This Row],[Coupon date 10]]),
AW$1+1-1=MONTH(T_bETFs[[#This Row],[Coupon date 11]]),
AW$1+1-1=MONTH(T_bETFs[[#This Row],[Coupon date 12]]),),
IF('CF USD'!$A$8="on",T_bETFs[[#This Row],[Coupon in USD]],T_bETFs[[#This Row],[Coupon in CCY]])/T_bETFs[[#This Row],[Coupons per annum]],0),
"")</f>
        <v>0</v>
      </c>
      <c r="AX19" s="576">
        <f>IFERROR(IF(
OR(
AX$1+1-1=MONTH(T_bETFs[[#This Row],[Coupon date 1]]),
AX$1+1-1=MONTH(T_bETFs[[#This Row],[Coupon date 2]]),
AX$1+1-1=MONTH(T_bETFs[[#This Row],[Coupon date 3]]),
AX$1+1-1=MONTH(T_bETFs[[#This Row],[Coupon date 4]]),
AX$1+1-1=MONTH(T_bETFs[[#This Row],[Coupon date 5]]),
AX$1+1-1=MONTH(T_bETFs[[#This Row],[Coupon date 6]]),
AX$1+1-1=MONTH(T_bETFs[[#This Row],[Coupon date 7]]),
AX$1+1-1=MONTH(T_bETFs[[#This Row],[Coupon date 8]]),
AX$1+1-1=MONTH(T_bETFs[[#This Row],[Coupon date 9]]),
AX$1+1-1=MONTH(T_bETFs[[#This Row],[Coupon date 10]]),
AX$1+1-1=MONTH(T_bETFs[[#This Row],[Coupon date 11]]),
AX$1+1-1=MONTH(T_bETFs[[#This Row],[Coupon date 12]]),),
IF('CF USD'!$A$8="on",T_bETFs[[#This Row],[Coupon in USD]],T_bETFs[[#This Row],[Coupon in CCY]])/T_bETFs[[#This Row],[Coupons per annum]],0),
"")</f>
        <v>0</v>
      </c>
      <c r="AY19" s="576">
        <f>IFERROR(IF(
OR(
AY$1+1-1=MONTH(T_bETFs[[#This Row],[Coupon date 1]]),
AY$1+1-1=MONTH(T_bETFs[[#This Row],[Coupon date 2]]),
AY$1+1-1=MONTH(T_bETFs[[#This Row],[Coupon date 3]]),
AY$1+1-1=MONTH(T_bETFs[[#This Row],[Coupon date 4]]),
AY$1+1-1=MONTH(T_bETFs[[#This Row],[Coupon date 5]]),
AY$1+1-1=MONTH(T_bETFs[[#This Row],[Coupon date 6]]),
AY$1+1-1=MONTH(T_bETFs[[#This Row],[Coupon date 7]]),
AY$1+1-1=MONTH(T_bETFs[[#This Row],[Coupon date 8]]),
AY$1+1-1=MONTH(T_bETFs[[#This Row],[Coupon date 9]]),
AY$1+1-1=MONTH(T_bETFs[[#This Row],[Coupon date 10]]),
AY$1+1-1=MONTH(T_bETFs[[#This Row],[Coupon date 11]]),
AY$1+1-1=MONTH(T_bETFs[[#This Row],[Coupon date 12]]),),
IF('CF USD'!$A$8="on",T_bETFs[[#This Row],[Coupon in USD]],T_bETFs[[#This Row],[Coupon in CCY]])/T_bETFs[[#This Row],[Coupons per annum]],0),
"")</f>
        <v>0</v>
      </c>
      <c r="AZ19" s="576">
        <f>IFERROR(IF(
OR(
AZ$1+1-1=MONTH(T_bETFs[[#This Row],[Coupon date 1]]),
AZ$1+1-1=MONTH(T_bETFs[[#This Row],[Coupon date 2]]),
AZ$1+1-1=MONTH(T_bETFs[[#This Row],[Coupon date 3]]),
AZ$1+1-1=MONTH(T_bETFs[[#This Row],[Coupon date 4]]),
AZ$1+1-1=MONTH(T_bETFs[[#This Row],[Coupon date 5]]),
AZ$1+1-1=MONTH(T_bETFs[[#This Row],[Coupon date 6]]),
AZ$1+1-1=MONTH(T_bETFs[[#This Row],[Coupon date 7]]),
AZ$1+1-1=MONTH(T_bETFs[[#This Row],[Coupon date 8]]),
AZ$1+1-1=MONTH(T_bETFs[[#This Row],[Coupon date 9]]),
AZ$1+1-1=MONTH(T_bETFs[[#This Row],[Coupon date 10]]),
AZ$1+1-1=MONTH(T_bETFs[[#This Row],[Coupon date 11]]),
AZ$1+1-1=MONTH(T_bETFs[[#This Row],[Coupon date 12]]),),
IF('CF USD'!$A$8="on",T_bETFs[[#This Row],[Coupon in USD]],T_bETFs[[#This Row],[Coupon in CCY]])/T_bETFs[[#This Row],[Coupons per annum]],0),
"")</f>
        <v>0</v>
      </c>
      <c r="BA19" s="576">
        <f>IFERROR(IF(
OR(
BA$1+1-1=MONTH(T_bETFs[[#This Row],[Coupon date 1]]),
BA$1+1-1=MONTH(T_bETFs[[#This Row],[Coupon date 2]]),
BA$1+1-1=MONTH(T_bETFs[[#This Row],[Coupon date 3]]),
BA$1+1-1=MONTH(T_bETFs[[#This Row],[Coupon date 4]]),
BA$1+1-1=MONTH(T_bETFs[[#This Row],[Coupon date 5]]),
BA$1+1-1=MONTH(T_bETFs[[#This Row],[Coupon date 6]]),
BA$1+1-1=MONTH(T_bETFs[[#This Row],[Coupon date 7]]),
BA$1+1-1=MONTH(T_bETFs[[#This Row],[Coupon date 8]]),
BA$1+1-1=MONTH(T_bETFs[[#This Row],[Coupon date 9]]),
BA$1+1-1=MONTH(T_bETFs[[#This Row],[Coupon date 10]]),
BA$1+1-1=MONTH(T_bETFs[[#This Row],[Coupon date 11]]),
BA$1+1-1=MONTH(T_bETFs[[#This Row],[Coupon date 12]]),),
IF('CF USD'!$A$8="on",T_bETFs[[#This Row],[Coupon in USD]],T_bETFs[[#This Row],[Coupon in CCY]])/T_bETFs[[#This Row],[Coupons per annum]],0),
"")</f>
        <v>0</v>
      </c>
      <c r="BB19" s="576">
        <f>IFERROR(IF(
OR(
BB$1+1-1=MONTH(T_bETFs[[#This Row],[Coupon date 1]]),
BB$1+1-1=MONTH(T_bETFs[[#This Row],[Coupon date 2]]),
BB$1+1-1=MONTH(T_bETFs[[#This Row],[Coupon date 3]]),
BB$1+1-1=MONTH(T_bETFs[[#This Row],[Coupon date 4]]),
BB$1+1-1=MONTH(T_bETFs[[#This Row],[Coupon date 5]]),
BB$1+1-1=MONTH(T_bETFs[[#This Row],[Coupon date 6]]),
BB$1+1-1=MONTH(T_bETFs[[#This Row],[Coupon date 7]]),
BB$1+1-1=MONTH(T_bETFs[[#This Row],[Coupon date 8]]),
BB$1+1-1=MONTH(T_bETFs[[#This Row],[Coupon date 9]]),
BB$1+1-1=MONTH(T_bETFs[[#This Row],[Coupon date 10]]),
BB$1+1-1=MONTH(T_bETFs[[#This Row],[Coupon date 11]]),
BB$1+1-1=MONTH(T_bETFs[[#This Row],[Coupon date 12]]),),
IF('CF USD'!$A$8="on",T_bETFs[[#This Row],[Coupon in USD]],T_bETFs[[#This Row],[Coupon in CCY]])/T_bETFs[[#This Row],[Coupons per annum]],0),
"")</f>
        <v>0</v>
      </c>
      <c r="BC19" s="576">
        <f>IFERROR(IF(
OR(
BC$1+1-1=MONTH(T_bETFs[[#This Row],[Coupon date 1]]),
BC$1+1-1=MONTH(T_bETFs[[#This Row],[Coupon date 2]]),
BC$1+1-1=MONTH(T_bETFs[[#This Row],[Coupon date 3]]),
BC$1+1-1=MONTH(T_bETFs[[#This Row],[Coupon date 4]]),
BC$1+1-1=MONTH(T_bETFs[[#This Row],[Coupon date 5]]),
BC$1+1-1=MONTH(T_bETFs[[#This Row],[Coupon date 6]]),
BC$1+1-1=MONTH(T_bETFs[[#This Row],[Coupon date 7]]),
BC$1+1-1=MONTH(T_bETFs[[#This Row],[Coupon date 8]]),
BC$1+1-1=MONTH(T_bETFs[[#This Row],[Coupon date 9]]),
BC$1+1-1=MONTH(T_bETFs[[#This Row],[Coupon date 10]]),
BC$1+1-1=MONTH(T_bETFs[[#This Row],[Coupon date 11]]),
BC$1+1-1=MONTH(T_bETFs[[#This Row],[Coupon date 12]]),),
IF('CF USD'!$A$8="on",T_bETFs[[#This Row],[Coupon in USD]],T_bETFs[[#This Row],[Coupon in CCY]])/T_bETFs[[#This Row],[Coupons per annum]],0),
"")</f>
        <v>0</v>
      </c>
      <c r="BD19" s="576">
        <f>IFERROR(IF(
OR(
BD$1+1-1=MONTH(T_bETFs[[#This Row],[Coupon date 1]]),
BD$1+1-1=MONTH(T_bETFs[[#This Row],[Coupon date 2]]),
BD$1+1-1=MONTH(T_bETFs[[#This Row],[Coupon date 3]]),
BD$1+1-1=MONTH(T_bETFs[[#This Row],[Coupon date 4]]),
BD$1+1-1=MONTH(T_bETFs[[#This Row],[Coupon date 5]]),
BD$1+1-1=MONTH(T_bETFs[[#This Row],[Coupon date 6]]),
BD$1+1-1=MONTH(T_bETFs[[#This Row],[Coupon date 7]]),
BD$1+1-1=MONTH(T_bETFs[[#This Row],[Coupon date 8]]),
BD$1+1-1=MONTH(T_bETFs[[#This Row],[Coupon date 9]]),
BD$1+1-1=MONTH(T_bETFs[[#This Row],[Coupon date 10]]),
BD$1+1-1=MONTH(T_bETFs[[#This Row],[Coupon date 11]]),
BD$1+1-1=MONTH(T_bETFs[[#This Row],[Coupon date 12]]),),
IF('CF USD'!$A$8="on",T_bETFs[[#This Row],[Coupon in USD]],T_bETFs[[#This Row],[Coupon in CCY]])/T_bETFs[[#This Row],[Coupons per annum]],0),
"")</f>
        <v>0</v>
      </c>
      <c r="BE19" s="576">
        <f>IFERROR(IF(
OR(
BE$1+1-1=MONTH(T_bETFs[[#This Row],[Coupon date 1]]),
BE$1+1-1=MONTH(T_bETFs[[#This Row],[Coupon date 2]]),
BE$1+1-1=MONTH(T_bETFs[[#This Row],[Coupon date 3]]),
BE$1+1-1=MONTH(T_bETFs[[#This Row],[Coupon date 4]]),
BE$1+1-1=MONTH(T_bETFs[[#This Row],[Coupon date 5]]),
BE$1+1-1=MONTH(T_bETFs[[#This Row],[Coupon date 6]]),
BE$1+1-1=MONTH(T_bETFs[[#This Row],[Coupon date 7]]),
BE$1+1-1=MONTH(T_bETFs[[#This Row],[Coupon date 8]]),
BE$1+1-1=MONTH(T_bETFs[[#This Row],[Coupon date 9]]),
BE$1+1-1=MONTH(T_bETFs[[#This Row],[Coupon date 10]]),
BE$1+1-1=MONTH(T_bETFs[[#This Row],[Coupon date 11]]),
BE$1+1-1=MONTH(T_bETFs[[#This Row],[Coupon date 12]]),),
IF('CF USD'!$A$8="on",T_bETFs[[#This Row],[Coupon in USD]],T_bETFs[[#This Row],[Coupon in CCY]])/T_bETFs[[#This Row],[Coupons per annum]],0),
"")</f>
        <v>0</v>
      </c>
      <c r="BF19" s="576">
        <f>IFERROR(IF(
OR(
BF$1+1-1=MONTH(T_bETFs[[#This Row],[Coupon date 1]]),
BF$1+1-1=MONTH(T_bETFs[[#This Row],[Coupon date 2]]),
BF$1+1-1=MONTH(T_bETFs[[#This Row],[Coupon date 3]]),
BF$1+1-1=MONTH(T_bETFs[[#This Row],[Coupon date 4]]),
BF$1+1-1=MONTH(T_bETFs[[#This Row],[Coupon date 5]]),
BF$1+1-1=MONTH(T_bETFs[[#This Row],[Coupon date 6]]),
BF$1+1-1=MONTH(T_bETFs[[#This Row],[Coupon date 7]]),
BF$1+1-1=MONTH(T_bETFs[[#This Row],[Coupon date 8]]),
BF$1+1-1=MONTH(T_bETFs[[#This Row],[Coupon date 9]]),
BF$1+1-1=MONTH(T_bETFs[[#This Row],[Coupon date 10]]),
BF$1+1-1=MONTH(T_bETFs[[#This Row],[Coupon date 11]]),
BF$1+1-1=MONTH(T_bETFs[[#This Row],[Coupon date 12]]),),
IF('CF USD'!$A$8="on",T_bETFs[[#This Row],[Coupon in USD]],T_bETFs[[#This Row],[Coupon in CCY]])/T_bETFs[[#This Row],[Coupons per annum]],0),
"")</f>
        <v>0</v>
      </c>
      <c r="BG19" s="576">
        <f>IFERROR(IF(
OR(
BG$1+1-1=MONTH(T_bETFs[[#This Row],[Coupon date 1]]),
BG$1+1-1=MONTH(T_bETFs[[#This Row],[Coupon date 2]]),
BG$1+1-1=MONTH(T_bETFs[[#This Row],[Coupon date 3]]),
BG$1+1-1=MONTH(T_bETFs[[#This Row],[Coupon date 4]]),
BG$1+1-1=MONTH(T_bETFs[[#This Row],[Coupon date 5]]),
BG$1+1-1=MONTH(T_bETFs[[#This Row],[Coupon date 6]]),
BG$1+1-1=MONTH(T_bETFs[[#This Row],[Coupon date 7]]),
BG$1+1-1=MONTH(T_bETFs[[#This Row],[Coupon date 8]]),
BG$1+1-1=MONTH(T_bETFs[[#This Row],[Coupon date 9]]),
BG$1+1-1=MONTH(T_bETFs[[#This Row],[Coupon date 10]]),
BG$1+1-1=MONTH(T_bETFs[[#This Row],[Coupon date 11]]),
BG$1+1-1=MONTH(T_bETFs[[#This Row],[Coupon date 12]]),),
IF('CF USD'!$A$8="on",T_bETFs[[#This Row],[Coupon in USD]],T_bETFs[[#This Row],[Coupon in CCY]])/T_bETFs[[#This Row],[Coupons per annum]],0),
"")</f>
        <v>0</v>
      </c>
    </row>
    <row r="20" spans="1:59" x14ac:dyDescent="0.25">
      <c r="A20" s="569" t="s">
        <v>51</v>
      </c>
      <c r="B20" s="1" t="s">
        <v>187</v>
      </c>
      <c r="C20" s="736" t="s">
        <v>2442</v>
      </c>
      <c r="D20" t="s">
        <v>2477</v>
      </c>
      <c r="E20"/>
      <c r="F20"/>
      <c r="G20"/>
      <c r="H20"/>
      <c r="I20"/>
      <c r="J20"/>
      <c r="K20"/>
      <c r="L20"/>
      <c r="M20"/>
      <c r="N20" s="736" t="s">
        <v>2443</v>
      </c>
      <c r="O20" s="569" t="s">
        <v>18</v>
      </c>
      <c r="P20" s="978">
        <v>10083.986999999999</v>
      </c>
      <c r="Q20" s="571">
        <v>138.26</v>
      </c>
      <c r="R20" s="572">
        <f>T_bETFs[[#This Row],[Market Price]]*T_bETFs[[#This Row],[Quantity]]</f>
        <v>1394212.0426199997</v>
      </c>
      <c r="S20" s="572">
        <f>T_bETFs[[#This Row],[Market Value, CCY]]*T_bETFs[[#This Row],[Exchange rate]]</f>
        <v>1394212.0426199997</v>
      </c>
      <c r="T20" s="573">
        <f>T_bETFs[[#This Row],[Coupon in CCY]]/T_bETFs[[#This Row],[Market Value, CCY]]</f>
        <v>0</v>
      </c>
      <c r="U20" s="277">
        <v>0</v>
      </c>
      <c r="V20" s="277">
        <f>IFERROR(T_bETFs[[#This Row],[Coupon in CCY]]*INDEX('Tech list'!A:C,MATCH(T_bETFs[[#This Row],[Risk CCY]],'Tech list'!A:A,0),3),"")</f>
        <v>0</v>
      </c>
      <c r="W20" s="101">
        <v>0.124</v>
      </c>
      <c r="X20" s="752">
        <f t="shared" si="4"/>
        <v>172882.29328487997</v>
      </c>
      <c r="Y20" s="77">
        <v>138.46739068818914</v>
      </c>
      <c r="Z20" s="574">
        <f>T_bETFs[[#This Row],[Cost, CCY]]*T_bETFs[[#This Row],[Quantity]]</f>
        <v>1396303.3676236202</v>
      </c>
      <c r="AA20" s="561">
        <f>T_bETFs[[#This Row],[Coupon]]</f>
        <v>0</v>
      </c>
      <c r="AB20" s="4">
        <f>VLOOKUP(T_bETFs[[#This Row],[Risk CCY]],'Tech list'!$A$2:$D$8,3,0)</f>
        <v>1</v>
      </c>
      <c r="AC20" s="575">
        <f t="shared" si="5"/>
        <v>1394212.0426199997</v>
      </c>
      <c r="AD20" s="1">
        <f>INDEX('Tech list'!A:C,MATCH(T_bETFs[[#This Row],[Risk CCY]],'Tech list'!A:A,0),3)</f>
        <v>1</v>
      </c>
      <c r="AE20" s="1">
        <f>T_bETFs[[#This Row],[Market Value, CCY]]</f>
        <v>1394212.0426199997</v>
      </c>
      <c r="AF20" s="753">
        <f>AC20*T_bETFs[[#This Row],[Exchange rate2]]</f>
        <v>1394212.0426199997</v>
      </c>
      <c r="AG20" s="577">
        <f>T_bETFs[[#This Row],[Market value in CCY]]-T_bETFs[[#This Row],[Cost price, CCY]]</f>
        <v>-2091.3250036204699</v>
      </c>
      <c r="AH20" s="585">
        <f>T_bETFs[[#This Row],[P&amp;L]]/T_bETFs[[#This Row],[Cost price, CCY]]</f>
        <v>-1.497758332546109E-3</v>
      </c>
      <c r="AI20" s="569">
        <v>13</v>
      </c>
      <c r="AJ20" s="579">
        <v>46023</v>
      </c>
      <c r="AK20" s="579">
        <f>IFERROR(EDATE(T_bETFs[[#This Row],[Coupon date 1]],12/$AI20),"")</f>
        <v>46023</v>
      </c>
      <c r="AL20" s="579">
        <f>IFERROR(EDATE(T_bETFs[[#This Row],[Coupon date 2]],12/$AI20),"")</f>
        <v>46023</v>
      </c>
      <c r="AM20" s="579">
        <f>IFERROR(EDATE(T_bETFs[[#This Row],[Coupon date 3]],12/$AI20),"")</f>
        <v>46023</v>
      </c>
      <c r="AN20" s="579">
        <f>IFERROR(EDATE(T_bETFs[[#This Row],[Coupon date 4]],12/$AI20),"")</f>
        <v>46023</v>
      </c>
      <c r="AO20" s="579">
        <f>IFERROR(EDATE(T_bETFs[[#This Row],[Coupon date 5]],12/$AI20),"")</f>
        <v>46023</v>
      </c>
      <c r="AP20" s="579">
        <f>IFERROR(EDATE(T_bETFs[[#This Row],[Coupon date 6]],12/$AI20),"")</f>
        <v>46023</v>
      </c>
      <c r="AQ20" s="579">
        <f>IFERROR(EDATE(T_bETFs[[#This Row],[Coupon date 7]],12/$AI20),"")</f>
        <v>46023</v>
      </c>
      <c r="AR20" s="579">
        <f>IFERROR(EDATE(T_bETFs[[#This Row],[Coupon date 8]],12/$AI20),"")</f>
        <v>46023</v>
      </c>
      <c r="AS20" s="579">
        <f>IFERROR(EDATE(T_bETFs[[#This Row],[Coupon date 9]],12/$AI20),"")</f>
        <v>46023</v>
      </c>
      <c r="AT20" s="579">
        <f>IFERROR(EDATE(T_bETFs[[#This Row],[Coupon date 10]],12/$AI20),"")</f>
        <v>46023</v>
      </c>
      <c r="AU20" s="579">
        <f>IFERROR(EDATE(T_bETFs[[#This Row],[Coupon date 11]],12/$AI20),"")</f>
        <v>46023</v>
      </c>
      <c r="AV20" s="576">
        <f>IFERROR(IF(
OR(
AV$1+1-1=MONTH(T_bETFs[[#This Row],[Coupon date 1]]),
AV$1+1-1=MONTH(T_bETFs[[#This Row],[Coupon date 2]]),
AV$1+1-1=MONTH(T_bETFs[[#This Row],[Coupon date 3]]),
AV$1+1-1=MONTH(T_bETFs[[#This Row],[Coupon date 4]]),
AV$1+1-1=MONTH(T_bETFs[[#This Row],[Coupon date 5]]),
AV$1+1-1=MONTH(T_bETFs[[#This Row],[Coupon date 6]]),
AV$1+1-1=MONTH(T_bETFs[[#This Row],[Coupon date 7]]),
AV$1+1-1=MONTH(T_bETFs[[#This Row],[Coupon date 8]]),
AV$1+1-1=MONTH(T_bETFs[[#This Row],[Coupon date 9]]),
AV$1+1-1=MONTH(T_bETFs[[#This Row],[Coupon date 10]]),
AV$1+1-1=MONTH(T_bETFs[[#This Row],[Coupon date 11]]),
AV$1+1-1=MONTH(T_bETFs[[#This Row],[Coupon date 12]]),),
IF('CF USD'!$A$8="on",T_bETFs[[#This Row],[Coupon in USD]],T_bETFs[[#This Row],[Coupon in CCY]])/T_bETFs[[#This Row],[Coupons per annum]],0),
"")</f>
        <v>0</v>
      </c>
      <c r="AW20" s="576">
        <f>IFERROR(IF(
OR(
AW$1+1-1=MONTH(T_bETFs[[#This Row],[Coupon date 1]]),
AW$1+1-1=MONTH(T_bETFs[[#This Row],[Coupon date 2]]),
AW$1+1-1=MONTH(T_bETFs[[#This Row],[Coupon date 3]]),
AW$1+1-1=MONTH(T_bETFs[[#This Row],[Coupon date 4]]),
AW$1+1-1=MONTH(T_bETFs[[#This Row],[Coupon date 5]]),
AW$1+1-1=MONTH(T_bETFs[[#This Row],[Coupon date 6]]),
AW$1+1-1=MONTH(T_bETFs[[#This Row],[Coupon date 7]]),
AW$1+1-1=MONTH(T_bETFs[[#This Row],[Coupon date 8]]),
AW$1+1-1=MONTH(T_bETFs[[#This Row],[Coupon date 9]]),
AW$1+1-1=MONTH(T_bETFs[[#This Row],[Coupon date 10]]),
AW$1+1-1=MONTH(T_bETFs[[#This Row],[Coupon date 11]]),
AW$1+1-1=MONTH(T_bETFs[[#This Row],[Coupon date 12]]),),
IF('CF USD'!$A$8="on",T_bETFs[[#This Row],[Coupon in USD]],T_bETFs[[#This Row],[Coupon in CCY]])/T_bETFs[[#This Row],[Coupons per annum]],0),
"")</f>
        <v>0</v>
      </c>
      <c r="AX20" s="576">
        <f>IFERROR(IF(
OR(
AX$1+1-1=MONTH(T_bETFs[[#This Row],[Coupon date 1]]),
AX$1+1-1=MONTH(T_bETFs[[#This Row],[Coupon date 2]]),
AX$1+1-1=MONTH(T_bETFs[[#This Row],[Coupon date 3]]),
AX$1+1-1=MONTH(T_bETFs[[#This Row],[Coupon date 4]]),
AX$1+1-1=MONTH(T_bETFs[[#This Row],[Coupon date 5]]),
AX$1+1-1=MONTH(T_bETFs[[#This Row],[Coupon date 6]]),
AX$1+1-1=MONTH(T_bETFs[[#This Row],[Coupon date 7]]),
AX$1+1-1=MONTH(T_bETFs[[#This Row],[Coupon date 8]]),
AX$1+1-1=MONTH(T_bETFs[[#This Row],[Coupon date 9]]),
AX$1+1-1=MONTH(T_bETFs[[#This Row],[Coupon date 10]]),
AX$1+1-1=MONTH(T_bETFs[[#This Row],[Coupon date 11]]),
AX$1+1-1=MONTH(T_bETFs[[#This Row],[Coupon date 12]]),),
IF('CF USD'!$A$8="on",T_bETFs[[#This Row],[Coupon in USD]],T_bETFs[[#This Row],[Coupon in CCY]])/T_bETFs[[#This Row],[Coupons per annum]],0),
"")</f>
        <v>0</v>
      </c>
      <c r="AY20" s="576">
        <f>IFERROR(IF(
OR(
AY$1+1-1=MONTH(T_bETFs[[#This Row],[Coupon date 1]]),
AY$1+1-1=MONTH(T_bETFs[[#This Row],[Coupon date 2]]),
AY$1+1-1=MONTH(T_bETFs[[#This Row],[Coupon date 3]]),
AY$1+1-1=MONTH(T_bETFs[[#This Row],[Coupon date 4]]),
AY$1+1-1=MONTH(T_bETFs[[#This Row],[Coupon date 5]]),
AY$1+1-1=MONTH(T_bETFs[[#This Row],[Coupon date 6]]),
AY$1+1-1=MONTH(T_bETFs[[#This Row],[Coupon date 7]]),
AY$1+1-1=MONTH(T_bETFs[[#This Row],[Coupon date 8]]),
AY$1+1-1=MONTH(T_bETFs[[#This Row],[Coupon date 9]]),
AY$1+1-1=MONTH(T_bETFs[[#This Row],[Coupon date 10]]),
AY$1+1-1=MONTH(T_bETFs[[#This Row],[Coupon date 11]]),
AY$1+1-1=MONTH(T_bETFs[[#This Row],[Coupon date 12]]),),
IF('CF USD'!$A$8="on",T_bETFs[[#This Row],[Coupon in USD]],T_bETFs[[#This Row],[Coupon in CCY]])/T_bETFs[[#This Row],[Coupons per annum]],0),
"")</f>
        <v>0</v>
      </c>
      <c r="AZ20" s="576">
        <f>IFERROR(IF(
OR(
AZ$1+1-1=MONTH(T_bETFs[[#This Row],[Coupon date 1]]),
AZ$1+1-1=MONTH(T_bETFs[[#This Row],[Coupon date 2]]),
AZ$1+1-1=MONTH(T_bETFs[[#This Row],[Coupon date 3]]),
AZ$1+1-1=MONTH(T_bETFs[[#This Row],[Coupon date 4]]),
AZ$1+1-1=MONTH(T_bETFs[[#This Row],[Coupon date 5]]),
AZ$1+1-1=MONTH(T_bETFs[[#This Row],[Coupon date 6]]),
AZ$1+1-1=MONTH(T_bETFs[[#This Row],[Coupon date 7]]),
AZ$1+1-1=MONTH(T_bETFs[[#This Row],[Coupon date 8]]),
AZ$1+1-1=MONTH(T_bETFs[[#This Row],[Coupon date 9]]),
AZ$1+1-1=MONTH(T_bETFs[[#This Row],[Coupon date 10]]),
AZ$1+1-1=MONTH(T_bETFs[[#This Row],[Coupon date 11]]),
AZ$1+1-1=MONTH(T_bETFs[[#This Row],[Coupon date 12]]),),
IF('CF USD'!$A$8="on",T_bETFs[[#This Row],[Coupon in USD]],T_bETFs[[#This Row],[Coupon in CCY]])/T_bETFs[[#This Row],[Coupons per annum]],0),
"")</f>
        <v>0</v>
      </c>
      <c r="BA20" s="576">
        <f>IFERROR(IF(
OR(
BA$1+1-1=MONTH(T_bETFs[[#This Row],[Coupon date 1]]),
BA$1+1-1=MONTH(T_bETFs[[#This Row],[Coupon date 2]]),
BA$1+1-1=MONTH(T_bETFs[[#This Row],[Coupon date 3]]),
BA$1+1-1=MONTH(T_bETFs[[#This Row],[Coupon date 4]]),
BA$1+1-1=MONTH(T_bETFs[[#This Row],[Coupon date 5]]),
BA$1+1-1=MONTH(T_bETFs[[#This Row],[Coupon date 6]]),
BA$1+1-1=MONTH(T_bETFs[[#This Row],[Coupon date 7]]),
BA$1+1-1=MONTH(T_bETFs[[#This Row],[Coupon date 8]]),
BA$1+1-1=MONTH(T_bETFs[[#This Row],[Coupon date 9]]),
BA$1+1-1=MONTH(T_bETFs[[#This Row],[Coupon date 10]]),
BA$1+1-1=MONTH(T_bETFs[[#This Row],[Coupon date 11]]),
BA$1+1-1=MONTH(T_bETFs[[#This Row],[Coupon date 12]]),),
IF('CF USD'!$A$8="on",T_bETFs[[#This Row],[Coupon in USD]],T_bETFs[[#This Row],[Coupon in CCY]])/T_bETFs[[#This Row],[Coupons per annum]],0),
"")</f>
        <v>0</v>
      </c>
      <c r="BB20" s="576">
        <f>IFERROR(IF(
OR(
BB$1+1-1=MONTH(T_bETFs[[#This Row],[Coupon date 1]]),
BB$1+1-1=MONTH(T_bETFs[[#This Row],[Coupon date 2]]),
BB$1+1-1=MONTH(T_bETFs[[#This Row],[Coupon date 3]]),
BB$1+1-1=MONTH(T_bETFs[[#This Row],[Coupon date 4]]),
BB$1+1-1=MONTH(T_bETFs[[#This Row],[Coupon date 5]]),
BB$1+1-1=MONTH(T_bETFs[[#This Row],[Coupon date 6]]),
BB$1+1-1=MONTH(T_bETFs[[#This Row],[Coupon date 7]]),
BB$1+1-1=MONTH(T_bETFs[[#This Row],[Coupon date 8]]),
BB$1+1-1=MONTH(T_bETFs[[#This Row],[Coupon date 9]]),
BB$1+1-1=MONTH(T_bETFs[[#This Row],[Coupon date 10]]),
BB$1+1-1=MONTH(T_bETFs[[#This Row],[Coupon date 11]]),
BB$1+1-1=MONTH(T_bETFs[[#This Row],[Coupon date 12]]),),
IF('CF USD'!$A$8="on",T_bETFs[[#This Row],[Coupon in USD]],T_bETFs[[#This Row],[Coupon in CCY]])/T_bETFs[[#This Row],[Coupons per annum]],0),
"")</f>
        <v>0</v>
      </c>
      <c r="BC20" s="576">
        <f>IFERROR(IF(
OR(
BC$1+1-1=MONTH(T_bETFs[[#This Row],[Coupon date 1]]),
BC$1+1-1=MONTH(T_bETFs[[#This Row],[Coupon date 2]]),
BC$1+1-1=MONTH(T_bETFs[[#This Row],[Coupon date 3]]),
BC$1+1-1=MONTH(T_bETFs[[#This Row],[Coupon date 4]]),
BC$1+1-1=MONTH(T_bETFs[[#This Row],[Coupon date 5]]),
BC$1+1-1=MONTH(T_bETFs[[#This Row],[Coupon date 6]]),
BC$1+1-1=MONTH(T_bETFs[[#This Row],[Coupon date 7]]),
BC$1+1-1=MONTH(T_bETFs[[#This Row],[Coupon date 8]]),
BC$1+1-1=MONTH(T_bETFs[[#This Row],[Coupon date 9]]),
BC$1+1-1=MONTH(T_bETFs[[#This Row],[Coupon date 10]]),
BC$1+1-1=MONTH(T_bETFs[[#This Row],[Coupon date 11]]),
BC$1+1-1=MONTH(T_bETFs[[#This Row],[Coupon date 12]]),),
IF('CF USD'!$A$8="on",T_bETFs[[#This Row],[Coupon in USD]],T_bETFs[[#This Row],[Coupon in CCY]])/T_bETFs[[#This Row],[Coupons per annum]],0),
"")</f>
        <v>0</v>
      </c>
      <c r="BD20" s="576">
        <f>IFERROR(IF(
OR(
BD$1+1-1=MONTH(T_bETFs[[#This Row],[Coupon date 1]]),
BD$1+1-1=MONTH(T_bETFs[[#This Row],[Coupon date 2]]),
BD$1+1-1=MONTH(T_bETFs[[#This Row],[Coupon date 3]]),
BD$1+1-1=MONTH(T_bETFs[[#This Row],[Coupon date 4]]),
BD$1+1-1=MONTH(T_bETFs[[#This Row],[Coupon date 5]]),
BD$1+1-1=MONTH(T_bETFs[[#This Row],[Coupon date 6]]),
BD$1+1-1=MONTH(T_bETFs[[#This Row],[Coupon date 7]]),
BD$1+1-1=MONTH(T_bETFs[[#This Row],[Coupon date 8]]),
BD$1+1-1=MONTH(T_bETFs[[#This Row],[Coupon date 9]]),
BD$1+1-1=MONTH(T_bETFs[[#This Row],[Coupon date 10]]),
BD$1+1-1=MONTH(T_bETFs[[#This Row],[Coupon date 11]]),
BD$1+1-1=MONTH(T_bETFs[[#This Row],[Coupon date 12]]),),
IF('CF USD'!$A$8="on",T_bETFs[[#This Row],[Coupon in USD]],T_bETFs[[#This Row],[Coupon in CCY]])/T_bETFs[[#This Row],[Coupons per annum]],0),
"")</f>
        <v>0</v>
      </c>
      <c r="BE20" s="576">
        <f>IFERROR(IF(
OR(
BE$1+1-1=MONTH(T_bETFs[[#This Row],[Coupon date 1]]),
BE$1+1-1=MONTH(T_bETFs[[#This Row],[Coupon date 2]]),
BE$1+1-1=MONTH(T_bETFs[[#This Row],[Coupon date 3]]),
BE$1+1-1=MONTH(T_bETFs[[#This Row],[Coupon date 4]]),
BE$1+1-1=MONTH(T_bETFs[[#This Row],[Coupon date 5]]),
BE$1+1-1=MONTH(T_bETFs[[#This Row],[Coupon date 6]]),
BE$1+1-1=MONTH(T_bETFs[[#This Row],[Coupon date 7]]),
BE$1+1-1=MONTH(T_bETFs[[#This Row],[Coupon date 8]]),
BE$1+1-1=MONTH(T_bETFs[[#This Row],[Coupon date 9]]),
BE$1+1-1=MONTH(T_bETFs[[#This Row],[Coupon date 10]]),
BE$1+1-1=MONTH(T_bETFs[[#This Row],[Coupon date 11]]),
BE$1+1-1=MONTH(T_bETFs[[#This Row],[Coupon date 12]]),),
IF('CF USD'!$A$8="on",T_bETFs[[#This Row],[Coupon in USD]],T_bETFs[[#This Row],[Coupon in CCY]])/T_bETFs[[#This Row],[Coupons per annum]],0),
"")</f>
        <v>0</v>
      </c>
      <c r="BF20" s="576">
        <f>IFERROR(IF(
OR(
BF$1+1-1=MONTH(T_bETFs[[#This Row],[Coupon date 1]]),
BF$1+1-1=MONTH(T_bETFs[[#This Row],[Coupon date 2]]),
BF$1+1-1=MONTH(T_bETFs[[#This Row],[Coupon date 3]]),
BF$1+1-1=MONTH(T_bETFs[[#This Row],[Coupon date 4]]),
BF$1+1-1=MONTH(T_bETFs[[#This Row],[Coupon date 5]]),
BF$1+1-1=MONTH(T_bETFs[[#This Row],[Coupon date 6]]),
BF$1+1-1=MONTH(T_bETFs[[#This Row],[Coupon date 7]]),
BF$1+1-1=MONTH(T_bETFs[[#This Row],[Coupon date 8]]),
BF$1+1-1=MONTH(T_bETFs[[#This Row],[Coupon date 9]]),
BF$1+1-1=MONTH(T_bETFs[[#This Row],[Coupon date 10]]),
BF$1+1-1=MONTH(T_bETFs[[#This Row],[Coupon date 11]]),
BF$1+1-1=MONTH(T_bETFs[[#This Row],[Coupon date 12]]),),
IF('CF USD'!$A$8="on",T_bETFs[[#This Row],[Coupon in USD]],T_bETFs[[#This Row],[Coupon in CCY]])/T_bETFs[[#This Row],[Coupons per annum]],0),
"")</f>
        <v>0</v>
      </c>
      <c r="BG20" s="576">
        <f>IFERROR(IF(
OR(
BG$1+1-1=MONTH(T_bETFs[[#This Row],[Coupon date 1]]),
BG$1+1-1=MONTH(T_bETFs[[#This Row],[Coupon date 2]]),
BG$1+1-1=MONTH(T_bETFs[[#This Row],[Coupon date 3]]),
BG$1+1-1=MONTH(T_bETFs[[#This Row],[Coupon date 4]]),
BG$1+1-1=MONTH(T_bETFs[[#This Row],[Coupon date 5]]),
BG$1+1-1=MONTH(T_bETFs[[#This Row],[Coupon date 6]]),
BG$1+1-1=MONTH(T_bETFs[[#This Row],[Coupon date 7]]),
BG$1+1-1=MONTH(T_bETFs[[#This Row],[Coupon date 8]]),
BG$1+1-1=MONTH(T_bETFs[[#This Row],[Coupon date 9]]),
BG$1+1-1=MONTH(T_bETFs[[#This Row],[Coupon date 10]]),
BG$1+1-1=MONTH(T_bETFs[[#This Row],[Coupon date 11]]),
BG$1+1-1=MONTH(T_bETFs[[#This Row],[Coupon date 12]]),),
IF('CF USD'!$A$8="on",T_bETFs[[#This Row],[Coupon in USD]],T_bETFs[[#This Row],[Coupon in CCY]])/T_bETFs[[#This Row],[Coupons per annum]],0),
"")</f>
        <v>0</v>
      </c>
    </row>
    <row r="21" spans="1:59" x14ac:dyDescent="0.25">
      <c r="B21" s="1"/>
      <c r="P21" s="583"/>
      <c r="R21" s="583"/>
      <c r="S21" s="583"/>
      <c r="T21" s="585"/>
      <c r="U21" s="3"/>
      <c r="V21" s="364"/>
      <c r="W21" s="101"/>
      <c r="X21" s="1"/>
      <c r="Y21" s="735"/>
      <c r="Z21" s="724"/>
      <c r="AA21" s="561"/>
      <c r="AB21" s="4"/>
      <c r="AC21" s="575"/>
      <c r="AD21" s="1"/>
      <c r="AE21" s="1"/>
      <c r="AG21" s="575"/>
      <c r="AH21" s="585"/>
      <c r="AJ21" s="579"/>
      <c r="AK21" s="579"/>
      <c r="AL21" s="579"/>
      <c r="AM21" s="579"/>
      <c r="AN21" s="579"/>
      <c r="AO21" s="579"/>
      <c r="AP21" s="579"/>
      <c r="AQ21" s="579"/>
      <c r="AR21" s="579"/>
      <c r="AS21" s="579"/>
      <c r="AT21" s="579"/>
      <c r="AU21" s="579"/>
      <c r="AV21" s="575"/>
      <c r="AW21" s="575"/>
      <c r="AX21" s="575"/>
      <c r="AY21" s="575"/>
      <c r="AZ21" s="575"/>
      <c r="BA21" s="575"/>
      <c r="BB21" s="575"/>
      <c r="BC21" s="575"/>
      <c r="BD21" s="575"/>
      <c r="BE21" s="575"/>
      <c r="BF21" s="575"/>
      <c r="BG21" s="575"/>
    </row>
    <row r="22" spans="1:59" x14ac:dyDescent="0.25">
      <c r="B22" s="1"/>
      <c r="P22" s="583"/>
      <c r="R22" s="583"/>
      <c r="S22" s="583"/>
      <c r="T22" s="585"/>
      <c r="U22" s="3"/>
      <c r="V22" s="364"/>
      <c r="W22" s="101"/>
      <c r="X22" s="1"/>
      <c r="Y22" s="735"/>
      <c r="Z22" s="724"/>
      <c r="AA22" s="561"/>
      <c r="AB22" s="4"/>
      <c r="AC22" s="575"/>
      <c r="AD22" s="1"/>
      <c r="AE22" s="1"/>
      <c r="AG22" s="575"/>
      <c r="AH22" s="585"/>
      <c r="AJ22" s="579"/>
      <c r="AK22" s="579"/>
      <c r="AL22" s="579"/>
      <c r="AM22" s="579"/>
      <c r="AN22" s="579"/>
      <c r="AO22" s="579"/>
      <c r="AP22" s="579"/>
      <c r="AQ22" s="579"/>
      <c r="AR22" s="579"/>
      <c r="AS22" s="579"/>
      <c r="AT22" s="579"/>
      <c r="AU22" s="579"/>
      <c r="AV22" s="575"/>
      <c r="AW22" s="575"/>
      <c r="AX22" s="575"/>
      <c r="AY22" s="575"/>
      <c r="AZ22" s="575"/>
      <c r="BA22" s="575"/>
      <c r="BB22" s="575"/>
      <c r="BC22" s="575"/>
      <c r="BD22" s="575"/>
      <c r="BE22" s="575"/>
      <c r="BF22" s="575"/>
      <c r="BG22" s="575"/>
    </row>
    <row r="23" spans="1:59" x14ac:dyDescent="0.25">
      <c r="B23" s="1"/>
      <c r="P23" s="583"/>
      <c r="R23" s="583"/>
      <c r="S23" s="583"/>
      <c r="T23" s="585"/>
      <c r="U23" s="3"/>
      <c r="V23" s="364"/>
      <c r="W23" s="101"/>
      <c r="X23" s="1"/>
      <c r="Y23" s="735"/>
      <c r="Z23" s="724"/>
      <c r="AA23" s="561"/>
      <c r="AB23" s="4"/>
      <c r="AC23" s="575"/>
      <c r="AD23" s="1"/>
      <c r="AE23" s="1"/>
      <c r="AG23" s="575"/>
      <c r="AH23" s="585"/>
      <c r="AJ23" s="579"/>
      <c r="AK23" s="579"/>
      <c r="AL23" s="579"/>
      <c r="AM23" s="579"/>
      <c r="AN23" s="579"/>
      <c r="AO23" s="579"/>
      <c r="AP23" s="579"/>
      <c r="AQ23" s="579"/>
      <c r="AR23" s="579"/>
      <c r="AS23" s="579"/>
      <c r="AT23" s="579"/>
      <c r="AU23" s="579"/>
      <c r="AV23" s="575"/>
      <c r="AW23" s="575"/>
      <c r="AX23" s="575"/>
      <c r="AY23" s="575"/>
      <c r="AZ23" s="575"/>
      <c r="BA23" s="575"/>
      <c r="BB23" s="575"/>
      <c r="BC23" s="575"/>
      <c r="BD23" s="575"/>
      <c r="BE23" s="575"/>
      <c r="BF23" s="575"/>
      <c r="BG23" s="575"/>
    </row>
    <row r="24" spans="1:59" x14ac:dyDescent="0.25">
      <c r="B24" s="1"/>
      <c r="P24" s="583"/>
      <c r="Q24" s="583"/>
      <c r="R24" s="583"/>
      <c r="S24" s="583"/>
      <c r="T24" s="585"/>
      <c r="U24" s="3"/>
      <c r="V24" s="364"/>
      <c r="W24" s="101"/>
      <c r="X24" s="1"/>
      <c r="Y24" s="735"/>
      <c r="Z24" s="724"/>
      <c r="AA24" s="561"/>
      <c r="AB24" s="4"/>
      <c r="AC24" s="575"/>
      <c r="AD24" s="1"/>
      <c r="AE24" s="1"/>
      <c r="AG24" s="575"/>
      <c r="AH24" s="585"/>
      <c r="AJ24" s="579"/>
      <c r="AK24" s="579"/>
      <c r="AL24" s="579"/>
      <c r="AM24" s="579"/>
      <c r="AN24" s="579"/>
      <c r="AO24" s="579"/>
      <c r="AP24" s="579"/>
      <c r="AQ24" s="579"/>
      <c r="AR24" s="579"/>
      <c r="AS24" s="579"/>
      <c r="AT24" s="579"/>
      <c r="AU24" s="579"/>
      <c r="AV24" s="575"/>
      <c r="AW24" s="575"/>
      <c r="AX24" s="575"/>
      <c r="AY24" s="575"/>
      <c r="AZ24" s="575"/>
      <c r="BA24" s="575"/>
      <c r="BB24" s="575"/>
      <c r="BC24" s="575"/>
      <c r="BD24" s="575"/>
      <c r="BE24" s="575"/>
      <c r="BF24" s="575"/>
      <c r="BG24" s="575"/>
    </row>
    <row r="25" spans="1:59" x14ac:dyDescent="0.25">
      <c r="B25" s="1"/>
      <c r="N25" s="1"/>
      <c r="P25" s="583"/>
      <c r="Q25" s="583"/>
      <c r="R25" s="583"/>
      <c r="S25" s="583"/>
      <c r="T25" s="585"/>
      <c r="U25" s="3"/>
      <c r="V25" s="364"/>
      <c r="W25" s="101"/>
      <c r="X25" s="1"/>
      <c r="Y25" s="735"/>
      <c r="Z25" s="724"/>
      <c r="AA25" s="561"/>
      <c r="AB25" s="4"/>
      <c r="AC25" s="575"/>
      <c r="AD25" s="1"/>
      <c r="AE25" s="1"/>
      <c r="AG25" s="575"/>
      <c r="AH25" s="585"/>
      <c r="AJ25" s="579"/>
      <c r="AK25" s="579"/>
      <c r="AL25" s="579"/>
      <c r="AM25" s="579"/>
      <c r="AN25" s="579"/>
      <c r="AO25" s="579"/>
      <c r="AP25" s="579"/>
      <c r="AQ25" s="579"/>
      <c r="AR25" s="579"/>
      <c r="AS25" s="579"/>
      <c r="AT25" s="579"/>
      <c r="AU25" s="579"/>
      <c r="AV25" s="575"/>
      <c r="AW25" s="575"/>
      <c r="AX25" s="575"/>
      <c r="AY25" s="575"/>
      <c r="AZ25" s="575"/>
      <c r="BA25" s="575"/>
      <c r="BB25" s="575"/>
      <c r="BC25" s="575"/>
      <c r="BD25" s="575"/>
      <c r="BE25" s="575"/>
      <c r="BF25" s="575"/>
      <c r="BG25" s="575"/>
    </row>
    <row r="26" spans="1:59" x14ac:dyDescent="0.25">
      <c r="N26" s="1"/>
      <c r="Q26" s="583"/>
    </row>
    <row r="27" spans="1:59" x14ac:dyDescent="0.25">
      <c r="N27" s="1"/>
      <c r="Q27" s="583"/>
    </row>
    <row r="28" spans="1:59" x14ac:dyDescent="0.25">
      <c r="N28" s="981"/>
      <c r="Q28" s="583"/>
    </row>
    <row r="29" spans="1:59" x14ac:dyDescent="0.25">
      <c r="C29" s="736"/>
      <c r="N29" s="1"/>
      <c r="Q29" s="583"/>
    </row>
    <row r="30" spans="1:59" ht="30" x14ac:dyDescent="0.25">
      <c r="C30" s="815"/>
      <c r="D30" s="816" t="s">
        <v>1148</v>
      </c>
      <c r="E30" s="817" t="s">
        <v>2491</v>
      </c>
      <c r="F30" s="817" t="s">
        <v>2503</v>
      </c>
      <c r="G30" s="817" t="s">
        <v>2504</v>
      </c>
      <c r="N30" s="1"/>
      <c r="Q30" s="583"/>
    </row>
    <row r="31" spans="1:59" x14ac:dyDescent="0.25">
      <c r="C31" s="569" t="s">
        <v>2475</v>
      </c>
      <c r="D31" s="832">
        <f>SUMIFS($S$2:$S$20,$D$2:$D$20,C31)</f>
        <v>19990437.991992999</v>
      </c>
      <c r="E31" s="578">
        <f>D31/SUM($D$31:$D$33)</f>
        <v>0.53719952202235721</v>
      </c>
      <c r="F31" s="833">
        <f>D31-G31</f>
        <v>13662948.296799999</v>
      </c>
      <c r="G31" s="583">
        <f>SUM(S7:S9)</f>
        <v>6327489.6951930001</v>
      </c>
      <c r="N31" s="754"/>
      <c r="Q31" s="583"/>
    </row>
    <row r="32" spans="1:59" x14ac:dyDescent="0.25">
      <c r="C32" s="1" t="s">
        <v>2479</v>
      </c>
      <c r="D32" s="832">
        <f t="shared" ref="D32:D33" si="6">SUMIFS($S$2:$S$20,$D$2:$D$20,C32)</f>
        <v>15827665.26443344</v>
      </c>
      <c r="E32" s="578">
        <f>D32/SUM($D$31:$D$33)</f>
        <v>0.42533406312503808</v>
      </c>
      <c r="F32" s="833">
        <f>D32</f>
        <v>15827665.26443344</v>
      </c>
      <c r="N32" s="736"/>
      <c r="Q32" s="583"/>
    </row>
    <row r="33" spans="3:6" x14ac:dyDescent="0.25">
      <c r="C33" t="s">
        <v>2477</v>
      </c>
      <c r="D33" s="832">
        <f t="shared" si="6"/>
        <v>1394212.0426199997</v>
      </c>
      <c r="E33" s="578">
        <f>D33/SUM($D$31:$D$33)</f>
        <v>3.7466414852604622E-2</v>
      </c>
      <c r="F33" s="833">
        <f>D33</f>
        <v>1394212.0426199997</v>
      </c>
    </row>
  </sheetData>
  <phoneticPr fontId="11" type="noConversion"/>
  <conditionalFormatting sqref="C30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W2:W20">
    <cfRule type="dataBar" priority="15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{7F2A3C0C-8926-4F32-B858-F5C5A9AB8C2D}</x14:id>
        </ext>
      </extLst>
    </cfRule>
  </conditionalFormatting>
  <pageMargins left="0.7" right="0.7" top="0.75" bottom="0.75" header="0.3" footer="0.3"/>
  <pageSetup paperSize="9" orientation="portrait" horizontalDpi="300" verticalDpi="300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F2A3C0C-8926-4F32-B858-F5C5A9AB8C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W2:W20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0">
    <tabColor theme="8" tint="0.79998168889431442"/>
  </sheetPr>
  <dimension ref="A1:AU11"/>
  <sheetViews>
    <sheetView workbookViewId="0">
      <selection activeCell="H25" sqref="H25"/>
    </sheetView>
  </sheetViews>
  <sheetFormatPr defaultRowHeight="15" x14ac:dyDescent="0.25"/>
  <cols>
    <col min="1" max="1" width="13.5703125" customWidth="1"/>
    <col min="2" max="2" width="13.7109375" customWidth="1"/>
    <col min="3" max="3" width="59" customWidth="1"/>
    <col min="4" max="4" width="10.140625" customWidth="1"/>
    <col min="5" max="5" width="15" customWidth="1"/>
    <col min="6" max="6" width="14.5703125" bestFit="1" customWidth="1"/>
    <col min="7" max="7" width="10" customWidth="1"/>
    <col min="8" max="8" width="23" customWidth="1"/>
    <col min="9" max="9" width="19.7109375" customWidth="1"/>
    <col min="10" max="10" width="16.28515625" customWidth="1"/>
    <col min="11" max="11" width="10.85546875" customWidth="1"/>
    <col min="12" max="13" width="11.28515625" customWidth="1"/>
    <col min="14" max="14" width="12.85546875" customWidth="1"/>
    <col min="15" max="15" width="11.85546875" customWidth="1"/>
    <col min="16" max="16" width="14.85546875" customWidth="1"/>
    <col min="17" max="17" width="15.42578125" customWidth="1"/>
    <col min="18" max="19" width="14.42578125" customWidth="1"/>
    <col min="20" max="21" width="16.42578125" customWidth="1"/>
    <col min="22" max="22" width="22.5703125" customWidth="1"/>
    <col min="23" max="23" width="11.42578125" bestFit="1" customWidth="1"/>
    <col min="24" max="35" width="14.5703125" customWidth="1"/>
    <col min="36" max="36" width="11.28515625" customWidth="1"/>
    <col min="37" max="41" width="10.7109375" bestFit="1" customWidth="1"/>
    <col min="42" max="42" width="11.7109375" customWidth="1"/>
    <col min="43" max="44" width="10.7109375" bestFit="1" customWidth="1"/>
    <col min="45" max="47" width="11.7109375" bestFit="1" customWidth="1"/>
  </cols>
  <sheetData>
    <row r="1" spans="1:47" s="216" customFormat="1" x14ac:dyDescent="0.25">
      <c r="A1" s="265" t="s">
        <v>227</v>
      </c>
      <c r="B1" s="266" t="s">
        <v>375</v>
      </c>
      <c r="C1" s="266" t="s">
        <v>228</v>
      </c>
      <c r="D1" s="266" t="s">
        <v>231</v>
      </c>
      <c r="E1" s="266" t="s">
        <v>48</v>
      </c>
      <c r="F1" s="267" t="s">
        <v>232</v>
      </c>
      <c r="G1" s="268" t="s">
        <v>233</v>
      </c>
      <c r="H1" s="269" t="s">
        <v>481</v>
      </c>
      <c r="I1" s="268" t="s">
        <v>234</v>
      </c>
      <c r="J1" s="268" t="s">
        <v>235</v>
      </c>
      <c r="K1" s="270" t="s">
        <v>236</v>
      </c>
      <c r="L1" s="270" t="s">
        <v>29</v>
      </c>
      <c r="M1" s="270" t="s">
        <v>480</v>
      </c>
      <c r="N1" s="271" t="s">
        <v>239</v>
      </c>
      <c r="O1" s="266" t="s">
        <v>240</v>
      </c>
      <c r="P1" s="266" t="s">
        <v>241</v>
      </c>
      <c r="Q1" s="266" t="s">
        <v>376</v>
      </c>
      <c r="R1" s="266" t="s">
        <v>243</v>
      </c>
      <c r="S1" s="266" t="s">
        <v>2232</v>
      </c>
      <c r="T1" s="266" t="s">
        <v>377</v>
      </c>
      <c r="U1" s="266" t="s">
        <v>245</v>
      </c>
      <c r="V1" s="271" t="s">
        <v>246</v>
      </c>
      <c r="W1" s="266" t="s">
        <v>253</v>
      </c>
      <c r="X1" s="82" t="s">
        <v>918</v>
      </c>
      <c r="Y1" s="82" t="s">
        <v>914</v>
      </c>
      <c r="Z1" s="82" t="s">
        <v>875</v>
      </c>
      <c r="AA1" s="82" t="s">
        <v>876</v>
      </c>
      <c r="AB1" s="82" t="s">
        <v>877</v>
      </c>
      <c r="AC1" s="82" t="s">
        <v>878</v>
      </c>
      <c r="AD1" s="82" t="s">
        <v>879</v>
      </c>
      <c r="AE1" s="82" t="s">
        <v>880</v>
      </c>
      <c r="AF1" s="82" t="s">
        <v>881</v>
      </c>
      <c r="AG1" s="82" t="s">
        <v>882</v>
      </c>
      <c r="AH1" s="82" t="s">
        <v>883</v>
      </c>
      <c r="AI1" s="82" t="s">
        <v>884</v>
      </c>
      <c r="AJ1" s="245" t="s">
        <v>1217</v>
      </c>
      <c r="AK1" s="245" t="s">
        <v>1218</v>
      </c>
      <c r="AL1" s="245" t="s">
        <v>1219</v>
      </c>
      <c r="AM1" s="245" t="s">
        <v>1220</v>
      </c>
      <c r="AN1" s="245" t="s">
        <v>1221</v>
      </c>
      <c r="AO1" s="245" t="s">
        <v>1222</v>
      </c>
      <c r="AP1" s="245" t="s">
        <v>1223</v>
      </c>
      <c r="AQ1" s="245" t="s">
        <v>1224</v>
      </c>
      <c r="AR1" s="245" t="s">
        <v>1225</v>
      </c>
      <c r="AS1" s="245" t="s">
        <v>1226</v>
      </c>
      <c r="AT1" s="245" t="s">
        <v>1227</v>
      </c>
      <c r="AU1" s="245" t="s">
        <v>1228</v>
      </c>
    </row>
    <row r="2" spans="1:47" x14ac:dyDescent="0.25">
      <c r="A2" t="s">
        <v>366</v>
      </c>
      <c r="B2" t="s">
        <v>930</v>
      </c>
      <c r="C2" s="1" t="s">
        <v>929</v>
      </c>
      <c r="D2" t="s">
        <v>18</v>
      </c>
      <c r="F2" s="224">
        <v>10000000</v>
      </c>
      <c r="G2" s="76">
        <v>3.73E-2</v>
      </c>
      <c r="H2" s="272">
        <f>T_deposits[[#This Row],[Coupon]]*T_deposits[[#This Row],[Quantity]]</f>
        <v>373000</v>
      </c>
      <c r="I2" s="75">
        <f>IF(T2&lt;&gt;1,F2*G2*T2,F2*G2)</f>
        <v>373000</v>
      </c>
      <c r="J2" s="6">
        <f>T_deposits[[#This Row],[Coupon in Loc.Curr]]/T_deposits[[#This Row],[Exchange rate2]]</f>
        <v>373000</v>
      </c>
      <c r="K2" s="273">
        <v>46155</v>
      </c>
      <c r="L2" s="78">
        <f>G2</f>
        <v>3.73E-2</v>
      </c>
      <c r="M2" s="274">
        <v>45791</v>
      </c>
      <c r="N2" s="77">
        <f>L2*F2/2</f>
        <v>186500</v>
      </c>
      <c r="O2" s="223">
        <v>1</v>
      </c>
      <c r="P2" s="74">
        <f>T_deposits[[#This Row],[Coupon in Loc.Curr]]/T_deposits[[#This Row],[Market value in CCY]]</f>
        <v>3.73E-2</v>
      </c>
      <c r="Q2" s="4">
        <f>T_deposits[[#This Row],[Exchange rate2]]</f>
        <v>1</v>
      </c>
      <c r="R2" s="50">
        <v>1</v>
      </c>
      <c r="S2" s="593">
        <f>T_deposits[[#This Row],[Market price]]/T_deposits[[#This Row],[Cost price]]-1</f>
        <v>0</v>
      </c>
      <c r="T2">
        <f>INDEX('Tech list'!A:C,MATCH(T_deposits[[#This Row],[Risk CCY]],'Tech list'!A:A,0),3)</f>
        <v>1</v>
      </c>
      <c r="U2" s="7">
        <f>T_deposits[[#This Row],[Market price]]*T_deposits[[#This Row],[Quantity]]</f>
        <v>10000000</v>
      </c>
      <c r="V2" s="110">
        <f>T_deposits[[#This Row],[Market value in CCY]]*T_deposits[[#This Row],[Exchange rate2]]</f>
        <v>10000000</v>
      </c>
      <c r="W2" s="18">
        <v>12</v>
      </c>
      <c r="X2" s="17">
        <f>T_deposits[[#This Row],[Maturity]]</f>
        <v>46155</v>
      </c>
      <c r="Y2" s="17">
        <f>IFERROR(EDATE(T_deposits[[#This Row],[Coupon date 1]],12/$W2),"")</f>
        <v>46186</v>
      </c>
      <c r="Z2" s="17">
        <f>IFERROR(EDATE(T_deposits[[#This Row],[Coupon date 2]],12/$W2),"")</f>
        <v>46216</v>
      </c>
      <c r="AA2" s="17">
        <f>IFERROR(EDATE(T_deposits[[#This Row],[Coupon date 3]],12/$W2),"")</f>
        <v>46247</v>
      </c>
      <c r="AB2" s="17">
        <f>IFERROR(EDATE(T_deposits[[#This Row],[Coupon date 4]],12/$W2),"")</f>
        <v>46278</v>
      </c>
      <c r="AC2" s="17">
        <f>IFERROR(EDATE(T_deposits[[#This Row],[Coupon date 5]],12/$W2),"")</f>
        <v>46308</v>
      </c>
      <c r="AD2" s="17">
        <f>IFERROR(EDATE(T_deposits[[#This Row],[Coupon date 6]],12/$W2),"")</f>
        <v>46339</v>
      </c>
      <c r="AE2" s="17">
        <f>IFERROR(EDATE(T_deposits[[#This Row],[Coupon date 7]],12/$W2),"")</f>
        <v>46369</v>
      </c>
      <c r="AF2" s="17">
        <f>IFERROR(EDATE(T_deposits[[#This Row],[Coupon date 8]],12/$W2),"")</f>
        <v>46400</v>
      </c>
      <c r="AG2" s="17">
        <f>IFERROR(EDATE(T_deposits[[#This Row],[Coupon date 9]],12/$W2),"")</f>
        <v>46431</v>
      </c>
      <c r="AH2" s="17">
        <f>IFERROR(EDATE(T_deposits[[#This Row],[Coupon date 10]],12/$W2),"")</f>
        <v>46459</v>
      </c>
      <c r="AI2" s="17">
        <f>IFERROR(EDATE(T_deposits[[#This Row],[Coupon date 11]],12/$W2),"")</f>
        <v>46490</v>
      </c>
      <c r="AJ2" s="237">
        <f>IFERROR(IF(
OR(
AJ$1+1-1=MONTH(T_deposits[[#This Row],[Coupon date 1]]),
AJ$1+1-1=MONTH(T_deposits[[#This Row],[Coupon date 2]]),
AJ$1+1-1=MONTH(T_deposits[[#This Row],[Coupon date 3]]),
AJ$1+1-1=MONTH(T_deposits[[#This Row],[Coupon date 4]]),
AJ$1+1-1=MONTH(T_deposits[[#This Row],[Coupon date 5]]),
AJ$1+1-1=MONTH(T_deposits[[#This Row],[Coupon date 6]]),
AJ$1+1-1=MONTH(T_deposits[[#This Row],[Coupon date 7]]),
AJ$1+1-1=MONTH(T_deposits[[#This Row],[Coupon date 8]]),
AJ$1+1-1=MONTH(T_deposits[[#This Row],[Coupon date 9]]),
AJ$1+1-1=MONTH(T_deposits[[#This Row],[Coupon date 10]]),
AJ$1+1-1=MONTH(T_deposits[[#This Row],[Coupon date 11]]),
AJ$1+1-1=MONTH(T_deposits[[#This Row],[Coupon date 12]]),),
IF('CF USD'!$A$8="on",$J2,$I2)/T_deposits[[#This Row],[Coupons per annum]],0),
"")</f>
        <v>31083.333333333332</v>
      </c>
      <c r="AK2" s="237">
        <f>IFERROR(IF(
OR(
AK$1+1-1=MONTH(T_deposits[[#This Row],[Coupon date 1]]),
AK$1+1-1=MONTH(T_deposits[[#This Row],[Coupon date 2]]),
AK$1+1-1=MONTH(T_deposits[[#This Row],[Coupon date 3]]),
AK$1+1-1=MONTH(T_deposits[[#This Row],[Coupon date 4]]),
AK$1+1-1=MONTH(T_deposits[[#This Row],[Coupon date 5]]),
AK$1+1-1=MONTH(T_deposits[[#This Row],[Coupon date 6]]),
AK$1+1-1=MONTH(T_deposits[[#This Row],[Coupon date 7]]),
AK$1+1-1=MONTH(T_deposits[[#This Row],[Coupon date 8]]),
AK$1+1-1=MONTH(T_deposits[[#This Row],[Coupon date 9]]),
AK$1+1-1=MONTH(T_deposits[[#This Row],[Coupon date 10]]),
AK$1+1-1=MONTH(T_deposits[[#This Row],[Coupon date 11]]),
AK$1+1-1=MONTH(T_deposits[[#This Row],[Coupon date 12]]),),
IF('CF USD'!$A$8="on",$J2,$I2)/T_deposits[[#This Row],[Coupons per annum]],0),
"")</f>
        <v>31083.333333333332</v>
      </c>
      <c r="AL2" s="237">
        <f>IFERROR(IF(
OR(
AL$1+1-1=MONTH(T_deposits[[#This Row],[Coupon date 1]]),
AL$1+1-1=MONTH(T_deposits[[#This Row],[Coupon date 2]]),
AL$1+1-1=MONTH(T_deposits[[#This Row],[Coupon date 3]]),
AL$1+1-1=MONTH(T_deposits[[#This Row],[Coupon date 4]]),
AL$1+1-1=MONTH(T_deposits[[#This Row],[Coupon date 5]]),
AL$1+1-1=MONTH(T_deposits[[#This Row],[Coupon date 6]]),
AL$1+1-1=MONTH(T_deposits[[#This Row],[Coupon date 7]]),
AL$1+1-1=MONTH(T_deposits[[#This Row],[Coupon date 8]]),
AL$1+1-1=MONTH(T_deposits[[#This Row],[Coupon date 9]]),
AL$1+1-1=MONTH(T_deposits[[#This Row],[Coupon date 10]]),
AL$1+1-1=MONTH(T_deposits[[#This Row],[Coupon date 11]]),
AL$1+1-1=MONTH(T_deposits[[#This Row],[Coupon date 12]]),),
IF('CF USD'!$A$8="on",$J2,$I2)/T_deposits[[#This Row],[Coupons per annum]],0),
"")</f>
        <v>31083.333333333332</v>
      </c>
      <c r="AM2" s="237">
        <f>IFERROR(IF(
OR(
AM$1+1-1=MONTH(T_deposits[[#This Row],[Coupon date 1]]),
AM$1+1-1=MONTH(T_deposits[[#This Row],[Coupon date 2]]),
AM$1+1-1=MONTH(T_deposits[[#This Row],[Coupon date 3]]),
AM$1+1-1=MONTH(T_deposits[[#This Row],[Coupon date 4]]),
AM$1+1-1=MONTH(T_deposits[[#This Row],[Coupon date 5]]),
AM$1+1-1=MONTH(T_deposits[[#This Row],[Coupon date 6]]),
AM$1+1-1=MONTH(T_deposits[[#This Row],[Coupon date 7]]),
AM$1+1-1=MONTH(T_deposits[[#This Row],[Coupon date 8]]),
AM$1+1-1=MONTH(T_deposits[[#This Row],[Coupon date 9]]),
AM$1+1-1=MONTH(T_deposits[[#This Row],[Coupon date 10]]),
AM$1+1-1=MONTH(T_deposits[[#This Row],[Coupon date 11]]),
AM$1+1-1=MONTH(T_deposits[[#This Row],[Coupon date 12]]),),
IF('CF USD'!$A$8="on",$J2,$I2)/T_deposits[[#This Row],[Coupons per annum]],0),
"")</f>
        <v>31083.333333333332</v>
      </c>
      <c r="AN2" s="237">
        <f>IFERROR(IF(
OR(
AN$1+1-1=MONTH(T_deposits[[#This Row],[Coupon date 1]]),
AN$1+1-1=MONTH(T_deposits[[#This Row],[Coupon date 2]]),
AN$1+1-1=MONTH(T_deposits[[#This Row],[Coupon date 3]]),
AN$1+1-1=MONTH(T_deposits[[#This Row],[Coupon date 4]]),
AN$1+1-1=MONTH(T_deposits[[#This Row],[Coupon date 5]]),
AN$1+1-1=MONTH(T_deposits[[#This Row],[Coupon date 6]]),
AN$1+1-1=MONTH(T_deposits[[#This Row],[Coupon date 7]]),
AN$1+1-1=MONTH(T_deposits[[#This Row],[Coupon date 8]]),
AN$1+1-1=MONTH(T_deposits[[#This Row],[Coupon date 9]]),
AN$1+1-1=MONTH(T_deposits[[#This Row],[Coupon date 10]]),
AN$1+1-1=MONTH(T_deposits[[#This Row],[Coupon date 11]]),
AN$1+1-1=MONTH(T_deposits[[#This Row],[Coupon date 12]]),),
IF('CF USD'!$A$8="on",$J2,$I2)/T_deposits[[#This Row],[Coupons per annum]],0),
"")</f>
        <v>31083.333333333332</v>
      </c>
      <c r="AO2" s="237">
        <f>IFERROR(IF(
OR(
AO$1+1-1=MONTH(T_deposits[[#This Row],[Coupon date 1]]),
AO$1+1-1=MONTH(T_deposits[[#This Row],[Coupon date 2]]),
AO$1+1-1=MONTH(T_deposits[[#This Row],[Coupon date 3]]),
AO$1+1-1=MONTH(T_deposits[[#This Row],[Coupon date 4]]),
AO$1+1-1=MONTH(T_deposits[[#This Row],[Coupon date 5]]),
AO$1+1-1=MONTH(T_deposits[[#This Row],[Coupon date 6]]),
AO$1+1-1=MONTH(T_deposits[[#This Row],[Coupon date 7]]),
AO$1+1-1=MONTH(T_deposits[[#This Row],[Coupon date 8]]),
AO$1+1-1=MONTH(T_deposits[[#This Row],[Coupon date 9]]),
AO$1+1-1=MONTH(T_deposits[[#This Row],[Coupon date 10]]),
AO$1+1-1=MONTH(T_deposits[[#This Row],[Coupon date 11]]),
AO$1+1-1=MONTH(T_deposits[[#This Row],[Coupon date 12]]),),
IF('CF USD'!$A$8="on",$J2,$I2)/T_deposits[[#This Row],[Coupons per annum]],0),
"")</f>
        <v>31083.333333333332</v>
      </c>
      <c r="AP2" s="237">
        <f>IFERROR(IF(
OR(
AP$1+1-1=MONTH(T_deposits[[#This Row],[Coupon date 1]]),
AP$1+1-1=MONTH(T_deposits[[#This Row],[Coupon date 2]]),
AP$1+1-1=MONTH(T_deposits[[#This Row],[Coupon date 3]]),
AP$1+1-1=MONTH(T_deposits[[#This Row],[Coupon date 4]]),
AP$1+1-1=MONTH(T_deposits[[#This Row],[Coupon date 5]]),
AP$1+1-1=MONTH(T_deposits[[#This Row],[Coupon date 6]]),
AP$1+1-1=MONTH(T_deposits[[#This Row],[Coupon date 7]]),
AP$1+1-1=MONTH(T_deposits[[#This Row],[Coupon date 8]]),
AP$1+1-1=MONTH(T_deposits[[#This Row],[Coupon date 9]]),
AP$1+1-1=MONTH(T_deposits[[#This Row],[Coupon date 10]]),
AP$1+1-1=MONTH(T_deposits[[#This Row],[Coupon date 11]]),
AP$1+1-1=MONTH(T_deposits[[#This Row],[Coupon date 12]]),),
IF('CF USD'!$A$8="on",$J2,$I2)/T_deposits[[#This Row],[Coupons per annum]],0),
"")</f>
        <v>31083.333333333332</v>
      </c>
      <c r="AQ2" s="237">
        <f>IFERROR(IF(
OR(
AQ$1+1-1=MONTH(T_deposits[[#This Row],[Coupon date 1]]),
AQ$1+1-1=MONTH(T_deposits[[#This Row],[Coupon date 2]]),
AQ$1+1-1=MONTH(T_deposits[[#This Row],[Coupon date 3]]),
AQ$1+1-1=MONTH(T_deposits[[#This Row],[Coupon date 4]]),
AQ$1+1-1=MONTH(T_deposits[[#This Row],[Coupon date 5]]),
AQ$1+1-1=MONTH(T_deposits[[#This Row],[Coupon date 6]]),
AQ$1+1-1=MONTH(T_deposits[[#This Row],[Coupon date 7]]),
AQ$1+1-1=MONTH(T_deposits[[#This Row],[Coupon date 8]]),
AQ$1+1-1=MONTH(T_deposits[[#This Row],[Coupon date 9]]),
AQ$1+1-1=MONTH(T_deposits[[#This Row],[Coupon date 10]]),
AQ$1+1-1=MONTH(T_deposits[[#This Row],[Coupon date 11]]),
AQ$1+1-1=MONTH(T_deposits[[#This Row],[Coupon date 12]]),),
IF('CF USD'!$A$8="on",$J2,$I2)/T_deposits[[#This Row],[Coupons per annum]],0),
"")</f>
        <v>31083.333333333332</v>
      </c>
      <c r="AR2" s="237">
        <f>IFERROR(IF(
OR(
AR$1+1-1=MONTH(T_deposits[[#This Row],[Coupon date 1]]),
AR$1+1-1=MONTH(T_deposits[[#This Row],[Coupon date 2]]),
AR$1+1-1=MONTH(T_deposits[[#This Row],[Coupon date 3]]),
AR$1+1-1=MONTH(T_deposits[[#This Row],[Coupon date 4]]),
AR$1+1-1=MONTH(T_deposits[[#This Row],[Coupon date 5]]),
AR$1+1-1=MONTH(T_deposits[[#This Row],[Coupon date 6]]),
AR$1+1-1=MONTH(T_deposits[[#This Row],[Coupon date 7]]),
AR$1+1-1=MONTH(T_deposits[[#This Row],[Coupon date 8]]),
AR$1+1-1=MONTH(T_deposits[[#This Row],[Coupon date 9]]),
AR$1+1-1=MONTH(T_deposits[[#This Row],[Coupon date 10]]),
AR$1+1-1=MONTH(T_deposits[[#This Row],[Coupon date 11]]),
AR$1+1-1=MONTH(T_deposits[[#This Row],[Coupon date 12]]),),
IF('CF USD'!$A$8="on",$J2,$I2)/T_deposits[[#This Row],[Coupons per annum]],0),
"")</f>
        <v>31083.333333333332</v>
      </c>
      <c r="AS2" s="237">
        <f>IFERROR(IF(
OR(
AS$1+1-1=MONTH(T_deposits[[#This Row],[Coupon date 1]]),
AS$1+1-1=MONTH(T_deposits[[#This Row],[Coupon date 2]]),
AS$1+1-1=MONTH(T_deposits[[#This Row],[Coupon date 3]]),
AS$1+1-1=MONTH(T_deposits[[#This Row],[Coupon date 4]]),
AS$1+1-1=MONTH(T_deposits[[#This Row],[Coupon date 5]]),
AS$1+1-1=MONTH(T_deposits[[#This Row],[Coupon date 6]]),
AS$1+1-1=MONTH(T_deposits[[#This Row],[Coupon date 7]]),
AS$1+1-1=MONTH(T_deposits[[#This Row],[Coupon date 8]]),
AS$1+1-1=MONTH(T_deposits[[#This Row],[Coupon date 9]]),
AS$1+1-1=MONTH(T_deposits[[#This Row],[Coupon date 10]]),
AS$1+1-1=MONTH(T_deposits[[#This Row],[Coupon date 11]]),
AS$1+1-1=MONTH(T_deposits[[#This Row],[Coupon date 12]]),),
IF('CF USD'!$A$8="on",$J2,$I2)/T_deposits[[#This Row],[Coupons per annum]],0),
"")</f>
        <v>31083.333333333332</v>
      </c>
      <c r="AT2" s="237">
        <f>IFERROR(IF(
OR(
AT$1+1-1=MONTH(T_deposits[[#This Row],[Coupon date 1]]),
AT$1+1-1=MONTH(T_deposits[[#This Row],[Coupon date 2]]),
AT$1+1-1=MONTH(T_deposits[[#This Row],[Coupon date 3]]),
AT$1+1-1=MONTH(T_deposits[[#This Row],[Coupon date 4]]),
AT$1+1-1=MONTH(T_deposits[[#This Row],[Coupon date 5]]),
AT$1+1-1=MONTH(T_deposits[[#This Row],[Coupon date 6]]),
AT$1+1-1=MONTH(T_deposits[[#This Row],[Coupon date 7]]),
AT$1+1-1=MONTH(T_deposits[[#This Row],[Coupon date 8]]),
AT$1+1-1=MONTH(T_deposits[[#This Row],[Coupon date 9]]),
AT$1+1-1=MONTH(T_deposits[[#This Row],[Coupon date 10]]),
AT$1+1-1=MONTH(T_deposits[[#This Row],[Coupon date 11]]),
AT$1+1-1=MONTH(T_deposits[[#This Row],[Coupon date 12]]),),
IF('CF USD'!$A$8="on",$J2,$I2)/T_deposits[[#This Row],[Coupons per annum]],0),
"")</f>
        <v>31083.333333333332</v>
      </c>
      <c r="AU2" s="237">
        <f>IFERROR(IF(
OR(
AU$1+1-1=MONTH(T_deposits[[#This Row],[Coupon date 1]]),
AU$1+1-1=MONTH(T_deposits[[#This Row],[Coupon date 2]]),
AU$1+1-1=MONTH(T_deposits[[#This Row],[Coupon date 3]]),
AU$1+1-1=MONTH(T_deposits[[#This Row],[Coupon date 4]]),
AU$1+1-1=MONTH(T_deposits[[#This Row],[Coupon date 5]]),
AU$1+1-1=MONTH(T_deposits[[#This Row],[Coupon date 6]]),
AU$1+1-1=MONTH(T_deposits[[#This Row],[Coupon date 7]]),
AU$1+1-1=MONTH(T_deposits[[#This Row],[Coupon date 8]]),
AU$1+1-1=MONTH(T_deposits[[#This Row],[Coupon date 9]]),
AU$1+1-1=MONTH(T_deposits[[#This Row],[Coupon date 10]]),
AU$1+1-1=MONTH(T_deposits[[#This Row],[Coupon date 11]]),
AU$1+1-1=MONTH(T_deposits[[#This Row],[Coupon date 12]]),),
IF('CF USD'!$A$8="on",$J2,$I2)/T_deposits[[#This Row],[Coupons per annum]],0),
"")</f>
        <v>31083.333333333332</v>
      </c>
    </row>
    <row r="3" spans="1:47" hidden="1" x14ac:dyDescent="0.25">
      <c r="A3" t="s">
        <v>366</v>
      </c>
      <c r="B3" t="s">
        <v>2295</v>
      </c>
      <c r="C3" s="1" t="s">
        <v>378</v>
      </c>
      <c r="D3" s="1" t="s">
        <v>18</v>
      </c>
      <c r="E3" s="1"/>
      <c r="F3" s="663" t="s">
        <v>2361</v>
      </c>
      <c r="G3" s="23">
        <v>0</v>
      </c>
      <c r="H3" s="215">
        <f>T_deposits[[#This Row],[Coupon]]*T_deposits[[#This Row],[Quantity]]</f>
        <v>0</v>
      </c>
      <c r="I3" s="6">
        <f>T_deposits[[#This Row],[Coupon in USD, real]]*365/(T_deposits[[#This Row],[Maturity]]-T_deposits[[#This Row],[Purchase date]])</f>
        <v>0</v>
      </c>
      <c r="J3" s="6">
        <f>IF(T3&lt;&gt;1,F3*G3*T3,F3*G3)</f>
        <v>0</v>
      </c>
      <c r="K3" s="652">
        <v>45955</v>
      </c>
      <c r="L3" s="20">
        <f>G3</f>
        <v>0</v>
      </c>
      <c r="M3" s="214">
        <v>45590</v>
      </c>
      <c r="N3" s="21">
        <f>L3*F3</f>
        <v>0</v>
      </c>
      <c r="O3" s="589">
        <v>1</v>
      </c>
      <c r="P3" s="10">
        <f>T_deposits[[#This Row],[Coupon in Loc.Curr]]/T_deposits[[#This Row],[Market value in CCY]]</f>
        <v>0</v>
      </c>
      <c r="Q3" s="594">
        <f>T_deposits[[#This Row],[Exchange rate2]]</f>
        <v>1</v>
      </c>
      <c r="R3" s="50">
        <v>1</v>
      </c>
      <c r="S3" s="593">
        <f>T_deposits[[#This Row],[Market price]]/T_deposits[[#This Row],[Cost price]]-1</f>
        <v>0</v>
      </c>
      <c r="T3">
        <f>INDEX('Tech list'!A:C,MATCH(T_deposits[[#This Row],[Risk CCY]],'Tech list'!A:A,0),3)</f>
        <v>1</v>
      </c>
      <c r="U3" s="7">
        <f>T_deposits[[#This Row],[Market price]]*T_deposits[[#This Row],[Quantity]]</f>
        <v>1000000</v>
      </c>
      <c r="V3" s="110">
        <f>T_deposits[[#This Row],[Market value in CCY]]*T_deposits[[#This Row],[Exchange rate2]]</f>
        <v>1000000</v>
      </c>
      <c r="W3" s="18">
        <v>1</v>
      </c>
      <c r="X3" s="17">
        <f>T_deposits[[#This Row],[Maturity]]</f>
        <v>45955</v>
      </c>
      <c r="Y3" s="17">
        <f>IFERROR(EDATE(T_deposits[[#This Row],[Coupon date 1]],12/$W3),"")</f>
        <v>46320</v>
      </c>
      <c r="Z3" s="17">
        <f>IFERROR(EDATE(T_deposits[[#This Row],[Coupon date 2]],12/$W3),"")</f>
        <v>46685</v>
      </c>
      <c r="AA3" s="17">
        <f>IFERROR(EDATE(T_deposits[[#This Row],[Coupon date 3]],12/$W3),"")</f>
        <v>47051</v>
      </c>
      <c r="AB3" s="17">
        <f>IFERROR(EDATE(T_deposits[[#This Row],[Coupon date 4]],12/$W3),"")</f>
        <v>47416</v>
      </c>
      <c r="AC3" s="17">
        <f>IFERROR(EDATE(T_deposits[[#This Row],[Coupon date 5]],12/$W3),"")</f>
        <v>47781</v>
      </c>
      <c r="AD3" s="17">
        <f>IFERROR(EDATE(T_deposits[[#This Row],[Coupon date 6]],12/$W3),"")</f>
        <v>48146</v>
      </c>
      <c r="AE3" s="17">
        <f>IFERROR(EDATE(T_deposits[[#This Row],[Coupon date 7]],12/$W3),"")</f>
        <v>48512</v>
      </c>
      <c r="AF3" s="17">
        <f>IFERROR(EDATE(T_deposits[[#This Row],[Coupon date 8]],12/$W3),"")</f>
        <v>48877</v>
      </c>
      <c r="AG3" s="17">
        <f>IFERROR(EDATE(T_deposits[[#This Row],[Coupon date 9]],12/$W3),"")</f>
        <v>49242</v>
      </c>
      <c r="AH3" s="17">
        <f>IFERROR(EDATE(T_deposits[[#This Row],[Coupon date 10]],12/$W3),"")</f>
        <v>49607</v>
      </c>
      <c r="AI3" s="17">
        <f>IFERROR(EDATE(T_deposits[[#This Row],[Coupon date 11]],12/$W3),"")</f>
        <v>49973</v>
      </c>
      <c r="AJ3" s="237">
        <f>IFERROR(IF(
OR(
AJ$1+1-1=MONTH(T_deposits[[#This Row],[Coupon date 1]]),
AJ$1+1-1=MONTH(T_deposits[[#This Row],[Coupon date 2]]),
AJ$1+1-1=MONTH(T_deposits[[#This Row],[Coupon date 3]]),
AJ$1+1-1=MONTH(T_deposits[[#This Row],[Coupon date 4]]),
AJ$1+1-1=MONTH(T_deposits[[#This Row],[Coupon date 5]]),
AJ$1+1-1=MONTH(T_deposits[[#This Row],[Coupon date 6]]),
AJ$1+1-1=MONTH(T_deposits[[#This Row],[Coupon date 7]]),
AJ$1+1-1=MONTH(T_deposits[[#This Row],[Coupon date 8]]),
AJ$1+1-1=MONTH(T_deposits[[#This Row],[Coupon date 9]]),
AJ$1+1-1=MONTH(T_deposits[[#This Row],[Coupon date 10]]),
AJ$1+1-1=MONTH(T_deposits[[#This Row],[Coupon date 11]]),
AJ$1+1-1=MONTH(T_deposits[[#This Row],[Coupon date 12]]),),
IF('CF USD'!$A$8="on",$J3,$I3)/T_deposits[[#This Row],[Coupons per annum]],0),
"")</f>
        <v>0</v>
      </c>
      <c r="AK3" s="237">
        <f>IFERROR(IF(
OR(
AK$1+1-1=MONTH(T_deposits[[#This Row],[Coupon date 1]]),
AK$1+1-1=MONTH(T_deposits[[#This Row],[Coupon date 2]]),
AK$1+1-1=MONTH(T_deposits[[#This Row],[Coupon date 3]]),
AK$1+1-1=MONTH(T_deposits[[#This Row],[Coupon date 4]]),
AK$1+1-1=MONTH(T_deposits[[#This Row],[Coupon date 5]]),
AK$1+1-1=MONTH(T_deposits[[#This Row],[Coupon date 6]]),
AK$1+1-1=MONTH(T_deposits[[#This Row],[Coupon date 7]]),
AK$1+1-1=MONTH(T_deposits[[#This Row],[Coupon date 8]]),
AK$1+1-1=MONTH(T_deposits[[#This Row],[Coupon date 9]]),
AK$1+1-1=MONTH(T_deposits[[#This Row],[Coupon date 10]]),
AK$1+1-1=MONTH(T_deposits[[#This Row],[Coupon date 11]]),
AK$1+1-1=MONTH(T_deposits[[#This Row],[Coupon date 12]]),),
IF('CF USD'!$A$8="on",$J3,$I3)/T_deposits[[#This Row],[Coupons per annum]],0),
"")</f>
        <v>0</v>
      </c>
      <c r="AL3" s="237">
        <f>IFERROR(IF(
OR(
AL$1+1-1=MONTH(T_deposits[[#This Row],[Coupon date 1]]),
AL$1+1-1=MONTH(T_deposits[[#This Row],[Coupon date 2]]),
AL$1+1-1=MONTH(T_deposits[[#This Row],[Coupon date 3]]),
AL$1+1-1=MONTH(T_deposits[[#This Row],[Coupon date 4]]),
AL$1+1-1=MONTH(T_deposits[[#This Row],[Coupon date 5]]),
AL$1+1-1=MONTH(T_deposits[[#This Row],[Coupon date 6]]),
AL$1+1-1=MONTH(T_deposits[[#This Row],[Coupon date 7]]),
AL$1+1-1=MONTH(T_deposits[[#This Row],[Coupon date 8]]),
AL$1+1-1=MONTH(T_deposits[[#This Row],[Coupon date 9]]),
AL$1+1-1=MONTH(T_deposits[[#This Row],[Coupon date 10]]),
AL$1+1-1=MONTH(T_deposits[[#This Row],[Coupon date 11]]),
AL$1+1-1=MONTH(T_deposits[[#This Row],[Coupon date 12]]),),
IF('CF USD'!$A$8="on",$J3,$I3)/T_deposits[[#This Row],[Coupons per annum]],0),
"")</f>
        <v>0</v>
      </c>
      <c r="AM3" s="237">
        <f>IFERROR(IF(
OR(
AM$1+1-1=MONTH(T_deposits[[#This Row],[Coupon date 1]]),
AM$1+1-1=MONTH(T_deposits[[#This Row],[Coupon date 2]]),
AM$1+1-1=MONTH(T_deposits[[#This Row],[Coupon date 3]]),
AM$1+1-1=MONTH(T_deposits[[#This Row],[Coupon date 4]]),
AM$1+1-1=MONTH(T_deposits[[#This Row],[Coupon date 5]]),
AM$1+1-1=MONTH(T_deposits[[#This Row],[Coupon date 6]]),
AM$1+1-1=MONTH(T_deposits[[#This Row],[Coupon date 7]]),
AM$1+1-1=MONTH(T_deposits[[#This Row],[Coupon date 8]]),
AM$1+1-1=MONTH(T_deposits[[#This Row],[Coupon date 9]]),
AM$1+1-1=MONTH(T_deposits[[#This Row],[Coupon date 10]]),
AM$1+1-1=MONTH(T_deposits[[#This Row],[Coupon date 11]]),
AM$1+1-1=MONTH(T_deposits[[#This Row],[Coupon date 12]]),),
IF('CF USD'!$A$8="on",$J3,$I3)/T_deposits[[#This Row],[Coupons per annum]],0),
"")</f>
        <v>0</v>
      </c>
      <c r="AN3" s="237">
        <f>IFERROR(IF(
OR(
AN$1+1-1=MONTH(T_deposits[[#This Row],[Coupon date 1]]),
AN$1+1-1=MONTH(T_deposits[[#This Row],[Coupon date 2]]),
AN$1+1-1=MONTH(T_deposits[[#This Row],[Coupon date 3]]),
AN$1+1-1=MONTH(T_deposits[[#This Row],[Coupon date 4]]),
AN$1+1-1=MONTH(T_deposits[[#This Row],[Coupon date 5]]),
AN$1+1-1=MONTH(T_deposits[[#This Row],[Coupon date 6]]),
AN$1+1-1=MONTH(T_deposits[[#This Row],[Coupon date 7]]),
AN$1+1-1=MONTH(T_deposits[[#This Row],[Coupon date 8]]),
AN$1+1-1=MONTH(T_deposits[[#This Row],[Coupon date 9]]),
AN$1+1-1=MONTH(T_deposits[[#This Row],[Coupon date 10]]),
AN$1+1-1=MONTH(T_deposits[[#This Row],[Coupon date 11]]),
AN$1+1-1=MONTH(T_deposits[[#This Row],[Coupon date 12]]),),
IF('CF USD'!$A$8="on",$J3,$I3)/T_deposits[[#This Row],[Coupons per annum]],0),
"")</f>
        <v>0</v>
      </c>
      <c r="AO3" s="237">
        <f>IFERROR(IF(
OR(
AO$1+1-1=MONTH(T_deposits[[#This Row],[Coupon date 1]]),
AO$1+1-1=MONTH(T_deposits[[#This Row],[Coupon date 2]]),
AO$1+1-1=MONTH(T_deposits[[#This Row],[Coupon date 3]]),
AO$1+1-1=MONTH(T_deposits[[#This Row],[Coupon date 4]]),
AO$1+1-1=MONTH(T_deposits[[#This Row],[Coupon date 5]]),
AO$1+1-1=MONTH(T_deposits[[#This Row],[Coupon date 6]]),
AO$1+1-1=MONTH(T_deposits[[#This Row],[Coupon date 7]]),
AO$1+1-1=MONTH(T_deposits[[#This Row],[Coupon date 8]]),
AO$1+1-1=MONTH(T_deposits[[#This Row],[Coupon date 9]]),
AO$1+1-1=MONTH(T_deposits[[#This Row],[Coupon date 10]]),
AO$1+1-1=MONTH(T_deposits[[#This Row],[Coupon date 11]]),
AO$1+1-1=MONTH(T_deposits[[#This Row],[Coupon date 12]]),),
IF('CF USD'!$A$8="on",$J3,$I3)/T_deposits[[#This Row],[Coupons per annum]],0),
"")</f>
        <v>0</v>
      </c>
      <c r="AP3" s="237">
        <f>IFERROR(IF(
OR(
AP$1+1-1=MONTH(T_deposits[[#This Row],[Coupon date 1]]),
AP$1+1-1=MONTH(T_deposits[[#This Row],[Coupon date 2]]),
AP$1+1-1=MONTH(T_deposits[[#This Row],[Coupon date 3]]),
AP$1+1-1=MONTH(T_deposits[[#This Row],[Coupon date 4]]),
AP$1+1-1=MONTH(T_deposits[[#This Row],[Coupon date 5]]),
AP$1+1-1=MONTH(T_deposits[[#This Row],[Coupon date 6]]),
AP$1+1-1=MONTH(T_deposits[[#This Row],[Coupon date 7]]),
AP$1+1-1=MONTH(T_deposits[[#This Row],[Coupon date 8]]),
AP$1+1-1=MONTH(T_deposits[[#This Row],[Coupon date 9]]),
AP$1+1-1=MONTH(T_deposits[[#This Row],[Coupon date 10]]),
AP$1+1-1=MONTH(T_deposits[[#This Row],[Coupon date 11]]),
AP$1+1-1=MONTH(T_deposits[[#This Row],[Coupon date 12]]),),
IF('CF USD'!$A$8="on",$J3,$I3)/T_deposits[[#This Row],[Coupons per annum]],0),
"")</f>
        <v>0</v>
      </c>
      <c r="AQ3" s="237">
        <f>IFERROR(IF(
OR(
AQ$1+1-1=MONTH(T_deposits[[#This Row],[Coupon date 1]]),
AQ$1+1-1=MONTH(T_deposits[[#This Row],[Coupon date 2]]),
AQ$1+1-1=MONTH(T_deposits[[#This Row],[Coupon date 3]]),
AQ$1+1-1=MONTH(T_deposits[[#This Row],[Coupon date 4]]),
AQ$1+1-1=MONTH(T_deposits[[#This Row],[Coupon date 5]]),
AQ$1+1-1=MONTH(T_deposits[[#This Row],[Coupon date 6]]),
AQ$1+1-1=MONTH(T_deposits[[#This Row],[Coupon date 7]]),
AQ$1+1-1=MONTH(T_deposits[[#This Row],[Coupon date 8]]),
AQ$1+1-1=MONTH(T_deposits[[#This Row],[Coupon date 9]]),
AQ$1+1-1=MONTH(T_deposits[[#This Row],[Coupon date 10]]),
AQ$1+1-1=MONTH(T_deposits[[#This Row],[Coupon date 11]]),
AQ$1+1-1=MONTH(T_deposits[[#This Row],[Coupon date 12]]),),
IF('CF USD'!$A$8="on",$J3,$I3)/T_deposits[[#This Row],[Coupons per annum]],0),
"")</f>
        <v>0</v>
      </c>
      <c r="AR3" s="237">
        <f>IFERROR(IF(
OR(
AR$1+1-1=MONTH(T_deposits[[#This Row],[Coupon date 1]]),
AR$1+1-1=MONTH(T_deposits[[#This Row],[Coupon date 2]]),
AR$1+1-1=MONTH(T_deposits[[#This Row],[Coupon date 3]]),
AR$1+1-1=MONTH(T_deposits[[#This Row],[Coupon date 4]]),
AR$1+1-1=MONTH(T_deposits[[#This Row],[Coupon date 5]]),
AR$1+1-1=MONTH(T_deposits[[#This Row],[Coupon date 6]]),
AR$1+1-1=MONTH(T_deposits[[#This Row],[Coupon date 7]]),
AR$1+1-1=MONTH(T_deposits[[#This Row],[Coupon date 8]]),
AR$1+1-1=MONTH(T_deposits[[#This Row],[Coupon date 9]]),
AR$1+1-1=MONTH(T_deposits[[#This Row],[Coupon date 10]]),
AR$1+1-1=MONTH(T_deposits[[#This Row],[Coupon date 11]]),
AR$1+1-1=MONTH(T_deposits[[#This Row],[Coupon date 12]]),),
IF('CF USD'!$A$8="on",$J3,$I3)/T_deposits[[#This Row],[Coupons per annum]],0),
"")</f>
        <v>0</v>
      </c>
      <c r="AS3" s="237">
        <f>IFERROR(IF(
OR(
AS$1+1-1=MONTH(T_deposits[[#This Row],[Coupon date 1]]),
AS$1+1-1=MONTH(T_deposits[[#This Row],[Coupon date 2]]),
AS$1+1-1=MONTH(T_deposits[[#This Row],[Coupon date 3]]),
AS$1+1-1=MONTH(T_deposits[[#This Row],[Coupon date 4]]),
AS$1+1-1=MONTH(T_deposits[[#This Row],[Coupon date 5]]),
AS$1+1-1=MONTH(T_deposits[[#This Row],[Coupon date 6]]),
AS$1+1-1=MONTH(T_deposits[[#This Row],[Coupon date 7]]),
AS$1+1-1=MONTH(T_deposits[[#This Row],[Coupon date 8]]),
AS$1+1-1=MONTH(T_deposits[[#This Row],[Coupon date 9]]),
AS$1+1-1=MONTH(T_deposits[[#This Row],[Coupon date 10]]),
AS$1+1-1=MONTH(T_deposits[[#This Row],[Coupon date 11]]),
AS$1+1-1=MONTH(T_deposits[[#This Row],[Coupon date 12]]),),
IF('CF USD'!$A$8="on",$J3,$I3)/T_deposits[[#This Row],[Coupons per annum]],0),
"")</f>
        <v>0</v>
      </c>
      <c r="AT3" s="237">
        <f>IFERROR(IF(
OR(
AT$1+1-1=MONTH(T_deposits[[#This Row],[Coupon date 1]]),
AT$1+1-1=MONTH(T_deposits[[#This Row],[Coupon date 2]]),
AT$1+1-1=MONTH(T_deposits[[#This Row],[Coupon date 3]]),
AT$1+1-1=MONTH(T_deposits[[#This Row],[Coupon date 4]]),
AT$1+1-1=MONTH(T_deposits[[#This Row],[Coupon date 5]]),
AT$1+1-1=MONTH(T_deposits[[#This Row],[Coupon date 6]]),
AT$1+1-1=MONTH(T_deposits[[#This Row],[Coupon date 7]]),
AT$1+1-1=MONTH(T_deposits[[#This Row],[Coupon date 8]]),
AT$1+1-1=MONTH(T_deposits[[#This Row],[Coupon date 9]]),
AT$1+1-1=MONTH(T_deposits[[#This Row],[Coupon date 10]]),
AT$1+1-1=MONTH(T_deposits[[#This Row],[Coupon date 11]]),
AT$1+1-1=MONTH(T_deposits[[#This Row],[Coupon date 12]]),),
IF('CF USD'!$A$8="on",$J3,$I3)/T_deposits[[#This Row],[Coupons per annum]],0),
"")</f>
        <v>0</v>
      </c>
      <c r="AU3" s="237">
        <f>IFERROR(IF(
OR(
AU$1+1-1=MONTH(T_deposits[[#This Row],[Coupon date 1]]),
AU$1+1-1=MONTH(T_deposits[[#This Row],[Coupon date 2]]),
AU$1+1-1=MONTH(T_deposits[[#This Row],[Coupon date 3]]),
AU$1+1-1=MONTH(T_deposits[[#This Row],[Coupon date 4]]),
AU$1+1-1=MONTH(T_deposits[[#This Row],[Coupon date 5]]),
AU$1+1-1=MONTH(T_deposits[[#This Row],[Coupon date 6]]),
AU$1+1-1=MONTH(T_deposits[[#This Row],[Coupon date 7]]),
AU$1+1-1=MONTH(T_deposits[[#This Row],[Coupon date 8]]),
AU$1+1-1=MONTH(T_deposits[[#This Row],[Coupon date 9]]),
AU$1+1-1=MONTH(T_deposits[[#This Row],[Coupon date 10]]),
AU$1+1-1=MONTH(T_deposits[[#This Row],[Coupon date 11]]),
AU$1+1-1=MONTH(T_deposits[[#This Row],[Coupon date 12]]),),
IF('CF USD'!$A$8="on",$J3,$I3)/T_deposits[[#This Row],[Coupons per annum]],0),
"")</f>
        <v>0</v>
      </c>
    </row>
    <row r="4" spans="1:47" x14ac:dyDescent="0.25">
      <c r="A4" t="s">
        <v>90</v>
      </c>
      <c r="B4" t="s">
        <v>479</v>
      </c>
      <c r="C4" t="s">
        <v>1344</v>
      </c>
      <c r="D4" s="1" t="s">
        <v>18</v>
      </c>
      <c r="E4" t="s">
        <v>780</v>
      </c>
      <c r="F4" s="224">
        <v>0</v>
      </c>
      <c r="G4" s="592">
        <f>3.375%</f>
        <v>3.3750000000000002E-2</v>
      </c>
      <c r="H4" s="591">
        <f>T_deposits[[#This Row],[Coupon in USD]]</f>
        <v>0</v>
      </c>
      <c r="I4" s="6">
        <f>IF(T4&lt;&gt;1,F4*G4*T4,F4*G4)</f>
        <v>0</v>
      </c>
      <c r="J4" s="6">
        <f>T_deposits[[#This Row],[Coupon in Loc.Curr]]/T_deposits[[#This Row],[Exchange rate2]]</f>
        <v>0</v>
      </c>
      <c r="K4" s="587">
        <v>54377</v>
      </c>
      <c r="L4" s="20">
        <v>4.8669999999999998E-2</v>
      </c>
      <c r="M4" s="17">
        <v>44874</v>
      </c>
      <c r="N4" s="588">
        <f>L4*F4</f>
        <v>0</v>
      </c>
      <c r="O4" s="589">
        <v>0.84650000000000003</v>
      </c>
      <c r="P4" s="10">
        <f>T_deposits[[#This Row],[Coupon in Loc.Curr]]/T_deposits[[#This Row],[Market value in CCY]]</f>
        <v>0</v>
      </c>
      <c r="Q4" s="594">
        <f>T_deposits[[#This Row],[Exchange rate2]]</f>
        <v>1</v>
      </c>
      <c r="R4" s="590">
        <v>0.79149999999999998</v>
      </c>
      <c r="S4" s="593">
        <f>T_deposits[[#This Row],[Market price]]/T_deposits[[#This Row],[Cost price]]-1</f>
        <v>-6.4973419964559964E-2</v>
      </c>
      <c r="T4">
        <f>INDEX('Tech list'!A:C,MATCH(T_deposits[[#This Row],[Risk CCY]],'Tech list'!A:A,0),3)</f>
        <v>1</v>
      </c>
      <c r="U4" s="7">
        <v>796462.61</v>
      </c>
      <c r="V4" s="110">
        <f>T_deposits[[#This Row],[Market value in CCY]]*T_deposits[[#This Row],[Exchange rate2]]</f>
        <v>796462.61</v>
      </c>
      <c r="W4" s="18">
        <v>2</v>
      </c>
      <c r="X4" s="17">
        <v>45976</v>
      </c>
      <c r="Y4" s="17">
        <f>IFERROR(EDATE(T_deposits[[#This Row],[Coupon date 1]],12/$W4),"")</f>
        <v>46157</v>
      </c>
      <c r="Z4" s="17">
        <f>IFERROR(EDATE(T_deposits[[#This Row],[Coupon date 2]],12/$W4),"")</f>
        <v>46341</v>
      </c>
      <c r="AA4" s="17">
        <f>IFERROR(EDATE(T_deposits[[#This Row],[Coupon date 3]],12/$W4),"")</f>
        <v>46522</v>
      </c>
      <c r="AB4" s="17">
        <f>IFERROR(EDATE(T_deposits[[#This Row],[Coupon date 4]],12/$W4),"")</f>
        <v>46706</v>
      </c>
      <c r="AC4" s="17">
        <f>IFERROR(EDATE(T_deposits[[#This Row],[Coupon date 5]],12/$W4),"")</f>
        <v>46888</v>
      </c>
      <c r="AD4" s="17">
        <f>IFERROR(EDATE(T_deposits[[#This Row],[Coupon date 6]],12/$W4),"")</f>
        <v>47072</v>
      </c>
      <c r="AE4" s="17">
        <f>IFERROR(EDATE(T_deposits[[#This Row],[Coupon date 7]],12/$W4),"")</f>
        <v>47253</v>
      </c>
      <c r="AF4" s="17">
        <f>IFERROR(EDATE(T_deposits[[#This Row],[Coupon date 8]],12/$W4),"")</f>
        <v>47437</v>
      </c>
      <c r="AG4" s="17">
        <f>IFERROR(EDATE(T_deposits[[#This Row],[Coupon date 9]],12/$W4),"")</f>
        <v>47618</v>
      </c>
      <c r="AH4" s="17">
        <f>IFERROR(EDATE(T_deposits[[#This Row],[Coupon date 10]],12/$W4),"")</f>
        <v>47802</v>
      </c>
      <c r="AI4" s="17">
        <f>IFERROR(EDATE(T_deposits[[#This Row],[Coupon date 11]],12/$W4),"")</f>
        <v>47983</v>
      </c>
      <c r="AJ4" s="595">
        <f>IFERROR(IF(
OR(
AJ$1+1-1=MONTH(T_deposits[[#This Row],[Coupon date 1]]),
AJ$1+1-1=MONTH(T_deposits[[#This Row],[Coupon date 2]]),
AJ$1+1-1=MONTH(T_deposits[[#This Row],[Coupon date 3]]),
AJ$1+1-1=MONTH(T_deposits[[#This Row],[Coupon date 4]]),
AJ$1+1-1=MONTH(T_deposits[[#This Row],[Coupon date 5]]),
AJ$1+1-1=MONTH(T_deposits[[#This Row],[Coupon date 6]]),
AJ$1+1-1=MONTH(T_deposits[[#This Row],[Coupon date 7]]),
AJ$1+1-1=MONTH(T_deposits[[#This Row],[Coupon date 8]]),
AJ$1+1-1=MONTH(T_deposits[[#This Row],[Coupon date 9]]),
AJ$1+1-1=MONTH(T_deposits[[#This Row],[Coupon date 10]]),
AJ$1+1-1=MONTH(T_deposits[[#This Row],[Coupon date 11]]),
AJ$1+1-1=MONTH(T_deposits[[#This Row],[Coupon date 12]]),),
IF('CF USD'!$A$8="on",$H4,$H4)/T_deposits[[#This Row],[Coupons per annum]],0),
"")</f>
        <v>0</v>
      </c>
      <c r="AK4" s="595">
        <f>IFERROR(IF(
OR(
AK$1+1-1=MONTH(T_deposits[[#This Row],[Coupon date 1]]),
AK$1+1-1=MONTH(T_deposits[[#This Row],[Coupon date 2]]),
AK$1+1-1=MONTH(T_deposits[[#This Row],[Coupon date 3]]),
AK$1+1-1=MONTH(T_deposits[[#This Row],[Coupon date 4]]),
AK$1+1-1=MONTH(T_deposits[[#This Row],[Coupon date 5]]),
AK$1+1-1=MONTH(T_deposits[[#This Row],[Coupon date 6]]),
AK$1+1-1=MONTH(T_deposits[[#This Row],[Coupon date 7]]),
AK$1+1-1=MONTH(T_deposits[[#This Row],[Coupon date 8]]),
AK$1+1-1=MONTH(T_deposits[[#This Row],[Coupon date 9]]),
AK$1+1-1=MONTH(T_deposits[[#This Row],[Coupon date 10]]),
AK$1+1-1=MONTH(T_deposits[[#This Row],[Coupon date 11]]),
AK$1+1-1=MONTH(T_deposits[[#This Row],[Coupon date 12]]),),
IF('CF USD'!$A$8="on",$H4,$H4)/T_deposits[[#This Row],[Coupons per annum]],0),
"")</f>
        <v>0</v>
      </c>
      <c r="AL4" s="595">
        <f>IFERROR(IF(
OR(
AL$1+1-1=MONTH(T_deposits[[#This Row],[Coupon date 1]]),
AL$1+1-1=MONTH(T_deposits[[#This Row],[Coupon date 2]]),
AL$1+1-1=MONTH(T_deposits[[#This Row],[Coupon date 3]]),
AL$1+1-1=MONTH(T_deposits[[#This Row],[Coupon date 4]]),
AL$1+1-1=MONTH(T_deposits[[#This Row],[Coupon date 5]]),
AL$1+1-1=MONTH(T_deposits[[#This Row],[Coupon date 6]]),
AL$1+1-1=MONTH(T_deposits[[#This Row],[Coupon date 7]]),
AL$1+1-1=MONTH(T_deposits[[#This Row],[Coupon date 8]]),
AL$1+1-1=MONTH(T_deposits[[#This Row],[Coupon date 9]]),
AL$1+1-1=MONTH(T_deposits[[#This Row],[Coupon date 10]]),
AL$1+1-1=MONTH(T_deposits[[#This Row],[Coupon date 11]]),
AL$1+1-1=MONTH(T_deposits[[#This Row],[Coupon date 12]]),),
IF('CF USD'!$A$8="on",$H4,$H4)/T_deposits[[#This Row],[Coupons per annum]],0),
"")</f>
        <v>0</v>
      </c>
      <c r="AM4" s="595">
        <f>IFERROR(IF(
OR(
AM$1+1-1=MONTH(T_deposits[[#This Row],[Coupon date 1]]),
AM$1+1-1=MONTH(T_deposits[[#This Row],[Coupon date 2]]),
AM$1+1-1=MONTH(T_deposits[[#This Row],[Coupon date 3]]),
AM$1+1-1=MONTH(T_deposits[[#This Row],[Coupon date 4]]),
AM$1+1-1=MONTH(T_deposits[[#This Row],[Coupon date 5]]),
AM$1+1-1=MONTH(T_deposits[[#This Row],[Coupon date 6]]),
AM$1+1-1=MONTH(T_deposits[[#This Row],[Coupon date 7]]),
AM$1+1-1=MONTH(T_deposits[[#This Row],[Coupon date 8]]),
AM$1+1-1=MONTH(T_deposits[[#This Row],[Coupon date 9]]),
AM$1+1-1=MONTH(T_deposits[[#This Row],[Coupon date 10]]),
AM$1+1-1=MONTH(T_deposits[[#This Row],[Coupon date 11]]),
AM$1+1-1=MONTH(T_deposits[[#This Row],[Coupon date 12]]),),
IF('CF USD'!$A$8="on",$H4,$H4)/T_deposits[[#This Row],[Coupons per annum]],0),
"")</f>
        <v>0</v>
      </c>
      <c r="AN4" s="595">
        <f>IFERROR(IF(
OR(
AN$1+1-1=MONTH(T_deposits[[#This Row],[Coupon date 1]]),
AN$1+1-1=MONTH(T_deposits[[#This Row],[Coupon date 2]]),
AN$1+1-1=MONTH(T_deposits[[#This Row],[Coupon date 3]]),
AN$1+1-1=MONTH(T_deposits[[#This Row],[Coupon date 4]]),
AN$1+1-1=MONTH(T_deposits[[#This Row],[Coupon date 5]]),
AN$1+1-1=MONTH(T_deposits[[#This Row],[Coupon date 6]]),
AN$1+1-1=MONTH(T_deposits[[#This Row],[Coupon date 7]]),
AN$1+1-1=MONTH(T_deposits[[#This Row],[Coupon date 8]]),
AN$1+1-1=MONTH(T_deposits[[#This Row],[Coupon date 9]]),
AN$1+1-1=MONTH(T_deposits[[#This Row],[Coupon date 10]]),
AN$1+1-1=MONTH(T_deposits[[#This Row],[Coupon date 11]]),
AN$1+1-1=MONTH(T_deposits[[#This Row],[Coupon date 12]]),),
IF('CF USD'!$A$8="on",$H4,$H4)/T_deposits[[#This Row],[Coupons per annum]],0),
"")</f>
        <v>0</v>
      </c>
      <c r="AO4" s="595">
        <f>IFERROR(IF(
OR(
AO$1+1-1=MONTH(T_deposits[[#This Row],[Coupon date 1]]),
AO$1+1-1=MONTH(T_deposits[[#This Row],[Coupon date 2]]),
AO$1+1-1=MONTH(T_deposits[[#This Row],[Coupon date 3]]),
AO$1+1-1=MONTH(T_deposits[[#This Row],[Coupon date 4]]),
AO$1+1-1=MONTH(T_deposits[[#This Row],[Coupon date 5]]),
AO$1+1-1=MONTH(T_deposits[[#This Row],[Coupon date 6]]),
AO$1+1-1=MONTH(T_deposits[[#This Row],[Coupon date 7]]),
AO$1+1-1=MONTH(T_deposits[[#This Row],[Coupon date 8]]),
AO$1+1-1=MONTH(T_deposits[[#This Row],[Coupon date 9]]),
AO$1+1-1=MONTH(T_deposits[[#This Row],[Coupon date 10]]),
AO$1+1-1=MONTH(T_deposits[[#This Row],[Coupon date 11]]),
AO$1+1-1=MONTH(T_deposits[[#This Row],[Coupon date 12]]),),
IF('CF USD'!$A$8="on",$H4,$H4)/T_deposits[[#This Row],[Coupons per annum]],0),
"")</f>
        <v>0</v>
      </c>
      <c r="AP4" s="595">
        <f>IFERROR(IF(
OR(
AP$1+1-1=MONTH(T_deposits[[#This Row],[Coupon date 1]]),
AP$1+1-1=MONTH(T_deposits[[#This Row],[Coupon date 2]]),
AP$1+1-1=MONTH(T_deposits[[#This Row],[Coupon date 3]]),
AP$1+1-1=MONTH(T_deposits[[#This Row],[Coupon date 4]]),
AP$1+1-1=MONTH(T_deposits[[#This Row],[Coupon date 5]]),
AP$1+1-1=MONTH(T_deposits[[#This Row],[Coupon date 6]]),
AP$1+1-1=MONTH(T_deposits[[#This Row],[Coupon date 7]]),
AP$1+1-1=MONTH(T_deposits[[#This Row],[Coupon date 8]]),
AP$1+1-1=MONTH(T_deposits[[#This Row],[Coupon date 9]]),
AP$1+1-1=MONTH(T_deposits[[#This Row],[Coupon date 10]]),
AP$1+1-1=MONTH(T_deposits[[#This Row],[Coupon date 11]]),
AP$1+1-1=MONTH(T_deposits[[#This Row],[Coupon date 12]]),),
IF('CF USD'!$A$8="on",$H4,$H4)/T_deposits[[#This Row],[Coupons per annum]],0),
"")</f>
        <v>0</v>
      </c>
      <c r="AQ4" s="595">
        <f>IFERROR(IF(
OR(
AQ$1+1-1=MONTH(T_deposits[[#This Row],[Coupon date 1]]),
AQ$1+1-1=MONTH(T_deposits[[#This Row],[Coupon date 2]]),
AQ$1+1-1=MONTH(T_deposits[[#This Row],[Coupon date 3]]),
AQ$1+1-1=MONTH(T_deposits[[#This Row],[Coupon date 4]]),
AQ$1+1-1=MONTH(T_deposits[[#This Row],[Coupon date 5]]),
AQ$1+1-1=MONTH(T_deposits[[#This Row],[Coupon date 6]]),
AQ$1+1-1=MONTH(T_deposits[[#This Row],[Coupon date 7]]),
AQ$1+1-1=MONTH(T_deposits[[#This Row],[Coupon date 8]]),
AQ$1+1-1=MONTH(T_deposits[[#This Row],[Coupon date 9]]),
AQ$1+1-1=MONTH(T_deposits[[#This Row],[Coupon date 10]]),
AQ$1+1-1=MONTH(T_deposits[[#This Row],[Coupon date 11]]),
AQ$1+1-1=MONTH(T_deposits[[#This Row],[Coupon date 12]]),),
IF('CF USD'!$A$8="on",$H4,$H4)/T_deposits[[#This Row],[Coupons per annum]],0),
"")</f>
        <v>0</v>
      </c>
      <c r="AR4" s="595">
        <f>IFERROR(IF(
OR(
AR$1+1-1=MONTH(T_deposits[[#This Row],[Coupon date 1]]),
AR$1+1-1=MONTH(T_deposits[[#This Row],[Coupon date 2]]),
AR$1+1-1=MONTH(T_deposits[[#This Row],[Coupon date 3]]),
AR$1+1-1=MONTH(T_deposits[[#This Row],[Coupon date 4]]),
AR$1+1-1=MONTH(T_deposits[[#This Row],[Coupon date 5]]),
AR$1+1-1=MONTH(T_deposits[[#This Row],[Coupon date 6]]),
AR$1+1-1=MONTH(T_deposits[[#This Row],[Coupon date 7]]),
AR$1+1-1=MONTH(T_deposits[[#This Row],[Coupon date 8]]),
AR$1+1-1=MONTH(T_deposits[[#This Row],[Coupon date 9]]),
AR$1+1-1=MONTH(T_deposits[[#This Row],[Coupon date 10]]),
AR$1+1-1=MONTH(T_deposits[[#This Row],[Coupon date 11]]),
AR$1+1-1=MONTH(T_deposits[[#This Row],[Coupon date 12]]),),
IF('CF USD'!$A$8="on",$H4,$H4)/T_deposits[[#This Row],[Coupons per annum]],0),
"")</f>
        <v>0</v>
      </c>
      <c r="AS4" s="595">
        <f>IFERROR(IF(
OR(
AS$1+1-1=MONTH(T_deposits[[#This Row],[Coupon date 1]]),
AS$1+1-1=MONTH(T_deposits[[#This Row],[Coupon date 2]]),
AS$1+1-1=MONTH(T_deposits[[#This Row],[Coupon date 3]]),
AS$1+1-1=MONTH(T_deposits[[#This Row],[Coupon date 4]]),
AS$1+1-1=MONTH(T_deposits[[#This Row],[Coupon date 5]]),
AS$1+1-1=MONTH(T_deposits[[#This Row],[Coupon date 6]]),
AS$1+1-1=MONTH(T_deposits[[#This Row],[Coupon date 7]]),
AS$1+1-1=MONTH(T_deposits[[#This Row],[Coupon date 8]]),
AS$1+1-1=MONTH(T_deposits[[#This Row],[Coupon date 9]]),
AS$1+1-1=MONTH(T_deposits[[#This Row],[Coupon date 10]]),
AS$1+1-1=MONTH(T_deposits[[#This Row],[Coupon date 11]]),
AS$1+1-1=MONTH(T_deposits[[#This Row],[Coupon date 12]]),),
IF('CF USD'!$A$8="on",$H4,$H4)/T_deposits[[#This Row],[Coupons per annum]],0),
"")</f>
        <v>0</v>
      </c>
      <c r="AT4" s="595">
        <f>IFERROR(IF(
OR(
AT$1+1-1=MONTH(T_deposits[[#This Row],[Coupon date 1]]),
AT$1+1-1=MONTH(T_deposits[[#This Row],[Coupon date 2]]),
AT$1+1-1=MONTH(T_deposits[[#This Row],[Coupon date 3]]),
AT$1+1-1=MONTH(T_deposits[[#This Row],[Coupon date 4]]),
AT$1+1-1=MONTH(T_deposits[[#This Row],[Coupon date 5]]),
AT$1+1-1=MONTH(T_deposits[[#This Row],[Coupon date 6]]),
AT$1+1-1=MONTH(T_deposits[[#This Row],[Coupon date 7]]),
AT$1+1-1=MONTH(T_deposits[[#This Row],[Coupon date 8]]),
AT$1+1-1=MONTH(T_deposits[[#This Row],[Coupon date 9]]),
AT$1+1-1=MONTH(T_deposits[[#This Row],[Coupon date 10]]),
AT$1+1-1=MONTH(T_deposits[[#This Row],[Coupon date 11]]),
AT$1+1-1=MONTH(T_deposits[[#This Row],[Coupon date 12]]),),
IF('CF USD'!$A$8="on",$H4,$H4)/T_deposits[[#This Row],[Coupons per annum]],0),
"")</f>
        <v>0</v>
      </c>
      <c r="AU4" s="595">
        <f>IFERROR(IF(
OR(
AU$1+1-1=MONTH(T_deposits[[#This Row],[Coupon date 1]]),
AU$1+1-1=MONTH(T_deposits[[#This Row],[Coupon date 2]]),
AU$1+1-1=MONTH(T_deposits[[#This Row],[Coupon date 3]]),
AU$1+1-1=MONTH(T_deposits[[#This Row],[Coupon date 4]]),
AU$1+1-1=MONTH(T_deposits[[#This Row],[Coupon date 5]]),
AU$1+1-1=MONTH(T_deposits[[#This Row],[Coupon date 6]]),
AU$1+1-1=MONTH(T_deposits[[#This Row],[Coupon date 7]]),
AU$1+1-1=MONTH(T_deposits[[#This Row],[Coupon date 8]]),
AU$1+1-1=MONTH(T_deposits[[#This Row],[Coupon date 9]]),
AU$1+1-1=MONTH(T_deposits[[#This Row],[Coupon date 10]]),
AU$1+1-1=MONTH(T_deposits[[#This Row],[Coupon date 11]]),
AU$1+1-1=MONTH(T_deposits[[#This Row],[Coupon date 12]]),),
IF('CF USD'!$A$8="on",$H4,$H4)/T_deposits[[#This Row],[Coupons per annum]],0),
"")</f>
        <v>0</v>
      </c>
    </row>
    <row r="5" spans="1:47" x14ac:dyDescent="0.25">
      <c r="A5" t="s">
        <v>90</v>
      </c>
      <c r="B5" t="s">
        <v>479</v>
      </c>
      <c r="C5" t="s">
        <v>1345</v>
      </c>
      <c r="D5" s="1" t="s">
        <v>18</v>
      </c>
      <c r="E5" t="s">
        <v>782</v>
      </c>
      <c r="F5" s="224">
        <v>0</v>
      </c>
      <c r="G5" s="592">
        <v>4.2500000000000003E-2</v>
      </c>
      <c r="H5" s="591">
        <f>T_deposits[[#This Row],[Coupon in USD]]</f>
        <v>0</v>
      </c>
      <c r="I5" s="6">
        <f>IF(T5&lt;&gt;1,F5*G5*T5,F5*G5)</f>
        <v>0</v>
      </c>
      <c r="J5" s="6">
        <f>T_deposits[[#This Row],[Coupon in Loc.Curr]]/T_deposits[[#This Row],[Exchange rate2]]</f>
        <v>0</v>
      </c>
      <c r="K5" s="587">
        <v>50905</v>
      </c>
      <c r="L5" s="20">
        <v>4.4510000000000001E-2</v>
      </c>
      <c r="M5" s="17">
        <v>44880</v>
      </c>
      <c r="N5" s="588">
        <f>L5*F5</f>
        <v>0</v>
      </c>
      <c r="O5" s="589">
        <v>1.028</v>
      </c>
      <c r="P5" s="10">
        <f>T_deposits[[#This Row],[Coupon in Loc.Curr]]/T_deposits[[#This Row],[Market value in CCY]]</f>
        <v>0</v>
      </c>
      <c r="Q5" s="594">
        <f>T_deposits[[#This Row],[Exchange rate2]]</f>
        <v>1</v>
      </c>
      <c r="R5" s="590">
        <v>0.97740000000000005</v>
      </c>
      <c r="S5" s="593">
        <f>T_deposits[[#This Row],[Market price]]/T_deposits[[#This Row],[Cost price]]-1</f>
        <v>-4.9221789883268419E-2</v>
      </c>
      <c r="T5">
        <f>INDEX('Tech list'!A:C,MATCH(T_deposits[[#This Row],[Risk CCY]],'Tech list'!A:A,0),3)</f>
        <v>1</v>
      </c>
      <c r="U5" s="7">
        <v>981896.88</v>
      </c>
      <c r="V5" s="110">
        <f>T_deposits[[#This Row],[Market value in CCY]]*T_deposits[[#This Row],[Exchange rate2]]</f>
        <v>981896.88</v>
      </c>
      <c r="W5" s="18">
        <v>2</v>
      </c>
      <c r="X5" s="17">
        <v>45976</v>
      </c>
      <c r="Y5" s="17">
        <f>IFERROR(EDATE(T_deposits[[#This Row],[Coupon date 1]],12/$W5),"")</f>
        <v>46157</v>
      </c>
      <c r="Z5" s="17">
        <f>IFERROR(EDATE(T_deposits[[#This Row],[Coupon date 2]],12/$W5),"")</f>
        <v>46341</v>
      </c>
      <c r="AA5" s="17">
        <f>IFERROR(EDATE(T_deposits[[#This Row],[Coupon date 3]],12/$W5),"")</f>
        <v>46522</v>
      </c>
      <c r="AB5" s="17">
        <f>IFERROR(EDATE(T_deposits[[#This Row],[Coupon date 4]],12/$W5),"")</f>
        <v>46706</v>
      </c>
      <c r="AC5" s="17">
        <f>IFERROR(EDATE(T_deposits[[#This Row],[Coupon date 5]],12/$W5),"")</f>
        <v>46888</v>
      </c>
      <c r="AD5" s="17">
        <f>IFERROR(EDATE(T_deposits[[#This Row],[Coupon date 6]],12/$W5),"")</f>
        <v>47072</v>
      </c>
      <c r="AE5" s="17">
        <f>IFERROR(EDATE(T_deposits[[#This Row],[Coupon date 7]],12/$W5),"")</f>
        <v>47253</v>
      </c>
      <c r="AF5" s="17">
        <f>IFERROR(EDATE(T_deposits[[#This Row],[Coupon date 8]],12/$W5),"")</f>
        <v>47437</v>
      </c>
      <c r="AG5" s="17">
        <f>IFERROR(EDATE(T_deposits[[#This Row],[Coupon date 9]],12/$W5),"")</f>
        <v>47618</v>
      </c>
      <c r="AH5" s="17">
        <f>IFERROR(EDATE(T_deposits[[#This Row],[Coupon date 10]],12/$W5),"")</f>
        <v>47802</v>
      </c>
      <c r="AI5" s="17">
        <f>IFERROR(EDATE(T_deposits[[#This Row],[Coupon date 11]],12/$W5),"")</f>
        <v>47983</v>
      </c>
      <c r="AJ5" s="595">
        <f>IFERROR(IF(
OR(
AJ$1+1-1=MONTH(T_deposits[[#This Row],[Coupon date 1]]),
AJ$1+1-1=MONTH(T_deposits[[#This Row],[Coupon date 2]]),
AJ$1+1-1=MONTH(T_deposits[[#This Row],[Coupon date 3]]),
AJ$1+1-1=MONTH(T_deposits[[#This Row],[Coupon date 4]]),
AJ$1+1-1=MONTH(T_deposits[[#This Row],[Coupon date 5]]),
AJ$1+1-1=MONTH(T_deposits[[#This Row],[Coupon date 6]]),
AJ$1+1-1=MONTH(T_deposits[[#This Row],[Coupon date 7]]),
AJ$1+1-1=MONTH(T_deposits[[#This Row],[Coupon date 8]]),
AJ$1+1-1=MONTH(T_deposits[[#This Row],[Coupon date 9]]),
AJ$1+1-1=MONTH(T_deposits[[#This Row],[Coupon date 10]]),
AJ$1+1-1=MONTH(T_deposits[[#This Row],[Coupon date 11]]),
AJ$1+1-1=MONTH(T_deposits[[#This Row],[Coupon date 12]]),),
IF('CF USD'!$A$8="on",$H5,$H5)/T_deposits[[#This Row],[Coupons per annum]],0),
"")</f>
        <v>0</v>
      </c>
      <c r="AK5" s="595">
        <f>IFERROR(IF(
OR(
AK$1+1-1=MONTH(T_deposits[[#This Row],[Coupon date 1]]),
AK$1+1-1=MONTH(T_deposits[[#This Row],[Coupon date 2]]),
AK$1+1-1=MONTH(T_deposits[[#This Row],[Coupon date 3]]),
AK$1+1-1=MONTH(T_deposits[[#This Row],[Coupon date 4]]),
AK$1+1-1=MONTH(T_deposits[[#This Row],[Coupon date 5]]),
AK$1+1-1=MONTH(T_deposits[[#This Row],[Coupon date 6]]),
AK$1+1-1=MONTH(T_deposits[[#This Row],[Coupon date 7]]),
AK$1+1-1=MONTH(T_deposits[[#This Row],[Coupon date 8]]),
AK$1+1-1=MONTH(T_deposits[[#This Row],[Coupon date 9]]),
AK$1+1-1=MONTH(T_deposits[[#This Row],[Coupon date 10]]),
AK$1+1-1=MONTH(T_deposits[[#This Row],[Coupon date 11]]),
AK$1+1-1=MONTH(T_deposits[[#This Row],[Coupon date 12]]),),
IF('CF USD'!$A$8="on",$H5,$H5)/T_deposits[[#This Row],[Coupons per annum]],0),
"")</f>
        <v>0</v>
      </c>
      <c r="AL5" s="595">
        <f>IFERROR(IF(
OR(
AL$1+1-1=MONTH(T_deposits[[#This Row],[Coupon date 1]]),
AL$1+1-1=MONTH(T_deposits[[#This Row],[Coupon date 2]]),
AL$1+1-1=MONTH(T_deposits[[#This Row],[Coupon date 3]]),
AL$1+1-1=MONTH(T_deposits[[#This Row],[Coupon date 4]]),
AL$1+1-1=MONTH(T_deposits[[#This Row],[Coupon date 5]]),
AL$1+1-1=MONTH(T_deposits[[#This Row],[Coupon date 6]]),
AL$1+1-1=MONTH(T_deposits[[#This Row],[Coupon date 7]]),
AL$1+1-1=MONTH(T_deposits[[#This Row],[Coupon date 8]]),
AL$1+1-1=MONTH(T_deposits[[#This Row],[Coupon date 9]]),
AL$1+1-1=MONTH(T_deposits[[#This Row],[Coupon date 10]]),
AL$1+1-1=MONTH(T_deposits[[#This Row],[Coupon date 11]]),
AL$1+1-1=MONTH(T_deposits[[#This Row],[Coupon date 12]]),),
IF('CF USD'!$A$8="on",$H5,$H5)/T_deposits[[#This Row],[Coupons per annum]],0),
"")</f>
        <v>0</v>
      </c>
      <c r="AM5" s="595">
        <f>IFERROR(IF(
OR(
AM$1+1-1=MONTH(T_deposits[[#This Row],[Coupon date 1]]),
AM$1+1-1=MONTH(T_deposits[[#This Row],[Coupon date 2]]),
AM$1+1-1=MONTH(T_deposits[[#This Row],[Coupon date 3]]),
AM$1+1-1=MONTH(T_deposits[[#This Row],[Coupon date 4]]),
AM$1+1-1=MONTH(T_deposits[[#This Row],[Coupon date 5]]),
AM$1+1-1=MONTH(T_deposits[[#This Row],[Coupon date 6]]),
AM$1+1-1=MONTH(T_deposits[[#This Row],[Coupon date 7]]),
AM$1+1-1=MONTH(T_deposits[[#This Row],[Coupon date 8]]),
AM$1+1-1=MONTH(T_deposits[[#This Row],[Coupon date 9]]),
AM$1+1-1=MONTH(T_deposits[[#This Row],[Coupon date 10]]),
AM$1+1-1=MONTH(T_deposits[[#This Row],[Coupon date 11]]),
AM$1+1-1=MONTH(T_deposits[[#This Row],[Coupon date 12]]),),
IF('CF USD'!$A$8="on",$H5,$H5)/T_deposits[[#This Row],[Coupons per annum]],0),
"")</f>
        <v>0</v>
      </c>
      <c r="AN5" s="595">
        <f>IFERROR(IF(
OR(
AN$1+1-1=MONTH(T_deposits[[#This Row],[Coupon date 1]]),
AN$1+1-1=MONTH(T_deposits[[#This Row],[Coupon date 2]]),
AN$1+1-1=MONTH(T_deposits[[#This Row],[Coupon date 3]]),
AN$1+1-1=MONTH(T_deposits[[#This Row],[Coupon date 4]]),
AN$1+1-1=MONTH(T_deposits[[#This Row],[Coupon date 5]]),
AN$1+1-1=MONTH(T_deposits[[#This Row],[Coupon date 6]]),
AN$1+1-1=MONTH(T_deposits[[#This Row],[Coupon date 7]]),
AN$1+1-1=MONTH(T_deposits[[#This Row],[Coupon date 8]]),
AN$1+1-1=MONTH(T_deposits[[#This Row],[Coupon date 9]]),
AN$1+1-1=MONTH(T_deposits[[#This Row],[Coupon date 10]]),
AN$1+1-1=MONTH(T_deposits[[#This Row],[Coupon date 11]]),
AN$1+1-1=MONTH(T_deposits[[#This Row],[Coupon date 12]]),),
IF('CF USD'!$A$8="on",$H5,$H5)/T_deposits[[#This Row],[Coupons per annum]],0),
"")</f>
        <v>0</v>
      </c>
      <c r="AO5" s="595">
        <f>IFERROR(IF(
OR(
AO$1+1-1=MONTH(T_deposits[[#This Row],[Coupon date 1]]),
AO$1+1-1=MONTH(T_deposits[[#This Row],[Coupon date 2]]),
AO$1+1-1=MONTH(T_deposits[[#This Row],[Coupon date 3]]),
AO$1+1-1=MONTH(T_deposits[[#This Row],[Coupon date 4]]),
AO$1+1-1=MONTH(T_deposits[[#This Row],[Coupon date 5]]),
AO$1+1-1=MONTH(T_deposits[[#This Row],[Coupon date 6]]),
AO$1+1-1=MONTH(T_deposits[[#This Row],[Coupon date 7]]),
AO$1+1-1=MONTH(T_deposits[[#This Row],[Coupon date 8]]),
AO$1+1-1=MONTH(T_deposits[[#This Row],[Coupon date 9]]),
AO$1+1-1=MONTH(T_deposits[[#This Row],[Coupon date 10]]),
AO$1+1-1=MONTH(T_deposits[[#This Row],[Coupon date 11]]),
AO$1+1-1=MONTH(T_deposits[[#This Row],[Coupon date 12]]),),
IF('CF USD'!$A$8="on",$H5,$H5)/T_deposits[[#This Row],[Coupons per annum]],0),
"")</f>
        <v>0</v>
      </c>
      <c r="AP5" s="595">
        <f>IFERROR(IF(
OR(
AP$1+1-1=MONTH(T_deposits[[#This Row],[Coupon date 1]]),
AP$1+1-1=MONTH(T_deposits[[#This Row],[Coupon date 2]]),
AP$1+1-1=MONTH(T_deposits[[#This Row],[Coupon date 3]]),
AP$1+1-1=MONTH(T_deposits[[#This Row],[Coupon date 4]]),
AP$1+1-1=MONTH(T_deposits[[#This Row],[Coupon date 5]]),
AP$1+1-1=MONTH(T_deposits[[#This Row],[Coupon date 6]]),
AP$1+1-1=MONTH(T_deposits[[#This Row],[Coupon date 7]]),
AP$1+1-1=MONTH(T_deposits[[#This Row],[Coupon date 8]]),
AP$1+1-1=MONTH(T_deposits[[#This Row],[Coupon date 9]]),
AP$1+1-1=MONTH(T_deposits[[#This Row],[Coupon date 10]]),
AP$1+1-1=MONTH(T_deposits[[#This Row],[Coupon date 11]]),
AP$1+1-1=MONTH(T_deposits[[#This Row],[Coupon date 12]]),),
IF('CF USD'!$A$8="on",$H5,$H5)/T_deposits[[#This Row],[Coupons per annum]],0),
"")</f>
        <v>0</v>
      </c>
      <c r="AQ5" s="595">
        <f>IFERROR(IF(
OR(
AQ$1+1-1=MONTH(T_deposits[[#This Row],[Coupon date 1]]),
AQ$1+1-1=MONTH(T_deposits[[#This Row],[Coupon date 2]]),
AQ$1+1-1=MONTH(T_deposits[[#This Row],[Coupon date 3]]),
AQ$1+1-1=MONTH(T_deposits[[#This Row],[Coupon date 4]]),
AQ$1+1-1=MONTH(T_deposits[[#This Row],[Coupon date 5]]),
AQ$1+1-1=MONTH(T_deposits[[#This Row],[Coupon date 6]]),
AQ$1+1-1=MONTH(T_deposits[[#This Row],[Coupon date 7]]),
AQ$1+1-1=MONTH(T_deposits[[#This Row],[Coupon date 8]]),
AQ$1+1-1=MONTH(T_deposits[[#This Row],[Coupon date 9]]),
AQ$1+1-1=MONTH(T_deposits[[#This Row],[Coupon date 10]]),
AQ$1+1-1=MONTH(T_deposits[[#This Row],[Coupon date 11]]),
AQ$1+1-1=MONTH(T_deposits[[#This Row],[Coupon date 12]]),),
IF('CF USD'!$A$8="on",$H5,$H5)/T_deposits[[#This Row],[Coupons per annum]],0),
"")</f>
        <v>0</v>
      </c>
      <c r="AR5" s="595">
        <f>IFERROR(IF(
OR(
AR$1+1-1=MONTH(T_deposits[[#This Row],[Coupon date 1]]),
AR$1+1-1=MONTH(T_deposits[[#This Row],[Coupon date 2]]),
AR$1+1-1=MONTH(T_deposits[[#This Row],[Coupon date 3]]),
AR$1+1-1=MONTH(T_deposits[[#This Row],[Coupon date 4]]),
AR$1+1-1=MONTH(T_deposits[[#This Row],[Coupon date 5]]),
AR$1+1-1=MONTH(T_deposits[[#This Row],[Coupon date 6]]),
AR$1+1-1=MONTH(T_deposits[[#This Row],[Coupon date 7]]),
AR$1+1-1=MONTH(T_deposits[[#This Row],[Coupon date 8]]),
AR$1+1-1=MONTH(T_deposits[[#This Row],[Coupon date 9]]),
AR$1+1-1=MONTH(T_deposits[[#This Row],[Coupon date 10]]),
AR$1+1-1=MONTH(T_deposits[[#This Row],[Coupon date 11]]),
AR$1+1-1=MONTH(T_deposits[[#This Row],[Coupon date 12]]),),
IF('CF USD'!$A$8="on",$H5,$H5)/T_deposits[[#This Row],[Coupons per annum]],0),
"")</f>
        <v>0</v>
      </c>
      <c r="AS5" s="595">
        <f>IFERROR(IF(
OR(
AS$1+1-1=MONTH(T_deposits[[#This Row],[Coupon date 1]]),
AS$1+1-1=MONTH(T_deposits[[#This Row],[Coupon date 2]]),
AS$1+1-1=MONTH(T_deposits[[#This Row],[Coupon date 3]]),
AS$1+1-1=MONTH(T_deposits[[#This Row],[Coupon date 4]]),
AS$1+1-1=MONTH(T_deposits[[#This Row],[Coupon date 5]]),
AS$1+1-1=MONTH(T_deposits[[#This Row],[Coupon date 6]]),
AS$1+1-1=MONTH(T_deposits[[#This Row],[Coupon date 7]]),
AS$1+1-1=MONTH(T_deposits[[#This Row],[Coupon date 8]]),
AS$1+1-1=MONTH(T_deposits[[#This Row],[Coupon date 9]]),
AS$1+1-1=MONTH(T_deposits[[#This Row],[Coupon date 10]]),
AS$1+1-1=MONTH(T_deposits[[#This Row],[Coupon date 11]]),
AS$1+1-1=MONTH(T_deposits[[#This Row],[Coupon date 12]]),),
IF('CF USD'!$A$8="on",$H5,$H5)/T_deposits[[#This Row],[Coupons per annum]],0),
"")</f>
        <v>0</v>
      </c>
      <c r="AT5" s="595">
        <f>IFERROR(IF(
OR(
AT$1+1-1=MONTH(T_deposits[[#This Row],[Coupon date 1]]),
AT$1+1-1=MONTH(T_deposits[[#This Row],[Coupon date 2]]),
AT$1+1-1=MONTH(T_deposits[[#This Row],[Coupon date 3]]),
AT$1+1-1=MONTH(T_deposits[[#This Row],[Coupon date 4]]),
AT$1+1-1=MONTH(T_deposits[[#This Row],[Coupon date 5]]),
AT$1+1-1=MONTH(T_deposits[[#This Row],[Coupon date 6]]),
AT$1+1-1=MONTH(T_deposits[[#This Row],[Coupon date 7]]),
AT$1+1-1=MONTH(T_deposits[[#This Row],[Coupon date 8]]),
AT$1+1-1=MONTH(T_deposits[[#This Row],[Coupon date 9]]),
AT$1+1-1=MONTH(T_deposits[[#This Row],[Coupon date 10]]),
AT$1+1-1=MONTH(T_deposits[[#This Row],[Coupon date 11]]),
AT$1+1-1=MONTH(T_deposits[[#This Row],[Coupon date 12]]),),
IF('CF USD'!$A$8="on",$H5,$H5)/T_deposits[[#This Row],[Coupons per annum]],0),
"")</f>
        <v>0</v>
      </c>
      <c r="AU5" s="595">
        <f>IFERROR(IF(
OR(
AU$1+1-1=MONTH(T_deposits[[#This Row],[Coupon date 1]]),
AU$1+1-1=MONTH(T_deposits[[#This Row],[Coupon date 2]]),
AU$1+1-1=MONTH(T_deposits[[#This Row],[Coupon date 3]]),
AU$1+1-1=MONTH(T_deposits[[#This Row],[Coupon date 4]]),
AU$1+1-1=MONTH(T_deposits[[#This Row],[Coupon date 5]]),
AU$1+1-1=MONTH(T_deposits[[#This Row],[Coupon date 6]]),
AU$1+1-1=MONTH(T_deposits[[#This Row],[Coupon date 7]]),
AU$1+1-1=MONTH(T_deposits[[#This Row],[Coupon date 8]]),
AU$1+1-1=MONTH(T_deposits[[#This Row],[Coupon date 9]]),
AU$1+1-1=MONTH(T_deposits[[#This Row],[Coupon date 10]]),
AU$1+1-1=MONTH(T_deposits[[#This Row],[Coupon date 11]]),
AU$1+1-1=MONTH(T_deposits[[#This Row],[Coupon date 12]]),),
IF('CF USD'!$A$8="on",$H5,$H5)/T_deposits[[#This Row],[Coupons per annum]],0),
"")</f>
        <v>0</v>
      </c>
    </row>
    <row r="6" spans="1:47" x14ac:dyDescent="0.25">
      <c r="A6" t="s">
        <v>51</v>
      </c>
      <c r="B6" t="s">
        <v>479</v>
      </c>
      <c r="C6" t="s">
        <v>2251</v>
      </c>
      <c r="D6" s="1" t="s">
        <v>18</v>
      </c>
      <c r="E6" s="640" t="s">
        <v>2252</v>
      </c>
      <c r="F6" s="224">
        <v>168000</v>
      </c>
      <c r="G6" s="592">
        <f>T_deposits[[#This Row],[Coupon in Loc.Curr]]/T_deposits[[#This Row],[Quantity]]</f>
        <v>3.6950038938728565E-2</v>
      </c>
      <c r="H6" s="591">
        <f>F6*(1-O6)</f>
        <v>1581.6641325443702</v>
      </c>
      <c r="I6" s="6">
        <f>T_deposits[[#This Row],[Coupon in USD, real]]*365/(T_deposits[[#This Row],[Maturity]]-T_deposits[[#This Row],[Purchase date]])</f>
        <v>6207.6065417063992</v>
      </c>
      <c r="J6" s="6">
        <f>T_deposits[[#This Row],[Coupon in Loc.Curr]]</f>
        <v>6207.6065417063992</v>
      </c>
      <c r="K6" s="587">
        <v>46086</v>
      </c>
      <c r="L6" s="20">
        <f>T_deposits[[#This Row],[Coupon]]</f>
        <v>3.6950038938728565E-2</v>
      </c>
      <c r="M6" s="17">
        <v>45993</v>
      </c>
      <c r="N6" s="588">
        <f>L6*F6</f>
        <v>6207.6065417063992</v>
      </c>
      <c r="O6" s="589">
        <v>0.99058533254437875</v>
      </c>
      <c r="P6" s="10">
        <f>T_deposits[[#This Row],[Coupon in Loc.Curr]]/T_deposits[[#This Row],[Market value in CCY]]</f>
        <v>3.7154388073130783E-2</v>
      </c>
      <c r="Q6" s="594">
        <f>T_deposits[[#This Row],[Exchange rate2]]</f>
        <v>1</v>
      </c>
      <c r="R6" s="590">
        <v>0.99450000000000005</v>
      </c>
      <c r="S6" s="593">
        <f>T_deposits[[#This Row],[Market price]]/T_deposits[[#This Row],[Cost price]]-1</f>
        <v>3.9518730259877621E-3</v>
      </c>
      <c r="T6">
        <f>INDEX('Tech list'!A:C,MATCH(T_deposits[[#This Row],[Risk CCY]],'Tech list'!A:A,0),3)</f>
        <v>1</v>
      </c>
      <c r="U6" s="7">
        <f>T_deposits[[#This Row],[Market price]]*T_deposits[[#This Row],[Quantity]]</f>
        <v>167076</v>
      </c>
      <c r="V6" s="110">
        <f>T_deposits[[#This Row],[Market value in CCY]]*T_deposits[[#This Row],[Exchange rate2]]</f>
        <v>167076</v>
      </c>
      <c r="W6" s="18">
        <v>1</v>
      </c>
      <c r="X6" s="17">
        <f>T_deposits[[#This Row],[Maturity]]</f>
        <v>46086</v>
      </c>
      <c r="Y6" s="17">
        <f>IFERROR(EDATE(T_deposits[[#This Row],[Coupon date 1]],12/$W6),"")</f>
        <v>46451</v>
      </c>
      <c r="Z6" s="17">
        <f>IFERROR(EDATE(T_deposits[[#This Row],[Coupon date 2]],12/$W6),"")</f>
        <v>46817</v>
      </c>
      <c r="AA6" s="17">
        <f>IFERROR(EDATE(T_deposits[[#This Row],[Coupon date 3]],12/$W6),"")</f>
        <v>47182</v>
      </c>
      <c r="AB6" s="17">
        <f>IFERROR(EDATE(T_deposits[[#This Row],[Coupon date 4]],12/$W6),"")</f>
        <v>47547</v>
      </c>
      <c r="AC6" s="17">
        <f>IFERROR(EDATE(T_deposits[[#This Row],[Coupon date 5]],12/$W6),"")</f>
        <v>47912</v>
      </c>
      <c r="AD6" s="17">
        <f>IFERROR(EDATE(T_deposits[[#This Row],[Coupon date 6]],12/$W6),"")</f>
        <v>48278</v>
      </c>
      <c r="AE6" s="17">
        <f>IFERROR(EDATE(T_deposits[[#This Row],[Coupon date 7]],12/$W6),"")</f>
        <v>48643</v>
      </c>
      <c r="AF6" s="17">
        <f>IFERROR(EDATE(T_deposits[[#This Row],[Coupon date 8]],12/$W6),"")</f>
        <v>49008</v>
      </c>
      <c r="AG6" s="17">
        <f>IFERROR(EDATE(T_deposits[[#This Row],[Coupon date 9]],12/$W6),"")</f>
        <v>49373</v>
      </c>
      <c r="AH6" s="17">
        <f>IFERROR(EDATE(T_deposits[[#This Row],[Coupon date 10]],12/$W6),"")</f>
        <v>49739</v>
      </c>
      <c r="AI6" s="17">
        <f>IFERROR(EDATE(T_deposits[[#This Row],[Coupon date 11]],12/$W6),"")</f>
        <v>50104</v>
      </c>
      <c r="AJ6" s="595">
        <f>IFERROR(IF(
OR(
AJ$1+1-1=MONTH(T_deposits[[#This Row],[Coupon date 1]]),
AJ$1+1-1=MONTH(T_deposits[[#This Row],[Coupon date 2]]),
AJ$1+1-1=MONTH(T_deposits[[#This Row],[Coupon date 3]]),
AJ$1+1-1=MONTH(T_deposits[[#This Row],[Coupon date 4]]),
AJ$1+1-1=MONTH(T_deposits[[#This Row],[Coupon date 5]]),
AJ$1+1-1=MONTH(T_deposits[[#This Row],[Coupon date 6]]),
AJ$1+1-1=MONTH(T_deposits[[#This Row],[Coupon date 7]]),
AJ$1+1-1=MONTH(T_deposits[[#This Row],[Coupon date 8]]),
AJ$1+1-1=MONTH(T_deposits[[#This Row],[Coupon date 9]]),
AJ$1+1-1=MONTH(T_deposits[[#This Row],[Coupon date 10]]),
AJ$1+1-1=MONTH(T_deposits[[#This Row],[Coupon date 11]]),
AJ$1+1-1=MONTH(T_deposits[[#This Row],[Coupon date 12]]),),
IF('CF USD'!$A$8="on",$H6,$H6)/T_deposits[[#This Row],[Coupons per annum]],0),
"")</f>
        <v>0</v>
      </c>
      <c r="AK6" s="595">
        <f>IFERROR(IF(
OR(
AK$1+1-1=MONTH(T_deposits[[#This Row],[Coupon date 1]]),
AK$1+1-1=MONTH(T_deposits[[#This Row],[Coupon date 2]]),
AK$1+1-1=MONTH(T_deposits[[#This Row],[Coupon date 3]]),
AK$1+1-1=MONTH(T_deposits[[#This Row],[Coupon date 4]]),
AK$1+1-1=MONTH(T_deposits[[#This Row],[Coupon date 5]]),
AK$1+1-1=MONTH(T_deposits[[#This Row],[Coupon date 6]]),
AK$1+1-1=MONTH(T_deposits[[#This Row],[Coupon date 7]]),
AK$1+1-1=MONTH(T_deposits[[#This Row],[Coupon date 8]]),
AK$1+1-1=MONTH(T_deposits[[#This Row],[Coupon date 9]]),
AK$1+1-1=MONTH(T_deposits[[#This Row],[Coupon date 10]]),
AK$1+1-1=MONTH(T_deposits[[#This Row],[Coupon date 11]]),
AK$1+1-1=MONTH(T_deposits[[#This Row],[Coupon date 12]]),),
IF('CF USD'!$A$8="on",$H6,$H6)/T_deposits[[#This Row],[Coupons per annum]],0),
"")</f>
        <v>0</v>
      </c>
      <c r="AL6" s="595">
        <f>IFERROR(IF(
OR(
AL$1+1-1=MONTH(T_deposits[[#This Row],[Coupon date 1]]),
AL$1+1-1=MONTH(T_deposits[[#This Row],[Coupon date 2]]),
AL$1+1-1=MONTH(T_deposits[[#This Row],[Coupon date 3]]),
AL$1+1-1=MONTH(T_deposits[[#This Row],[Coupon date 4]]),
AL$1+1-1=MONTH(T_deposits[[#This Row],[Coupon date 5]]),
AL$1+1-1=MONTH(T_deposits[[#This Row],[Coupon date 6]]),
AL$1+1-1=MONTH(T_deposits[[#This Row],[Coupon date 7]]),
AL$1+1-1=MONTH(T_deposits[[#This Row],[Coupon date 8]]),
AL$1+1-1=MONTH(T_deposits[[#This Row],[Coupon date 9]]),
AL$1+1-1=MONTH(T_deposits[[#This Row],[Coupon date 10]]),
AL$1+1-1=MONTH(T_deposits[[#This Row],[Coupon date 11]]),
AL$1+1-1=MONTH(T_deposits[[#This Row],[Coupon date 12]]),),
IF('CF USD'!$A$8="on",$H6,$H6)/T_deposits[[#This Row],[Coupons per annum]],0),
"")</f>
        <v>1581.6641325443702</v>
      </c>
      <c r="AM6" s="595">
        <f>IFERROR(IF(
OR(
AM$1+1-1=MONTH(T_deposits[[#This Row],[Coupon date 1]]),
AM$1+1-1=MONTH(T_deposits[[#This Row],[Coupon date 2]]),
AM$1+1-1=MONTH(T_deposits[[#This Row],[Coupon date 3]]),
AM$1+1-1=MONTH(T_deposits[[#This Row],[Coupon date 4]]),
AM$1+1-1=MONTH(T_deposits[[#This Row],[Coupon date 5]]),
AM$1+1-1=MONTH(T_deposits[[#This Row],[Coupon date 6]]),
AM$1+1-1=MONTH(T_deposits[[#This Row],[Coupon date 7]]),
AM$1+1-1=MONTH(T_deposits[[#This Row],[Coupon date 8]]),
AM$1+1-1=MONTH(T_deposits[[#This Row],[Coupon date 9]]),
AM$1+1-1=MONTH(T_deposits[[#This Row],[Coupon date 10]]),
AM$1+1-1=MONTH(T_deposits[[#This Row],[Coupon date 11]]),
AM$1+1-1=MONTH(T_deposits[[#This Row],[Coupon date 12]]),),
IF('CF USD'!$A$8="on",$H6,$H6)/T_deposits[[#This Row],[Coupons per annum]],0),
"")</f>
        <v>0</v>
      </c>
      <c r="AN6" s="595">
        <f>IFERROR(IF(
OR(
AN$1+1-1=MONTH(T_deposits[[#This Row],[Coupon date 1]]),
AN$1+1-1=MONTH(T_deposits[[#This Row],[Coupon date 2]]),
AN$1+1-1=MONTH(T_deposits[[#This Row],[Coupon date 3]]),
AN$1+1-1=MONTH(T_deposits[[#This Row],[Coupon date 4]]),
AN$1+1-1=MONTH(T_deposits[[#This Row],[Coupon date 5]]),
AN$1+1-1=MONTH(T_deposits[[#This Row],[Coupon date 6]]),
AN$1+1-1=MONTH(T_deposits[[#This Row],[Coupon date 7]]),
AN$1+1-1=MONTH(T_deposits[[#This Row],[Coupon date 8]]),
AN$1+1-1=MONTH(T_deposits[[#This Row],[Coupon date 9]]),
AN$1+1-1=MONTH(T_deposits[[#This Row],[Coupon date 10]]),
AN$1+1-1=MONTH(T_deposits[[#This Row],[Coupon date 11]]),
AN$1+1-1=MONTH(T_deposits[[#This Row],[Coupon date 12]]),),
IF('CF USD'!$A$8="on",$H6,$H6)/T_deposits[[#This Row],[Coupons per annum]],0),
"")</f>
        <v>0</v>
      </c>
      <c r="AO6" s="595">
        <f>IFERROR(IF(
OR(
AO$1+1-1=MONTH(T_deposits[[#This Row],[Coupon date 1]]),
AO$1+1-1=MONTH(T_deposits[[#This Row],[Coupon date 2]]),
AO$1+1-1=MONTH(T_deposits[[#This Row],[Coupon date 3]]),
AO$1+1-1=MONTH(T_deposits[[#This Row],[Coupon date 4]]),
AO$1+1-1=MONTH(T_deposits[[#This Row],[Coupon date 5]]),
AO$1+1-1=MONTH(T_deposits[[#This Row],[Coupon date 6]]),
AO$1+1-1=MONTH(T_deposits[[#This Row],[Coupon date 7]]),
AO$1+1-1=MONTH(T_deposits[[#This Row],[Coupon date 8]]),
AO$1+1-1=MONTH(T_deposits[[#This Row],[Coupon date 9]]),
AO$1+1-1=MONTH(T_deposits[[#This Row],[Coupon date 10]]),
AO$1+1-1=MONTH(T_deposits[[#This Row],[Coupon date 11]]),
AO$1+1-1=MONTH(T_deposits[[#This Row],[Coupon date 12]]),),
IF('CF USD'!$A$8="on",$H6,$H6)/T_deposits[[#This Row],[Coupons per annum]],0),
"")</f>
        <v>0</v>
      </c>
      <c r="AP6" s="595">
        <f>IFERROR(IF(
OR(
AP$1+1-1=MONTH(T_deposits[[#This Row],[Coupon date 1]]),
AP$1+1-1=MONTH(T_deposits[[#This Row],[Coupon date 2]]),
AP$1+1-1=MONTH(T_deposits[[#This Row],[Coupon date 3]]),
AP$1+1-1=MONTH(T_deposits[[#This Row],[Coupon date 4]]),
AP$1+1-1=MONTH(T_deposits[[#This Row],[Coupon date 5]]),
AP$1+1-1=MONTH(T_deposits[[#This Row],[Coupon date 6]]),
AP$1+1-1=MONTH(T_deposits[[#This Row],[Coupon date 7]]),
AP$1+1-1=MONTH(T_deposits[[#This Row],[Coupon date 8]]),
AP$1+1-1=MONTH(T_deposits[[#This Row],[Coupon date 9]]),
AP$1+1-1=MONTH(T_deposits[[#This Row],[Coupon date 10]]),
AP$1+1-1=MONTH(T_deposits[[#This Row],[Coupon date 11]]),
AP$1+1-1=MONTH(T_deposits[[#This Row],[Coupon date 12]]),),
IF('CF USD'!$A$8="on",$H6,$H6)/T_deposits[[#This Row],[Coupons per annum]],0),
"")</f>
        <v>0</v>
      </c>
      <c r="AQ6" s="595">
        <f>IFERROR(IF(
OR(
AQ$1+1-1=MONTH(T_deposits[[#This Row],[Coupon date 1]]),
AQ$1+1-1=MONTH(T_deposits[[#This Row],[Coupon date 2]]),
AQ$1+1-1=MONTH(T_deposits[[#This Row],[Coupon date 3]]),
AQ$1+1-1=MONTH(T_deposits[[#This Row],[Coupon date 4]]),
AQ$1+1-1=MONTH(T_deposits[[#This Row],[Coupon date 5]]),
AQ$1+1-1=MONTH(T_deposits[[#This Row],[Coupon date 6]]),
AQ$1+1-1=MONTH(T_deposits[[#This Row],[Coupon date 7]]),
AQ$1+1-1=MONTH(T_deposits[[#This Row],[Coupon date 8]]),
AQ$1+1-1=MONTH(T_deposits[[#This Row],[Coupon date 9]]),
AQ$1+1-1=MONTH(T_deposits[[#This Row],[Coupon date 10]]),
AQ$1+1-1=MONTH(T_deposits[[#This Row],[Coupon date 11]]),
AQ$1+1-1=MONTH(T_deposits[[#This Row],[Coupon date 12]]),),
IF('CF USD'!$A$8="on",$H6,$H6)/T_deposits[[#This Row],[Coupons per annum]],0),
"")</f>
        <v>0</v>
      </c>
      <c r="AR6" s="595">
        <f>IFERROR(IF(
OR(
AR$1+1-1=MONTH(T_deposits[[#This Row],[Coupon date 1]]),
AR$1+1-1=MONTH(T_deposits[[#This Row],[Coupon date 2]]),
AR$1+1-1=MONTH(T_deposits[[#This Row],[Coupon date 3]]),
AR$1+1-1=MONTH(T_deposits[[#This Row],[Coupon date 4]]),
AR$1+1-1=MONTH(T_deposits[[#This Row],[Coupon date 5]]),
AR$1+1-1=MONTH(T_deposits[[#This Row],[Coupon date 6]]),
AR$1+1-1=MONTH(T_deposits[[#This Row],[Coupon date 7]]),
AR$1+1-1=MONTH(T_deposits[[#This Row],[Coupon date 8]]),
AR$1+1-1=MONTH(T_deposits[[#This Row],[Coupon date 9]]),
AR$1+1-1=MONTH(T_deposits[[#This Row],[Coupon date 10]]),
AR$1+1-1=MONTH(T_deposits[[#This Row],[Coupon date 11]]),
AR$1+1-1=MONTH(T_deposits[[#This Row],[Coupon date 12]]),),
IF('CF USD'!$A$8="on",$H6,$H6)/T_deposits[[#This Row],[Coupons per annum]],0),
"")</f>
        <v>0</v>
      </c>
      <c r="AS6" s="595">
        <f>IFERROR(IF(
OR(
AS$1+1-1=MONTH(T_deposits[[#This Row],[Coupon date 1]]),
AS$1+1-1=MONTH(T_deposits[[#This Row],[Coupon date 2]]),
AS$1+1-1=MONTH(T_deposits[[#This Row],[Coupon date 3]]),
AS$1+1-1=MONTH(T_deposits[[#This Row],[Coupon date 4]]),
AS$1+1-1=MONTH(T_deposits[[#This Row],[Coupon date 5]]),
AS$1+1-1=MONTH(T_deposits[[#This Row],[Coupon date 6]]),
AS$1+1-1=MONTH(T_deposits[[#This Row],[Coupon date 7]]),
AS$1+1-1=MONTH(T_deposits[[#This Row],[Coupon date 8]]),
AS$1+1-1=MONTH(T_deposits[[#This Row],[Coupon date 9]]),
AS$1+1-1=MONTH(T_deposits[[#This Row],[Coupon date 10]]),
AS$1+1-1=MONTH(T_deposits[[#This Row],[Coupon date 11]]),
AS$1+1-1=MONTH(T_deposits[[#This Row],[Coupon date 12]]),),
IF('CF USD'!$A$8="on",$H6,$H6)/T_deposits[[#This Row],[Coupons per annum]],0),
"")</f>
        <v>0</v>
      </c>
      <c r="AT6" s="595">
        <f>IFERROR(IF(
OR(
AT$1+1-1=MONTH(T_deposits[[#This Row],[Coupon date 1]]),
AT$1+1-1=MONTH(T_deposits[[#This Row],[Coupon date 2]]),
AT$1+1-1=MONTH(T_deposits[[#This Row],[Coupon date 3]]),
AT$1+1-1=MONTH(T_deposits[[#This Row],[Coupon date 4]]),
AT$1+1-1=MONTH(T_deposits[[#This Row],[Coupon date 5]]),
AT$1+1-1=MONTH(T_deposits[[#This Row],[Coupon date 6]]),
AT$1+1-1=MONTH(T_deposits[[#This Row],[Coupon date 7]]),
AT$1+1-1=MONTH(T_deposits[[#This Row],[Coupon date 8]]),
AT$1+1-1=MONTH(T_deposits[[#This Row],[Coupon date 9]]),
AT$1+1-1=MONTH(T_deposits[[#This Row],[Coupon date 10]]),
AT$1+1-1=MONTH(T_deposits[[#This Row],[Coupon date 11]]),
AT$1+1-1=MONTH(T_deposits[[#This Row],[Coupon date 12]]),),
IF('CF USD'!$A$8="on",$H6,$H6)/T_deposits[[#This Row],[Coupons per annum]],0),
"")</f>
        <v>0</v>
      </c>
      <c r="AU6" s="595">
        <f>IFERROR(IF(
OR(
AU$1+1-1=MONTH(T_deposits[[#This Row],[Coupon date 1]]),
AU$1+1-1=MONTH(T_deposits[[#This Row],[Coupon date 2]]),
AU$1+1-1=MONTH(T_deposits[[#This Row],[Coupon date 3]]),
AU$1+1-1=MONTH(T_deposits[[#This Row],[Coupon date 4]]),
AU$1+1-1=MONTH(T_deposits[[#This Row],[Coupon date 5]]),
AU$1+1-1=MONTH(T_deposits[[#This Row],[Coupon date 6]]),
AU$1+1-1=MONTH(T_deposits[[#This Row],[Coupon date 7]]),
AU$1+1-1=MONTH(T_deposits[[#This Row],[Coupon date 8]]),
AU$1+1-1=MONTH(T_deposits[[#This Row],[Coupon date 9]]),
AU$1+1-1=MONTH(T_deposits[[#This Row],[Coupon date 10]]),
AU$1+1-1=MONTH(T_deposits[[#This Row],[Coupon date 11]]),
AU$1+1-1=MONTH(T_deposits[[#This Row],[Coupon date 12]]),),
IF('CF USD'!$A$8="on",$H6,$H6)/T_deposits[[#This Row],[Coupons per annum]],0),
"")</f>
        <v>0</v>
      </c>
    </row>
    <row r="7" spans="1:47" x14ac:dyDescent="0.25">
      <c r="C7" s="1"/>
      <c r="D7" s="1"/>
      <c r="E7" s="1"/>
      <c r="F7" s="100"/>
      <c r="G7" s="23"/>
      <c r="H7" s="35"/>
      <c r="I7" s="364"/>
      <c r="J7" s="364"/>
      <c r="K7" s="17"/>
      <c r="L7" s="101"/>
      <c r="M7" s="16"/>
      <c r="N7" s="365"/>
      <c r="O7" s="366"/>
      <c r="P7" s="364"/>
      <c r="U7" s="25"/>
      <c r="V7" s="2"/>
      <c r="W7" s="26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</row>
    <row r="10" spans="1:47" x14ac:dyDescent="0.25">
      <c r="G10" s="9"/>
    </row>
    <row r="11" spans="1:47" x14ac:dyDescent="0.25">
      <c r="F11" s="25"/>
    </row>
  </sheetData>
  <phoneticPr fontId="11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1">
    <tabColor theme="8" tint="0.79998168889431442"/>
  </sheetPr>
  <dimension ref="A1:AJ189"/>
  <sheetViews>
    <sheetView zoomScaleNormal="100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I8" sqref="I8"/>
    </sheetView>
  </sheetViews>
  <sheetFormatPr defaultRowHeight="15" x14ac:dyDescent="0.25"/>
  <cols>
    <col min="1" max="1" width="10.140625" bestFit="1" customWidth="1"/>
    <col min="2" max="2" width="12.5703125" customWidth="1"/>
    <col min="3" max="3" width="68.28515625" customWidth="1"/>
    <col min="4" max="4" width="16.28515625" customWidth="1"/>
    <col min="5" max="5" width="12.42578125" customWidth="1"/>
    <col min="6" max="6" width="16" customWidth="1"/>
    <col min="7" max="7" width="15.5703125" customWidth="1"/>
    <col min="8" max="8" width="17.42578125" customWidth="1"/>
    <col min="9" max="9" width="19.42578125" bestFit="1" customWidth="1"/>
    <col min="10" max="10" width="17.140625" customWidth="1"/>
    <col min="11" max="11" width="14.140625" customWidth="1"/>
    <col min="12" max="12" width="20" bestFit="1" customWidth="1"/>
    <col min="13" max="13" width="12.5703125" bestFit="1" customWidth="1"/>
    <col min="14" max="14" width="21.28515625" bestFit="1" customWidth="1"/>
    <col min="15" max="15" width="17.7109375" bestFit="1" customWidth="1"/>
    <col min="16" max="16" width="11.28515625" style="7" bestFit="1" customWidth="1"/>
    <col min="17" max="17" width="11.28515625" customWidth="1"/>
    <col min="18" max="18" width="21.28515625" bestFit="1" customWidth="1"/>
    <col min="19" max="19" width="17.7109375" bestFit="1" customWidth="1"/>
    <col min="20" max="20" width="22.42578125" bestFit="1" customWidth="1"/>
    <col min="21" max="24" width="12.7109375" style="17" customWidth="1"/>
    <col min="25" max="36" width="10.85546875" customWidth="1"/>
  </cols>
  <sheetData>
    <row r="1" spans="1:36" s="280" customFormat="1" x14ac:dyDescent="0.25">
      <c r="A1" s="278" t="s">
        <v>227</v>
      </c>
      <c r="B1" s="278" t="s">
        <v>375</v>
      </c>
      <c r="C1" s="278" t="s">
        <v>228</v>
      </c>
      <c r="D1" s="278" t="s">
        <v>230</v>
      </c>
      <c r="E1" s="409" t="s">
        <v>231</v>
      </c>
      <c r="F1" s="409" t="s">
        <v>2499</v>
      </c>
      <c r="G1" s="409" t="s">
        <v>2497</v>
      </c>
      <c r="H1" s="409" t="s">
        <v>2395</v>
      </c>
      <c r="I1" s="278" t="s">
        <v>232</v>
      </c>
      <c r="J1" s="278" t="s">
        <v>243</v>
      </c>
      <c r="K1" s="409" t="s">
        <v>384</v>
      </c>
      <c r="L1" s="409" t="s">
        <v>385</v>
      </c>
      <c r="M1" s="409" t="s">
        <v>240</v>
      </c>
      <c r="N1" s="409" t="s">
        <v>247</v>
      </c>
      <c r="O1" s="278" t="s">
        <v>386</v>
      </c>
      <c r="P1" s="415" t="s">
        <v>919</v>
      </c>
      <c r="Q1" s="409" t="s">
        <v>921</v>
      </c>
      <c r="R1" s="409" t="s">
        <v>388</v>
      </c>
      <c r="S1" s="409" t="s">
        <v>389</v>
      </c>
      <c r="T1" s="409" t="s">
        <v>920</v>
      </c>
      <c r="U1" s="409" t="s">
        <v>251</v>
      </c>
      <c r="V1" s="409" t="s">
        <v>915</v>
      </c>
      <c r="W1" s="409" t="s">
        <v>916</v>
      </c>
      <c r="X1" s="409" t="s">
        <v>917</v>
      </c>
      <c r="Y1" s="409" t="s">
        <v>887</v>
      </c>
      <c r="Z1" s="409" t="s">
        <v>888</v>
      </c>
      <c r="AA1" s="409" t="s">
        <v>889</v>
      </c>
      <c r="AB1" s="409" t="s">
        <v>890</v>
      </c>
      <c r="AC1" s="409" t="s">
        <v>891</v>
      </c>
      <c r="AD1" s="409" t="s">
        <v>892</v>
      </c>
      <c r="AE1" s="409" t="s">
        <v>893</v>
      </c>
      <c r="AF1" s="409" t="s">
        <v>894</v>
      </c>
      <c r="AG1" s="409" t="s">
        <v>895</v>
      </c>
      <c r="AH1" s="409" t="s">
        <v>896</v>
      </c>
      <c r="AI1" s="409" t="s">
        <v>897</v>
      </c>
      <c r="AJ1" s="409" t="s">
        <v>898</v>
      </c>
    </row>
    <row r="2" spans="1:36" x14ac:dyDescent="0.25">
      <c r="A2" s="664" t="s">
        <v>366</v>
      </c>
      <c r="B2" s="664" t="s">
        <v>195</v>
      </c>
      <c r="C2" s="664" t="s">
        <v>2362</v>
      </c>
      <c r="D2" s="686" t="s">
        <v>2363</v>
      </c>
      <c r="E2" s="70" t="s">
        <v>19</v>
      </c>
      <c r="F2" s="70" t="s">
        <v>294</v>
      </c>
      <c r="G2" s="70" t="s">
        <v>2496</v>
      </c>
      <c r="H2" s="70" t="s">
        <v>2475</v>
      </c>
      <c r="I2" s="665">
        <v>5865</v>
      </c>
      <c r="J2" s="295">
        <v>16.344999999999999</v>
      </c>
      <c r="K2" s="666">
        <f>ABS(T_Eq[[#This Row],[Quantity]]*T_Eq[[#This Row],[Market price]])</f>
        <v>95863.424999999988</v>
      </c>
      <c r="L2" s="666">
        <f ca="1">ABS(INDEX('Tech list'!A:C,MATCH(T_Eq[[#This Row],[Risk CCY]],'Tech list'!A:A,0),3)*T_Eq[[#This Row],[Market value, CCY]])</f>
        <v>128207.74459499998</v>
      </c>
      <c r="M2" s="667">
        <v>16.625</v>
      </c>
      <c r="N2" s="666">
        <f>ABS(T_Eq[[#This Row],[Cost price]]*T_Eq[[#This Row],[Quantity]])</f>
        <v>97505.625</v>
      </c>
      <c r="O2" s="668">
        <f>IF(T_Eq[[#This Row],[Quantity]]&lt;0,N2/K2-1,K2/N2-1)</f>
        <v>-1.6842105263157992E-2</v>
      </c>
      <c r="P2" s="669">
        <v>0.81200000000000006</v>
      </c>
      <c r="Q2" s="668">
        <f>T_Eq[[#This Row],[Dividend per share]]/T_Eq[[#This Row],[Market price]]</f>
        <v>4.9678800856531057E-2</v>
      </c>
      <c r="R2" s="666">
        <f>T_Eq[[#This Row],[Dividend per share]]*T_Eq[[#This Row],[Quantity]]</f>
        <v>4762.38</v>
      </c>
      <c r="S2" s="666">
        <f ca="1">INDEX('Tech list'!A:C,MATCH(T_Eq[[#This Row],[Risk CCY]],'Tech list'!A:A,0),3)*T_Eq[[#This Row],[Dividend in Loc.Curr]]</f>
        <v>6369.2070119999998</v>
      </c>
      <c r="T2" s="537">
        <v>2</v>
      </c>
      <c r="U2" s="670">
        <v>46082</v>
      </c>
      <c r="V2" s="671">
        <f>EDATE(T_Eq[[#This Row],[Next coupon date]],12/$T2)</f>
        <v>46266</v>
      </c>
      <c r="W2" s="671">
        <f>EDATE(T_Eq[[#This Row],[coupon date 1]],12/$T2)</f>
        <v>46447</v>
      </c>
      <c r="X2" s="671">
        <f>EDATE(T_Eq[[#This Row],[coupon date 2]],12/$T2)</f>
        <v>46631</v>
      </c>
      <c r="Y2" s="669">
        <f>IFERROR(IF(
OR(
Y$1+1-1=MONTH($U2),
Y$1+1-1=MONTH(T_Eq[[#This Row],[coupon date 1]]),
Y$1+1-1=MONTH(T_Eq[[#This Row],[coupon date 2]]),
Y$1+1-1=MONTH(T_Eq[[#This Row],[coupon date 3]])),
IF('CF USD'!$A$8="on",T_Eq[[#This Row],[Dividend in USD]],T_Eq[[#This Row],[Dividend in Loc.Curr]])
/T_Eq[[#This Row],[Dividends per annum]],0),
"")</f>
        <v>0</v>
      </c>
      <c r="Z2" s="669">
        <f>IFERROR(IF(
OR(
Z$1+1-1=MONTH($U2),
Z$1+1-1=MONTH(T_Eq[[#This Row],[coupon date 1]]),
Z$1+1-1=MONTH(T_Eq[[#This Row],[coupon date 2]]),
Z$1+1-1=MONTH(T_Eq[[#This Row],[coupon date 3]])),
IF('CF USD'!$A$8="on",T_Eq[[#This Row],[Dividend in USD]],T_Eq[[#This Row],[Dividend in Loc.Curr]])
/T_Eq[[#This Row],[Dividends per annum]],0),
"")</f>
        <v>0</v>
      </c>
      <c r="AA2" s="669">
        <f>IFERROR(IF(
OR(
AA$1+1-1=MONTH($U2),
AA$1+1-1=MONTH(T_Eq[[#This Row],[coupon date 1]]),
AA$1+1-1=MONTH(T_Eq[[#This Row],[coupon date 2]]),
AA$1+1-1=MONTH(T_Eq[[#This Row],[coupon date 3]])),
IF('CF USD'!$A$8="on",T_Eq[[#This Row],[Dividend in USD]],T_Eq[[#This Row],[Dividend in Loc.Curr]])
/T_Eq[[#This Row],[Dividends per annum]],0),
"")</f>
        <v>2381.19</v>
      </c>
      <c r="AB2" s="669">
        <f>IFERROR(IF(
OR(
AB$1+1-1=MONTH($U2),
AB$1+1-1=MONTH(T_Eq[[#This Row],[coupon date 1]]),
AB$1+1-1=MONTH(T_Eq[[#This Row],[coupon date 2]]),
AB$1+1-1=MONTH(T_Eq[[#This Row],[coupon date 3]])),
IF('CF USD'!$A$8="on",T_Eq[[#This Row],[Dividend in USD]],T_Eq[[#This Row],[Dividend in Loc.Curr]])
/T_Eq[[#This Row],[Dividends per annum]],0),
"")</f>
        <v>0</v>
      </c>
      <c r="AC2" s="669">
        <f>IFERROR(IF(
OR(
AC$1+1-1=MONTH($U2),
AC$1+1-1=MONTH(T_Eq[[#This Row],[coupon date 1]]),
AC$1+1-1=MONTH(T_Eq[[#This Row],[coupon date 2]]),
AC$1+1-1=MONTH(T_Eq[[#This Row],[coupon date 3]])),
IF('CF USD'!$A$8="on",T_Eq[[#This Row],[Dividend in USD]],T_Eq[[#This Row],[Dividend in Loc.Curr]])
/T_Eq[[#This Row],[Dividends per annum]],0),
"")</f>
        <v>0</v>
      </c>
      <c r="AD2" s="669">
        <f>IFERROR(IF(
OR(
AD$1+1-1=MONTH($U2),
AD$1+1-1=MONTH(T_Eq[[#This Row],[coupon date 1]]),
AD$1+1-1=MONTH(T_Eq[[#This Row],[coupon date 2]]),
AD$1+1-1=MONTH(T_Eq[[#This Row],[coupon date 3]])),
IF('CF USD'!$A$8="on",T_Eq[[#This Row],[Dividend in USD]],T_Eq[[#This Row],[Dividend in Loc.Curr]])
/T_Eq[[#This Row],[Dividends per annum]],0),
"")</f>
        <v>0</v>
      </c>
      <c r="AE2" s="669">
        <f>IFERROR(IF(
OR(
AE$1+1-1=MONTH($U2),
AE$1+1-1=MONTH(T_Eq[[#This Row],[coupon date 1]]),
AE$1+1-1=MONTH(T_Eq[[#This Row],[coupon date 2]]),
AE$1+1-1=MONTH(T_Eq[[#This Row],[coupon date 3]])),
IF('CF USD'!$A$8="on",T_Eq[[#This Row],[Dividend in USD]],T_Eq[[#This Row],[Dividend in Loc.Curr]])
/T_Eq[[#This Row],[Dividends per annum]],0),
"")</f>
        <v>0</v>
      </c>
      <c r="AF2" s="669">
        <f>IFERROR(IF(
OR(
AF$1+1-1=MONTH($U2),
AF$1+1-1=MONTH(T_Eq[[#This Row],[coupon date 1]]),
AF$1+1-1=MONTH(T_Eq[[#This Row],[coupon date 2]]),
AF$1+1-1=MONTH(T_Eq[[#This Row],[coupon date 3]])),
IF('CF USD'!$A$8="on",T_Eq[[#This Row],[Dividend in USD]],T_Eq[[#This Row],[Dividend in Loc.Curr]])
/T_Eq[[#This Row],[Dividends per annum]],0),
"")</f>
        <v>0</v>
      </c>
      <c r="AG2" s="669">
        <f>IFERROR(IF(
OR(
AG$1+1-1=MONTH($U2),
AG$1+1-1=MONTH(T_Eq[[#This Row],[coupon date 1]]),
AG$1+1-1=MONTH(T_Eq[[#This Row],[coupon date 2]]),
AG$1+1-1=MONTH(T_Eq[[#This Row],[coupon date 3]])),
IF('CF USD'!$A$8="on",T_Eq[[#This Row],[Dividend in USD]],T_Eq[[#This Row],[Dividend in Loc.Curr]])
/T_Eq[[#This Row],[Dividends per annum]],0),
"")</f>
        <v>2381.19</v>
      </c>
      <c r="AH2" s="669">
        <f>IFERROR(IF(
OR(
AH$1+1-1=MONTH($U2),
AH$1+1-1=MONTH(T_Eq[[#This Row],[coupon date 1]]),
AH$1+1-1=MONTH(T_Eq[[#This Row],[coupon date 2]]),
AH$1+1-1=MONTH(T_Eq[[#This Row],[coupon date 3]])),
IF('CF USD'!$A$8="on",T_Eq[[#This Row],[Dividend in USD]],T_Eq[[#This Row],[Dividend in Loc.Curr]])
/T_Eq[[#This Row],[Dividends per annum]],0),
"")</f>
        <v>0</v>
      </c>
      <c r="AI2" s="669">
        <f>IFERROR(IF(
OR(
AI$1+1-1=MONTH($U2),
AI$1+1-1=MONTH(T_Eq[[#This Row],[coupon date 1]]),
AI$1+1-1=MONTH(T_Eq[[#This Row],[coupon date 2]]),
AI$1+1-1=MONTH(T_Eq[[#This Row],[coupon date 3]])),
IF('CF USD'!$A$8="on",T_Eq[[#This Row],[Dividend in USD]],T_Eq[[#This Row],[Dividend in Loc.Curr]])
/T_Eq[[#This Row],[Dividends per annum]],0),
"")</f>
        <v>0</v>
      </c>
      <c r="AJ2" s="669">
        <f>IFERROR(IF(
OR(
AJ$1+1-1=MONTH($U2),
AJ$1+1-1=MONTH(T_Eq[[#This Row],[coupon date 1]]),
AJ$1+1-1=MONTH(T_Eq[[#This Row],[coupon date 2]]),
AJ$1+1-1=MONTH(T_Eq[[#This Row],[coupon date 3]])),
IF('CF USD'!$A$8="on",T_Eq[[#This Row],[Dividend in USD]],T_Eq[[#This Row],[Dividend in Loc.Curr]])
/T_Eq[[#This Row],[Dividends per annum]],0),
"")</f>
        <v>0</v>
      </c>
    </row>
    <row r="3" spans="1:36" x14ac:dyDescent="0.25">
      <c r="A3" s="664" t="s">
        <v>366</v>
      </c>
      <c r="B3" s="664" t="s">
        <v>195</v>
      </c>
      <c r="C3" s="664" t="s">
        <v>2364</v>
      </c>
      <c r="D3" s="686" t="s">
        <v>2365</v>
      </c>
      <c r="E3" s="70" t="s">
        <v>19</v>
      </c>
      <c r="F3" s="70" t="s">
        <v>294</v>
      </c>
      <c r="G3" s="70" t="s">
        <v>294</v>
      </c>
      <c r="H3" s="70" t="s">
        <v>2475</v>
      </c>
      <c r="I3" s="665">
        <v>109280</v>
      </c>
      <c r="J3" s="295">
        <v>1.962</v>
      </c>
      <c r="K3" s="666">
        <f>ABS(T_Eq[[#This Row],[Quantity]]*T_Eq[[#This Row],[Market price]])</f>
        <v>214407.36</v>
      </c>
      <c r="L3" s="666">
        <f ca="1">ABS(INDEX('Tech list'!A:C,MATCH(T_Eq[[#This Row],[Risk CCY]],'Tech list'!A:A,0),3)*T_Eq[[#This Row],[Market value, CCY]])</f>
        <v>286748.40326399996</v>
      </c>
      <c r="M3" s="667">
        <v>1.821</v>
      </c>
      <c r="N3" s="666">
        <f>ABS(T_Eq[[#This Row],[Cost price]]*T_Eq[[#This Row],[Quantity]])</f>
        <v>198998.88</v>
      </c>
      <c r="O3" s="668">
        <f>IF(T_Eq[[#This Row],[Quantity]]&lt;0,N3/K3-1,K3/N3-1)</f>
        <v>7.7429983525535429E-2</v>
      </c>
      <c r="P3" s="669">
        <v>0.123</v>
      </c>
      <c r="Q3" s="668">
        <f>T_Eq[[#This Row],[Dividend per share]]/T_Eq[[#This Row],[Market price]]</f>
        <v>6.2691131498470942E-2</v>
      </c>
      <c r="R3" s="666">
        <f>T_Eq[[#This Row],[Dividend per share]]*T_Eq[[#This Row],[Quantity]]</f>
        <v>13441.44</v>
      </c>
      <c r="S3" s="666">
        <f ca="1">INDEX('Tech list'!A:C,MATCH(T_Eq[[#This Row],[Risk CCY]],'Tech list'!A:A,0),3)*T_Eq[[#This Row],[Dividend in Loc.Curr]]</f>
        <v>17976.581856000001</v>
      </c>
      <c r="T3" s="537">
        <v>4</v>
      </c>
      <c r="U3" s="670">
        <v>46030</v>
      </c>
      <c r="V3" s="671">
        <f>EDATE(T_Eq[[#This Row],[Next coupon date]],12/$T3)</f>
        <v>46120</v>
      </c>
      <c r="W3" s="671">
        <f>EDATE(T_Eq[[#This Row],[coupon date 1]],12/$T3)</f>
        <v>46211</v>
      </c>
      <c r="X3" s="671">
        <f>EDATE(T_Eq[[#This Row],[coupon date 2]],12/$T3)</f>
        <v>46303</v>
      </c>
      <c r="Y3" s="669">
        <f>IFERROR(IF(
OR(
Y$1+1-1=MONTH($U3),
Y$1+1-1=MONTH(T_Eq[[#This Row],[coupon date 1]]),
Y$1+1-1=MONTH(T_Eq[[#This Row],[coupon date 2]]),
Y$1+1-1=MONTH(T_Eq[[#This Row],[coupon date 3]])),
IF('CF USD'!$A$8="on",T_Eq[[#This Row],[Dividend in USD]],T_Eq[[#This Row],[Dividend in Loc.Curr]])
/T_Eq[[#This Row],[Dividends per annum]],0),
"")</f>
        <v>3360.36</v>
      </c>
      <c r="Z3" s="669">
        <f>IFERROR(IF(
OR(
Z$1+1-1=MONTH($U3),
Z$1+1-1=MONTH(T_Eq[[#This Row],[coupon date 1]]),
Z$1+1-1=MONTH(T_Eq[[#This Row],[coupon date 2]]),
Z$1+1-1=MONTH(T_Eq[[#This Row],[coupon date 3]])),
IF('CF USD'!$A$8="on",T_Eq[[#This Row],[Dividend in USD]],T_Eq[[#This Row],[Dividend in Loc.Curr]])
/T_Eq[[#This Row],[Dividends per annum]],0),
"")</f>
        <v>0</v>
      </c>
      <c r="AA3" s="669">
        <f>IFERROR(IF(
OR(
AA$1+1-1=MONTH($U3),
AA$1+1-1=MONTH(T_Eq[[#This Row],[coupon date 1]]),
AA$1+1-1=MONTH(T_Eq[[#This Row],[coupon date 2]]),
AA$1+1-1=MONTH(T_Eq[[#This Row],[coupon date 3]])),
IF('CF USD'!$A$8="on",T_Eq[[#This Row],[Dividend in USD]],T_Eq[[#This Row],[Dividend in Loc.Curr]])
/T_Eq[[#This Row],[Dividends per annum]],0),
"")</f>
        <v>0</v>
      </c>
      <c r="AB3" s="669">
        <f>IFERROR(IF(
OR(
AB$1+1-1=MONTH($U3),
AB$1+1-1=MONTH(T_Eq[[#This Row],[coupon date 1]]),
AB$1+1-1=MONTH(T_Eq[[#This Row],[coupon date 2]]),
AB$1+1-1=MONTH(T_Eq[[#This Row],[coupon date 3]])),
IF('CF USD'!$A$8="on",T_Eq[[#This Row],[Dividend in USD]],T_Eq[[#This Row],[Dividend in Loc.Curr]])
/T_Eq[[#This Row],[Dividends per annum]],0),
"")</f>
        <v>3360.36</v>
      </c>
      <c r="AC3" s="669">
        <f>IFERROR(IF(
OR(
AC$1+1-1=MONTH($U3),
AC$1+1-1=MONTH(T_Eq[[#This Row],[coupon date 1]]),
AC$1+1-1=MONTH(T_Eq[[#This Row],[coupon date 2]]),
AC$1+1-1=MONTH(T_Eq[[#This Row],[coupon date 3]])),
IF('CF USD'!$A$8="on",T_Eq[[#This Row],[Dividend in USD]],T_Eq[[#This Row],[Dividend in Loc.Curr]])
/T_Eq[[#This Row],[Dividends per annum]],0),
"")</f>
        <v>0</v>
      </c>
      <c r="AD3" s="669">
        <f>IFERROR(IF(
OR(
AD$1+1-1=MONTH($U3),
AD$1+1-1=MONTH(T_Eq[[#This Row],[coupon date 1]]),
AD$1+1-1=MONTH(T_Eq[[#This Row],[coupon date 2]]),
AD$1+1-1=MONTH(T_Eq[[#This Row],[coupon date 3]])),
IF('CF USD'!$A$8="on",T_Eq[[#This Row],[Dividend in USD]],T_Eq[[#This Row],[Dividend in Loc.Curr]])
/T_Eq[[#This Row],[Dividends per annum]],0),
"")</f>
        <v>0</v>
      </c>
      <c r="AE3" s="669">
        <f>IFERROR(IF(
OR(
AE$1+1-1=MONTH($U3),
AE$1+1-1=MONTH(T_Eq[[#This Row],[coupon date 1]]),
AE$1+1-1=MONTH(T_Eq[[#This Row],[coupon date 2]]),
AE$1+1-1=MONTH(T_Eq[[#This Row],[coupon date 3]])),
IF('CF USD'!$A$8="on",T_Eq[[#This Row],[Dividend in USD]],T_Eq[[#This Row],[Dividend in Loc.Curr]])
/T_Eq[[#This Row],[Dividends per annum]],0),
"")</f>
        <v>3360.36</v>
      </c>
      <c r="AF3" s="669">
        <f>IFERROR(IF(
OR(
AF$1+1-1=MONTH($U3),
AF$1+1-1=MONTH(T_Eq[[#This Row],[coupon date 1]]),
AF$1+1-1=MONTH(T_Eq[[#This Row],[coupon date 2]]),
AF$1+1-1=MONTH(T_Eq[[#This Row],[coupon date 3]])),
IF('CF USD'!$A$8="on",T_Eq[[#This Row],[Dividend in USD]],T_Eq[[#This Row],[Dividend in Loc.Curr]])
/T_Eq[[#This Row],[Dividends per annum]],0),
"")</f>
        <v>0</v>
      </c>
      <c r="AG3" s="669">
        <f>IFERROR(IF(
OR(
AG$1+1-1=MONTH($U3),
AG$1+1-1=MONTH(T_Eq[[#This Row],[coupon date 1]]),
AG$1+1-1=MONTH(T_Eq[[#This Row],[coupon date 2]]),
AG$1+1-1=MONTH(T_Eq[[#This Row],[coupon date 3]])),
IF('CF USD'!$A$8="on",T_Eq[[#This Row],[Dividend in USD]],T_Eq[[#This Row],[Dividend in Loc.Curr]])
/T_Eq[[#This Row],[Dividends per annum]],0),
"")</f>
        <v>0</v>
      </c>
      <c r="AH3" s="669">
        <f>IFERROR(IF(
OR(
AH$1+1-1=MONTH($U3),
AH$1+1-1=MONTH(T_Eq[[#This Row],[coupon date 1]]),
AH$1+1-1=MONTH(T_Eq[[#This Row],[coupon date 2]]),
AH$1+1-1=MONTH(T_Eq[[#This Row],[coupon date 3]])),
IF('CF USD'!$A$8="on",T_Eq[[#This Row],[Dividend in USD]],T_Eq[[#This Row],[Dividend in Loc.Curr]])
/T_Eq[[#This Row],[Dividends per annum]],0),
"")</f>
        <v>3360.36</v>
      </c>
      <c r="AI3" s="669">
        <f>IFERROR(IF(
OR(
AI$1+1-1=MONTH($U3),
AI$1+1-1=MONTH(T_Eq[[#This Row],[coupon date 1]]),
AI$1+1-1=MONTH(T_Eq[[#This Row],[coupon date 2]]),
AI$1+1-1=MONTH(T_Eq[[#This Row],[coupon date 3]])),
IF('CF USD'!$A$8="on",T_Eq[[#This Row],[Dividend in USD]],T_Eq[[#This Row],[Dividend in Loc.Curr]])
/T_Eq[[#This Row],[Dividends per annum]],0),
"")</f>
        <v>0</v>
      </c>
      <c r="AJ3" s="669">
        <f>IFERROR(IF(
OR(
AJ$1+1-1=MONTH($U3),
AJ$1+1-1=MONTH(T_Eq[[#This Row],[coupon date 1]]),
AJ$1+1-1=MONTH(T_Eq[[#This Row],[coupon date 2]]),
AJ$1+1-1=MONTH(T_Eq[[#This Row],[coupon date 3]])),
IF('CF USD'!$A$8="on",T_Eq[[#This Row],[Dividend in USD]],T_Eq[[#This Row],[Dividend in Loc.Curr]])
/T_Eq[[#This Row],[Dividends per annum]],0),
"")</f>
        <v>0</v>
      </c>
    </row>
    <row r="4" spans="1:36" x14ac:dyDescent="0.25">
      <c r="A4" s="664" t="s">
        <v>366</v>
      </c>
      <c r="B4" s="664" t="s">
        <v>195</v>
      </c>
      <c r="C4" s="664" t="s">
        <v>2366</v>
      </c>
      <c r="D4" s="686" t="s">
        <v>2296</v>
      </c>
      <c r="E4" s="70" t="s">
        <v>19</v>
      </c>
      <c r="F4" s="70" t="s">
        <v>294</v>
      </c>
      <c r="G4" s="70" t="s">
        <v>294</v>
      </c>
      <c r="H4" s="70" t="s">
        <v>2475</v>
      </c>
      <c r="I4" s="665">
        <v>196400</v>
      </c>
      <c r="J4" s="295">
        <v>1.081</v>
      </c>
      <c r="K4" s="666">
        <f>ABS(T_Eq[[#This Row],[Quantity]]*T_Eq[[#This Row],[Market price]])</f>
        <v>212308.4</v>
      </c>
      <c r="L4" s="666">
        <f ca="1">ABS(INDEX('Tech list'!A:C,MATCH(T_Eq[[#This Row],[Risk CCY]],'Tech list'!A:A,0),3)*T_Eq[[#This Row],[Market value, CCY]])</f>
        <v>283941.25415999995</v>
      </c>
      <c r="M4" s="667">
        <v>1.0175000000000001</v>
      </c>
      <c r="N4" s="666">
        <f>ABS(T_Eq[[#This Row],[Cost price]]*T_Eq[[#This Row],[Quantity]])</f>
        <v>199837</v>
      </c>
      <c r="O4" s="668">
        <f>IF(T_Eq[[#This Row],[Quantity]]&lt;0,N4/K4-1,K4/N4-1)</f>
        <v>6.2407862407862336E-2</v>
      </c>
      <c r="P4" s="669">
        <v>9.4E-2</v>
      </c>
      <c r="Q4" s="668">
        <f>T_Eq[[#This Row],[Dividend per share]]/T_Eq[[#This Row],[Market price]]</f>
        <v>8.6956521739130432E-2</v>
      </c>
      <c r="R4" s="666">
        <f>T_Eq[[#This Row],[Dividend per share]]*T_Eq[[#This Row],[Quantity]]</f>
        <v>18461.599999999999</v>
      </c>
      <c r="S4" s="666">
        <f ca="1">INDEX('Tech list'!A:C,MATCH(T_Eq[[#This Row],[Risk CCY]],'Tech list'!A:A,0),3)*T_Eq[[#This Row],[Dividend in Loc.Curr]]</f>
        <v>24690.543839999995</v>
      </c>
      <c r="T4" s="537">
        <v>2</v>
      </c>
      <c r="U4" s="670">
        <v>46151</v>
      </c>
      <c r="V4" s="671">
        <f>EDATE(T_Eq[[#This Row],[Next coupon date]],12/$T4)</f>
        <v>46335</v>
      </c>
      <c r="W4" s="671">
        <f>EDATE(T_Eq[[#This Row],[coupon date 1]],12/$T4)</f>
        <v>46516</v>
      </c>
      <c r="X4" s="671">
        <f>EDATE(T_Eq[[#This Row],[coupon date 2]],12/$T4)</f>
        <v>46700</v>
      </c>
      <c r="Y4" s="669">
        <f>IFERROR(IF(
OR(
Y$1+1-1=MONTH($U4),
Y$1+1-1=MONTH(T_Eq[[#This Row],[coupon date 1]]),
Y$1+1-1=MONTH(T_Eq[[#This Row],[coupon date 2]]),
Y$1+1-1=MONTH(T_Eq[[#This Row],[coupon date 3]])),
IF('CF USD'!$A$8="on",T_Eq[[#This Row],[Dividend in USD]],T_Eq[[#This Row],[Dividend in Loc.Curr]])
/T_Eq[[#This Row],[Dividends per annum]],0),
"")</f>
        <v>0</v>
      </c>
      <c r="Z4" s="669">
        <f>IFERROR(IF(
OR(
Z$1+1-1=MONTH($U4),
Z$1+1-1=MONTH(T_Eq[[#This Row],[coupon date 1]]),
Z$1+1-1=MONTH(T_Eq[[#This Row],[coupon date 2]]),
Z$1+1-1=MONTH(T_Eq[[#This Row],[coupon date 3]])),
IF('CF USD'!$A$8="on",T_Eq[[#This Row],[Dividend in USD]],T_Eq[[#This Row],[Dividend in Loc.Curr]])
/T_Eq[[#This Row],[Dividends per annum]],0),
"")</f>
        <v>0</v>
      </c>
      <c r="AA4" s="669">
        <f>IFERROR(IF(
OR(
AA$1+1-1=MONTH($U4),
AA$1+1-1=MONTH(T_Eq[[#This Row],[coupon date 1]]),
AA$1+1-1=MONTH(T_Eq[[#This Row],[coupon date 2]]),
AA$1+1-1=MONTH(T_Eq[[#This Row],[coupon date 3]])),
IF('CF USD'!$A$8="on",T_Eq[[#This Row],[Dividend in USD]],T_Eq[[#This Row],[Dividend in Loc.Curr]])
/T_Eq[[#This Row],[Dividends per annum]],0),
"")</f>
        <v>0</v>
      </c>
      <c r="AB4" s="669">
        <f>IFERROR(IF(
OR(
AB$1+1-1=MONTH($U4),
AB$1+1-1=MONTH(T_Eq[[#This Row],[coupon date 1]]),
AB$1+1-1=MONTH(T_Eq[[#This Row],[coupon date 2]]),
AB$1+1-1=MONTH(T_Eq[[#This Row],[coupon date 3]])),
IF('CF USD'!$A$8="on",T_Eq[[#This Row],[Dividend in USD]],T_Eq[[#This Row],[Dividend in Loc.Curr]])
/T_Eq[[#This Row],[Dividends per annum]],0),
"")</f>
        <v>0</v>
      </c>
      <c r="AC4" s="669">
        <f>IFERROR(IF(
OR(
AC$1+1-1=MONTH($U4),
AC$1+1-1=MONTH(T_Eq[[#This Row],[coupon date 1]]),
AC$1+1-1=MONTH(T_Eq[[#This Row],[coupon date 2]]),
AC$1+1-1=MONTH(T_Eq[[#This Row],[coupon date 3]])),
IF('CF USD'!$A$8="on",T_Eq[[#This Row],[Dividend in USD]],T_Eq[[#This Row],[Dividend in Loc.Curr]])
/T_Eq[[#This Row],[Dividends per annum]],0),
"")</f>
        <v>9230.7999999999993</v>
      </c>
      <c r="AD4" s="669">
        <f>IFERROR(IF(
OR(
AD$1+1-1=MONTH($U4),
AD$1+1-1=MONTH(T_Eq[[#This Row],[coupon date 1]]),
AD$1+1-1=MONTH(T_Eq[[#This Row],[coupon date 2]]),
AD$1+1-1=MONTH(T_Eq[[#This Row],[coupon date 3]])),
IF('CF USD'!$A$8="on",T_Eq[[#This Row],[Dividend in USD]],T_Eq[[#This Row],[Dividend in Loc.Curr]])
/T_Eq[[#This Row],[Dividends per annum]],0),
"")</f>
        <v>0</v>
      </c>
      <c r="AE4" s="669">
        <f>IFERROR(IF(
OR(
AE$1+1-1=MONTH($U4),
AE$1+1-1=MONTH(T_Eq[[#This Row],[coupon date 1]]),
AE$1+1-1=MONTH(T_Eq[[#This Row],[coupon date 2]]),
AE$1+1-1=MONTH(T_Eq[[#This Row],[coupon date 3]])),
IF('CF USD'!$A$8="on",T_Eq[[#This Row],[Dividend in USD]],T_Eq[[#This Row],[Dividend in Loc.Curr]])
/T_Eq[[#This Row],[Dividends per annum]],0),
"")</f>
        <v>0</v>
      </c>
      <c r="AF4" s="669">
        <f>IFERROR(IF(
OR(
AF$1+1-1=MONTH($U4),
AF$1+1-1=MONTH(T_Eq[[#This Row],[coupon date 1]]),
AF$1+1-1=MONTH(T_Eq[[#This Row],[coupon date 2]]),
AF$1+1-1=MONTH(T_Eq[[#This Row],[coupon date 3]])),
IF('CF USD'!$A$8="on",T_Eq[[#This Row],[Dividend in USD]],T_Eq[[#This Row],[Dividend in Loc.Curr]])
/T_Eq[[#This Row],[Dividends per annum]],0),
"")</f>
        <v>0</v>
      </c>
      <c r="AG4" s="669">
        <f>IFERROR(IF(
OR(
AG$1+1-1=MONTH($U4),
AG$1+1-1=MONTH(T_Eq[[#This Row],[coupon date 1]]),
AG$1+1-1=MONTH(T_Eq[[#This Row],[coupon date 2]]),
AG$1+1-1=MONTH(T_Eq[[#This Row],[coupon date 3]])),
IF('CF USD'!$A$8="on",T_Eq[[#This Row],[Dividend in USD]],T_Eq[[#This Row],[Dividend in Loc.Curr]])
/T_Eq[[#This Row],[Dividends per annum]],0),
"")</f>
        <v>0</v>
      </c>
      <c r="AH4" s="669">
        <f>IFERROR(IF(
OR(
AH$1+1-1=MONTH($U4),
AH$1+1-1=MONTH(T_Eq[[#This Row],[coupon date 1]]),
AH$1+1-1=MONTH(T_Eq[[#This Row],[coupon date 2]]),
AH$1+1-1=MONTH(T_Eq[[#This Row],[coupon date 3]])),
IF('CF USD'!$A$8="on",T_Eq[[#This Row],[Dividend in USD]],T_Eq[[#This Row],[Dividend in Loc.Curr]])
/T_Eq[[#This Row],[Dividends per annum]],0),
"")</f>
        <v>0</v>
      </c>
      <c r="AI4" s="669">
        <f>IFERROR(IF(
OR(
AI$1+1-1=MONTH($U4),
AI$1+1-1=MONTH(T_Eq[[#This Row],[coupon date 1]]),
AI$1+1-1=MONTH(T_Eq[[#This Row],[coupon date 2]]),
AI$1+1-1=MONTH(T_Eq[[#This Row],[coupon date 3]])),
IF('CF USD'!$A$8="on",T_Eq[[#This Row],[Dividend in USD]],T_Eq[[#This Row],[Dividend in Loc.Curr]])
/T_Eq[[#This Row],[Dividends per annum]],0),
"")</f>
        <v>9230.7999999999993</v>
      </c>
      <c r="AJ4" s="669">
        <f>IFERROR(IF(
OR(
AJ$1+1-1=MONTH($U4),
AJ$1+1-1=MONTH(T_Eq[[#This Row],[coupon date 1]]),
AJ$1+1-1=MONTH(T_Eq[[#This Row],[coupon date 2]]),
AJ$1+1-1=MONTH(T_Eq[[#This Row],[coupon date 3]])),
IF('CF USD'!$A$8="on",T_Eq[[#This Row],[Dividend in USD]],T_Eq[[#This Row],[Dividend in Loc.Curr]])
/T_Eq[[#This Row],[Dividends per annum]],0),
"")</f>
        <v>0</v>
      </c>
    </row>
    <row r="5" spans="1:36" x14ac:dyDescent="0.25">
      <c r="A5" s="664" t="s">
        <v>366</v>
      </c>
      <c r="B5" s="664" t="s">
        <v>195</v>
      </c>
      <c r="C5" s="664" t="s">
        <v>2367</v>
      </c>
      <c r="D5" s="686" t="s">
        <v>2368</v>
      </c>
      <c r="E5" s="70" t="s">
        <v>19</v>
      </c>
      <c r="F5" s="70" t="s">
        <v>2498</v>
      </c>
      <c r="G5" s="70" t="s">
        <v>294</v>
      </c>
      <c r="H5" s="70" t="s">
        <v>2475</v>
      </c>
      <c r="I5" s="665">
        <v>30130</v>
      </c>
      <c r="J5" s="295">
        <v>3.4249999999999998</v>
      </c>
      <c r="K5" s="666">
        <f>ABS(T_Eq[[#This Row],[Quantity]]*T_Eq[[#This Row],[Market price]])</f>
        <v>103195.25</v>
      </c>
      <c r="L5" s="666">
        <f ca="1">ABS(INDEX('Tech list'!A:C,MATCH(T_Eq[[#This Row],[Risk CCY]],'Tech list'!A:A,0),3)*T_Eq[[#This Row],[Market value, CCY]])</f>
        <v>138013.32734999998</v>
      </c>
      <c r="M5" s="667">
        <v>3.3639999999999999</v>
      </c>
      <c r="N5" s="666">
        <f>ABS(T_Eq[[#This Row],[Cost price]]*T_Eq[[#This Row],[Quantity]])</f>
        <v>101357.31999999999</v>
      </c>
      <c r="O5" s="668">
        <f>IF(T_Eq[[#This Row],[Quantity]]&lt;0,N5/K5-1,K5/N5-1)</f>
        <v>1.8133174791914453E-2</v>
      </c>
      <c r="P5" s="669">
        <v>0.31900000000000001</v>
      </c>
      <c r="Q5" s="668">
        <f>T_Eq[[#This Row],[Dividend per share]]/T_Eq[[#This Row],[Market price]]</f>
        <v>9.3138686131386872E-2</v>
      </c>
      <c r="R5" s="666">
        <f>T_Eq[[#This Row],[Dividend per share]]*T_Eq[[#This Row],[Quantity]]</f>
        <v>9611.4699999999993</v>
      </c>
      <c r="S5" s="666">
        <f ca="1">INDEX('Tech list'!A:C,MATCH(T_Eq[[#This Row],[Risk CCY]],'Tech list'!A:A,0),3)*T_Eq[[#This Row],[Dividend in Loc.Curr]]</f>
        <v>12854.379977999999</v>
      </c>
      <c r="T5" s="537">
        <v>2</v>
      </c>
      <c r="U5" s="670">
        <v>46207</v>
      </c>
      <c r="V5" s="671">
        <f>EDATE(T_Eq[[#This Row],[Next coupon date]],12/$T5)</f>
        <v>46391</v>
      </c>
      <c r="W5" s="671">
        <f>EDATE(T_Eq[[#This Row],[coupon date 1]],12/$T5)</f>
        <v>46572</v>
      </c>
      <c r="X5" s="671">
        <f>EDATE(T_Eq[[#This Row],[coupon date 2]],12/$T5)</f>
        <v>46756</v>
      </c>
      <c r="Y5" s="669">
        <f>IFERROR(IF(
OR(
Y$1+1-1=MONTH($U5),
Y$1+1-1=MONTH(T_Eq[[#This Row],[coupon date 1]]),
Y$1+1-1=MONTH(T_Eq[[#This Row],[coupon date 2]]),
Y$1+1-1=MONTH(T_Eq[[#This Row],[coupon date 3]])),
IF('CF USD'!$A$8="on",T_Eq[[#This Row],[Dividend in USD]],T_Eq[[#This Row],[Dividend in Loc.Curr]])
/T_Eq[[#This Row],[Dividends per annum]],0),
"")</f>
        <v>4805.7349999999997</v>
      </c>
      <c r="Z5" s="669">
        <f>IFERROR(IF(
OR(
Z$1+1-1=MONTH($U5),
Z$1+1-1=MONTH(T_Eq[[#This Row],[coupon date 1]]),
Z$1+1-1=MONTH(T_Eq[[#This Row],[coupon date 2]]),
Z$1+1-1=MONTH(T_Eq[[#This Row],[coupon date 3]])),
IF('CF USD'!$A$8="on",T_Eq[[#This Row],[Dividend in USD]],T_Eq[[#This Row],[Dividend in Loc.Curr]])
/T_Eq[[#This Row],[Dividends per annum]],0),
"")</f>
        <v>0</v>
      </c>
      <c r="AA5" s="669">
        <f>IFERROR(IF(
OR(
AA$1+1-1=MONTH($U5),
AA$1+1-1=MONTH(T_Eq[[#This Row],[coupon date 1]]),
AA$1+1-1=MONTH(T_Eq[[#This Row],[coupon date 2]]),
AA$1+1-1=MONTH(T_Eq[[#This Row],[coupon date 3]])),
IF('CF USD'!$A$8="on",T_Eq[[#This Row],[Dividend in USD]],T_Eq[[#This Row],[Dividend in Loc.Curr]])
/T_Eq[[#This Row],[Dividends per annum]],0),
"")</f>
        <v>0</v>
      </c>
      <c r="AB5" s="669">
        <f>IFERROR(IF(
OR(
AB$1+1-1=MONTH($U5),
AB$1+1-1=MONTH(T_Eq[[#This Row],[coupon date 1]]),
AB$1+1-1=MONTH(T_Eq[[#This Row],[coupon date 2]]),
AB$1+1-1=MONTH(T_Eq[[#This Row],[coupon date 3]])),
IF('CF USD'!$A$8="on",T_Eq[[#This Row],[Dividend in USD]],T_Eq[[#This Row],[Dividend in Loc.Curr]])
/T_Eq[[#This Row],[Dividends per annum]],0),
"")</f>
        <v>0</v>
      </c>
      <c r="AC5" s="669">
        <f>IFERROR(IF(
OR(
AC$1+1-1=MONTH($U5),
AC$1+1-1=MONTH(T_Eq[[#This Row],[coupon date 1]]),
AC$1+1-1=MONTH(T_Eq[[#This Row],[coupon date 2]]),
AC$1+1-1=MONTH(T_Eq[[#This Row],[coupon date 3]])),
IF('CF USD'!$A$8="on",T_Eq[[#This Row],[Dividend in USD]],T_Eq[[#This Row],[Dividend in Loc.Curr]])
/T_Eq[[#This Row],[Dividends per annum]],0),
"")</f>
        <v>0</v>
      </c>
      <c r="AD5" s="669">
        <f>IFERROR(IF(
OR(
AD$1+1-1=MONTH($U5),
AD$1+1-1=MONTH(T_Eq[[#This Row],[coupon date 1]]),
AD$1+1-1=MONTH(T_Eq[[#This Row],[coupon date 2]]),
AD$1+1-1=MONTH(T_Eq[[#This Row],[coupon date 3]])),
IF('CF USD'!$A$8="on",T_Eq[[#This Row],[Dividend in USD]],T_Eq[[#This Row],[Dividend in Loc.Curr]])
/T_Eq[[#This Row],[Dividends per annum]],0),
"")</f>
        <v>0</v>
      </c>
      <c r="AE5" s="669">
        <f>IFERROR(IF(
OR(
AE$1+1-1=MONTH($U5),
AE$1+1-1=MONTH(T_Eq[[#This Row],[coupon date 1]]),
AE$1+1-1=MONTH(T_Eq[[#This Row],[coupon date 2]]),
AE$1+1-1=MONTH(T_Eq[[#This Row],[coupon date 3]])),
IF('CF USD'!$A$8="on",T_Eq[[#This Row],[Dividend in USD]],T_Eq[[#This Row],[Dividend in Loc.Curr]])
/T_Eq[[#This Row],[Dividends per annum]],0),
"")</f>
        <v>4805.7349999999997</v>
      </c>
      <c r="AF5" s="669">
        <f>IFERROR(IF(
OR(
AF$1+1-1=MONTH($U5),
AF$1+1-1=MONTH(T_Eq[[#This Row],[coupon date 1]]),
AF$1+1-1=MONTH(T_Eq[[#This Row],[coupon date 2]]),
AF$1+1-1=MONTH(T_Eq[[#This Row],[coupon date 3]])),
IF('CF USD'!$A$8="on",T_Eq[[#This Row],[Dividend in USD]],T_Eq[[#This Row],[Dividend in Loc.Curr]])
/T_Eq[[#This Row],[Dividends per annum]],0),
"")</f>
        <v>0</v>
      </c>
      <c r="AG5" s="669">
        <f>IFERROR(IF(
OR(
AG$1+1-1=MONTH($U5),
AG$1+1-1=MONTH(T_Eq[[#This Row],[coupon date 1]]),
AG$1+1-1=MONTH(T_Eq[[#This Row],[coupon date 2]]),
AG$1+1-1=MONTH(T_Eq[[#This Row],[coupon date 3]])),
IF('CF USD'!$A$8="on",T_Eq[[#This Row],[Dividend in USD]],T_Eq[[#This Row],[Dividend in Loc.Curr]])
/T_Eq[[#This Row],[Dividends per annum]],0),
"")</f>
        <v>0</v>
      </c>
      <c r="AH5" s="669">
        <f>IFERROR(IF(
OR(
AH$1+1-1=MONTH($U5),
AH$1+1-1=MONTH(T_Eq[[#This Row],[coupon date 1]]),
AH$1+1-1=MONTH(T_Eq[[#This Row],[coupon date 2]]),
AH$1+1-1=MONTH(T_Eq[[#This Row],[coupon date 3]])),
IF('CF USD'!$A$8="on",T_Eq[[#This Row],[Dividend in USD]],T_Eq[[#This Row],[Dividend in Loc.Curr]])
/T_Eq[[#This Row],[Dividends per annum]],0),
"")</f>
        <v>0</v>
      </c>
      <c r="AI5" s="669">
        <f>IFERROR(IF(
OR(
AI$1+1-1=MONTH($U5),
AI$1+1-1=MONTH(T_Eq[[#This Row],[coupon date 1]]),
AI$1+1-1=MONTH(T_Eq[[#This Row],[coupon date 2]]),
AI$1+1-1=MONTH(T_Eq[[#This Row],[coupon date 3]])),
IF('CF USD'!$A$8="on",T_Eq[[#This Row],[Dividend in USD]],T_Eq[[#This Row],[Dividend in Loc.Curr]])
/T_Eq[[#This Row],[Dividends per annum]],0),
"")</f>
        <v>0</v>
      </c>
      <c r="AJ5" s="669">
        <f>IFERROR(IF(
OR(
AJ$1+1-1=MONTH($U5),
AJ$1+1-1=MONTH(T_Eq[[#This Row],[coupon date 1]]),
AJ$1+1-1=MONTH(T_Eq[[#This Row],[coupon date 2]]),
AJ$1+1-1=MONTH(T_Eq[[#This Row],[coupon date 3]])),
IF('CF USD'!$A$8="on",T_Eq[[#This Row],[Dividend in USD]],T_Eq[[#This Row],[Dividend in Loc.Curr]])
/T_Eq[[#This Row],[Dividends per annum]],0),
"")</f>
        <v>0</v>
      </c>
    </row>
    <row r="6" spans="1:36" x14ac:dyDescent="0.25">
      <c r="A6" s="664" t="s">
        <v>366</v>
      </c>
      <c r="B6" s="664" t="s">
        <v>195</v>
      </c>
      <c r="C6" s="708" t="s">
        <v>2386</v>
      </c>
      <c r="D6" s="676" t="s">
        <v>2391</v>
      </c>
      <c r="E6" s="672" t="s">
        <v>19</v>
      </c>
      <c r="F6" s="672" t="s">
        <v>294</v>
      </c>
      <c r="G6" s="70" t="s">
        <v>294</v>
      </c>
      <c r="H6" s="70" t="s">
        <v>2475</v>
      </c>
      <c r="I6" s="684">
        <v>37770</v>
      </c>
      <c r="J6" s="295">
        <v>2.6589999999999998</v>
      </c>
      <c r="K6" s="666">
        <f>ABS(T_Eq[[#This Row],[Quantity]]*T_Eq[[#This Row],[Market price]])</f>
        <v>100430.43</v>
      </c>
      <c r="L6" s="666">
        <f ca="1">ABS(INDEX('Tech list'!A:C,MATCH(T_Eq[[#This Row],[Risk CCY]],'Tech list'!A:A,0),3)*T_Eq[[#This Row],[Market value, CCY]])</f>
        <v>134315.65708199999</v>
      </c>
      <c r="M6" s="679">
        <v>2.6838832082605246</v>
      </c>
      <c r="N6" s="666">
        <f>ABS(T_Eq[[#This Row],[Cost price]]*T_Eq[[#This Row],[Quantity]])</f>
        <v>101370.26877600001</v>
      </c>
      <c r="O6" s="668">
        <f>IF(T_Eq[[#This Row],[Quantity]]&lt;0,N6/K6-1,K6/N6-1)</f>
        <v>-9.2713454087489655E-3</v>
      </c>
      <c r="P6" s="669">
        <v>0.215</v>
      </c>
      <c r="Q6" s="668">
        <f>T_Eq[[#This Row],[Dividend per share]]/T_Eq[[#This Row],[Market price]]</f>
        <v>8.0857465212485907E-2</v>
      </c>
      <c r="R6" s="666">
        <f>T_Eq[[#This Row],[Dividend per share]]*T_Eq[[#This Row],[Quantity]]</f>
        <v>8120.55</v>
      </c>
      <c r="S6" s="666">
        <f ca="1">INDEX('Tech list'!A:C,MATCH(T_Eq[[#This Row],[Risk CCY]],'Tech list'!A:A,0),3)*T_Eq[[#This Row],[Dividend in Loc.Curr]]</f>
        <v>10860.423569999999</v>
      </c>
      <c r="T6" s="709">
        <v>2</v>
      </c>
      <c r="U6" s="675">
        <v>46178</v>
      </c>
      <c r="V6" s="671">
        <f>EDATE(T_Eq[[#This Row],[Next coupon date]],12/$T6)</f>
        <v>46361</v>
      </c>
      <c r="W6" s="671">
        <f>EDATE(T_Eq[[#This Row],[coupon date 1]],12/$T6)</f>
        <v>46543</v>
      </c>
      <c r="X6" s="671">
        <f>EDATE(T_Eq[[#This Row],[coupon date 2]],12/$T6)</f>
        <v>46726</v>
      </c>
      <c r="Y6" s="669">
        <f>IFERROR(IF(
OR(
Y$1+1-1=MONTH($U6),
Y$1+1-1=MONTH(T_Eq[[#This Row],[coupon date 1]]),
Y$1+1-1=MONTH(T_Eq[[#This Row],[coupon date 2]]),
Y$1+1-1=MONTH(T_Eq[[#This Row],[coupon date 3]])),
IF('CF USD'!$A$8="on",T_Eq[[#This Row],[Dividend in USD]],T_Eq[[#This Row],[Dividend in Loc.Curr]])
/T_Eq[[#This Row],[Dividends per annum]],0),
"")</f>
        <v>0</v>
      </c>
      <c r="Z6" s="669">
        <f>IFERROR(IF(
OR(
Z$1+1-1=MONTH($U6),
Z$1+1-1=MONTH(T_Eq[[#This Row],[coupon date 1]]),
Z$1+1-1=MONTH(T_Eq[[#This Row],[coupon date 2]]),
Z$1+1-1=MONTH(T_Eq[[#This Row],[coupon date 3]])),
IF('CF USD'!$A$8="on",T_Eq[[#This Row],[Dividend in USD]],T_Eq[[#This Row],[Dividend in Loc.Curr]])
/T_Eq[[#This Row],[Dividends per annum]],0),
"")</f>
        <v>0</v>
      </c>
      <c r="AA6" s="669">
        <f>IFERROR(IF(
OR(
AA$1+1-1=MONTH($U6),
AA$1+1-1=MONTH(T_Eq[[#This Row],[coupon date 1]]),
AA$1+1-1=MONTH(T_Eq[[#This Row],[coupon date 2]]),
AA$1+1-1=MONTH(T_Eq[[#This Row],[coupon date 3]])),
IF('CF USD'!$A$8="on",T_Eq[[#This Row],[Dividend in USD]],T_Eq[[#This Row],[Dividend in Loc.Curr]])
/T_Eq[[#This Row],[Dividends per annum]],0),
"")</f>
        <v>0</v>
      </c>
      <c r="AB6" s="669">
        <f>IFERROR(IF(
OR(
AB$1+1-1=MONTH($U6),
AB$1+1-1=MONTH(T_Eq[[#This Row],[coupon date 1]]),
AB$1+1-1=MONTH(T_Eq[[#This Row],[coupon date 2]]),
AB$1+1-1=MONTH(T_Eq[[#This Row],[coupon date 3]])),
IF('CF USD'!$A$8="on",T_Eq[[#This Row],[Dividend in USD]],T_Eq[[#This Row],[Dividend in Loc.Curr]])
/T_Eq[[#This Row],[Dividends per annum]],0),
"")</f>
        <v>0</v>
      </c>
      <c r="AC6" s="669">
        <f>IFERROR(IF(
OR(
AC$1+1-1=MONTH($U6),
AC$1+1-1=MONTH(T_Eq[[#This Row],[coupon date 1]]),
AC$1+1-1=MONTH(T_Eq[[#This Row],[coupon date 2]]),
AC$1+1-1=MONTH(T_Eq[[#This Row],[coupon date 3]])),
IF('CF USD'!$A$8="on",T_Eq[[#This Row],[Dividend in USD]],T_Eq[[#This Row],[Dividend in Loc.Curr]])
/T_Eq[[#This Row],[Dividends per annum]],0),
"")</f>
        <v>0</v>
      </c>
      <c r="AD6" s="669">
        <f>IFERROR(IF(
OR(
AD$1+1-1=MONTH($U6),
AD$1+1-1=MONTH(T_Eq[[#This Row],[coupon date 1]]),
AD$1+1-1=MONTH(T_Eq[[#This Row],[coupon date 2]]),
AD$1+1-1=MONTH(T_Eq[[#This Row],[coupon date 3]])),
IF('CF USD'!$A$8="on",T_Eq[[#This Row],[Dividend in USD]],T_Eq[[#This Row],[Dividend in Loc.Curr]])
/T_Eq[[#This Row],[Dividends per annum]],0),
"")</f>
        <v>4060.2750000000001</v>
      </c>
      <c r="AE6" s="669">
        <f>IFERROR(IF(
OR(
AE$1+1-1=MONTH($U6),
AE$1+1-1=MONTH(T_Eq[[#This Row],[coupon date 1]]),
AE$1+1-1=MONTH(T_Eq[[#This Row],[coupon date 2]]),
AE$1+1-1=MONTH(T_Eq[[#This Row],[coupon date 3]])),
IF('CF USD'!$A$8="on",T_Eq[[#This Row],[Dividend in USD]],T_Eq[[#This Row],[Dividend in Loc.Curr]])
/T_Eq[[#This Row],[Dividends per annum]],0),
"")</f>
        <v>0</v>
      </c>
      <c r="AF6" s="669">
        <f>IFERROR(IF(
OR(
AF$1+1-1=MONTH($U6),
AF$1+1-1=MONTH(T_Eq[[#This Row],[coupon date 1]]),
AF$1+1-1=MONTH(T_Eq[[#This Row],[coupon date 2]]),
AF$1+1-1=MONTH(T_Eq[[#This Row],[coupon date 3]])),
IF('CF USD'!$A$8="on",T_Eq[[#This Row],[Dividend in USD]],T_Eq[[#This Row],[Dividend in Loc.Curr]])
/T_Eq[[#This Row],[Dividends per annum]],0),
"")</f>
        <v>0</v>
      </c>
      <c r="AG6" s="669">
        <f>IFERROR(IF(
OR(
AG$1+1-1=MONTH($U6),
AG$1+1-1=MONTH(T_Eq[[#This Row],[coupon date 1]]),
AG$1+1-1=MONTH(T_Eq[[#This Row],[coupon date 2]]),
AG$1+1-1=MONTH(T_Eq[[#This Row],[coupon date 3]])),
IF('CF USD'!$A$8="on",T_Eq[[#This Row],[Dividend in USD]],T_Eq[[#This Row],[Dividend in Loc.Curr]])
/T_Eq[[#This Row],[Dividends per annum]],0),
"")</f>
        <v>0</v>
      </c>
      <c r="AH6" s="669">
        <f>IFERROR(IF(
OR(
AH$1+1-1=MONTH($U6),
AH$1+1-1=MONTH(T_Eq[[#This Row],[coupon date 1]]),
AH$1+1-1=MONTH(T_Eq[[#This Row],[coupon date 2]]),
AH$1+1-1=MONTH(T_Eq[[#This Row],[coupon date 3]])),
IF('CF USD'!$A$8="on",T_Eq[[#This Row],[Dividend in USD]],T_Eq[[#This Row],[Dividend in Loc.Curr]])
/T_Eq[[#This Row],[Dividends per annum]],0),
"")</f>
        <v>0</v>
      </c>
      <c r="AI6" s="669">
        <f>IFERROR(IF(
OR(
AI$1+1-1=MONTH($U6),
AI$1+1-1=MONTH(T_Eq[[#This Row],[coupon date 1]]),
AI$1+1-1=MONTH(T_Eq[[#This Row],[coupon date 2]]),
AI$1+1-1=MONTH(T_Eq[[#This Row],[coupon date 3]])),
IF('CF USD'!$A$8="on",T_Eq[[#This Row],[Dividend in USD]],T_Eq[[#This Row],[Dividend in Loc.Curr]])
/T_Eq[[#This Row],[Dividends per annum]],0),
"")</f>
        <v>0</v>
      </c>
      <c r="AJ6" s="669">
        <f>IFERROR(IF(
OR(
AJ$1+1-1=MONTH($U6),
AJ$1+1-1=MONTH(T_Eq[[#This Row],[coupon date 1]]),
AJ$1+1-1=MONTH(T_Eq[[#This Row],[coupon date 2]]),
AJ$1+1-1=MONTH(T_Eq[[#This Row],[coupon date 3]])),
IF('CF USD'!$A$8="on",T_Eq[[#This Row],[Dividend in USD]],T_Eq[[#This Row],[Dividend in Loc.Curr]])
/T_Eq[[#This Row],[Dividends per annum]],0),
"")</f>
        <v>4060.2750000000001</v>
      </c>
    </row>
    <row r="7" spans="1:36" x14ac:dyDescent="0.25">
      <c r="A7" s="664" t="s">
        <v>366</v>
      </c>
      <c r="B7" s="664" t="s">
        <v>195</v>
      </c>
      <c r="C7" s="708" t="s">
        <v>2392</v>
      </c>
      <c r="D7" s="676" t="s">
        <v>2388</v>
      </c>
      <c r="E7" s="672" t="s">
        <v>19</v>
      </c>
      <c r="F7" s="672" t="s">
        <v>294</v>
      </c>
      <c r="G7" s="70" t="s">
        <v>294</v>
      </c>
      <c r="H7" s="70" t="s">
        <v>2475</v>
      </c>
      <c r="I7" s="684">
        <v>10920</v>
      </c>
      <c r="J7" s="295">
        <v>18.579999999999998</v>
      </c>
      <c r="K7" s="666">
        <f>ABS(T_Eq[[#This Row],[Quantity]]*T_Eq[[#This Row],[Market price]])</f>
        <v>202893.59999999998</v>
      </c>
      <c r="L7" s="666">
        <f ca="1">ABS(INDEX('Tech list'!A:C,MATCH(T_Eq[[#This Row],[Risk CCY]],'Tech list'!A:A,0),3)*T_Eq[[#This Row],[Market value, CCY]])</f>
        <v>271349.90063999995</v>
      </c>
      <c r="M7" s="679">
        <v>18.655265353846158</v>
      </c>
      <c r="N7" s="666">
        <f>ABS(T_Eq[[#This Row],[Cost price]]*T_Eq[[#This Row],[Quantity]])</f>
        <v>203715.49766400005</v>
      </c>
      <c r="O7" s="668">
        <f>IF(T_Eq[[#This Row],[Quantity]]&lt;0,N7/K7-1,K7/N7-1)</f>
        <v>-4.0345367604563975E-3</v>
      </c>
      <c r="P7" s="669">
        <f>0.455+0.255+0.1</f>
        <v>0.80999999999999994</v>
      </c>
      <c r="Q7" s="668">
        <f>T_Eq[[#This Row],[Dividend per share]]/T_Eq[[#This Row],[Market price]]</f>
        <v>4.3595263724434875E-2</v>
      </c>
      <c r="R7" s="666">
        <f>T_Eq[[#This Row],[Dividend per share]]*T_Eq[[#This Row],[Quantity]]</f>
        <v>8845.1999999999989</v>
      </c>
      <c r="S7" s="666">
        <f ca="1">INDEX('Tech list'!A:C,MATCH(T_Eq[[#This Row],[Risk CCY]],'Tech list'!A:A,0),3)*T_Eq[[#This Row],[Dividend in Loc.Curr]]</f>
        <v>11829.570479999998</v>
      </c>
      <c r="T7" s="709">
        <v>2</v>
      </c>
      <c r="U7" s="675">
        <v>46172</v>
      </c>
      <c r="V7" s="671">
        <f>EDATE(T_Eq[[#This Row],[Next coupon date]],12/$T7)</f>
        <v>46356</v>
      </c>
      <c r="W7" s="671">
        <f>EDATE(T_Eq[[#This Row],[coupon date 1]],12/$T7)</f>
        <v>46537</v>
      </c>
      <c r="X7" s="671">
        <f>EDATE(T_Eq[[#This Row],[coupon date 2]],12/$T7)</f>
        <v>46721</v>
      </c>
      <c r="Y7" s="669">
        <f>IFERROR(IF(
OR(
Y$1+1-1=MONTH($U7),
Y$1+1-1=MONTH(T_Eq[[#This Row],[coupon date 1]]),
Y$1+1-1=MONTH(T_Eq[[#This Row],[coupon date 2]]),
Y$1+1-1=MONTH(T_Eq[[#This Row],[coupon date 3]])),
IF('CF USD'!$A$8="on",T_Eq[[#This Row],[Dividend in USD]],T_Eq[[#This Row],[Dividend in Loc.Curr]])
/T_Eq[[#This Row],[Dividends per annum]],0),
"")</f>
        <v>0</v>
      </c>
      <c r="Z7" s="669">
        <f>IFERROR(IF(
OR(
Z$1+1-1=MONTH($U7),
Z$1+1-1=MONTH(T_Eq[[#This Row],[coupon date 1]]),
Z$1+1-1=MONTH(T_Eq[[#This Row],[coupon date 2]]),
Z$1+1-1=MONTH(T_Eq[[#This Row],[coupon date 3]])),
IF('CF USD'!$A$8="on",T_Eq[[#This Row],[Dividend in USD]],T_Eq[[#This Row],[Dividend in Loc.Curr]])
/T_Eq[[#This Row],[Dividends per annum]],0),
"")</f>
        <v>0</v>
      </c>
      <c r="AA7" s="669">
        <f>IFERROR(IF(
OR(
AA$1+1-1=MONTH($U7),
AA$1+1-1=MONTH(T_Eq[[#This Row],[coupon date 1]]),
AA$1+1-1=MONTH(T_Eq[[#This Row],[coupon date 2]]),
AA$1+1-1=MONTH(T_Eq[[#This Row],[coupon date 3]])),
IF('CF USD'!$A$8="on",T_Eq[[#This Row],[Dividend in USD]],T_Eq[[#This Row],[Dividend in Loc.Curr]])
/T_Eq[[#This Row],[Dividends per annum]],0),
"")</f>
        <v>0</v>
      </c>
      <c r="AB7" s="669">
        <f>IFERROR(IF(
OR(
AB$1+1-1=MONTH($U7),
AB$1+1-1=MONTH(T_Eq[[#This Row],[coupon date 1]]),
AB$1+1-1=MONTH(T_Eq[[#This Row],[coupon date 2]]),
AB$1+1-1=MONTH(T_Eq[[#This Row],[coupon date 3]])),
IF('CF USD'!$A$8="on",T_Eq[[#This Row],[Dividend in USD]],T_Eq[[#This Row],[Dividend in Loc.Curr]])
/T_Eq[[#This Row],[Dividends per annum]],0),
"")</f>
        <v>0</v>
      </c>
      <c r="AC7" s="669">
        <f>IFERROR(IF(
OR(
AC$1+1-1=MONTH($U7),
AC$1+1-1=MONTH(T_Eq[[#This Row],[coupon date 1]]),
AC$1+1-1=MONTH(T_Eq[[#This Row],[coupon date 2]]),
AC$1+1-1=MONTH(T_Eq[[#This Row],[coupon date 3]])),
IF('CF USD'!$A$8="on",T_Eq[[#This Row],[Dividend in USD]],T_Eq[[#This Row],[Dividend in Loc.Curr]])
/T_Eq[[#This Row],[Dividends per annum]],0),
"")</f>
        <v>4422.5999999999995</v>
      </c>
      <c r="AD7" s="669">
        <f>IFERROR(IF(
OR(
AD$1+1-1=MONTH($U7),
AD$1+1-1=MONTH(T_Eq[[#This Row],[coupon date 1]]),
AD$1+1-1=MONTH(T_Eq[[#This Row],[coupon date 2]]),
AD$1+1-1=MONTH(T_Eq[[#This Row],[coupon date 3]])),
IF('CF USD'!$A$8="on",T_Eq[[#This Row],[Dividend in USD]],T_Eq[[#This Row],[Dividend in Loc.Curr]])
/T_Eq[[#This Row],[Dividends per annum]],0),
"")</f>
        <v>0</v>
      </c>
      <c r="AE7" s="669">
        <f>IFERROR(IF(
OR(
AE$1+1-1=MONTH($U7),
AE$1+1-1=MONTH(T_Eq[[#This Row],[coupon date 1]]),
AE$1+1-1=MONTH(T_Eq[[#This Row],[coupon date 2]]),
AE$1+1-1=MONTH(T_Eq[[#This Row],[coupon date 3]])),
IF('CF USD'!$A$8="on",T_Eq[[#This Row],[Dividend in USD]],T_Eq[[#This Row],[Dividend in Loc.Curr]])
/T_Eq[[#This Row],[Dividends per annum]],0),
"")</f>
        <v>0</v>
      </c>
      <c r="AF7" s="669">
        <f>IFERROR(IF(
OR(
AF$1+1-1=MONTH($U7),
AF$1+1-1=MONTH(T_Eq[[#This Row],[coupon date 1]]),
AF$1+1-1=MONTH(T_Eq[[#This Row],[coupon date 2]]),
AF$1+1-1=MONTH(T_Eq[[#This Row],[coupon date 3]])),
IF('CF USD'!$A$8="on",T_Eq[[#This Row],[Dividend in USD]],T_Eq[[#This Row],[Dividend in Loc.Curr]])
/T_Eq[[#This Row],[Dividends per annum]],0),
"")</f>
        <v>0</v>
      </c>
      <c r="AG7" s="669">
        <f>IFERROR(IF(
OR(
AG$1+1-1=MONTH($U7),
AG$1+1-1=MONTH(T_Eq[[#This Row],[coupon date 1]]),
AG$1+1-1=MONTH(T_Eq[[#This Row],[coupon date 2]]),
AG$1+1-1=MONTH(T_Eq[[#This Row],[coupon date 3]])),
IF('CF USD'!$A$8="on",T_Eq[[#This Row],[Dividend in USD]],T_Eq[[#This Row],[Dividend in Loc.Curr]])
/T_Eq[[#This Row],[Dividends per annum]],0),
"")</f>
        <v>0</v>
      </c>
      <c r="AH7" s="669">
        <f>IFERROR(IF(
OR(
AH$1+1-1=MONTH($U7),
AH$1+1-1=MONTH(T_Eq[[#This Row],[coupon date 1]]),
AH$1+1-1=MONTH(T_Eq[[#This Row],[coupon date 2]]),
AH$1+1-1=MONTH(T_Eq[[#This Row],[coupon date 3]])),
IF('CF USD'!$A$8="on",T_Eq[[#This Row],[Dividend in USD]],T_Eq[[#This Row],[Dividend in Loc.Curr]])
/T_Eq[[#This Row],[Dividends per annum]],0),
"")</f>
        <v>0</v>
      </c>
      <c r="AI7" s="669">
        <f>IFERROR(IF(
OR(
AI$1+1-1=MONTH($U7),
AI$1+1-1=MONTH(T_Eq[[#This Row],[coupon date 1]]),
AI$1+1-1=MONTH(T_Eq[[#This Row],[coupon date 2]]),
AI$1+1-1=MONTH(T_Eq[[#This Row],[coupon date 3]])),
IF('CF USD'!$A$8="on",T_Eq[[#This Row],[Dividend in USD]],T_Eq[[#This Row],[Dividend in Loc.Curr]])
/T_Eq[[#This Row],[Dividends per annum]],0),
"")</f>
        <v>4422.5999999999995</v>
      </c>
      <c r="AJ7" s="669">
        <f>IFERROR(IF(
OR(
AJ$1+1-1=MONTH($U7),
AJ$1+1-1=MONTH(T_Eq[[#This Row],[coupon date 1]]),
AJ$1+1-1=MONTH(T_Eq[[#This Row],[coupon date 2]]),
AJ$1+1-1=MONTH(T_Eq[[#This Row],[coupon date 3]])),
IF('CF USD'!$A$8="on",T_Eq[[#This Row],[Dividend in USD]],T_Eq[[#This Row],[Dividend in Loc.Curr]])
/T_Eq[[#This Row],[Dividends per annum]],0),
"")</f>
        <v>0</v>
      </c>
    </row>
    <row r="8" spans="1:36" x14ac:dyDescent="0.25">
      <c r="A8" s="664" t="s">
        <v>366</v>
      </c>
      <c r="B8" s="664" t="s">
        <v>195</v>
      </c>
      <c r="C8" s="708" t="s">
        <v>2389</v>
      </c>
      <c r="D8" s="676" t="s">
        <v>2390</v>
      </c>
      <c r="E8" s="672" t="s">
        <v>19</v>
      </c>
      <c r="F8" s="672" t="s">
        <v>294</v>
      </c>
      <c r="G8" s="70" t="s">
        <v>294</v>
      </c>
      <c r="H8" s="70" t="s">
        <v>2475</v>
      </c>
      <c r="I8" s="684">
        <v>15800</v>
      </c>
      <c r="J8" s="295">
        <v>6.4249999999999998</v>
      </c>
      <c r="K8" s="666">
        <f>ABS(T_Eq[[#This Row],[Quantity]]*T_Eq[[#This Row],[Market price]])</f>
        <v>101515</v>
      </c>
      <c r="L8" s="666">
        <f ca="1">ABS(INDEX('Tech list'!A:C,MATCH(T_Eq[[#This Row],[Risk CCY]],'Tech list'!A:A,0),3)*T_Eq[[#This Row],[Market value, CCY]])</f>
        <v>135766.16099999999</v>
      </c>
      <c r="M8" s="679">
        <v>6.4329730845569628</v>
      </c>
      <c r="N8" s="666">
        <f>ABS(T_Eq[[#This Row],[Cost price]]*T_Eq[[#This Row],[Quantity]])</f>
        <v>101640.97473600002</v>
      </c>
      <c r="O8" s="668">
        <f>IF(T_Eq[[#This Row],[Quantity]]&lt;0,N8/K8-1,K8/N8-1)</f>
        <v>-1.2394089718956725E-3</v>
      </c>
      <c r="P8" s="669">
        <v>0.4</v>
      </c>
      <c r="Q8" s="668">
        <f>T_Eq[[#This Row],[Dividend per share]]/T_Eq[[#This Row],[Market price]]</f>
        <v>6.2256809338521409E-2</v>
      </c>
      <c r="R8" s="666">
        <f>T_Eq[[#This Row],[Dividend per share]]*T_Eq[[#This Row],[Quantity]]</f>
        <v>6320</v>
      </c>
      <c r="S8" s="666">
        <f ca="1">INDEX('Tech list'!A:C,MATCH(T_Eq[[#This Row],[Risk CCY]],'Tech list'!A:A,0),3)*T_Eq[[#This Row],[Dividend in Loc.Curr]]</f>
        <v>8452.3680000000004</v>
      </c>
      <c r="T8" s="709">
        <v>3</v>
      </c>
      <c r="U8" s="675">
        <v>46031</v>
      </c>
      <c r="V8" s="671">
        <f>EDATE(T_Eq[[#This Row],[Next coupon date]],12/$T8)</f>
        <v>46151</v>
      </c>
      <c r="W8" s="671">
        <f>EDATE(T_Eq[[#This Row],[coupon date 1]],12/$T8)</f>
        <v>46274</v>
      </c>
      <c r="X8" s="671">
        <f>EDATE(T_Eq[[#This Row],[coupon date 2]],12/$T8)</f>
        <v>46396</v>
      </c>
      <c r="Y8" s="669">
        <f>IFERROR(IF(
OR(
Y$1+1-1=MONTH($U8),
Y$1+1-1=MONTH(T_Eq[[#This Row],[coupon date 1]]),
Y$1+1-1=MONTH(T_Eq[[#This Row],[coupon date 2]]),
Y$1+1-1=MONTH(T_Eq[[#This Row],[coupon date 3]])),
IF('CF USD'!$A$8="on",T_Eq[[#This Row],[Dividend in USD]],T_Eq[[#This Row],[Dividend in Loc.Curr]])
/T_Eq[[#This Row],[Dividends per annum]],0),
"")</f>
        <v>2106.6666666666665</v>
      </c>
      <c r="Z8" s="669">
        <f>IFERROR(IF(
OR(
Z$1+1-1=MONTH($U8),
Z$1+1-1=MONTH(T_Eq[[#This Row],[coupon date 1]]),
Z$1+1-1=MONTH(T_Eq[[#This Row],[coupon date 2]]),
Z$1+1-1=MONTH(T_Eq[[#This Row],[coupon date 3]])),
IF('CF USD'!$A$8="on",T_Eq[[#This Row],[Dividend in USD]],T_Eq[[#This Row],[Dividend in Loc.Curr]])
/T_Eq[[#This Row],[Dividends per annum]],0),
"")</f>
        <v>0</v>
      </c>
      <c r="AA8" s="669">
        <f>IFERROR(IF(
OR(
AA$1+1-1=MONTH($U8),
AA$1+1-1=MONTH(T_Eq[[#This Row],[coupon date 1]]),
AA$1+1-1=MONTH(T_Eq[[#This Row],[coupon date 2]]),
AA$1+1-1=MONTH(T_Eq[[#This Row],[coupon date 3]])),
IF('CF USD'!$A$8="on",T_Eq[[#This Row],[Dividend in USD]],T_Eq[[#This Row],[Dividend in Loc.Curr]])
/T_Eq[[#This Row],[Dividends per annum]],0),
"")</f>
        <v>0</v>
      </c>
      <c r="AB8" s="669">
        <f>IFERROR(IF(
OR(
AB$1+1-1=MONTH($U8),
AB$1+1-1=MONTH(T_Eq[[#This Row],[coupon date 1]]),
AB$1+1-1=MONTH(T_Eq[[#This Row],[coupon date 2]]),
AB$1+1-1=MONTH(T_Eq[[#This Row],[coupon date 3]])),
IF('CF USD'!$A$8="on",T_Eq[[#This Row],[Dividend in USD]],T_Eq[[#This Row],[Dividend in Loc.Curr]])
/T_Eq[[#This Row],[Dividends per annum]],0),
"")</f>
        <v>0</v>
      </c>
      <c r="AC8" s="669">
        <f>IFERROR(IF(
OR(
AC$1+1-1=MONTH($U8),
AC$1+1-1=MONTH(T_Eq[[#This Row],[coupon date 1]]),
AC$1+1-1=MONTH(T_Eq[[#This Row],[coupon date 2]]),
AC$1+1-1=MONTH(T_Eq[[#This Row],[coupon date 3]])),
IF('CF USD'!$A$8="on",T_Eq[[#This Row],[Dividend in USD]],T_Eq[[#This Row],[Dividend in Loc.Curr]])
/T_Eq[[#This Row],[Dividends per annum]],0),
"")</f>
        <v>2106.6666666666665</v>
      </c>
      <c r="AD8" s="669">
        <f>IFERROR(IF(
OR(
AD$1+1-1=MONTH($U8),
AD$1+1-1=MONTH(T_Eq[[#This Row],[coupon date 1]]),
AD$1+1-1=MONTH(T_Eq[[#This Row],[coupon date 2]]),
AD$1+1-1=MONTH(T_Eq[[#This Row],[coupon date 3]])),
IF('CF USD'!$A$8="on",T_Eq[[#This Row],[Dividend in USD]],T_Eq[[#This Row],[Dividend in Loc.Curr]])
/T_Eq[[#This Row],[Dividends per annum]],0),
"")</f>
        <v>0</v>
      </c>
      <c r="AE8" s="669">
        <f>IFERROR(IF(
OR(
AE$1+1-1=MONTH($U8),
AE$1+1-1=MONTH(T_Eq[[#This Row],[coupon date 1]]),
AE$1+1-1=MONTH(T_Eq[[#This Row],[coupon date 2]]),
AE$1+1-1=MONTH(T_Eq[[#This Row],[coupon date 3]])),
IF('CF USD'!$A$8="on",T_Eq[[#This Row],[Dividend in USD]],T_Eq[[#This Row],[Dividend in Loc.Curr]])
/T_Eq[[#This Row],[Dividends per annum]],0),
"")</f>
        <v>0</v>
      </c>
      <c r="AF8" s="669">
        <f>IFERROR(IF(
OR(
AF$1+1-1=MONTH($U8),
AF$1+1-1=MONTH(T_Eq[[#This Row],[coupon date 1]]),
AF$1+1-1=MONTH(T_Eq[[#This Row],[coupon date 2]]),
AF$1+1-1=MONTH(T_Eq[[#This Row],[coupon date 3]])),
IF('CF USD'!$A$8="on",T_Eq[[#This Row],[Dividend in USD]],T_Eq[[#This Row],[Dividend in Loc.Curr]])
/T_Eq[[#This Row],[Dividends per annum]],0),
"")</f>
        <v>0</v>
      </c>
      <c r="AG8" s="669">
        <f>IFERROR(IF(
OR(
AG$1+1-1=MONTH($U8),
AG$1+1-1=MONTH(T_Eq[[#This Row],[coupon date 1]]),
AG$1+1-1=MONTH(T_Eq[[#This Row],[coupon date 2]]),
AG$1+1-1=MONTH(T_Eq[[#This Row],[coupon date 3]])),
IF('CF USD'!$A$8="on",T_Eq[[#This Row],[Dividend in USD]],T_Eq[[#This Row],[Dividend in Loc.Curr]])
/T_Eq[[#This Row],[Dividends per annum]],0),
"")</f>
        <v>2106.6666666666665</v>
      </c>
      <c r="AH8" s="669">
        <f>IFERROR(IF(
OR(
AH$1+1-1=MONTH($U8),
AH$1+1-1=MONTH(T_Eq[[#This Row],[coupon date 1]]),
AH$1+1-1=MONTH(T_Eq[[#This Row],[coupon date 2]]),
AH$1+1-1=MONTH(T_Eq[[#This Row],[coupon date 3]])),
IF('CF USD'!$A$8="on",T_Eq[[#This Row],[Dividend in USD]],T_Eq[[#This Row],[Dividend in Loc.Curr]])
/T_Eq[[#This Row],[Dividends per annum]],0),
"")</f>
        <v>0</v>
      </c>
      <c r="AI8" s="669">
        <f>IFERROR(IF(
OR(
AI$1+1-1=MONTH($U8),
AI$1+1-1=MONTH(T_Eq[[#This Row],[coupon date 1]]),
AI$1+1-1=MONTH(T_Eq[[#This Row],[coupon date 2]]),
AI$1+1-1=MONTH(T_Eq[[#This Row],[coupon date 3]])),
IF('CF USD'!$A$8="on",T_Eq[[#This Row],[Dividend in USD]],T_Eq[[#This Row],[Dividend in Loc.Curr]])
/T_Eq[[#This Row],[Dividends per annum]],0),
"")</f>
        <v>0</v>
      </c>
      <c r="AJ8" s="669">
        <f>IFERROR(IF(
OR(
AJ$1+1-1=MONTH($U8),
AJ$1+1-1=MONTH(T_Eq[[#This Row],[coupon date 1]]),
AJ$1+1-1=MONTH(T_Eq[[#This Row],[coupon date 2]]),
AJ$1+1-1=MONTH(T_Eq[[#This Row],[coupon date 3]])),
IF('CF USD'!$A$8="on",T_Eq[[#This Row],[Dividend in USD]],T_Eq[[#This Row],[Dividend in Loc.Curr]])
/T_Eq[[#This Row],[Dividends per annum]],0),
"")</f>
        <v>0</v>
      </c>
    </row>
    <row r="9" spans="1:36" x14ac:dyDescent="0.25">
      <c r="A9" s="958" t="s">
        <v>366</v>
      </c>
      <c r="B9" s="958" t="s">
        <v>195</v>
      </c>
      <c r="C9" s="959" t="s">
        <v>2510</v>
      </c>
      <c r="D9" s="959" t="s">
        <v>2536</v>
      </c>
      <c r="E9" s="672" t="s">
        <v>19</v>
      </c>
      <c r="F9" s="672" t="s">
        <v>294</v>
      </c>
      <c r="G9" s="672"/>
      <c r="H9" s="70" t="s">
        <v>2475</v>
      </c>
      <c r="I9" s="684">
        <v>521.92066805845513</v>
      </c>
      <c r="J9" s="295">
        <v>192.6</v>
      </c>
      <c r="K9" s="666">
        <f>ABS(T_Eq[[#This Row],[Quantity]]*T_Eq[[#This Row],[Market price]])</f>
        <v>100521.92066805846</v>
      </c>
      <c r="L9" s="666">
        <f ca="1">ABS(INDEX('Tech list'!A:C,MATCH(T_Eq[[#This Row],[Risk CCY]],'Tech list'!A:A,0),3)*T_Eq[[#This Row],[Market value, CCY]])</f>
        <v>134438.01670146137</v>
      </c>
      <c r="M9" s="677">
        <v>191.6</v>
      </c>
      <c r="N9" s="666">
        <f>ABS(T_Eq[[#This Row],[Cost price]]*T_Eq[[#This Row],[Quantity]])</f>
        <v>100000</v>
      </c>
      <c r="O9" s="213">
        <f>IF(T_Eq[[#This Row],[Quantity]]&lt;0,N9/K9-1,K9/N9-1)</f>
        <v>5.2192066805845094E-3</v>
      </c>
      <c r="P9" s="669">
        <v>8.4</v>
      </c>
      <c r="Q9" s="213">
        <f>T_Eq[[#This Row],[Dividend per share]]/T_Eq[[#This Row],[Market price]]</f>
        <v>4.3613707165109039E-2</v>
      </c>
      <c r="R9" s="666">
        <f>T_Eq[[#This Row],[Dividend per share]]*T_Eq[[#This Row],[Quantity]]</f>
        <v>4384.1336116910234</v>
      </c>
      <c r="S9" s="666">
        <f ca="1">INDEX('Tech list'!A:C,MATCH(T_Eq[[#This Row],[Risk CCY]],'Tech list'!A:A,0),3)*T_Eq[[#This Row],[Dividend in Loc.Curr]]</f>
        <v>5863.340292275574</v>
      </c>
      <c r="T9" s="666">
        <v>2</v>
      </c>
      <c r="U9" s="675">
        <v>46073</v>
      </c>
      <c r="V9" s="671">
        <f>EDATE(T_Eq[[#This Row],[Next coupon date]],12/$T9)</f>
        <v>46254</v>
      </c>
      <c r="W9" s="671">
        <f>EDATE(T_Eq[[#This Row],[coupon date 1]],12/$T9)</f>
        <v>46438</v>
      </c>
      <c r="X9" s="671">
        <f>EDATE(T_Eq[[#This Row],[coupon date 2]],12/$T9)</f>
        <v>46619</v>
      </c>
      <c r="Y9" s="682">
        <f>IFERROR(IF(
OR(
Y$1+1-1=MONTH($U9),
Y$1+1-1=MONTH(T_Eq[[#This Row],[coupon date 1]]),
Y$1+1-1=MONTH(T_Eq[[#This Row],[coupon date 2]]),
Y$1+1-1=MONTH(T_Eq[[#This Row],[coupon date 3]])),
IF('CF USD'!$A$8="on",T_Eq[[#This Row],[Dividend in USD]],T_Eq[[#This Row],[Dividend in Loc.Curr]])
/T_Eq[[#This Row],[Dividends per annum]],0),
"")</f>
        <v>0</v>
      </c>
      <c r="Z9" s="682">
        <f>IFERROR(IF(
OR(
Z$1+1-1=MONTH($U9),
Z$1+1-1=MONTH(T_Eq[[#This Row],[coupon date 1]]),
Z$1+1-1=MONTH(T_Eq[[#This Row],[coupon date 2]]),
Z$1+1-1=MONTH(T_Eq[[#This Row],[coupon date 3]])),
IF('CF USD'!$A$8="on",T_Eq[[#This Row],[Dividend in USD]],T_Eq[[#This Row],[Dividend in Loc.Curr]])
/T_Eq[[#This Row],[Dividends per annum]],0),
"")</f>
        <v>2192.0668058455117</v>
      </c>
      <c r="AA9" s="682">
        <f>IFERROR(IF(
OR(
AA$1+1-1=MONTH($U9),
AA$1+1-1=MONTH(T_Eq[[#This Row],[coupon date 1]]),
AA$1+1-1=MONTH(T_Eq[[#This Row],[coupon date 2]]),
AA$1+1-1=MONTH(T_Eq[[#This Row],[coupon date 3]])),
IF('CF USD'!$A$8="on",T_Eq[[#This Row],[Dividend in USD]],T_Eq[[#This Row],[Dividend in Loc.Curr]])
/T_Eq[[#This Row],[Dividends per annum]],0),
"")</f>
        <v>0</v>
      </c>
      <c r="AB9" s="682">
        <f>IFERROR(IF(
OR(
AB$1+1-1=MONTH($U9),
AB$1+1-1=MONTH(T_Eq[[#This Row],[coupon date 1]]),
AB$1+1-1=MONTH(T_Eq[[#This Row],[coupon date 2]]),
AB$1+1-1=MONTH(T_Eq[[#This Row],[coupon date 3]])),
IF('CF USD'!$A$8="on",T_Eq[[#This Row],[Dividend in USD]],T_Eq[[#This Row],[Dividend in Loc.Curr]])
/T_Eq[[#This Row],[Dividends per annum]],0),
"")</f>
        <v>0</v>
      </c>
      <c r="AC9" s="682">
        <f>IFERROR(IF(
OR(
AC$1+1-1=MONTH($U9),
AC$1+1-1=MONTH(T_Eq[[#This Row],[coupon date 1]]),
AC$1+1-1=MONTH(T_Eq[[#This Row],[coupon date 2]]),
AC$1+1-1=MONTH(T_Eq[[#This Row],[coupon date 3]])),
IF('CF USD'!$A$8="on",T_Eq[[#This Row],[Dividend in USD]],T_Eq[[#This Row],[Dividend in Loc.Curr]])
/T_Eq[[#This Row],[Dividends per annum]],0),
"")</f>
        <v>0</v>
      </c>
      <c r="AD9" s="682">
        <f>IFERROR(IF(
OR(
AD$1+1-1=MONTH($U9),
AD$1+1-1=MONTH(T_Eq[[#This Row],[coupon date 1]]),
AD$1+1-1=MONTH(T_Eq[[#This Row],[coupon date 2]]),
AD$1+1-1=MONTH(T_Eq[[#This Row],[coupon date 3]])),
IF('CF USD'!$A$8="on",T_Eq[[#This Row],[Dividend in USD]],T_Eq[[#This Row],[Dividend in Loc.Curr]])
/T_Eq[[#This Row],[Dividends per annum]],0),
"")</f>
        <v>0</v>
      </c>
      <c r="AE9" s="682">
        <f>IFERROR(IF(
OR(
AE$1+1-1=MONTH($U9),
AE$1+1-1=MONTH(T_Eq[[#This Row],[coupon date 1]]),
AE$1+1-1=MONTH(T_Eq[[#This Row],[coupon date 2]]),
AE$1+1-1=MONTH(T_Eq[[#This Row],[coupon date 3]])),
IF('CF USD'!$A$8="on",T_Eq[[#This Row],[Dividend in USD]],T_Eq[[#This Row],[Dividend in Loc.Curr]])
/T_Eq[[#This Row],[Dividends per annum]],0),
"")</f>
        <v>0</v>
      </c>
      <c r="AF9" s="682">
        <f>IFERROR(IF(
OR(
AF$1+1-1=MONTH($U9),
AF$1+1-1=MONTH(T_Eq[[#This Row],[coupon date 1]]),
AF$1+1-1=MONTH(T_Eq[[#This Row],[coupon date 2]]),
AF$1+1-1=MONTH(T_Eq[[#This Row],[coupon date 3]])),
IF('CF USD'!$A$8="on",T_Eq[[#This Row],[Dividend in USD]],T_Eq[[#This Row],[Dividend in Loc.Curr]])
/T_Eq[[#This Row],[Dividends per annum]],0),
"")</f>
        <v>2192.0668058455117</v>
      </c>
      <c r="AG9" s="682">
        <f>IFERROR(IF(
OR(
AG$1+1-1=MONTH($U9),
AG$1+1-1=MONTH(T_Eq[[#This Row],[coupon date 1]]),
AG$1+1-1=MONTH(T_Eq[[#This Row],[coupon date 2]]),
AG$1+1-1=MONTH(T_Eq[[#This Row],[coupon date 3]])),
IF('CF USD'!$A$8="on",T_Eq[[#This Row],[Dividend in USD]],T_Eq[[#This Row],[Dividend in Loc.Curr]])
/T_Eq[[#This Row],[Dividends per annum]],0),
"")</f>
        <v>0</v>
      </c>
      <c r="AH9" s="682">
        <f>IFERROR(IF(
OR(
AH$1+1-1=MONTH($U9),
AH$1+1-1=MONTH(T_Eq[[#This Row],[coupon date 1]]),
AH$1+1-1=MONTH(T_Eq[[#This Row],[coupon date 2]]),
AH$1+1-1=MONTH(T_Eq[[#This Row],[coupon date 3]])),
IF('CF USD'!$A$8="on",T_Eq[[#This Row],[Dividend in USD]],T_Eq[[#This Row],[Dividend in Loc.Curr]])
/T_Eq[[#This Row],[Dividends per annum]],0),
"")</f>
        <v>0</v>
      </c>
      <c r="AI9" s="682">
        <f>IFERROR(IF(
OR(
AI$1+1-1=MONTH($U9),
AI$1+1-1=MONTH(T_Eq[[#This Row],[coupon date 1]]),
AI$1+1-1=MONTH(T_Eq[[#This Row],[coupon date 2]]),
AI$1+1-1=MONTH(T_Eq[[#This Row],[coupon date 3]])),
IF('CF USD'!$A$8="on",T_Eq[[#This Row],[Dividend in USD]],T_Eq[[#This Row],[Dividend in Loc.Curr]])
/T_Eq[[#This Row],[Dividends per annum]],0),
"")</f>
        <v>0</v>
      </c>
      <c r="AJ9" s="682">
        <f>IFERROR(IF(
OR(
AJ$1+1-1=MONTH($U9),
AJ$1+1-1=MONTH(T_Eq[[#This Row],[coupon date 1]]),
AJ$1+1-1=MONTH(T_Eq[[#This Row],[coupon date 2]]),
AJ$1+1-1=MONTH(T_Eq[[#This Row],[coupon date 3]])),
IF('CF USD'!$A$8="on",T_Eq[[#This Row],[Dividend in USD]],T_Eq[[#This Row],[Dividend in Loc.Curr]])
/T_Eq[[#This Row],[Dividends per annum]],0),
"")</f>
        <v>0</v>
      </c>
    </row>
    <row r="10" spans="1:36" x14ac:dyDescent="0.25">
      <c r="A10" s="731" t="s">
        <v>366</v>
      </c>
      <c r="B10" s="731" t="s">
        <v>1191</v>
      </c>
      <c r="C10" s="732" t="s">
        <v>2258</v>
      </c>
      <c r="D10" s="676" t="s">
        <v>2259</v>
      </c>
      <c r="E10" s="418" t="s">
        <v>18</v>
      </c>
      <c r="F10" s="418"/>
      <c r="G10" s="418" t="s">
        <v>2476</v>
      </c>
      <c r="H10" s="418" t="s">
        <v>2476</v>
      </c>
      <c r="I10" s="741">
        <v>16425</v>
      </c>
      <c r="J10" s="295">
        <v>17.995000000000001</v>
      </c>
      <c r="K10" s="666">
        <f>ABS(T_Eq[[#This Row],[Quantity]]*T_Eq[[#This Row],[Market price]])</f>
        <v>295567.875</v>
      </c>
      <c r="L10" s="666">
        <f>ABS(INDEX('Tech list'!A:C,MATCH(T_Eq[[#This Row],[Risk CCY]],'Tech list'!A:A,0),3)*T_Eq[[#This Row],[Market value, CCY]])</f>
        <v>295567.875</v>
      </c>
      <c r="M10" s="742">
        <v>18.265000000000001</v>
      </c>
      <c r="N10" s="666">
        <f>ABS(T_Eq[[#This Row],[Cost price]]*T_Eq[[#This Row],[Quantity]])</f>
        <v>300002.625</v>
      </c>
      <c r="O10" s="213">
        <f>IF(T_Eq[[#This Row],[Quantity]]&lt;0,N10/K10-1,K10/N10-1)</f>
        <v>-1.4782370654256805E-2</v>
      </c>
      <c r="P10" s="669">
        <v>1</v>
      </c>
      <c r="Q10" s="668">
        <f>T_Eq[[#This Row],[Dividend per share]]/T_Eq[[#This Row],[Market price]]</f>
        <v>5.5570991942206167E-2</v>
      </c>
      <c r="R10" s="666">
        <f>T_Eq[[#This Row],[Dividend per share]]*T_Eq[[#This Row],[Quantity]]</f>
        <v>16425</v>
      </c>
      <c r="S10" s="666">
        <f>INDEX('Tech list'!A:C,MATCH(T_Eq[[#This Row],[Risk CCY]],'Tech list'!A:A,0),3)*T_Eq[[#This Row],[Dividend in Loc.Curr]]</f>
        <v>16425</v>
      </c>
      <c r="T10" s="666">
        <v>4</v>
      </c>
      <c r="U10" s="675">
        <v>46002</v>
      </c>
      <c r="V10" s="671">
        <f>EDATE(T_Eq[[#This Row],[Next coupon date]],12/$T10)</f>
        <v>46092</v>
      </c>
      <c r="W10" s="671">
        <f>EDATE(T_Eq[[#This Row],[coupon date 1]],12/$T10)</f>
        <v>46184</v>
      </c>
      <c r="X10" s="671">
        <f>EDATE(T_Eq[[#This Row],[coupon date 2]],12/$T10)</f>
        <v>46276</v>
      </c>
      <c r="Y10" s="669">
        <f>IFERROR(IF(
OR(
Y$1+1-1=MONTH($U10),
Y$1+1-1=MONTH(T_Eq[[#This Row],[coupon date 1]]),
Y$1+1-1=MONTH(T_Eq[[#This Row],[coupon date 2]]),
Y$1+1-1=MONTH(T_Eq[[#This Row],[coupon date 3]])),
IF('CF USD'!$A$8="on",T_Eq[[#This Row],[Dividend in USD]],T_Eq[[#This Row],[Dividend in Loc.Curr]])
/T_Eq[[#This Row],[Dividends per annum]],0),
"")</f>
        <v>0</v>
      </c>
      <c r="Z10" s="669">
        <f>IFERROR(IF(
OR(
Z$1+1-1=MONTH($U10),
Z$1+1-1=MONTH(T_Eq[[#This Row],[coupon date 1]]),
Z$1+1-1=MONTH(T_Eq[[#This Row],[coupon date 2]]),
Z$1+1-1=MONTH(T_Eq[[#This Row],[coupon date 3]])),
IF('CF USD'!$A$8="on",T_Eq[[#This Row],[Dividend in USD]],T_Eq[[#This Row],[Dividend in Loc.Curr]])
/T_Eq[[#This Row],[Dividends per annum]],0),
"")</f>
        <v>0</v>
      </c>
      <c r="AA10" s="669">
        <f>IFERROR(IF(
OR(
AA$1+1-1=MONTH($U10),
AA$1+1-1=MONTH(T_Eq[[#This Row],[coupon date 1]]),
AA$1+1-1=MONTH(T_Eq[[#This Row],[coupon date 2]]),
AA$1+1-1=MONTH(T_Eq[[#This Row],[coupon date 3]])),
IF('CF USD'!$A$8="on",T_Eq[[#This Row],[Dividend in USD]],T_Eq[[#This Row],[Dividend in Loc.Curr]])
/T_Eq[[#This Row],[Dividends per annum]],0),
"")</f>
        <v>4106.25</v>
      </c>
      <c r="AB10" s="669">
        <f>IFERROR(IF(
OR(
AB$1+1-1=MONTH($U10),
AB$1+1-1=MONTH(T_Eq[[#This Row],[coupon date 1]]),
AB$1+1-1=MONTH(T_Eq[[#This Row],[coupon date 2]]),
AB$1+1-1=MONTH(T_Eq[[#This Row],[coupon date 3]])),
IF('CF USD'!$A$8="on",T_Eq[[#This Row],[Dividend in USD]],T_Eq[[#This Row],[Dividend in Loc.Curr]])
/T_Eq[[#This Row],[Dividends per annum]],0),
"")</f>
        <v>0</v>
      </c>
      <c r="AC10" s="669">
        <f>IFERROR(IF(
OR(
AC$1+1-1=MONTH($U10),
AC$1+1-1=MONTH(T_Eq[[#This Row],[coupon date 1]]),
AC$1+1-1=MONTH(T_Eq[[#This Row],[coupon date 2]]),
AC$1+1-1=MONTH(T_Eq[[#This Row],[coupon date 3]])),
IF('CF USD'!$A$8="on",T_Eq[[#This Row],[Dividend in USD]],T_Eq[[#This Row],[Dividend in Loc.Curr]])
/T_Eq[[#This Row],[Dividends per annum]],0),
"")</f>
        <v>0</v>
      </c>
      <c r="AD10" s="669">
        <f>IFERROR(IF(
OR(
AD$1+1-1=MONTH($U10),
AD$1+1-1=MONTH(T_Eq[[#This Row],[coupon date 1]]),
AD$1+1-1=MONTH(T_Eq[[#This Row],[coupon date 2]]),
AD$1+1-1=MONTH(T_Eq[[#This Row],[coupon date 3]])),
IF('CF USD'!$A$8="on",T_Eq[[#This Row],[Dividend in USD]],T_Eq[[#This Row],[Dividend in Loc.Curr]])
/T_Eq[[#This Row],[Dividends per annum]],0),
"")</f>
        <v>4106.25</v>
      </c>
      <c r="AE10" s="669">
        <f>IFERROR(IF(
OR(
AE$1+1-1=MONTH($U10),
AE$1+1-1=MONTH(T_Eq[[#This Row],[coupon date 1]]),
AE$1+1-1=MONTH(T_Eq[[#This Row],[coupon date 2]]),
AE$1+1-1=MONTH(T_Eq[[#This Row],[coupon date 3]])),
IF('CF USD'!$A$8="on",T_Eq[[#This Row],[Dividend in USD]],T_Eq[[#This Row],[Dividend in Loc.Curr]])
/T_Eq[[#This Row],[Dividends per annum]],0),
"")</f>
        <v>0</v>
      </c>
      <c r="AF10" s="669">
        <f>IFERROR(IF(
OR(
AF$1+1-1=MONTH($U10),
AF$1+1-1=MONTH(T_Eq[[#This Row],[coupon date 1]]),
AF$1+1-1=MONTH(T_Eq[[#This Row],[coupon date 2]]),
AF$1+1-1=MONTH(T_Eq[[#This Row],[coupon date 3]])),
IF('CF USD'!$A$8="on",T_Eq[[#This Row],[Dividend in USD]],T_Eq[[#This Row],[Dividend in Loc.Curr]])
/T_Eq[[#This Row],[Dividends per annum]],0),
"")</f>
        <v>0</v>
      </c>
      <c r="AG10" s="669">
        <f>IFERROR(IF(
OR(
AG$1+1-1=MONTH($U10),
AG$1+1-1=MONTH(T_Eq[[#This Row],[coupon date 1]]),
AG$1+1-1=MONTH(T_Eq[[#This Row],[coupon date 2]]),
AG$1+1-1=MONTH(T_Eq[[#This Row],[coupon date 3]])),
IF('CF USD'!$A$8="on",T_Eq[[#This Row],[Dividend in USD]],T_Eq[[#This Row],[Dividend in Loc.Curr]])
/T_Eq[[#This Row],[Dividends per annum]],0),
"")</f>
        <v>4106.25</v>
      </c>
      <c r="AH10" s="669">
        <f>IFERROR(IF(
OR(
AH$1+1-1=MONTH($U10),
AH$1+1-1=MONTH(T_Eq[[#This Row],[coupon date 1]]),
AH$1+1-1=MONTH(T_Eq[[#This Row],[coupon date 2]]),
AH$1+1-1=MONTH(T_Eq[[#This Row],[coupon date 3]])),
IF('CF USD'!$A$8="on",T_Eq[[#This Row],[Dividend in USD]],T_Eq[[#This Row],[Dividend in Loc.Curr]])
/T_Eq[[#This Row],[Dividends per annum]],0),
"")</f>
        <v>0</v>
      </c>
      <c r="AI10" s="669">
        <f>IFERROR(IF(
OR(
AI$1+1-1=MONTH($U10),
AI$1+1-1=MONTH(T_Eq[[#This Row],[coupon date 1]]),
AI$1+1-1=MONTH(T_Eq[[#This Row],[coupon date 2]]),
AI$1+1-1=MONTH(T_Eq[[#This Row],[coupon date 3]])),
IF('CF USD'!$A$8="on",T_Eq[[#This Row],[Dividend in USD]],T_Eq[[#This Row],[Dividend in Loc.Curr]])
/T_Eq[[#This Row],[Dividends per annum]],0),
"")</f>
        <v>0</v>
      </c>
      <c r="AJ10" s="669">
        <f>IFERROR(IF(
OR(
AJ$1+1-1=MONTH($U10),
AJ$1+1-1=MONTH(T_Eq[[#This Row],[coupon date 1]]),
AJ$1+1-1=MONTH(T_Eq[[#This Row],[coupon date 2]]),
AJ$1+1-1=MONTH(T_Eq[[#This Row],[coupon date 3]])),
IF('CF USD'!$A$8="on",T_Eq[[#This Row],[Dividend in USD]],T_Eq[[#This Row],[Dividend in Loc.Curr]])
/T_Eq[[#This Row],[Dividends per annum]],0),
"")</f>
        <v>4106.25</v>
      </c>
    </row>
    <row r="11" spans="1:36" x14ac:dyDescent="0.25">
      <c r="A11" s="731" t="s">
        <v>366</v>
      </c>
      <c r="B11" s="731" t="s">
        <v>1191</v>
      </c>
      <c r="C11" s="732" t="s">
        <v>2349</v>
      </c>
      <c r="D11" s="676" t="s">
        <v>2350</v>
      </c>
      <c r="E11" s="676" t="s">
        <v>18</v>
      </c>
      <c r="F11" s="676"/>
      <c r="G11" s="418" t="s">
        <v>2476</v>
      </c>
      <c r="H11" s="418" t="s">
        <v>2476</v>
      </c>
      <c r="I11" s="741">
        <v>17647</v>
      </c>
      <c r="J11" s="295">
        <v>16.942499999999999</v>
      </c>
      <c r="K11" s="666">
        <f>ABS(T_Eq[[#This Row],[Quantity]]*T_Eq[[#This Row],[Market price]])</f>
        <v>298984.29749999999</v>
      </c>
      <c r="L11" s="666">
        <f>ABS(INDEX('Tech list'!A:C,MATCH(T_Eq[[#This Row],[Risk CCY]],'Tech list'!A:A,0),3)*T_Eq[[#This Row],[Market value, CCY]])</f>
        <v>298984.29749999999</v>
      </c>
      <c r="M11" s="742">
        <v>17</v>
      </c>
      <c r="N11" s="666">
        <f>ABS(T_Eq[[#This Row],[Cost price]]*T_Eq[[#This Row],[Quantity]])</f>
        <v>299999</v>
      </c>
      <c r="O11" s="213">
        <f>IF(T_Eq[[#This Row],[Quantity]]&lt;0,N11/K11-1,K11/N11-1)</f>
        <v>-3.382352941176503E-3</v>
      </c>
      <c r="P11" s="682">
        <v>0.74099999999999988</v>
      </c>
      <c r="Q11" s="683">
        <f>T_Eq[[#This Row],[Dividend per share]]/T_Eq[[#This Row],[Market price]]</f>
        <v>4.3736166445329787E-2</v>
      </c>
      <c r="R11" s="666">
        <f>T_Eq[[#This Row],[Dividend per share]]*T_Eq[[#This Row],[Quantity]]</f>
        <v>13076.426999999998</v>
      </c>
      <c r="S11" s="666">
        <f>INDEX('Tech list'!A:C,MATCH(T_Eq[[#This Row],[Risk CCY]],'Tech list'!A:A,0),3)*T_Eq[[#This Row],[Dividend in Loc.Curr]]</f>
        <v>13076.426999999998</v>
      </c>
      <c r="T11" s="666">
        <v>4</v>
      </c>
      <c r="U11" s="675">
        <v>46039</v>
      </c>
      <c r="V11" s="671">
        <f>EDATE(T_Eq[[#This Row],[Next coupon date]],12/$T11)</f>
        <v>46129</v>
      </c>
      <c r="W11" s="671">
        <f>EDATE(T_Eq[[#This Row],[coupon date 1]],12/$T11)</f>
        <v>46220</v>
      </c>
      <c r="X11" s="671">
        <f>EDATE(T_Eq[[#This Row],[coupon date 2]],12/$T11)</f>
        <v>46312</v>
      </c>
      <c r="Y11" s="669">
        <f>IFERROR(IF(
OR(
Y$1+1-1=MONTH($U11),
Y$1+1-1=MONTH(T_Eq[[#This Row],[coupon date 1]]),
Y$1+1-1=MONTH(T_Eq[[#This Row],[coupon date 2]]),
Y$1+1-1=MONTH(T_Eq[[#This Row],[coupon date 3]])),
IF('CF USD'!$A$8="on",T_Eq[[#This Row],[Dividend in USD]],T_Eq[[#This Row],[Dividend in Loc.Curr]])
/T_Eq[[#This Row],[Dividends per annum]],0),
"")</f>
        <v>3269.1067499999995</v>
      </c>
      <c r="Z11" s="669">
        <f>IFERROR(IF(
OR(
Z$1+1-1=MONTH($U11),
Z$1+1-1=MONTH(T_Eq[[#This Row],[coupon date 1]]),
Z$1+1-1=MONTH(T_Eq[[#This Row],[coupon date 2]]),
Z$1+1-1=MONTH(T_Eq[[#This Row],[coupon date 3]])),
IF('CF USD'!$A$8="on",T_Eq[[#This Row],[Dividend in USD]],T_Eq[[#This Row],[Dividend in Loc.Curr]])
/T_Eq[[#This Row],[Dividends per annum]],0),
"")</f>
        <v>0</v>
      </c>
      <c r="AA11" s="669">
        <f>IFERROR(IF(
OR(
AA$1+1-1=MONTH($U11),
AA$1+1-1=MONTH(T_Eq[[#This Row],[coupon date 1]]),
AA$1+1-1=MONTH(T_Eq[[#This Row],[coupon date 2]]),
AA$1+1-1=MONTH(T_Eq[[#This Row],[coupon date 3]])),
IF('CF USD'!$A$8="on",T_Eq[[#This Row],[Dividend in USD]],T_Eq[[#This Row],[Dividend in Loc.Curr]])
/T_Eq[[#This Row],[Dividends per annum]],0),
"")</f>
        <v>0</v>
      </c>
      <c r="AB11" s="669">
        <f>IFERROR(IF(
OR(
AB$1+1-1=MONTH($U11),
AB$1+1-1=MONTH(T_Eq[[#This Row],[coupon date 1]]),
AB$1+1-1=MONTH(T_Eq[[#This Row],[coupon date 2]]),
AB$1+1-1=MONTH(T_Eq[[#This Row],[coupon date 3]])),
IF('CF USD'!$A$8="on",T_Eq[[#This Row],[Dividend in USD]],T_Eq[[#This Row],[Dividend in Loc.Curr]])
/T_Eq[[#This Row],[Dividends per annum]],0),
"")</f>
        <v>3269.1067499999995</v>
      </c>
      <c r="AC11" s="669">
        <f>IFERROR(IF(
OR(
AC$1+1-1=MONTH($U11),
AC$1+1-1=MONTH(T_Eq[[#This Row],[coupon date 1]]),
AC$1+1-1=MONTH(T_Eq[[#This Row],[coupon date 2]]),
AC$1+1-1=MONTH(T_Eq[[#This Row],[coupon date 3]])),
IF('CF USD'!$A$8="on",T_Eq[[#This Row],[Dividend in USD]],T_Eq[[#This Row],[Dividend in Loc.Curr]])
/T_Eq[[#This Row],[Dividends per annum]],0),
"")</f>
        <v>0</v>
      </c>
      <c r="AD11" s="669">
        <f>IFERROR(IF(
OR(
AD$1+1-1=MONTH($U11),
AD$1+1-1=MONTH(T_Eq[[#This Row],[coupon date 1]]),
AD$1+1-1=MONTH(T_Eq[[#This Row],[coupon date 2]]),
AD$1+1-1=MONTH(T_Eq[[#This Row],[coupon date 3]])),
IF('CF USD'!$A$8="on",T_Eq[[#This Row],[Dividend in USD]],T_Eq[[#This Row],[Dividend in Loc.Curr]])
/T_Eq[[#This Row],[Dividends per annum]],0),
"")</f>
        <v>0</v>
      </c>
      <c r="AE11" s="669">
        <f>IFERROR(IF(
OR(
AE$1+1-1=MONTH($U11),
AE$1+1-1=MONTH(T_Eq[[#This Row],[coupon date 1]]),
AE$1+1-1=MONTH(T_Eq[[#This Row],[coupon date 2]]),
AE$1+1-1=MONTH(T_Eq[[#This Row],[coupon date 3]])),
IF('CF USD'!$A$8="on",T_Eq[[#This Row],[Dividend in USD]],T_Eq[[#This Row],[Dividend in Loc.Curr]])
/T_Eq[[#This Row],[Dividends per annum]],0),
"")</f>
        <v>3269.1067499999995</v>
      </c>
      <c r="AF11" s="669">
        <f>IFERROR(IF(
OR(
AF$1+1-1=MONTH($U11),
AF$1+1-1=MONTH(T_Eq[[#This Row],[coupon date 1]]),
AF$1+1-1=MONTH(T_Eq[[#This Row],[coupon date 2]]),
AF$1+1-1=MONTH(T_Eq[[#This Row],[coupon date 3]])),
IF('CF USD'!$A$8="on",T_Eq[[#This Row],[Dividend in USD]],T_Eq[[#This Row],[Dividend in Loc.Curr]])
/T_Eq[[#This Row],[Dividends per annum]],0),
"")</f>
        <v>0</v>
      </c>
      <c r="AG11" s="669">
        <f>IFERROR(IF(
OR(
AG$1+1-1=MONTH($U11),
AG$1+1-1=MONTH(T_Eq[[#This Row],[coupon date 1]]),
AG$1+1-1=MONTH(T_Eq[[#This Row],[coupon date 2]]),
AG$1+1-1=MONTH(T_Eq[[#This Row],[coupon date 3]])),
IF('CF USD'!$A$8="on",T_Eq[[#This Row],[Dividend in USD]],T_Eq[[#This Row],[Dividend in Loc.Curr]])
/T_Eq[[#This Row],[Dividends per annum]],0),
"")</f>
        <v>0</v>
      </c>
      <c r="AH11" s="669">
        <f>IFERROR(IF(
OR(
AH$1+1-1=MONTH($U11),
AH$1+1-1=MONTH(T_Eq[[#This Row],[coupon date 1]]),
AH$1+1-1=MONTH(T_Eq[[#This Row],[coupon date 2]]),
AH$1+1-1=MONTH(T_Eq[[#This Row],[coupon date 3]])),
IF('CF USD'!$A$8="on",T_Eq[[#This Row],[Dividend in USD]],T_Eq[[#This Row],[Dividend in Loc.Curr]])
/T_Eq[[#This Row],[Dividends per annum]],0),
"")</f>
        <v>3269.1067499999995</v>
      </c>
      <c r="AI11" s="669">
        <f>IFERROR(IF(
OR(
AI$1+1-1=MONTH($U11),
AI$1+1-1=MONTH(T_Eq[[#This Row],[coupon date 1]]),
AI$1+1-1=MONTH(T_Eq[[#This Row],[coupon date 2]]),
AI$1+1-1=MONTH(T_Eq[[#This Row],[coupon date 3]])),
IF('CF USD'!$A$8="on",T_Eq[[#This Row],[Dividend in USD]],T_Eq[[#This Row],[Dividend in Loc.Curr]])
/T_Eq[[#This Row],[Dividends per annum]],0),
"")</f>
        <v>0</v>
      </c>
      <c r="AJ11" s="669">
        <f>IFERROR(IF(
OR(
AJ$1+1-1=MONTH($U11),
AJ$1+1-1=MONTH(T_Eq[[#This Row],[coupon date 1]]),
AJ$1+1-1=MONTH(T_Eq[[#This Row],[coupon date 2]]),
AJ$1+1-1=MONTH(T_Eq[[#This Row],[coupon date 3]])),
IF('CF USD'!$A$8="on",T_Eq[[#This Row],[Dividend in USD]],T_Eq[[#This Row],[Dividend in Loc.Curr]])
/T_Eq[[#This Row],[Dividends per annum]],0),
"")</f>
        <v>0</v>
      </c>
    </row>
    <row r="12" spans="1:36" x14ac:dyDescent="0.25">
      <c r="A12" s="731" t="s">
        <v>366</v>
      </c>
      <c r="B12" s="731" t="s">
        <v>1191</v>
      </c>
      <c r="C12" s="732" t="s">
        <v>2429</v>
      </c>
      <c r="D12" s="676" t="s">
        <v>2430</v>
      </c>
      <c r="E12" s="672" t="s">
        <v>18</v>
      </c>
      <c r="F12" s="672"/>
      <c r="G12" s="418" t="s">
        <v>2476</v>
      </c>
      <c r="H12" s="418" t="s">
        <v>2476</v>
      </c>
      <c r="I12" s="741">
        <v>13700</v>
      </c>
      <c r="J12" s="295">
        <v>36.401600000000002</v>
      </c>
      <c r="K12" s="666">
        <f>ABS(T_Eq[[#This Row],[Quantity]]*T_Eq[[#This Row],[Market price]])</f>
        <v>498701.92000000004</v>
      </c>
      <c r="L12" s="666">
        <f>ABS(INDEX('Tech list'!A:C,MATCH(T_Eq[[#This Row],[Risk CCY]],'Tech list'!A:A,0),3)*T_Eq[[#This Row],[Market value, CCY]])</f>
        <v>498701.92000000004</v>
      </c>
      <c r="M12" s="742">
        <v>36.4746299270073</v>
      </c>
      <c r="N12" s="666">
        <f>ABS(T_Eq[[#This Row],[Cost price]]*T_Eq[[#This Row],[Quantity]])</f>
        <v>499702.43</v>
      </c>
      <c r="O12" s="213">
        <f>IF(T_Eq[[#This Row],[Quantity]]&lt;0,N12/K12-1,K12/N12-1)</f>
        <v>-2.0022115962092801E-3</v>
      </c>
      <c r="P12" s="669">
        <v>2.2551999999999999</v>
      </c>
      <c r="Q12" s="683">
        <f>T_Eq[[#This Row],[Dividend per share]]/T_Eq[[#This Row],[Market price]]</f>
        <v>6.1953320733154578E-2</v>
      </c>
      <c r="R12" s="666">
        <f>T_Eq[[#This Row],[Dividend per share]]*T_Eq[[#This Row],[Quantity]]</f>
        <v>30896.239999999998</v>
      </c>
      <c r="S12" s="666">
        <f>INDEX('Tech list'!A:C,MATCH(T_Eq[[#This Row],[Risk CCY]],'Tech list'!A:A,0),3)*T_Eq[[#This Row],[Dividend in Loc.Curr]]</f>
        <v>30896.239999999998</v>
      </c>
      <c r="T12" s="666">
        <v>1</v>
      </c>
      <c r="U12" s="675">
        <v>46387</v>
      </c>
      <c r="V12" s="671">
        <f>EDATE(T_Eq[[#This Row],[Next coupon date]],12/$T12)</f>
        <v>46752</v>
      </c>
      <c r="W12" s="671">
        <f>EDATE(T_Eq[[#This Row],[coupon date 1]],12/$T12)</f>
        <v>47118</v>
      </c>
      <c r="X12" s="671">
        <f>EDATE(T_Eq[[#This Row],[coupon date 2]],12/$T12)</f>
        <v>47483</v>
      </c>
      <c r="Y12" s="669">
        <f>IFERROR(IF(
OR(
Y$1+1-1=MONTH($U12),
Y$1+1-1=MONTH(T_Eq[[#This Row],[coupon date 1]]),
Y$1+1-1=MONTH(T_Eq[[#This Row],[coupon date 2]]),
Y$1+1-1=MONTH(T_Eq[[#This Row],[coupon date 3]])),
IF('CF USD'!$A$8="on",T_Eq[[#This Row],[Dividend in USD]],T_Eq[[#This Row],[Dividend in Loc.Curr]])
/T_Eq[[#This Row],[Dividends per annum]],0),
"")</f>
        <v>0</v>
      </c>
      <c r="Z12" s="669">
        <f>IFERROR(IF(
OR(
Z$1+1-1=MONTH($U12),
Z$1+1-1=MONTH(T_Eq[[#This Row],[coupon date 1]]),
Z$1+1-1=MONTH(T_Eq[[#This Row],[coupon date 2]]),
Z$1+1-1=MONTH(T_Eq[[#This Row],[coupon date 3]])),
IF('CF USD'!$A$8="on",T_Eq[[#This Row],[Dividend in USD]],T_Eq[[#This Row],[Dividend in Loc.Curr]])
/T_Eq[[#This Row],[Dividends per annum]],0),
"")</f>
        <v>0</v>
      </c>
      <c r="AA12" s="669">
        <f>IFERROR(IF(
OR(
AA$1+1-1=MONTH($U12),
AA$1+1-1=MONTH(T_Eq[[#This Row],[coupon date 1]]),
AA$1+1-1=MONTH(T_Eq[[#This Row],[coupon date 2]]),
AA$1+1-1=MONTH(T_Eq[[#This Row],[coupon date 3]])),
IF('CF USD'!$A$8="on",T_Eq[[#This Row],[Dividend in USD]],T_Eq[[#This Row],[Dividend in Loc.Curr]])
/T_Eq[[#This Row],[Dividends per annum]],0),
"")</f>
        <v>0</v>
      </c>
      <c r="AB12" s="669">
        <f>IFERROR(IF(
OR(
AB$1+1-1=MONTH($U12),
AB$1+1-1=MONTH(T_Eq[[#This Row],[coupon date 1]]),
AB$1+1-1=MONTH(T_Eq[[#This Row],[coupon date 2]]),
AB$1+1-1=MONTH(T_Eq[[#This Row],[coupon date 3]])),
IF('CF USD'!$A$8="on",T_Eq[[#This Row],[Dividend in USD]],T_Eq[[#This Row],[Dividend in Loc.Curr]])
/T_Eq[[#This Row],[Dividends per annum]],0),
"")</f>
        <v>0</v>
      </c>
      <c r="AC12" s="669">
        <f>IFERROR(IF(
OR(
AC$1+1-1=MONTH($U12),
AC$1+1-1=MONTH(T_Eq[[#This Row],[coupon date 1]]),
AC$1+1-1=MONTH(T_Eq[[#This Row],[coupon date 2]]),
AC$1+1-1=MONTH(T_Eq[[#This Row],[coupon date 3]])),
IF('CF USD'!$A$8="on",T_Eq[[#This Row],[Dividend in USD]],T_Eq[[#This Row],[Dividend in Loc.Curr]])
/T_Eq[[#This Row],[Dividends per annum]],0),
"")</f>
        <v>0</v>
      </c>
      <c r="AD12" s="669">
        <f>IFERROR(IF(
OR(
AD$1+1-1=MONTH($U12),
AD$1+1-1=MONTH(T_Eq[[#This Row],[coupon date 1]]),
AD$1+1-1=MONTH(T_Eq[[#This Row],[coupon date 2]]),
AD$1+1-1=MONTH(T_Eq[[#This Row],[coupon date 3]])),
IF('CF USD'!$A$8="on",T_Eq[[#This Row],[Dividend in USD]],T_Eq[[#This Row],[Dividend in Loc.Curr]])
/T_Eq[[#This Row],[Dividends per annum]],0),
"")</f>
        <v>0</v>
      </c>
      <c r="AE12" s="669">
        <f>IFERROR(IF(
OR(
AE$1+1-1=MONTH($U12),
AE$1+1-1=MONTH(T_Eq[[#This Row],[coupon date 1]]),
AE$1+1-1=MONTH(T_Eq[[#This Row],[coupon date 2]]),
AE$1+1-1=MONTH(T_Eq[[#This Row],[coupon date 3]])),
IF('CF USD'!$A$8="on",T_Eq[[#This Row],[Dividend in USD]],T_Eq[[#This Row],[Dividend in Loc.Curr]])
/T_Eq[[#This Row],[Dividends per annum]],0),
"")</f>
        <v>0</v>
      </c>
      <c r="AF12" s="669">
        <f>IFERROR(IF(
OR(
AF$1+1-1=MONTH($U12),
AF$1+1-1=MONTH(T_Eq[[#This Row],[coupon date 1]]),
AF$1+1-1=MONTH(T_Eq[[#This Row],[coupon date 2]]),
AF$1+1-1=MONTH(T_Eq[[#This Row],[coupon date 3]])),
IF('CF USD'!$A$8="on",T_Eq[[#This Row],[Dividend in USD]],T_Eq[[#This Row],[Dividend in Loc.Curr]])
/T_Eq[[#This Row],[Dividends per annum]],0),
"")</f>
        <v>0</v>
      </c>
      <c r="AG12" s="669">
        <f>IFERROR(IF(
OR(
AG$1+1-1=MONTH($U12),
AG$1+1-1=MONTH(T_Eq[[#This Row],[coupon date 1]]),
AG$1+1-1=MONTH(T_Eq[[#This Row],[coupon date 2]]),
AG$1+1-1=MONTH(T_Eq[[#This Row],[coupon date 3]])),
IF('CF USD'!$A$8="on",T_Eq[[#This Row],[Dividend in USD]],T_Eq[[#This Row],[Dividend in Loc.Curr]])
/T_Eq[[#This Row],[Dividends per annum]],0),
"")</f>
        <v>0</v>
      </c>
      <c r="AH12" s="669">
        <f>IFERROR(IF(
OR(
AH$1+1-1=MONTH($U12),
AH$1+1-1=MONTH(T_Eq[[#This Row],[coupon date 1]]),
AH$1+1-1=MONTH(T_Eq[[#This Row],[coupon date 2]]),
AH$1+1-1=MONTH(T_Eq[[#This Row],[coupon date 3]])),
IF('CF USD'!$A$8="on",T_Eq[[#This Row],[Dividend in USD]],T_Eq[[#This Row],[Dividend in Loc.Curr]])
/T_Eq[[#This Row],[Dividends per annum]],0),
"")</f>
        <v>0</v>
      </c>
      <c r="AI12" s="669">
        <f>IFERROR(IF(
OR(
AI$1+1-1=MONTH($U12),
AI$1+1-1=MONTH(T_Eq[[#This Row],[coupon date 1]]),
AI$1+1-1=MONTH(T_Eq[[#This Row],[coupon date 2]]),
AI$1+1-1=MONTH(T_Eq[[#This Row],[coupon date 3]])),
IF('CF USD'!$A$8="on",T_Eq[[#This Row],[Dividend in USD]],T_Eq[[#This Row],[Dividend in Loc.Curr]])
/T_Eq[[#This Row],[Dividends per annum]],0),
"")</f>
        <v>0</v>
      </c>
      <c r="AJ12" s="669">
        <f>IFERROR(IF(
OR(
AJ$1+1-1=MONTH($U12),
AJ$1+1-1=MONTH(T_Eq[[#This Row],[coupon date 1]]),
AJ$1+1-1=MONTH(T_Eq[[#This Row],[coupon date 2]]),
AJ$1+1-1=MONTH(T_Eq[[#This Row],[coupon date 3]])),
IF('CF USD'!$A$8="on",T_Eq[[#This Row],[Dividend in USD]],T_Eq[[#This Row],[Dividend in Loc.Curr]])
/T_Eq[[#This Row],[Dividends per annum]],0),
"")</f>
        <v>30896.239999999998</v>
      </c>
    </row>
    <row r="13" spans="1:36" x14ac:dyDescent="0.25">
      <c r="A13" s="70" t="s">
        <v>90</v>
      </c>
      <c r="B13" s="70" t="s">
        <v>1191</v>
      </c>
      <c r="C13" s="70" t="s">
        <v>1687</v>
      </c>
      <c r="D13" s="686" t="s">
        <v>1688</v>
      </c>
      <c r="E13" s="70" t="s">
        <v>18</v>
      </c>
      <c r="F13" s="70"/>
      <c r="G13" s="70" t="s">
        <v>2475</v>
      </c>
      <c r="H13" s="70" t="s">
        <v>2475</v>
      </c>
      <c r="I13" s="665">
        <v>7834</v>
      </c>
      <c r="J13" s="295">
        <v>64.5</v>
      </c>
      <c r="K13" s="666">
        <f>ABS(T_Eq[[#This Row],[Quantity]]*T_Eq[[#This Row],[Market price]])</f>
        <v>505293</v>
      </c>
      <c r="L13" s="666">
        <f>ABS(INDEX('Tech list'!A:C,MATCH(T_Eq[[#This Row],[Risk CCY]],'Tech list'!A:A,0),3)*T_Eq[[#This Row],[Market value, CCY]])</f>
        <v>505293</v>
      </c>
      <c r="M13" s="667">
        <v>46.79</v>
      </c>
      <c r="N13" s="666">
        <f>ABS(T_Eq[[#This Row],[Cost price]]*T_Eq[[#This Row],[Quantity]])</f>
        <v>366552.86</v>
      </c>
      <c r="O13" s="668">
        <f>IF(T_Eq[[#This Row],[Quantity]]&lt;0,N13/K13-1,K13/N13-1)</f>
        <v>0.37849967941867924</v>
      </c>
      <c r="P13" s="669">
        <f>(0.3709+0.3664)</f>
        <v>0.73730000000000007</v>
      </c>
      <c r="Q13" s="668">
        <f>T_Eq[[#This Row],[Dividend per share]]/T_Eq[[#This Row],[Market price]]</f>
        <v>1.1431007751937986E-2</v>
      </c>
      <c r="R13" s="666">
        <f>T_Eq[[#This Row],[Dividend per share]]*T_Eq[[#This Row],[Quantity]]</f>
        <v>5776.0082000000002</v>
      </c>
      <c r="S13" s="666">
        <f>INDEX('Tech list'!A:C,MATCH(T_Eq[[#This Row],[Risk CCY]],'Tech list'!A:A,0),3)*T_Eq[[#This Row],[Dividend in Loc.Curr]]</f>
        <v>5776.0082000000002</v>
      </c>
      <c r="T13" s="537">
        <v>2</v>
      </c>
      <c r="U13" s="670">
        <v>45905</v>
      </c>
      <c r="V13" s="671">
        <f>EDATE(T_Eq[[#This Row],[Next coupon date]],12/$T13)</f>
        <v>46086</v>
      </c>
      <c r="W13" s="671">
        <f>EDATE(T_Eq[[#This Row],[coupon date 1]],12/$T13)</f>
        <v>46270</v>
      </c>
      <c r="X13" s="671">
        <f>EDATE(T_Eq[[#This Row],[coupon date 2]],12/$T13)</f>
        <v>46451</v>
      </c>
      <c r="Y13" s="669">
        <f>IFERROR(IF(
OR(
Y$1+1-1=MONTH($U13),
Y$1+1-1=MONTH(T_Eq[[#This Row],[coupon date 1]]),
Y$1+1-1=MONTH(T_Eq[[#This Row],[coupon date 2]]),
Y$1+1-1=MONTH(T_Eq[[#This Row],[coupon date 3]])),
IF('CF USD'!$A$8="on",T_Eq[[#This Row],[Dividend in USD]],T_Eq[[#This Row],[Dividend in Loc.Curr]])
/T_Eq[[#This Row],[Dividends per annum]],0),
"")</f>
        <v>0</v>
      </c>
      <c r="Z13" s="669">
        <f>IFERROR(IF(
OR(
Z$1+1-1=MONTH($U13),
Z$1+1-1=MONTH(T_Eq[[#This Row],[coupon date 1]]),
Z$1+1-1=MONTH(T_Eq[[#This Row],[coupon date 2]]),
Z$1+1-1=MONTH(T_Eq[[#This Row],[coupon date 3]])),
IF('CF USD'!$A$8="on",T_Eq[[#This Row],[Dividend in USD]],T_Eq[[#This Row],[Dividend in Loc.Curr]])
/T_Eq[[#This Row],[Dividends per annum]],0),
"")</f>
        <v>0</v>
      </c>
      <c r="AA13" s="669">
        <f>IFERROR(IF(
OR(
AA$1+1-1=MONTH($U13),
AA$1+1-1=MONTH(T_Eq[[#This Row],[coupon date 1]]),
AA$1+1-1=MONTH(T_Eq[[#This Row],[coupon date 2]]),
AA$1+1-1=MONTH(T_Eq[[#This Row],[coupon date 3]])),
IF('CF USD'!$A$8="on",T_Eq[[#This Row],[Dividend in USD]],T_Eq[[#This Row],[Dividend in Loc.Curr]])
/T_Eq[[#This Row],[Dividends per annum]],0),
"")</f>
        <v>2888.0041000000001</v>
      </c>
      <c r="AB13" s="669">
        <f>IFERROR(IF(
OR(
AB$1+1-1=MONTH($U13),
AB$1+1-1=MONTH(T_Eq[[#This Row],[coupon date 1]]),
AB$1+1-1=MONTH(T_Eq[[#This Row],[coupon date 2]]),
AB$1+1-1=MONTH(T_Eq[[#This Row],[coupon date 3]])),
IF('CF USD'!$A$8="on",T_Eq[[#This Row],[Dividend in USD]],T_Eq[[#This Row],[Dividend in Loc.Curr]])
/T_Eq[[#This Row],[Dividends per annum]],0),
"")</f>
        <v>0</v>
      </c>
      <c r="AC13" s="669">
        <f>IFERROR(IF(
OR(
AC$1+1-1=MONTH($U13),
AC$1+1-1=MONTH(T_Eq[[#This Row],[coupon date 1]]),
AC$1+1-1=MONTH(T_Eq[[#This Row],[coupon date 2]]),
AC$1+1-1=MONTH(T_Eq[[#This Row],[coupon date 3]])),
IF('CF USD'!$A$8="on",T_Eq[[#This Row],[Dividend in USD]],T_Eq[[#This Row],[Dividend in Loc.Curr]])
/T_Eq[[#This Row],[Dividends per annum]],0),
"")</f>
        <v>0</v>
      </c>
      <c r="AD13" s="669">
        <f>IFERROR(IF(
OR(
AD$1+1-1=MONTH($U13),
AD$1+1-1=MONTH(T_Eq[[#This Row],[coupon date 1]]),
AD$1+1-1=MONTH(T_Eq[[#This Row],[coupon date 2]]),
AD$1+1-1=MONTH(T_Eq[[#This Row],[coupon date 3]])),
IF('CF USD'!$A$8="on",T_Eq[[#This Row],[Dividend in USD]],T_Eq[[#This Row],[Dividend in Loc.Curr]])
/T_Eq[[#This Row],[Dividends per annum]],0),
"")</f>
        <v>0</v>
      </c>
      <c r="AE13" s="669">
        <f>IFERROR(IF(
OR(
AE$1+1-1=MONTH($U13),
AE$1+1-1=MONTH(T_Eq[[#This Row],[coupon date 1]]),
AE$1+1-1=MONTH(T_Eq[[#This Row],[coupon date 2]]),
AE$1+1-1=MONTH(T_Eq[[#This Row],[coupon date 3]])),
IF('CF USD'!$A$8="on",T_Eq[[#This Row],[Dividend in USD]],T_Eq[[#This Row],[Dividend in Loc.Curr]])
/T_Eq[[#This Row],[Dividends per annum]],0),
"")</f>
        <v>0</v>
      </c>
      <c r="AF13" s="669">
        <f>IFERROR(IF(
OR(
AF$1+1-1=MONTH($U13),
AF$1+1-1=MONTH(T_Eq[[#This Row],[coupon date 1]]),
AF$1+1-1=MONTH(T_Eq[[#This Row],[coupon date 2]]),
AF$1+1-1=MONTH(T_Eq[[#This Row],[coupon date 3]])),
IF('CF USD'!$A$8="on",T_Eq[[#This Row],[Dividend in USD]],T_Eq[[#This Row],[Dividend in Loc.Curr]])
/T_Eq[[#This Row],[Dividends per annum]],0),
"")</f>
        <v>0</v>
      </c>
      <c r="AG13" s="669">
        <f>IFERROR(IF(
OR(
AG$1+1-1=MONTH($U13),
AG$1+1-1=MONTH(T_Eq[[#This Row],[coupon date 1]]),
AG$1+1-1=MONTH(T_Eq[[#This Row],[coupon date 2]]),
AG$1+1-1=MONTH(T_Eq[[#This Row],[coupon date 3]])),
IF('CF USD'!$A$8="on",T_Eq[[#This Row],[Dividend in USD]],T_Eq[[#This Row],[Dividend in Loc.Curr]])
/T_Eq[[#This Row],[Dividends per annum]],0),
"")</f>
        <v>2888.0041000000001</v>
      </c>
      <c r="AH13" s="669">
        <f>IFERROR(IF(
OR(
AH$1+1-1=MONTH($U13),
AH$1+1-1=MONTH(T_Eq[[#This Row],[coupon date 1]]),
AH$1+1-1=MONTH(T_Eq[[#This Row],[coupon date 2]]),
AH$1+1-1=MONTH(T_Eq[[#This Row],[coupon date 3]])),
IF('CF USD'!$A$8="on",T_Eq[[#This Row],[Dividend in USD]],T_Eq[[#This Row],[Dividend in Loc.Curr]])
/T_Eq[[#This Row],[Dividends per annum]],0),
"")</f>
        <v>0</v>
      </c>
      <c r="AI13" s="669">
        <f>IFERROR(IF(
OR(
AI$1+1-1=MONTH($U13),
AI$1+1-1=MONTH(T_Eq[[#This Row],[coupon date 1]]),
AI$1+1-1=MONTH(T_Eq[[#This Row],[coupon date 2]]),
AI$1+1-1=MONTH(T_Eq[[#This Row],[coupon date 3]])),
IF('CF USD'!$A$8="on",T_Eq[[#This Row],[Dividend in USD]],T_Eq[[#This Row],[Dividend in Loc.Curr]])
/T_Eq[[#This Row],[Dividends per annum]],0),
"")</f>
        <v>0</v>
      </c>
      <c r="AJ13" s="669">
        <f>IFERROR(IF(
OR(
AJ$1+1-1=MONTH($U13),
AJ$1+1-1=MONTH(T_Eq[[#This Row],[coupon date 1]]),
AJ$1+1-1=MONTH(T_Eq[[#This Row],[coupon date 2]]),
AJ$1+1-1=MONTH(T_Eq[[#This Row],[coupon date 3]])),
IF('CF USD'!$A$8="on",T_Eq[[#This Row],[Dividend in USD]],T_Eq[[#This Row],[Dividend in Loc.Curr]])
/T_Eq[[#This Row],[Dividends per annum]],0),
"")</f>
        <v>0</v>
      </c>
    </row>
    <row r="14" spans="1:36" x14ac:dyDescent="0.25">
      <c r="A14" s="70" t="s">
        <v>90</v>
      </c>
      <c r="B14" s="70" t="s">
        <v>1191</v>
      </c>
      <c r="C14" s="70" t="s">
        <v>1790</v>
      </c>
      <c r="D14" s="70" t="s">
        <v>1791</v>
      </c>
      <c r="E14" s="70" t="s">
        <v>18</v>
      </c>
      <c r="F14" s="70"/>
      <c r="G14" s="70" t="s">
        <v>283</v>
      </c>
      <c r="H14" s="70" t="s">
        <v>2475</v>
      </c>
      <c r="I14" s="665">
        <v>2495</v>
      </c>
      <c r="J14" s="295">
        <v>744.14</v>
      </c>
      <c r="K14" s="666">
        <f>ABS(T_Eq[[#This Row],[Quantity]]*T_Eq[[#This Row],[Market price]])</f>
        <v>1856629.3</v>
      </c>
      <c r="L14" s="666">
        <f>ABS(INDEX('Tech list'!A:C,MATCH(T_Eq[[#This Row],[Risk CCY]],'Tech list'!A:A,0),3)*T_Eq[[#This Row],[Market value, CCY]])</f>
        <v>1856629.3</v>
      </c>
      <c r="M14" s="667">
        <v>376.7</v>
      </c>
      <c r="N14" s="666">
        <f>ABS(T_Eq[[#This Row],[Cost price]]*T_Eq[[#This Row],[Quantity]])</f>
        <v>939866.5</v>
      </c>
      <c r="O14" s="668">
        <f>IF(T_Eq[[#This Row],[Quantity]]&lt;0,N14/K14-1,K14/N14-1)</f>
        <v>0.97541810459251388</v>
      </c>
      <c r="P14" s="669">
        <v>0</v>
      </c>
      <c r="Q14" s="668">
        <f>T_Eq[[#This Row],[Dividend per share]]/T_Eq[[#This Row],[Market price]]</f>
        <v>0</v>
      </c>
      <c r="R14" s="666">
        <f>T_Eq[[#This Row],[Dividend per share]]*T_Eq[[#This Row],[Quantity]]</f>
        <v>0</v>
      </c>
      <c r="S14" s="666">
        <f>INDEX('Tech list'!A:C,MATCH(T_Eq[[#This Row],[Risk CCY]],'Tech list'!A:A,0),3)*T_Eq[[#This Row],[Dividend in Loc.Curr]]</f>
        <v>0</v>
      </c>
      <c r="T14" s="666">
        <v>1</v>
      </c>
      <c r="U14" s="670">
        <v>36526</v>
      </c>
      <c r="V14" s="671">
        <f>EDATE(T_Eq[[#This Row],[Next coupon date]],12/$T14)</f>
        <v>36892</v>
      </c>
      <c r="W14" s="671">
        <f>EDATE(T_Eq[[#This Row],[coupon date 1]],12/$T14)</f>
        <v>37257</v>
      </c>
      <c r="X14" s="671">
        <f>EDATE(T_Eq[[#This Row],[coupon date 2]],12/$T14)</f>
        <v>37622</v>
      </c>
      <c r="Y14" s="669">
        <f>IFERROR(IF(
OR(
Y$1+1-1=MONTH($U14),
Y$1+1-1=MONTH(T_Eq[[#This Row],[coupon date 1]]),
Y$1+1-1=MONTH(T_Eq[[#This Row],[coupon date 2]]),
Y$1+1-1=MONTH(T_Eq[[#This Row],[coupon date 3]])),
IF('CF USD'!$A$8="on",T_Eq[[#This Row],[Dividend in USD]],T_Eq[[#This Row],[Dividend in Loc.Curr]])
/T_Eq[[#This Row],[Dividends per annum]],0),
"")</f>
        <v>0</v>
      </c>
      <c r="Z14" s="669">
        <f>IFERROR(IF(
OR(
Z$1+1-1=MONTH($U14),
Z$1+1-1=MONTH(T_Eq[[#This Row],[coupon date 1]]),
Z$1+1-1=MONTH(T_Eq[[#This Row],[coupon date 2]]),
Z$1+1-1=MONTH(T_Eq[[#This Row],[coupon date 3]])),
IF('CF USD'!$A$8="on",T_Eq[[#This Row],[Dividend in USD]],T_Eq[[#This Row],[Dividend in Loc.Curr]])
/T_Eq[[#This Row],[Dividends per annum]],0),
"")</f>
        <v>0</v>
      </c>
      <c r="AA14" s="669">
        <f>IFERROR(IF(
OR(
AA$1+1-1=MONTH($U14),
AA$1+1-1=MONTH(T_Eq[[#This Row],[coupon date 1]]),
AA$1+1-1=MONTH(T_Eq[[#This Row],[coupon date 2]]),
AA$1+1-1=MONTH(T_Eq[[#This Row],[coupon date 3]])),
IF('CF USD'!$A$8="on",T_Eq[[#This Row],[Dividend in USD]],T_Eq[[#This Row],[Dividend in Loc.Curr]])
/T_Eq[[#This Row],[Dividends per annum]],0),
"")</f>
        <v>0</v>
      </c>
      <c r="AB14" s="669">
        <f>IFERROR(IF(
OR(
AB$1+1-1=MONTH($U14),
AB$1+1-1=MONTH(T_Eq[[#This Row],[coupon date 1]]),
AB$1+1-1=MONTH(T_Eq[[#This Row],[coupon date 2]]),
AB$1+1-1=MONTH(T_Eq[[#This Row],[coupon date 3]])),
IF('CF USD'!$A$8="on",T_Eq[[#This Row],[Dividend in USD]],T_Eq[[#This Row],[Dividend in Loc.Curr]])
/T_Eq[[#This Row],[Dividends per annum]],0),
"")</f>
        <v>0</v>
      </c>
      <c r="AC14" s="669">
        <f>IFERROR(IF(
OR(
AC$1+1-1=MONTH($U14),
AC$1+1-1=MONTH(T_Eq[[#This Row],[coupon date 1]]),
AC$1+1-1=MONTH(T_Eq[[#This Row],[coupon date 2]]),
AC$1+1-1=MONTH(T_Eq[[#This Row],[coupon date 3]])),
IF('CF USD'!$A$8="on",T_Eq[[#This Row],[Dividend in USD]],T_Eq[[#This Row],[Dividend in Loc.Curr]])
/T_Eq[[#This Row],[Dividends per annum]],0),
"")</f>
        <v>0</v>
      </c>
      <c r="AD14" s="669">
        <f>IFERROR(IF(
OR(
AD$1+1-1=MONTH($U14),
AD$1+1-1=MONTH(T_Eq[[#This Row],[coupon date 1]]),
AD$1+1-1=MONTH(T_Eq[[#This Row],[coupon date 2]]),
AD$1+1-1=MONTH(T_Eq[[#This Row],[coupon date 3]])),
IF('CF USD'!$A$8="on",T_Eq[[#This Row],[Dividend in USD]],T_Eq[[#This Row],[Dividend in Loc.Curr]])
/T_Eq[[#This Row],[Dividends per annum]],0),
"")</f>
        <v>0</v>
      </c>
      <c r="AE14" s="669">
        <f>IFERROR(IF(
OR(
AE$1+1-1=MONTH($U14),
AE$1+1-1=MONTH(T_Eq[[#This Row],[coupon date 1]]),
AE$1+1-1=MONTH(T_Eq[[#This Row],[coupon date 2]]),
AE$1+1-1=MONTH(T_Eq[[#This Row],[coupon date 3]])),
IF('CF USD'!$A$8="on",T_Eq[[#This Row],[Dividend in USD]],T_Eq[[#This Row],[Dividend in Loc.Curr]])
/T_Eq[[#This Row],[Dividends per annum]],0),
"")</f>
        <v>0</v>
      </c>
      <c r="AF14" s="669">
        <f>IFERROR(IF(
OR(
AF$1+1-1=MONTH($U14),
AF$1+1-1=MONTH(T_Eq[[#This Row],[coupon date 1]]),
AF$1+1-1=MONTH(T_Eq[[#This Row],[coupon date 2]]),
AF$1+1-1=MONTH(T_Eq[[#This Row],[coupon date 3]])),
IF('CF USD'!$A$8="on",T_Eq[[#This Row],[Dividend in USD]],T_Eq[[#This Row],[Dividend in Loc.Curr]])
/T_Eq[[#This Row],[Dividends per annum]],0),
"")</f>
        <v>0</v>
      </c>
      <c r="AG14" s="669">
        <f>IFERROR(IF(
OR(
AG$1+1-1=MONTH($U14),
AG$1+1-1=MONTH(T_Eq[[#This Row],[coupon date 1]]),
AG$1+1-1=MONTH(T_Eq[[#This Row],[coupon date 2]]),
AG$1+1-1=MONTH(T_Eq[[#This Row],[coupon date 3]])),
IF('CF USD'!$A$8="on",T_Eq[[#This Row],[Dividend in USD]],T_Eq[[#This Row],[Dividend in Loc.Curr]])
/T_Eq[[#This Row],[Dividends per annum]],0),
"")</f>
        <v>0</v>
      </c>
      <c r="AH14" s="669">
        <f>IFERROR(IF(
OR(
AH$1+1-1=MONTH($U14),
AH$1+1-1=MONTH(T_Eq[[#This Row],[coupon date 1]]),
AH$1+1-1=MONTH(T_Eq[[#This Row],[coupon date 2]]),
AH$1+1-1=MONTH(T_Eq[[#This Row],[coupon date 3]])),
IF('CF USD'!$A$8="on",T_Eq[[#This Row],[Dividend in USD]],T_Eq[[#This Row],[Dividend in Loc.Curr]])
/T_Eq[[#This Row],[Dividends per annum]],0),
"")</f>
        <v>0</v>
      </c>
      <c r="AI14" s="669">
        <f>IFERROR(IF(
OR(
AI$1+1-1=MONTH($U14),
AI$1+1-1=MONTH(T_Eq[[#This Row],[coupon date 1]]),
AI$1+1-1=MONTH(T_Eq[[#This Row],[coupon date 2]]),
AI$1+1-1=MONTH(T_Eq[[#This Row],[coupon date 3]])),
IF('CF USD'!$A$8="on",T_Eq[[#This Row],[Dividend in USD]],T_Eq[[#This Row],[Dividend in Loc.Curr]])
/T_Eq[[#This Row],[Dividends per annum]],0),
"")</f>
        <v>0</v>
      </c>
      <c r="AJ14" s="669">
        <f>IFERROR(IF(
OR(
AJ$1+1-1=MONTH($U14),
AJ$1+1-1=MONTH(T_Eq[[#This Row],[coupon date 1]]),
AJ$1+1-1=MONTH(T_Eq[[#This Row],[coupon date 2]]),
AJ$1+1-1=MONTH(T_Eq[[#This Row],[coupon date 3]])),
IF('CF USD'!$A$8="on",T_Eq[[#This Row],[Dividend in USD]],T_Eq[[#This Row],[Dividend in Loc.Curr]])
/T_Eq[[#This Row],[Dividends per annum]],0),
"")</f>
        <v>0</v>
      </c>
    </row>
    <row r="15" spans="1:36" x14ac:dyDescent="0.25">
      <c r="A15" s="320" t="s">
        <v>90</v>
      </c>
      <c r="B15" s="320" t="s">
        <v>1191</v>
      </c>
      <c r="C15" s="320" t="s">
        <v>2067</v>
      </c>
      <c r="D15" s="70" t="s">
        <v>1186</v>
      </c>
      <c r="E15" s="70" t="s">
        <v>18</v>
      </c>
      <c r="F15" s="70"/>
      <c r="G15" s="70" t="s">
        <v>283</v>
      </c>
      <c r="H15" s="70" t="s">
        <v>2475</v>
      </c>
      <c r="I15" s="665">
        <v>1807</v>
      </c>
      <c r="J15" s="295">
        <v>126.43</v>
      </c>
      <c r="K15" s="666">
        <f>ABS(T_Eq[[#This Row],[Quantity]]*T_Eq[[#This Row],[Market price]])</f>
        <v>228459.01</v>
      </c>
      <c r="L15" s="666">
        <f>ABS(INDEX('Tech list'!A:C,MATCH(T_Eq[[#This Row],[Risk CCY]],'Tech list'!A:A,0),3)*T_Eq[[#This Row],[Market value, CCY]])</f>
        <v>228459.01</v>
      </c>
      <c r="M15" s="667">
        <v>109.15</v>
      </c>
      <c r="N15" s="666">
        <f>ABS(T_Eq[[#This Row],[Cost price]]*T_Eq[[#This Row],[Quantity]])</f>
        <v>197234.05000000002</v>
      </c>
      <c r="O15" s="668">
        <f>IF(T_Eq[[#This Row],[Quantity]]&lt;0,N15/K15-1,K15/N15-1)</f>
        <v>0.15831424644983971</v>
      </c>
      <c r="P15" s="669">
        <f>(0.115+0.015+0.003)</f>
        <v>0.13300000000000001</v>
      </c>
      <c r="Q15" s="668">
        <f>T_Eq[[#This Row],[Dividend per share]]/T_Eq[[#This Row],[Market price]]</f>
        <v>1.0519655145139603E-3</v>
      </c>
      <c r="R15" s="666">
        <f>T_Eq[[#This Row],[Dividend per share]]*T_Eq[[#This Row],[Quantity]]</f>
        <v>240.33100000000002</v>
      </c>
      <c r="S15" s="666">
        <f>INDEX('Tech list'!A:C,MATCH(T_Eq[[#This Row],[Risk CCY]],'Tech list'!A:A,0),3)*T_Eq[[#This Row],[Dividend in Loc.Curr]]</f>
        <v>240.33100000000002</v>
      </c>
      <c r="T15" s="70">
        <v>4</v>
      </c>
      <c r="U15" s="670">
        <v>46017</v>
      </c>
      <c r="V15" s="671">
        <f>EDATE(T_Eq[[#This Row],[Next coupon date]],12/$T15)</f>
        <v>46107</v>
      </c>
      <c r="W15" s="671">
        <f>EDATE(T_Eq[[#This Row],[coupon date 1]],12/$T15)</f>
        <v>46199</v>
      </c>
      <c r="X15" s="671">
        <f>EDATE(T_Eq[[#This Row],[coupon date 2]],12/$T15)</f>
        <v>46291</v>
      </c>
      <c r="Y15" s="669">
        <f>IFERROR(IF(
OR(
Y$1+1-1=MONTH($U15),
Y$1+1-1=MONTH(T_Eq[[#This Row],[coupon date 1]]),
Y$1+1-1=MONTH(T_Eq[[#This Row],[coupon date 2]]),
Y$1+1-1=MONTH(T_Eq[[#This Row],[coupon date 3]])),
IF('CF USD'!$A$8="on",T_Eq[[#This Row],[Dividend in USD]],T_Eq[[#This Row],[Dividend in Loc.Curr]])
/T_Eq[[#This Row],[Dividends per annum]],0),
"")</f>
        <v>0</v>
      </c>
      <c r="Z15" s="669">
        <f>IFERROR(IF(
OR(
Z$1+1-1=MONTH($U15),
Z$1+1-1=MONTH(T_Eq[[#This Row],[coupon date 1]]),
Z$1+1-1=MONTH(T_Eq[[#This Row],[coupon date 2]]),
Z$1+1-1=MONTH(T_Eq[[#This Row],[coupon date 3]])),
IF('CF USD'!$A$8="on",T_Eq[[#This Row],[Dividend in USD]],T_Eq[[#This Row],[Dividend in Loc.Curr]])
/T_Eq[[#This Row],[Dividends per annum]],0),
"")</f>
        <v>0</v>
      </c>
      <c r="AA15" s="669">
        <f>IFERROR(IF(
OR(
AA$1+1-1=MONTH($U15),
AA$1+1-1=MONTH(T_Eq[[#This Row],[coupon date 1]]),
AA$1+1-1=MONTH(T_Eq[[#This Row],[coupon date 2]]),
AA$1+1-1=MONTH(T_Eq[[#This Row],[coupon date 3]])),
IF('CF USD'!$A$8="on",T_Eq[[#This Row],[Dividend in USD]],T_Eq[[#This Row],[Dividend in Loc.Curr]])
/T_Eq[[#This Row],[Dividends per annum]],0),
"")</f>
        <v>60.082750000000004</v>
      </c>
      <c r="AB15" s="669">
        <f>IFERROR(IF(
OR(
AB$1+1-1=MONTH($U15),
AB$1+1-1=MONTH(T_Eq[[#This Row],[coupon date 1]]),
AB$1+1-1=MONTH(T_Eq[[#This Row],[coupon date 2]]),
AB$1+1-1=MONTH(T_Eq[[#This Row],[coupon date 3]])),
IF('CF USD'!$A$8="on",T_Eq[[#This Row],[Dividend in USD]],T_Eq[[#This Row],[Dividend in Loc.Curr]])
/T_Eq[[#This Row],[Dividends per annum]],0),
"")</f>
        <v>0</v>
      </c>
      <c r="AC15" s="669">
        <f>IFERROR(IF(
OR(
AC$1+1-1=MONTH($U15),
AC$1+1-1=MONTH(T_Eq[[#This Row],[coupon date 1]]),
AC$1+1-1=MONTH(T_Eq[[#This Row],[coupon date 2]]),
AC$1+1-1=MONTH(T_Eq[[#This Row],[coupon date 3]])),
IF('CF USD'!$A$8="on",T_Eq[[#This Row],[Dividend in USD]],T_Eq[[#This Row],[Dividend in Loc.Curr]])
/T_Eq[[#This Row],[Dividends per annum]],0),
"")</f>
        <v>0</v>
      </c>
      <c r="AD15" s="669">
        <f>IFERROR(IF(
OR(
AD$1+1-1=MONTH($U15),
AD$1+1-1=MONTH(T_Eq[[#This Row],[coupon date 1]]),
AD$1+1-1=MONTH(T_Eq[[#This Row],[coupon date 2]]),
AD$1+1-1=MONTH(T_Eq[[#This Row],[coupon date 3]])),
IF('CF USD'!$A$8="on",T_Eq[[#This Row],[Dividend in USD]],T_Eq[[#This Row],[Dividend in Loc.Curr]])
/T_Eq[[#This Row],[Dividends per annum]],0),
"")</f>
        <v>60.082750000000004</v>
      </c>
      <c r="AE15" s="669">
        <f>IFERROR(IF(
OR(
AE$1+1-1=MONTH($U15),
AE$1+1-1=MONTH(T_Eq[[#This Row],[coupon date 1]]),
AE$1+1-1=MONTH(T_Eq[[#This Row],[coupon date 2]]),
AE$1+1-1=MONTH(T_Eq[[#This Row],[coupon date 3]])),
IF('CF USD'!$A$8="on",T_Eq[[#This Row],[Dividend in USD]],T_Eq[[#This Row],[Dividend in Loc.Curr]])
/T_Eq[[#This Row],[Dividends per annum]],0),
"")</f>
        <v>0</v>
      </c>
      <c r="AF15" s="669">
        <f>IFERROR(IF(
OR(
AF$1+1-1=MONTH($U15),
AF$1+1-1=MONTH(T_Eq[[#This Row],[coupon date 1]]),
AF$1+1-1=MONTH(T_Eq[[#This Row],[coupon date 2]]),
AF$1+1-1=MONTH(T_Eq[[#This Row],[coupon date 3]])),
IF('CF USD'!$A$8="on",T_Eq[[#This Row],[Dividend in USD]],T_Eq[[#This Row],[Dividend in Loc.Curr]])
/T_Eq[[#This Row],[Dividends per annum]],0),
"")</f>
        <v>0</v>
      </c>
      <c r="AG15" s="669">
        <f>IFERROR(IF(
OR(
AG$1+1-1=MONTH($U15),
AG$1+1-1=MONTH(T_Eq[[#This Row],[coupon date 1]]),
AG$1+1-1=MONTH(T_Eq[[#This Row],[coupon date 2]]),
AG$1+1-1=MONTH(T_Eq[[#This Row],[coupon date 3]])),
IF('CF USD'!$A$8="on",T_Eq[[#This Row],[Dividend in USD]],T_Eq[[#This Row],[Dividend in Loc.Curr]])
/T_Eq[[#This Row],[Dividends per annum]],0),
"")</f>
        <v>60.082750000000004</v>
      </c>
      <c r="AH15" s="669">
        <f>IFERROR(IF(
OR(
AH$1+1-1=MONTH($U15),
AH$1+1-1=MONTH(T_Eq[[#This Row],[coupon date 1]]),
AH$1+1-1=MONTH(T_Eq[[#This Row],[coupon date 2]]),
AH$1+1-1=MONTH(T_Eq[[#This Row],[coupon date 3]])),
IF('CF USD'!$A$8="on",T_Eq[[#This Row],[Dividend in USD]],T_Eq[[#This Row],[Dividend in Loc.Curr]])
/T_Eq[[#This Row],[Dividends per annum]],0),
"")</f>
        <v>0</v>
      </c>
      <c r="AI15" s="669">
        <f>IFERROR(IF(
OR(
AI$1+1-1=MONTH($U15),
AI$1+1-1=MONTH(T_Eq[[#This Row],[coupon date 1]]),
AI$1+1-1=MONTH(T_Eq[[#This Row],[coupon date 2]]),
AI$1+1-1=MONTH(T_Eq[[#This Row],[coupon date 3]])),
IF('CF USD'!$A$8="on",T_Eq[[#This Row],[Dividend in USD]],T_Eq[[#This Row],[Dividend in Loc.Curr]])
/T_Eq[[#This Row],[Dividends per annum]],0),
"")</f>
        <v>0</v>
      </c>
      <c r="AJ15" s="669">
        <f>IFERROR(IF(
OR(
AJ$1+1-1=MONTH($U15),
AJ$1+1-1=MONTH(T_Eq[[#This Row],[coupon date 1]]),
AJ$1+1-1=MONTH(T_Eq[[#This Row],[coupon date 2]]),
AJ$1+1-1=MONTH(T_Eq[[#This Row],[coupon date 3]])),
IF('CF USD'!$A$8="on",T_Eq[[#This Row],[Dividend in USD]],T_Eq[[#This Row],[Dividend in Loc.Curr]])
/T_Eq[[#This Row],[Dividends per annum]],0),
"")</f>
        <v>60.082750000000004</v>
      </c>
    </row>
    <row r="16" spans="1:36" x14ac:dyDescent="0.25">
      <c r="A16" s="70" t="s">
        <v>49</v>
      </c>
      <c r="B16" s="70" t="s">
        <v>1191</v>
      </c>
      <c r="C16" s="672" t="s">
        <v>391</v>
      </c>
      <c r="D16" s="418" t="s">
        <v>588</v>
      </c>
      <c r="E16" s="672" t="s">
        <v>18</v>
      </c>
      <c r="F16" s="672"/>
      <c r="G16" s="672" t="s">
        <v>2496</v>
      </c>
      <c r="H16" s="70" t="s">
        <v>2475</v>
      </c>
      <c r="I16" s="1023">
        <v>17290</v>
      </c>
      <c r="J16" s="295">
        <v>74.25</v>
      </c>
      <c r="K16" s="666">
        <f>ABS(T_Eq[[#This Row],[Quantity]]*T_Eq[[#This Row],[Market price]])</f>
        <v>1283782.5</v>
      </c>
      <c r="L16" s="666">
        <f>ABS(INDEX('Tech list'!A:C,MATCH(T_Eq[[#This Row],[Risk CCY]],'Tech list'!A:A,0),3)*T_Eq[[#This Row],[Market value, CCY]])</f>
        <v>1283782.5</v>
      </c>
      <c r="M16" s="674">
        <v>61.08886201991465</v>
      </c>
      <c r="N16" s="666">
        <f>ABS(T_Eq[[#This Row],[Cost price]]*T_Eq[[#This Row],[Quantity]])</f>
        <v>1056226.4243243244</v>
      </c>
      <c r="O16" s="213">
        <f>IF(T_Eq[[#This Row],[Quantity]]&lt;0,N16/K16-1,K16/N16-1)</f>
        <v>0.21544251349443844</v>
      </c>
      <c r="P16" s="669">
        <f>0.309</f>
        <v>0.309</v>
      </c>
      <c r="Q16" s="668">
        <f>T_Eq[[#This Row],[Dividend per share]]/T_Eq[[#This Row],[Market price]]</f>
        <v>4.1616161616161614E-3</v>
      </c>
      <c r="R16" s="666">
        <f>T_Eq[[#This Row],[Dividend per share]]*T_Eq[[#This Row],[Quantity]]</f>
        <v>5342.61</v>
      </c>
      <c r="S16" s="666">
        <f>INDEX('Tech list'!A:C,MATCH(T_Eq[[#This Row],[Risk CCY]],'Tech list'!A:A,0),3)*T_Eq[[#This Row],[Dividend in Loc.Curr]]</f>
        <v>5342.61</v>
      </c>
      <c r="T16" s="666">
        <v>1</v>
      </c>
      <c r="U16" s="675">
        <v>46068</v>
      </c>
      <c r="V16" s="671">
        <f>EDATE(T_Eq[[#This Row],[Next coupon date]],12/$T16)</f>
        <v>46433</v>
      </c>
      <c r="W16" s="671">
        <f>EDATE(T_Eq[[#This Row],[coupon date 1]],12/$T16)</f>
        <v>46798</v>
      </c>
      <c r="X16" s="671">
        <f>EDATE(T_Eq[[#This Row],[coupon date 2]],12/$T16)</f>
        <v>47164</v>
      </c>
      <c r="Y16" s="669">
        <f>IFERROR(IF(
OR(
Y$1+1-1=MONTH($U16),
Y$1+1-1=MONTH(T_Eq[[#This Row],[coupon date 1]]),
Y$1+1-1=MONTH(T_Eq[[#This Row],[coupon date 2]]),
Y$1+1-1=MONTH(T_Eq[[#This Row],[coupon date 3]])),
IF('CF USD'!$A$8="on",T_Eq[[#This Row],[Dividend in USD]],T_Eq[[#This Row],[Dividend in Loc.Curr]])
/T_Eq[[#This Row],[Dividends per annum]],0),
"")</f>
        <v>0</v>
      </c>
      <c r="Z16" s="669">
        <f>IFERROR(IF(
OR(
Z$1+1-1=MONTH($U16),
Z$1+1-1=MONTH(T_Eq[[#This Row],[coupon date 1]]),
Z$1+1-1=MONTH(T_Eq[[#This Row],[coupon date 2]]),
Z$1+1-1=MONTH(T_Eq[[#This Row],[coupon date 3]])),
IF('CF USD'!$A$8="on",T_Eq[[#This Row],[Dividend in USD]],T_Eq[[#This Row],[Dividend in Loc.Curr]])
/T_Eq[[#This Row],[Dividends per annum]],0),
"")</f>
        <v>5342.61</v>
      </c>
      <c r="AA16" s="669">
        <f>IFERROR(IF(
OR(
AA$1+1-1=MONTH($U16),
AA$1+1-1=MONTH(T_Eq[[#This Row],[coupon date 1]]),
AA$1+1-1=MONTH(T_Eq[[#This Row],[coupon date 2]]),
AA$1+1-1=MONTH(T_Eq[[#This Row],[coupon date 3]])),
IF('CF USD'!$A$8="on",T_Eq[[#This Row],[Dividend in USD]],T_Eq[[#This Row],[Dividend in Loc.Curr]])
/T_Eq[[#This Row],[Dividends per annum]],0),
"")</f>
        <v>0</v>
      </c>
      <c r="AB16" s="669">
        <f>IFERROR(IF(
OR(
AB$1+1-1=MONTH($U16),
AB$1+1-1=MONTH(T_Eq[[#This Row],[coupon date 1]]),
AB$1+1-1=MONTH(T_Eq[[#This Row],[coupon date 2]]),
AB$1+1-1=MONTH(T_Eq[[#This Row],[coupon date 3]])),
IF('CF USD'!$A$8="on",T_Eq[[#This Row],[Dividend in USD]],T_Eq[[#This Row],[Dividend in Loc.Curr]])
/T_Eq[[#This Row],[Dividends per annum]],0),
"")</f>
        <v>0</v>
      </c>
      <c r="AC16" s="669">
        <f>IFERROR(IF(
OR(
AC$1+1-1=MONTH($U16),
AC$1+1-1=MONTH(T_Eq[[#This Row],[coupon date 1]]),
AC$1+1-1=MONTH(T_Eq[[#This Row],[coupon date 2]]),
AC$1+1-1=MONTH(T_Eq[[#This Row],[coupon date 3]])),
IF('CF USD'!$A$8="on",T_Eq[[#This Row],[Dividend in USD]],T_Eq[[#This Row],[Dividend in Loc.Curr]])
/T_Eq[[#This Row],[Dividends per annum]],0),
"")</f>
        <v>0</v>
      </c>
      <c r="AD16" s="669">
        <f>IFERROR(IF(
OR(
AD$1+1-1=MONTH($U16),
AD$1+1-1=MONTH(T_Eq[[#This Row],[coupon date 1]]),
AD$1+1-1=MONTH(T_Eq[[#This Row],[coupon date 2]]),
AD$1+1-1=MONTH(T_Eq[[#This Row],[coupon date 3]])),
IF('CF USD'!$A$8="on",T_Eq[[#This Row],[Dividend in USD]],T_Eq[[#This Row],[Dividend in Loc.Curr]])
/T_Eq[[#This Row],[Dividends per annum]],0),
"")</f>
        <v>0</v>
      </c>
      <c r="AE16" s="669">
        <f>IFERROR(IF(
OR(
AE$1+1-1=MONTH($U16),
AE$1+1-1=MONTH(T_Eq[[#This Row],[coupon date 1]]),
AE$1+1-1=MONTH(T_Eq[[#This Row],[coupon date 2]]),
AE$1+1-1=MONTH(T_Eq[[#This Row],[coupon date 3]])),
IF('CF USD'!$A$8="on",T_Eq[[#This Row],[Dividend in USD]],T_Eq[[#This Row],[Dividend in Loc.Curr]])
/T_Eq[[#This Row],[Dividends per annum]],0),
"")</f>
        <v>0</v>
      </c>
      <c r="AF16" s="669">
        <f>IFERROR(IF(
OR(
AF$1+1-1=MONTH($U16),
AF$1+1-1=MONTH(T_Eq[[#This Row],[coupon date 1]]),
AF$1+1-1=MONTH(T_Eq[[#This Row],[coupon date 2]]),
AF$1+1-1=MONTH(T_Eq[[#This Row],[coupon date 3]])),
IF('CF USD'!$A$8="on",T_Eq[[#This Row],[Dividend in USD]],T_Eq[[#This Row],[Dividend in Loc.Curr]])
/T_Eq[[#This Row],[Dividends per annum]],0),
"")</f>
        <v>0</v>
      </c>
      <c r="AG16" s="669">
        <f>IFERROR(IF(
OR(
AG$1+1-1=MONTH($U16),
AG$1+1-1=MONTH(T_Eq[[#This Row],[coupon date 1]]),
AG$1+1-1=MONTH(T_Eq[[#This Row],[coupon date 2]]),
AG$1+1-1=MONTH(T_Eq[[#This Row],[coupon date 3]])),
IF('CF USD'!$A$8="on",T_Eq[[#This Row],[Dividend in USD]],T_Eq[[#This Row],[Dividend in Loc.Curr]])
/T_Eq[[#This Row],[Dividends per annum]],0),
"")</f>
        <v>0</v>
      </c>
      <c r="AH16" s="669">
        <f>IFERROR(IF(
OR(
AH$1+1-1=MONTH($U16),
AH$1+1-1=MONTH(T_Eq[[#This Row],[coupon date 1]]),
AH$1+1-1=MONTH(T_Eq[[#This Row],[coupon date 2]]),
AH$1+1-1=MONTH(T_Eq[[#This Row],[coupon date 3]])),
IF('CF USD'!$A$8="on",T_Eq[[#This Row],[Dividend in USD]],T_Eq[[#This Row],[Dividend in Loc.Curr]])
/T_Eq[[#This Row],[Dividends per annum]],0),
"")</f>
        <v>0</v>
      </c>
      <c r="AI16" s="669">
        <f>IFERROR(IF(
OR(
AI$1+1-1=MONTH($U16),
AI$1+1-1=MONTH(T_Eq[[#This Row],[coupon date 1]]),
AI$1+1-1=MONTH(T_Eq[[#This Row],[coupon date 2]]),
AI$1+1-1=MONTH(T_Eq[[#This Row],[coupon date 3]])),
IF('CF USD'!$A$8="on",T_Eq[[#This Row],[Dividend in USD]],T_Eq[[#This Row],[Dividend in Loc.Curr]])
/T_Eq[[#This Row],[Dividends per annum]],0),
"")</f>
        <v>0</v>
      </c>
      <c r="AJ16" s="669">
        <f>IFERROR(IF(
OR(
AJ$1+1-1=MONTH($U16),
AJ$1+1-1=MONTH(T_Eq[[#This Row],[coupon date 1]]),
AJ$1+1-1=MONTH(T_Eq[[#This Row],[coupon date 2]]),
AJ$1+1-1=MONTH(T_Eq[[#This Row],[coupon date 3]])),
IF('CF USD'!$A$8="on",T_Eq[[#This Row],[Dividend in USD]],T_Eq[[#This Row],[Dividend in Loc.Curr]])
/T_Eq[[#This Row],[Dividends per annum]],0),
"")</f>
        <v>0</v>
      </c>
    </row>
    <row r="17" spans="1:36" x14ac:dyDescent="0.25">
      <c r="A17" s="70" t="s">
        <v>49</v>
      </c>
      <c r="B17" s="70" t="s">
        <v>1191</v>
      </c>
      <c r="C17" s="672" t="s">
        <v>390</v>
      </c>
      <c r="D17" s="418" t="s">
        <v>587</v>
      </c>
      <c r="E17" s="672" t="s">
        <v>18</v>
      </c>
      <c r="F17" s="672"/>
      <c r="G17" s="672" t="s">
        <v>2475</v>
      </c>
      <c r="H17" s="70" t="s">
        <v>2475</v>
      </c>
      <c r="I17" s="673">
        <v>23649</v>
      </c>
      <c r="J17" s="295">
        <v>29.96</v>
      </c>
      <c r="K17" s="666">
        <f>ABS(T_Eq[[#This Row],[Quantity]]*T_Eq[[#This Row],[Market price]])</f>
        <v>708524.04</v>
      </c>
      <c r="L17" s="666">
        <f>ABS(INDEX('Tech list'!A:C,MATCH(T_Eq[[#This Row],[Risk CCY]],'Tech list'!A:A,0),3)*T_Eq[[#This Row],[Market value, CCY]])</f>
        <v>708524.04</v>
      </c>
      <c r="M17" s="674">
        <v>33.796449744175227</v>
      </c>
      <c r="N17" s="666">
        <f>ABS(T_Eq[[#This Row],[Cost price]]*T_Eq[[#This Row],[Quantity]])</f>
        <v>799252.24</v>
      </c>
      <c r="O17" s="668">
        <f>IF(T_Eq[[#This Row],[Quantity]]&lt;0,N17/K17-1,K17/N17-1)</f>
        <v>-0.11351635373583679</v>
      </c>
      <c r="P17" s="669">
        <v>3.0476E-2</v>
      </c>
      <c r="Q17" s="668">
        <f>T_Eq[[#This Row],[Dividend per share]]/T_Eq[[#This Row],[Market price]]</f>
        <v>1.0172229639519358E-3</v>
      </c>
      <c r="R17" s="666">
        <f>T_Eq[[#This Row],[Dividend per share]]*T_Eq[[#This Row],[Quantity]]</f>
        <v>720.72692399999994</v>
      </c>
      <c r="S17" s="666">
        <f>INDEX('Tech list'!A:C,MATCH(T_Eq[[#This Row],[Risk CCY]],'Tech list'!A:A,0),3)*T_Eq[[#This Row],[Dividend in Loc.Curr]]</f>
        <v>720.72692399999994</v>
      </c>
      <c r="T17" s="666">
        <v>1</v>
      </c>
      <c r="U17" s="675">
        <v>46068</v>
      </c>
      <c r="V17" s="671">
        <f>EDATE(T_Eq[[#This Row],[Next coupon date]],12/$T17)</f>
        <v>46433</v>
      </c>
      <c r="W17" s="671">
        <f>EDATE(T_Eq[[#This Row],[coupon date 1]],12/$T17)</f>
        <v>46798</v>
      </c>
      <c r="X17" s="671">
        <f>EDATE(T_Eq[[#This Row],[coupon date 2]],12/$T17)</f>
        <v>47164</v>
      </c>
      <c r="Y17" s="669">
        <f>IFERROR(IF(
OR(
Y$1+1-1=MONTH($U17),
Y$1+1-1=MONTH(T_Eq[[#This Row],[coupon date 1]]),
Y$1+1-1=MONTH(T_Eq[[#This Row],[coupon date 2]]),
Y$1+1-1=MONTH(T_Eq[[#This Row],[coupon date 3]])),
IF('CF USD'!$A$8="on",T_Eq[[#This Row],[Dividend in USD]],T_Eq[[#This Row],[Dividend in Loc.Curr]])
/T_Eq[[#This Row],[Dividends per annum]],0),
"")</f>
        <v>0</v>
      </c>
      <c r="Z17" s="669">
        <f>IFERROR(IF(
OR(
Z$1+1-1=MONTH($U17),
Z$1+1-1=MONTH(T_Eq[[#This Row],[coupon date 1]]),
Z$1+1-1=MONTH(T_Eq[[#This Row],[coupon date 2]]),
Z$1+1-1=MONTH(T_Eq[[#This Row],[coupon date 3]])),
IF('CF USD'!$A$8="on",T_Eq[[#This Row],[Dividend in USD]],T_Eq[[#This Row],[Dividend in Loc.Curr]])
/T_Eq[[#This Row],[Dividends per annum]],0),
"")</f>
        <v>720.72692399999994</v>
      </c>
      <c r="AA17" s="669">
        <f>IFERROR(IF(
OR(
AA$1+1-1=MONTH($U17),
AA$1+1-1=MONTH(T_Eq[[#This Row],[coupon date 1]]),
AA$1+1-1=MONTH(T_Eq[[#This Row],[coupon date 2]]),
AA$1+1-1=MONTH(T_Eq[[#This Row],[coupon date 3]])),
IF('CF USD'!$A$8="on",T_Eq[[#This Row],[Dividend in USD]],T_Eq[[#This Row],[Dividend in Loc.Curr]])
/T_Eq[[#This Row],[Dividends per annum]],0),
"")</f>
        <v>0</v>
      </c>
      <c r="AB17" s="669">
        <f>IFERROR(IF(
OR(
AB$1+1-1=MONTH($U17),
AB$1+1-1=MONTH(T_Eq[[#This Row],[coupon date 1]]),
AB$1+1-1=MONTH(T_Eq[[#This Row],[coupon date 2]]),
AB$1+1-1=MONTH(T_Eq[[#This Row],[coupon date 3]])),
IF('CF USD'!$A$8="on",T_Eq[[#This Row],[Dividend in USD]],T_Eq[[#This Row],[Dividend in Loc.Curr]])
/T_Eq[[#This Row],[Dividends per annum]],0),
"")</f>
        <v>0</v>
      </c>
      <c r="AC17" s="669">
        <f>IFERROR(IF(
OR(
AC$1+1-1=MONTH($U17),
AC$1+1-1=MONTH(T_Eq[[#This Row],[coupon date 1]]),
AC$1+1-1=MONTH(T_Eq[[#This Row],[coupon date 2]]),
AC$1+1-1=MONTH(T_Eq[[#This Row],[coupon date 3]])),
IF('CF USD'!$A$8="on",T_Eq[[#This Row],[Dividend in USD]],T_Eq[[#This Row],[Dividend in Loc.Curr]])
/T_Eq[[#This Row],[Dividends per annum]],0),
"")</f>
        <v>0</v>
      </c>
      <c r="AD17" s="669">
        <f>IFERROR(IF(
OR(
AD$1+1-1=MONTH($U17),
AD$1+1-1=MONTH(T_Eq[[#This Row],[coupon date 1]]),
AD$1+1-1=MONTH(T_Eq[[#This Row],[coupon date 2]]),
AD$1+1-1=MONTH(T_Eq[[#This Row],[coupon date 3]])),
IF('CF USD'!$A$8="on",T_Eq[[#This Row],[Dividend in USD]],T_Eq[[#This Row],[Dividend in Loc.Curr]])
/T_Eq[[#This Row],[Dividends per annum]],0),
"")</f>
        <v>0</v>
      </c>
      <c r="AE17" s="669">
        <f>IFERROR(IF(
OR(
AE$1+1-1=MONTH($U17),
AE$1+1-1=MONTH(T_Eq[[#This Row],[coupon date 1]]),
AE$1+1-1=MONTH(T_Eq[[#This Row],[coupon date 2]]),
AE$1+1-1=MONTH(T_Eq[[#This Row],[coupon date 3]])),
IF('CF USD'!$A$8="on",T_Eq[[#This Row],[Dividend in USD]],T_Eq[[#This Row],[Dividend in Loc.Curr]])
/T_Eq[[#This Row],[Dividends per annum]],0),
"")</f>
        <v>0</v>
      </c>
      <c r="AF17" s="669">
        <f>IFERROR(IF(
OR(
AF$1+1-1=MONTH($U17),
AF$1+1-1=MONTH(T_Eq[[#This Row],[coupon date 1]]),
AF$1+1-1=MONTH(T_Eq[[#This Row],[coupon date 2]]),
AF$1+1-1=MONTH(T_Eq[[#This Row],[coupon date 3]])),
IF('CF USD'!$A$8="on",T_Eq[[#This Row],[Dividend in USD]],T_Eq[[#This Row],[Dividend in Loc.Curr]])
/T_Eq[[#This Row],[Dividends per annum]],0),
"")</f>
        <v>0</v>
      </c>
      <c r="AG17" s="669">
        <f>IFERROR(IF(
OR(
AG$1+1-1=MONTH($U17),
AG$1+1-1=MONTH(T_Eq[[#This Row],[coupon date 1]]),
AG$1+1-1=MONTH(T_Eq[[#This Row],[coupon date 2]]),
AG$1+1-1=MONTH(T_Eq[[#This Row],[coupon date 3]])),
IF('CF USD'!$A$8="on",T_Eq[[#This Row],[Dividend in USD]],T_Eq[[#This Row],[Dividend in Loc.Curr]])
/T_Eq[[#This Row],[Dividends per annum]],0),
"")</f>
        <v>0</v>
      </c>
      <c r="AH17" s="669">
        <f>IFERROR(IF(
OR(
AH$1+1-1=MONTH($U17),
AH$1+1-1=MONTH(T_Eq[[#This Row],[coupon date 1]]),
AH$1+1-1=MONTH(T_Eq[[#This Row],[coupon date 2]]),
AH$1+1-1=MONTH(T_Eq[[#This Row],[coupon date 3]])),
IF('CF USD'!$A$8="on",T_Eq[[#This Row],[Dividend in USD]],T_Eq[[#This Row],[Dividend in Loc.Curr]])
/T_Eq[[#This Row],[Dividends per annum]],0),
"")</f>
        <v>0</v>
      </c>
      <c r="AI17" s="669">
        <f>IFERROR(IF(
OR(
AI$1+1-1=MONTH($U17),
AI$1+1-1=MONTH(T_Eq[[#This Row],[coupon date 1]]),
AI$1+1-1=MONTH(T_Eq[[#This Row],[coupon date 2]]),
AI$1+1-1=MONTH(T_Eq[[#This Row],[coupon date 3]])),
IF('CF USD'!$A$8="on",T_Eq[[#This Row],[Dividend in USD]],T_Eq[[#This Row],[Dividend in Loc.Curr]])
/T_Eq[[#This Row],[Dividends per annum]],0),
"")</f>
        <v>0</v>
      </c>
      <c r="AJ17" s="669">
        <f>IFERROR(IF(
OR(
AJ$1+1-1=MONTH($U17),
AJ$1+1-1=MONTH(T_Eq[[#This Row],[coupon date 1]]),
AJ$1+1-1=MONTH(T_Eq[[#This Row],[coupon date 2]]),
AJ$1+1-1=MONTH(T_Eq[[#This Row],[coupon date 3]])),
IF('CF USD'!$A$8="on",T_Eq[[#This Row],[Dividend in USD]],T_Eq[[#This Row],[Dividend in Loc.Curr]])
/T_Eq[[#This Row],[Dividends per annum]],0),
"")</f>
        <v>0</v>
      </c>
    </row>
    <row r="18" spans="1:36" x14ac:dyDescent="0.25">
      <c r="A18" s="70" t="s">
        <v>49</v>
      </c>
      <c r="B18" s="70" t="s">
        <v>1191</v>
      </c>
      <c r="C18" s="672" t="s">
        <v>2286</v>
      </c>
      <c r="D18" s="676" t="s">
        <v>2287</v>
      </c>
      <c r="E18" s="672" t="s">
        <v>18</v>
      </c>
      <c r="F18" s="672"/>
      <c r="G18" s="672" t="s">
        <v>2475</v>
      </c>
      <c r="H18" s="70" t="s">
        <v>2475</v>
      </c>
      <c r="I18" s="673">
        <v>1840</v>
      </c>
      <c r="J18" s="295">
        <v>120.8</v>
      </c>
      <c r="K18" s="666">
        <f>ABS(T_Eq[[#This Row],[Quantity]]*T_Eq[[#This Row],[Market price]])</f>
        <v>222272</v>
      </c>
      <c r="L18" s="666">
        <f>ABS(INDEX('Tech list'!A:C,MATCH(T_Eq[[#This Row],[Risk CCY]],'Tech list'!A:A,0),3)*T_Eq[[#This Row],[Market value, CCY]])</f>
        <v>222272</v>
      </c>
      <c r="M18" s="677">
        <v>108.50641847826087</v>
      </c>
      <c r="N18" s="666">
        <f>ABS(T_Eq[[#This Row],[Cost price]]*T_Eq[[#This Row],[Quantity]])</f>
        <v>199651.81</v>
      </c>
      <c r="O18" s="213">
        <f>IF(T_Eq[[#This Row],[Quantity]]&lt;0,N18/K18-1,K18/N18-1)</f>
        <v>0.11329819649518824</v>
      </c>
      <c r="P18" s="669">
        <f>0.66*4/3</f>
        <v>0.88</v>
      </c>
      <c r="Q18" s="668">
        <f>T_Eq[[#This Row],[Dividend per share]]/T_Eq[[#This Row],[Market price]]</f>
        <v>7.2847682119205302E-3</v>
      </c>
      <c r="R18" s="666">
        <f>T_Eq[[#This Row],[Dividend per share]]*T_Eq[[#This Row],[Quantity]]</f>
        <v>1619.2</v>
      </c>
      <c r="S18" s="666">
        <f>INDEX('Tech list'!A:C,MATCH(T_Eq[[#This Row],[Risk CCY]],'Tech list'!A:A,0),3)*T_Eq[[#This Row],[Dividend in Loc.Curr]]</f>
        <v>1619.2</v>
      </c>
      <c r="T18" s="666">
        <v>4</v>
      </c>
      <c r="U18" s="675">
        <v>46018</v>
      </c>
      <c r="V18" s="671">
        <f>EDATE(T_Eq[[#This Row],[Next coupon date]],12/$T18)</f>
        <v>46108</v>
      </c>
      <c r="W18" s="671">
        <f>EDATE(T_Eq[[#This Row],[coupon date 1]],12/$T18)</f>
        <v>46200</v>
      </c>
      <c r="X18" s="671">
        <f>EDATE(T_Eq[[#This Row],[coupon date 2]],12/$T18)</f>
        <v>46292</v>
      </c>
      <c r="Y18" s="669">
        <f>IFERROR(IF(
OR(
Y$1+1-1=MONTH($U18),
Y$1+1-1=MONTH(T_Eq[[#This Row],[coupon date 1]]),
Y$1+1-1=MONTH(T_Eq[[#This Row],[coupon date 2]]),
Y$1+1-1=MONTH(T_Eq[[#This Row],[coupon date 3]])),
IF('CF USD'!$A$8="on",T_Eq[[#This Row],[Dividend in USD]],T_Eq[[#This Row],[Dividend in Loc.Curr]])
/T_Eq[[#This Row],[Dividends per annum]],0),
"")</f>
        <v>0</v>
      </c>
      <c r="Z18" s="669">
        <f>IFERROR(IF(
OR(
Z$1+1-1=MONTH($U18),
Z$1+1-1=MONTH(T_Eq[[#This Row],[coupon date 1]]),
Z$1+1-1=MONTH(T_Eq[[#This Row],[coupon date 2]]),
Z$1+1-1=MONTH(T_Eq[[#This Row],[coupon date 3]])),
IF('CF USD'!$A$8="on",T_Eq[[#This Row],[Dividend in USD]],T_Eq[[#This Row],[Dividend in Loc.Curr]])
/T_Eq[[#This Row],[Dividends per annum]],0),
"")</f>
        <v>0</v>
      </c>
      <c r="AA18" s="669">
        <f>IFERROR(IF(
OR(
AA$1+1-1=MONTH($U18),
AA$1+1-1=MONTH(T_Eq[[#This Row],[coupon date 1]]),
AA$1+1-1=MONTH(T_Eq[[#This Row],[coupon date 2]]),
AA$1+1-1=MONTH(T_Eq[[#This Row],[coupon date 3]])),
IF('CF USD'!$A$8="on",T_Eq[[#This Row],[Dividend in USD]],T_Eq[[#This Row],[Dividend in Loc.Curr]])
/T_Eq[[#This Row],[Dividends per annum]],0),
"")</f>
        <v>404.8</v>
      </c>
      <c r="AB18" s="669">
        <f>IFERROR(IF(
OR(
AB$1+1-1=MONTH($U18),
AB$1+1-1=MONTH(T_Eq[[#This Row],[coupon date 1]]),
AB$1+1-1=MONTH(T_Eq[[#This Row],[coupon date 2]]),
AB$1+1-1=MONTH(T_Eq[[#This Row],[coupon date 3]])),
IF('CF USD'!$A$8="on",T_Eq[[#This Row],[Dividend in USD]],T_Eq[[#This Row],[Dividend in Loc.Curr]])
/T_Eq[[#This Row],[Dividends per annum]],0),
"")</f>
        <v>0</v>
      </c>
      <c r="AC18" s="669">
        <f>IFERROR(IF(
OR(
AC$1+1-1=MONTH($U18),
AC$1+1-1=MONTH(T_Eq[[#This Row],[coupon date 1]]),
AC$1+1-1=MONTH(T_Eq[[#This Row],[coupon date 2]]),
AC$1+1-1=MONTH(T_Eq[[#This Row],[coupon date 3]])),
IF('CF USD'!$A$8="on",T_Eq[[#This Row],[Dividend in USD]],T_Eq[[#This Row],[Dividend in Loc.Curr]])
/T_Eq[[#This Row],[Dividends per annum]],0),
"")</f>
        <v>0</v>
      </c>
      <c r="AD18" s="669">
        <f>IFERROR(IF(
OR(
AD$1+1-1=MONTH($U18),
AD$1+1-1=MONTH(T_Eq[[#This Row],[coupon date 1]]),
AD$1+1-1=MONTH(T_Eq[[#This Row],[coupon date 2]]),
AD$1+1-1=MONTH(T_Eq[[#This Row],[coupon date 3]])),
IF('CF USD'!$A$8="on",T_Eq[[#This Row],[Dividend in USD]],T_Eq[[#This Row],[Dividend in Loc.Curr]])
/T_Eq[[#This Row],[Dividends per annum]],0),
"")</f>
        <v>404.8</v>
      </c>
      <c r="AE18" s="669">
        <f>IFERROR(IF(
OR(
AE$1+1-1=MONTH($U18),
AE$1+1-1=MONTH(T_Eq[[#This Row],[coupon date 1]]),
AE$1+1-1=MONTH(T_Eq[[#This Row],[coupon date 2]]),
AE$1+1-1=MONTH(T_Eq[[#This Row],[coupon date 3]])),
IF('CF USD'!$A$8="on",T_Eq[[#This Row],[Dividend in USD]],T_Eq[[#This Row],[Dividend in Loc.Curr]])
/T_Eq[[#This Row],[Dividends per annum]],0),
"")</f>
        <v>0</v>
      </c>
      <c r="AF18" s="669">
        <f>IFERROR(IF(
OR(
AF$1+1-1=MONTH($U18),
AF$1+1-1=MONTH(T_Eq[[#This Row],[coupon date 1]]),
AF$1+1-1=MONTH(T_Eq[[#This Row],[coupon date 2]]),
AF$1+1-1=MONTH(T_Eq[[#This Row],[coupon date 3]])),
IF('CF USD'!$A$8="on",T_Eq[[#This Row],[Dividend in USD]],T_Eq[[#This Row],[Dividend in Loc.Curr]])
/T_Eq[[#This Row],[Dividends per annum]],0),
"")</f>
        <v>0</v>
      </c>
      <c r="AG18" s="669">
        <f>IFERROR(IF(
OR(
AG$1+1-1=MONTH($U18),
AG$1+1-1=MONTH(T_Eq[[#This Row],[coupon date 1]]),
AG$1+1-1=MONTH(T_Eq[[#This Row],[coupon date 2]]),
AG$1+1-1=MONTH(T_Eq[[#This Row],[coupon date 3]])),
IF('CF USD'!$A$8="on",T_Eq[[#This Row],[Dividend in USD]],T_Eq[[#This Row],[Dividend in Loc.Curr]])
/T_Eq[[#This Row],[Dividends per annum]],0),
"")</f>
        <v>404.8</v>
      </c>
      <c r="AH18" s="669">
        <f>IFERROR(IF(
OR(
AH$1+1-1=MONTH($U18),
AH$1+1-1=MONTH(T_Eq[[#This Row],[coupon date 1]]),
AH$1+1-1=MONTH(T_Eq[[#This Row],[coupon date 2]]),
AH$1+1-1=MONTH(T_Eq[[#This Row],[coupon date 3]])),
IF('CF USD'!$A$8="on",T_Eq[[#This Row],[Dividend in USD]],T_Eq[[#This Row],[Dividend in Loc.Curr]])
/T_Eq[[#This Row],[Dividends per annum]],0),
"")</f>
        <v>0</v>
      </c>
      <c r="AI18" s="669">
        <f>IFERROR(IF(
OR(
AI$1+1-1=MONTH($U18),
AI$1+1-1=MONTH(T_Eq[[#This Row],[coupon date 1]]),
AI$1+1-1=MONTH(T_Eq[[#This Row],[coupon date 2]]),
AI$1+1-1=MONTH(T_Eq[[#This Row],[coupon date 3]])),
IF('CF USD'!$A$8="on",T_Eq[[#This Row],[Dividend in USD]],T_Eq[[#This Row],[Dividend in Loc.Curr]])
/T_Eq[[#This Row],[Dividends per annum]],0),
"")</f>
        <v>0</v>
      </c>
      <c r="AJ18" s="669">
        <f>IFERROR(IF(
OR(
AJ$1+1-1=MONTH($U18),
AJ$1+1-1=MONTH(T_Eq[[#This Row],[coupon date 1]]),
AJ$1+1-1=MONTH(T_Eq[[#This Row],[coupon date 2]]),
AJ$1+1-1=MONTH(T_Eq[[#This Row],[coupon date 3]])),
IF('CF USD'!$A$8="on",T_Eq[[#This Row],[Dividend in USD]],T_Eq[[#This Row],[Dividend in Loc.Curr]])
/T_Eq[[#This Row],[Dividends per annum]],0),
"")</f>
        <v>404.8</v>
      </c>
    </row>
    <row r="19" spans="1:36" x14ac:dyDescent="0.25">
      <c r="A19" s="70" t="s">
        <v>49</v>
      </c>
      <c r="B19" s="70" t="s">
        <v>1191</v>
      </c>
      <c r="C19" s="672" t="s">
        <v>2511</v>
      </c>
      <c r="D19" s="676" t="s">
        <v>2512</v>
      </c>
      <c r="E19" s="672" t="s">
        <v>18</v>
      </c>
      <c r="F19" s="672"/>
      <c r="G19" s="672" t="s">
        <v>2475</v>
      </c>
      <c r="H19" s="70" t="s">
        <v>2475</v>
      </c>
      <c r="I19" s="673">
        <v>10750</v>
      </c>
      <c r="J19" s="295">
        <v>45.94</v>
      </c>
      <c r="K19" s="666">
        <f>ABS(T_Eq[[#This Row],[Quantity]]*T_Eq[[#This Row],[Market price]])</f>
        <v>493855</v>
      </c>
      <c r="L19" s="666">
        <f>ABS(INDEX('Tech list'!A:C,MATCH(T_Eq[[#This Row],[Risk CCY]],'Tech list'!A:A,0),3)*T_Eq[[#This Row],[Market value, CCY]])</f>
        <v>493855</v>
      </c>
      <c r="M19" s="677">
        <v>46.62</v>
      </c>
      <c r="N19" s="666">
        <f>ABS(T_Eq[[#This Row],[Cost price]]*T_Eq[[#This Row],[Quantity]])</f>
        <v>501165</v>
      </c>
      <c r="O19" s="213">
        <f>IF(T_Eq[[#This Row],[Quantity]]&lt;0,N19/K19-1,K19/N19-1)</f>
        <v>-1.4586014586014606E-2</v>
      </c>
      <c r="P19" s="669">
        <f>(0.278+0.279+0.317+0.284)/1.3</f>
        <v>0.89076923076923087</v>
      </c>
      <c r="Q19" s="668">
        <f>T_Eq[[#This Row],[Dividend per share]]/T_Eq[[#This Row],[Market price]]</f>
        <v>1.9389839590100804E-2</v>
      </c>
      <c r="R19" s="666">
        <f>T_Eq[[#This Row],[Dividend per share]]*T_Eq[[#This Row],[Quantity]]</f>
        <v>9575.7692307692323</v>
      </c>
      <c r="S19" s="666">
        <f>INDEX('Tech list'!A:C,MATCH(T_Eq[[#This Row],[Risk CCY]],'Tech list'!A:A,0),3)*T_Eq[[#This Row],[Dividend in Loc.Curr]]</f>
        <v>9575.7692307692323</v>
      </c>
      <c r="T19" s="666">
        <v>4</v>
      </c>
      <c r="U19" s="675">
        <v>46107</v>
      </c>
      <c r="V19" s="671">
        <f>EDATE(T_Eq[[#This Row],[Next coupon date]],12/$T19)</f>
        <v>46199</v>
      </c>
      <c r="W19" s="671">
        <f>EDATE(T_Eq[[#This Row],[coupon date 1]],12/$T19)</f>
        <v>46291</v>
      </c>
      <c r="X19" s="671">
        <f>EDATE(T_Eq[[#This Row],[coupon date 2]],12/$T19)</f>
        <v>46382</v>
      </c>
      <c r="Y19" s="669">
        <f>IFERROR(IF(
OR(
Y$1+1-1=MONTH($U19),
Y$1+1-1=MONTH(T_Eq[[#This Row],[coupon date 1]]),
Y$1+1-1=MONTH(T_Eq[[#This Row],[coupon date 2]]),
Y$1+1-1=MONTH(T_Eq[[#This Row],[coupon date 3]])),
IF('CF USD'!$A$8="on",T_Eq[[#This Row],[Dividend in USD]],T_Eq[[#This Row],[Dividend in Loc.Curr]])
/T_Eq[[#This Row],[Dividends per annum]],0),
"")</f>
        <v>0</v>
      </c>
      <c r="Z19" s="669">
        <f>IFERROR(IF(
OR(
Z$1+1-1=MONTH($U19),
Z$1+1-1=MONTH(T_Eq[[#This Row],[coupon date 1]]),
Z$1+1-1=MONTH(T_Eq[[#This Row],[coupon date 2]]),
Z$1+1-1=MONTH(T_Eq[[#This Row],[coupon date 3]])),
IF('CF USD'!$A$8="on",T_Eq[[#This Row],[Dividend in USD]],T_Eq[[#This Row],[Dividend in Loc.Curr]])
/T_Eq[[#This Row],[Dividends per annum]],0),
"")</f>
        <v>0</v>
      </c>
      <c r="AA19" s="669">
        <f>IFERROR(IF(
OR(
AA$1+1-1=MONTH($U19),
AA$1+1-1=MONTH(T_Eq[[#This Row],[coupon date 1]]),
AA$1+1-1=MONTH(T_Eq[[#This Row],[coupon date 2]]),
AA$1+1-1=MONTH(T_Eq[[#This Row],[coupon date 3]])),
IF('CF USD'!$A$8="on",T_Eq[[#This Row],[Dividend in USD]],T_Eq[[#This Row],[Dividend in Loc.Curr]])
/T_Eq[[#This Row],[Dividends per annum]],0),
"")</f>
        <v>2393.9423076923081</v>
      </c>
      <c r="AB19" s="669">
        <f>IFERROR(IF(
OR(
AB$1+1-1=MONTH($U19),
AB$1+1-1=MONTH(T_Eq[[#This Row],[coupon date 1]]),
AB$1+1-1=MONTH(T_Eq[[#This Row],[coupon date 2]]),
AB$1+1-1=MONTH(T_Eq[[#This Row],[coupon date 3]])),
IF('CF USD'!$A$8="on",T_Eq[[#This Row],[Dividend in USD]],T_Eq[[#This Row],[Dividend in Loc.Curr]])
/T_Eq[[#This Row],[Dividends per annum]],0),
"")</f>
        <v>0</v>
      </c>
      <c r="AC19" s="669">
        <f>IFERROR(IF(
OR(
AC$1+1-1=MONTH($U19),
AC$1+1-1=MONTH(T_Eq[[#This Row],[coupon date 1]]),
AC$1+1-1=MONTH(T_Eq[[#This Row],[coupon date 2]]),
AC$1+1-1=MONTH(T_Eq[[#This Row],[coupon date 3]])),
IF('CF USD'!$A$8="on",T_Eq[[#This Row],[Dividend in USD]],T_Eq[[#This Row],[Dividend in Loc.Curr]])
/T_Eq[[#This Row],[Dividends per annum]],0),
"")</f>
        <v>0</v>
      </c>
      <c r="AD19" s="669">
        <f>IFERROR(IF(
OR(
AD$1+1-1=MONTH($U19),
AD$1+1-1=MONTH(T_Eq[[#This Row],[coupon date 1]]),
AD$1+1-1=MONTH(T_Eq[[#This Row],[coupon date 2]]),
AD$1+1-1=MONTH(T_Eq[[#This Row],[coupon date 3]])),
IF('CF USD'!$A$8="on",T_Eq[[#This Row],[Dividend in USD]],T_Eq[[#This Row],[Dividend in Loc.Curr]])
/T_Eq[[#This Row],[Dividends per annum]],0),
"")</f>
        <v>2393.9423076923081</v>
      </c>
      <c r="AE19" s="669">
        <f>IFERROR(IF(
OR(
AE$1+1-1=MONTH($U19),
AE$1+1-1=MONTH(T_Eq[[#This Row],[coupon date 1]]),
AE$1+1-1=MONTH(T_Eq[[#This Row],[coupon date 2]]),
AE$1+1-1=MONTH(T_Eq[[#This Row],[coupon date 3]])),
IF('CF USD'!$A$8="on",T_Eq[[#This Row],[Dividend in USD]],T_Eq[[#This Row],[Dividend in Loc.Curr]])
/T_Eq[[#This Row],[Dividends per annum]],0),
"")</f>
        <v>0</v>
      </c>
      <c r="AF19" s="669">
        <f>IFERROR(IF(
OR(
AF$1+1-1=MONTH($U19),
AF$1+1-1=MONTH(T_Eq[[#This Row],[coupon date 1]]),
AF$1+1-1=MONTH(T_Eq[[#This Row],[coupon date 2]]),
AF$1+1-1=MONTH(T_Eq[[#This Row],[coupon date 3]])),
IF('CF USD'!$A$8="on",T_Eq[[#This Row],[Dividend in USD]],T_Eq[[#This Row],[Dividend in Loc.Curr]])
/T_Eq[[#This Row],[Dividends per annum]],0),
"")</f>
        <v>0</v>
      </c>
      <c r="AG19" s="669">
        <f>IFERROR(IF(
OR(
AG$1+1-1=MONTH($U19),
AG$1+1-1=MONTH(T_Eq[[#This Row],[coupon date 1]]),
AG$1+1-1=MONTH(T_Eq[[#This Row],[coupon date 2]]),
AG$1+1-1=MONTH(T_Eq[[#This Row],[coupon date 3]])),
IF('CF USD'!$A$8="on",T_Eq[[#This Row],[Dividend in USD]],T_Eq[[#This Row],[Dividend in Loc.Curr]])
/T_Eq[[#This Row],[Dividends per annum]],0),
"")</f>
        <v>2393.9423076923081</v>
      </c>
      <c r="AH19" s="669">
        <f>IFERROR(IF(
OR(
AH$1+1-1=MONTH($U19),
AH$1+1-1=MONTH(T_Eq[[#This Row],[coupon date 1]]),
AH$1+1-1=MONTH(T_Eq[[#This Row],[coupon date 2]]),
AH$1+1-1=MONTH(T_Eq[[#This Row],[coupon date 3]])),
IF('CF USD'!$A$8="on",T_Eq[[#This Row],[Dividend in USD]],T_Eq[[#This Row],[Dividend in Loc.Curr]])
/T_Eq[[#This Row],[Dividends per annum]],0),
"")</f>
        <v>0</v>
      </c>
      <c r="AI19" s="669">
        <f>IFERROR(IF(
OR(
AI$1+1-1=MONTH($U19),
AI$1+1-1=MONTH(T_Eq[[#This Row],[coupon date 1]]),
AI$1+1-1=MONTH(T_Eq[[#This Row],[coupon date 2]]),
AI$1+1-1=MONTH(T_Eq[[#This Row],[coupon date 3]])),
IF('CF USD'!$A$8="on",T_Eq[[#This Row],[Dividend in USD]],T_Eq[[#This Row],[Dividend in Loc.Curr]])
/T_Eq[[#This Row],[Dividends per annum]],0),
"")</f>
        <v>0</v>
      </c>
      <c r="AJ19" s="669">
        <f>IFERROR(IF(
OR(
AJ$1+1-1=MONTH($U19),
AJ$1+1-1=MONTH(T_Eq[[#This Row],[coupon date 1]]),
AJ$1+1-1=MONTH(T_Eq[[#This Row],[coupon date 2]]),
AJ$1+1-1=MONTH(T_Eq[[#This Row],[coupon date 3]])),
IF('CF USD'!$A$8="on",T_Eq[[#This Row],[Dividend in USD]],T_Eq[[#This Row],[Dividend in Loc.Curr]])
/T_Eq[[#This Row],[Dividends per annum]],0),
"")</f>
        <v>2393.9423076923081</v>
      </c>
    </row>
    <row r="20" spans="1:36" s="767" customFormat="1" x14ac:dyDescent="0.25">
      <c r="A20" s="427" t="s">
        <v>49</v>
      </c>
      <c r="B20" s="427" t="s">
        <v>1191</v>
      </c>
      <c r="C20" s="756" t="s">
        <v>2288</v>
      </c>
      <c r="D20" s="757" t="s">
        <v>2289</v>
      </c>
      <c r="E20" s="756" t="s">
        <v>18</v>
      </c>
      <c r="F20" s="672"/>
      <c r="G20" s="672" t="s">
        <v>283</v>
      </c>
      <c r="H20" s="70" t="s">
        <v>2475</v>
      </c>
      <c r="I20" s="758">
        <v>1630</v>
      </c>
      <c r="J20" s="759">
        <v>31.48</v>
      </c>
      <c r="K20" s="760">
        <f>ABS(T_Eq[[#This Row],[Quantity]]*T_Eq[[#This Row],[Market price]])</f>
        <v>51312.4</v>
      </c>
      <c r="L20" s="760">
        <f>ABS(INDEX('Tech list'!A:C,MATCH(T_Eq[[#This Row],[Risk CCY]],'Tech list'!A:A,0),3)*T_Eq[[#This Row],[Market value, CCY]])</f>
        <v>51312.4</v>
      </c>
      <c r="M20" s="761">
        <v>31.691705521472393</v>
      </c>
      <c r="N20" s="760">
        <f>ABS(T_Eq[[#This Row],[Cost price]]*T_Eq[[#This Row],[Quantity]])</f>
        <v>51657.48</v>
      </c>
      <c r="O20" s="762">
        <f>IF(T_Eq[[#This Row],[Quantity]]&lt;0,N20/K20-1,K20/N20-1)</f>
        <v>-6.6801555166842164E-3</v>
      </c>
      <c r="P20" s="763">
        <v>0</v>
      </c>
      <c r="Q20" s="764">
        <f>T_Eq[[#This Row],[Dividend per share]]/T_Eq[[#This Row],[Market price]]</f>
        <v>0</v>
      </c>
      <c r="R20" s="760">
        <f>T_Eq[[#This Row],[Dividend per share]]*T_Eq[[#This Row],[Quantity]]</f>
        <v>0</v>
      </c>
      <c r="S20" s="760">
        <f>INDEX('Tech list'!A:C,MATCH(T_Eq[[#This Row],[Risk CCY]],'Tech list'!A:A,0),3)*T_Eq[[#This Row],[Dividend in Loc.Curr]]</f>
        <v>0</v>
      </c>
      <c r="T20" s="760">
        <v>1</v>
      </c>
      <c r="U20" s="765">
        <v>46020</v>
      </c>
      <c r="V20" s="766">
        <f>EDATE(T_Eq[[#This Row],[Next coupon date]],12/$T20)</f>
        <v>46385</v>
      </c>
      <c r="W20" s="766">
        <f>EDATE(T_Eq[[#This Row],[coupon date 1]],12/$T20)</f>
        <v>46750</v>
      </c>
      <c r="X20" s="766">
        <f>EDATE(T_Eq[[#This Row],[coupon date 2]],12/$T20)</f>
        <v>47116</v>
      </c>
      <c r="Y20" s="763">
        <f>IFERROR(IF(
OR(
Y$1+1-1=MONTH($U20),
Y$1+1-1=MONTH(T_Eq[[#This Row],[coupon date 1]]),
Y$1+1-1=MONTH(T_Eq[[#This Row],[coupon date 2]]),
Y$1+1-1=MONTH(T_Eq[[#This Row],[coupon date 3]])),
IF('CF USD'!$A$8="on",T_Eq[[#This Row],[Dividend in USD]],T_Eq[[#This Row],[Dividend in Loc.Curr]])
/T_Eq[[#This Row],[Dividends per annum]],0),
"")</f>
        <v>0</v>
      </c>
      <c r="Z20" s="763">
        <f>IFERROR(IF(
OR(
Z$1+1-1=MONTH($U20),
Z$1+1-1=MONTH(T_Eq[[#This Row],[coupon date 1]]),
Z$1+1-1=MONTH(T_Eq[[#This Row],[coupon date 2]]),
Z$1+1-1=MONTH(T_Eq[[#This Row],[coupon date 3]])),
IF('CF USD'!$A$8="on",T_Eq[[#This Row],[Dividend in USD]],T_Eq[[#This Row],[Dividend in Loc.Curr]])
/T_Eq[[#This Row],[Dividends per annum]],0),
"")</f>
        <v>0</v>
      </c>
      <c r="AA20" s="763">
        <f>IFERROR(IF(
OR(
AA$1+1-1=MONTH($U20),
AA$1+1-1=MONTH(T_Eq[[#This Row],[coupon date 1]]),
AA$1+1-1=MONTH(T_Eq[[#This Row],[coupon date 2]]),
AA$1+1-1=MONTH(T_Eq[[#This Row],[coupon date 3]])),
IF('CF USD'!$A$8="on",T_Eq[[#This Row],[Dividend in USD]],T_Eq[[#This Row],[Dividend in Loc.Curr]])
/T_Eq[[#This Row],[Dividends per annum]],0),
"")</f>
        <v>0</v>
      </c>
      <c r="AB20" s="763">
        <f>IFERROR(IF(
OR(
AB$1+1-1=MONTH($U20),
AB$1+1-1=MONTH(T_Eq[[#This Row],[coupon date 1]]),
AB$1+1-1=MONTH(T_Eq[[#This Row],[coupon date 2]]),
AB$1+1-1=MONTH(T_Eq[[#This Row],[coupon date 3]])),
IF('CF USD'!$A$8="on",T_Eq[[#This Row],[Dividend in USD]],T_Eq[[#This Row],[Dividend in Loc.Curr]])
/T_Eq[[#This Row],[Dividends per annum]],0),
"")</f>
        <v>0</v>
      </c>
      <c r="AC20" s="763">
        <f>IFERROR(IF(
OR(
AC$1+1-1=MONTH($U20),
AC$1+1-1=MONTH(T_Eq[[#This Row],[coupon date 1]]),
AC$1+1-1=MONTH(T_Eq[[#This Row],[coupon date 2]]),
AC$1+1-1=MONTH(T_Eq[[#This Row],[coupon date 3]])),
IF('CF USD'!$A$8="on",T_Eq[[#This Row],[Dividend in USD]],T_Eq[[#This Row],[Dividend in Loc.Curr]])
/T_Eq[[#This Row],[Dividends per annum]],0),
"")</f>
        <v>0</v>
      </c>
      <c r="AD20" s="763">
        <f>IFERROR(IF(
OR(
AD$1+1-1=MONTH($U20),
AD$1+1-1=MONTH(T_Eq[[#This Row],[coupon date 1]]),
AD$1+1-1=MONTH(T_Eq[[#This Row],[coupon date 2]]),
AD$1+1-1=MONTH(T_Eq[[#This Row],[coupon date 3]])),
IF('CF USD'!$A$8="on",T_Eq[[#This Row],[Dividend in USD]],T_Eq[[#This Row],[Dividend in Loc.Curr]])
/T_Eq[[#This Row],[Dividends per annum]],0),
"")</f>
        <v>0</v>
      </c>
      <c r="AE20" s="763">
        <f>IFERROR(IF(
OR(
AE$1+1-1=MONTH($U20),
AE$1+1-1=MONTH(T_Eq[[#This Row],[coupon date 1]]),
AE$1+1-1=MONTH(T_Eq[[#This Row],[coupon date 2]]),
AE$1+1-1=MONTH(T_Eq[[#This Row],[coupon date 3]])),
IF('CF USD'!$A$8="on",T_Eq[[#This Row],[Dividend in USD]],T_Eq[[#This Row],[Dividend in Loc.Curr]])
/T_Eq[[#This Row],[Dividends per annum]],0),
"")</f>
        <v>0</v>
      </c>
      <c r="AF20" s="763">
        <f>IFERROR(IF(
OR(
AF$1+1-1=MONTH($U20),
AF$1+1-1=MONTH(T_Eq[[#This Row],[coupon date 1]]),
AF$1+1-1=MONTH(T_Eq[[#This Row],[coupon date 2]]),
AF$1+1-1=MONTH(T_Eq[[#This Row],[coupon date 3]])),
IF('CF USD'!$A$8="on",T_Eq[[#This Row],[Dividend in USD]],T_Eq[[#This Row],[Dividend in Loc.Curr]])
/T_Eq[[#This Row],[Dividends per annum]],0),
"")</f>
        <v>0</v>
      </c>
      <c r="AG20" s="763">
        <f>IFERROR(IF(
OR(
AG$1+1-1=MONTH($U20),
AG$1+1-1=MONTH(T_Eq[[#This Row],[coupon date 1]]),
AG$1+1-1=MONTH(T_Eq[[#This Row],[coupon date 2]]),
AG$1+1-1=MONTH(T_Eq[[#This Row],[coupon date 3]])),
IF('CF USD'!$A$8="on",T_Eq[[#This Row],[Dividend in USD]],T_Eq[[#This Row],[Dividend in Loc.Curr]])
/T_Eq[[#This Row],[Dividends per annum]],0),
"")</f>
        <v>0</v>
      </c>
      <c r="AH20" s="763">
        <f>IFERROR(IF(
OR(
AH$1+1-1=MONTH($U20),
AH$1+1-1=MONTH(T_Eq[[#This Row],[coupon date 1]]),
AH$1+1-1=MONTH(T_Eq[[#This Row],[coupon date 2]]),
AH$1+1-1=MONTH(T_Eq[[#This Row],[coupon date 3]])),
IF('CF USD'!$A$8="on",T_Eq[[#This Row],[Dividend in USD]],T_Eq[[#This Row],[Dividend in Loc.Curr]])
/T_Eq[[#This Row],[Dividends per annum]],0),
"")</f>
        <v>0</v>
      </c>
      <c r="AI20" s="763">
        <f>IFERROR(IF(
OR(
AI$1+1-1=MONTH($U20),
AI$1+1-1=MONTH(T_Eq[[#This Row],[coupon date 1]]),
AI$1+1-1=MONTH(T_Eq[[#This Row],[coupon date 2]]),
AI$1+1-1=MONTH(T_Eq[[#This Row],[coupon date 3]])),
IF('CF USD'!$A$8="on",T_Eq[[#This Row],[Dividend in USD]],T_Eq[[#This Row],[Dividend in Loc.Curr]])
/T_Eq[[#This Row],[Dividends per annum]],0),
"")</f>
        <v>0</v>
      </c>
      <c r="AJ20" s="763">
        <f>IFERROR(IF(
OR(
AJ$1+1-1=MONTH($U20),
AJ$1+1-1=MONTH(T_Eq[[#This Row],[coupon date 1]]),
AJ$1+1-1=MONTH(T_Eq[[#This Row],[coupon date 2]]),
AJ$1+1-1=MONTH(T_Eq[[#This Row],[coupon date 3]])),
IF('CF USD'!$A$8="on",T_Eq[[#This Row],[Dividend in USD]],T_Eq[[#This Row],[Dividend in Loc.Curr]])
/T_Eq[[#This Row],[Dividends per annum]],0),
"")</f>
        <v>0</v>
      </c>
    </row>
    <row r="21" spans="1:36" x14ac:dyDescent="0.25">
      <c r="A21" s="70" t="s">
        <v>51</v>
      </c>
      <c r="B21" s="70" t="s">
        <v>195</v>
      </c>
      <c r="C21" s="676" t="s">
        <v>556</v>
      </c>
      <c r="D21" s="418" t="s">
        <v>2572</v>
      </c>
      <c r="E21" s="672" t="s">
        <v>23</v>
      </c>
      <c r="F21" s="672" t="s">
        <v>306</v>
      </c>
      <c r="G21" s="672" t="s">
        <v>306</v>
      </c>
      <c r="H21" s="70" t="s">
        <v>2475</v>
      </c>
      <c r="I21" s="673">
        <v>5075</v>
      </c>
      <c r="J21" s="295">
        <v>133.66999999999999</v>
      </c>
      <c r="K21" s="666">
        <f>ABS(T_Eq[[#This Row],[Quantity]]*T_Eq[[#This Row],[Market price]])</f>
        <v>678375.24999999988</v>
      </c>
      <c r="L21" s="666">
        <f ca="1">ABS(INDEX('Tech list'!A:C,MATCH(T_Eq[[#This Row],[Risk CCY]],'Tech list'!A:A,0),3)*T_Eq[[#This Row],[Market value, CCY]])</f>
        <v>499623.37162499997</v>
      </c>
      <c r="M21" s="677">
        <v>47.129972413793105</v>
      </c>
      <c r="N21" s="666">
        <f>ABS(T_Eq[[#This Row],[Cost price]]*T_Eq[[#This Row],[Quantity]])</f>
        <v>239184.61000000002</v>
      </c>
      <c r="O21" s="213">
        <f>IF(T_Eq[[#This Row],[Quantity]]&lt;0,N21/K21-1,K21/N21-1)</f>
        <v>1.8361994109905311</v>
      </c>
      <c r="P21" s="669">
        <v>0.16</v>
      </c>
      <c r="Q21" s="668">
        <f>T_Eq[[#This Row],[Dividend per share]]/T_Eq[[#This Row],[Market price]]</f>
        <v>1.1969776314805119E-3</v>
      </c>
      <c r="R21" s="666">
        <f>T_Eq[[#This Row],[Dividend per share]]*T_Eq[[#This Row],[Quantity]]</f>
        <v>812</v>
      </c>
      <c r="S21" s="666">
        <f ca="1">INDEX('Tech list'!A:C,MATCH(T_Eq[[#This Row],[Risk CCY]],'Tech list'!A:A,0),3)*T_Eq[[#This Row],[Dividend in Loc.Curr]]</f>
        <v>598.03800000000001</v>
      </c>
      <c r="T21" s="666">
        <v>4</v>
      </c>
      <c r="U21" s="675">
        <v>46037</v>
      </c>
      <c r="V21" s="671">
        <f>EDATE(T_Eq[[#This Row],[Next coupon date]],12/$T21)</f>
        <v>46127</v>
      </c>
      <c r="W21" s="671">
        <f>EDATE(T_Eq[[#This Row],[coupon date 1]],12/$T21)</f>
        <v>46218</v>
      </c>
      <c r="X21" s="671">
        <f>EDATE(T_Eq[[#This Row],[coupon date 2]],12/$T21)</f>
        <v>46310</v>
      </c>
      <c r="Y21" s="669">
        <f>IFERROR(IF(
OR(
Y$1+1-1=MONTH($U21),
Y$1+1-1=MONTH(T_Eq[[#This Row],[coupon date 1]]),
Y$1+1-1=MONTH(T_Eq[[#This Row],[coupon date 2]]),
Y$1+1-1=MONTH(T_Eq[[#This Row],[coupon date 3]])),
IF('CF USD'!$A$8="on",T_Eq[[#This Row],[Dividend in USD]],T_Eq[[#This Row],[Dividend in Loc.Curr]])
/T_Eq[[#This Row],[Dividends per annum]],0),
"")</f>
        <v>203</v>
      </c>
      <c r="Z21" s="669">
        <f>IFERROR(IF(
OR(
Z$1+1-1=MONTH($U21),
Z$1+1-1=MONTH(T_Eq[[#This Row],[coupon date 1]]),
Z$1+1-1=MONTH(T_Eq[[#This Row],[coupon date 2]]),
Z$1+1-1=MONTH(T_Eq[[#This Row],[coupon date 3]])),
IF('CF USD'!$A$8="on",T_Eq[[#This Row],[Dividend in USD]],T_Eq[[#This Row],[Dividend in Loc.Curr]])
/T_Eq[[#This Row],[Dividends per annum]],0),
"")</f>
        <v>0</v>
      </c>
      <c r="AA21" s="669">
        <f>IFERROR(IF(
OR(
AA$1+1-1=MONTH($U21),
AA$1+1-1=MONTH(T_Eq[[#This Row],[coupon date 1]]),
AA$1+1-1=MONTH(T_Eq[[#This Row],[coupon date 2]]),
AA$1+1-1=MONTH(T_Eq[[#This Row],[coupon date 3]])),
IF('CF USD'!$A$8="on",T_Eq[[#This Row],[Dividend in USD]],T_Eq[[#This Row],[Dividend in Loc.Curr]])
/T_Eq[[#This Row],[Dividends per annum]],0),
"")</f>
        <v>0</v>
      </c>
      <c r="AB21" s="669">
        <f>IFERROR(IF(
OR(
AB$1+1-1=MONTH($U21),
AB$1+1-1=MONTH(T_Eq[[#This Row],[coupon date 1]]),
AB$1+1-1=MONTH(T_Eq[[#This Row],[coupon date 2]]),
AB$1+1-1=MONTH(T_Eq[[#This Row],[coupon date 3]])),
IF('CF USD'!$A$8="on",T_Eq[[#This Row],[Dividend in USD]],T_Eq[[#This Row],[Dividend in Loc.Curr]])
/T_Eq[[#This Row],[Dividends per annum]],0),
"")</f>
        <v>203</v>
      </c>
      <c r="AC21" s="669">
        <f>IFERROR(IF(
OR(
AC$1+1-1=MONTH($U21),
AC$1+1-1=MONTH(T_Eq[[#This Row],[coupon date 1]]),
AC$1+1-1=MONTH(T_Eq[[#This Row],[coupon date 2]]),
AC$1+1-1=MONTH(T_Eq[[#This Row],[coupon date 3]])),
IF('CF USD'!$A$8="on",T_Eq[[#This Row],[Dividend in USD]],T_Eq[[#This Row],[Dividend in Loc.Curr]])
/T_Eq[[#This Row],[Dividends per annum]],0),
"")</f>
        <v>0</v>
      </c>
      <c r="AD21" s="669">
        <f>IFERROR(IF(
OR(
AD$1+1-1=MONTH($U21),
AD$1+1-1=MONTH(T_Eq[[#This Row],[coupon date 1]]),
AD$1+1-1=MONTH(T_Eq[[#This Row],[coupon date 2]]),
AD$1+1-1=MONTH(T_Eq[[#This Row],[coupon date 3]])),
IF('CF USD'!$A$8="on",T_Eq[[#This Row],[Dividend in USD]],T_Eq[[#This Row],[Dividend in Loc.Curr]])
/T_Eq[[#This Row],[Dividends per annum]],0),
"")</f>
        <v>0</v>
      </c>
      <c r="AE21" s="669">
        <f>IFERROR(IF(
OR(
AE$1+1-1=MONTH($U21),
AE$1+1-1=MONTH(T_Eq[[#This Row],[coupon date 1]]),
AE$1+1-1=MONTH(T_Eq[[#This Row],[coupon date 2]]),
AE$1+1-1=MONTH(T_Eq[[#This Row],[coupon date 3]])),
IF('CF USD'!$A$8="on",T_Eq[[#This Row],[Dividend in USD]],T_Eq[[#This Row],[Dividend in Loc.Curr]])
/T_Eq[[#This Row],[Dividends per annum]],0),
"")</f>
        <v>203</v>
      </c>
      <c r="AF21" s="669">
        <f>IFERROR(IF(
OR(
AF$1+1-1=MONTH($U21),
AF$1+1-1=MONTH(T_Eq[[#This Row],[coupon date 1]]),
AF$1+1-1=MONTH(T_Eq[[#This Row],[coupon date 2]]),
AF$1+1-1=MONTH(T_Eq[[#This Row],[coupon date 3]])),
IF('CF USD'!$A$8="on",T_Eq[[#This Row],[Dividend in USD]],T_Eq[[#This Row],[Dividend in Loc.Curr]])
/T_Eq[[#This Row],[Dividends per annum]],0),
"")</f>
        <v>0</v>
      </c>
      <c r="AG21" s="669">
        <f>IFERROR(IF(
OR(
AG$1+1-1=MONTH($U21),
AG$1+1-1=MONTH(T_Eq[[#This Row],[coupon date 1]]),
AG$1+1-1=MONTH(T_Eq[[#This Row],[coupon date 2]]),
AG$1+1-1=MONTH(T_Eq[[#This Row],[coupon date 3]])),
IF('CF USD'!$A$8="on",T_Eq[[#This Row],[Dividend in USD]],T_Eq[[#This Row],[Dividend in Loc.Curr]])
/T_Eq[[#This Row],[Dividends per annum]],0),
"")</f>
        <v>0</v>
      </c>
      <c r="AH21" s="669">
        <f>IFERROR(IF(
OR(
AH$1+1-1=MONTH($U21),
AH$1+1-1=MONTH(T_Eq[[#This Row],[coupon date 1]]),
AH$1+1-1=MONTH(T_Eq[[#This Row],[coupon date 2]]),
AH$1+1-1=MONTH(T_Eq[[#This Row],[coupon date 3]])),
IF('CF USD'!$A$8="on",T_Eq[[#This Row],[Dividend in USD]],T_Eq[[#This Row],[Dividend in Loc.Curr]])
/T_Eq[[#This Row],[Dividends per annum]],0),
"")</f>
        <v>203</v>
      </c>
      <c r="AI21" s="669">
        <f>IFERROR(IF(
OR(
AI$1+1-1=MONTH($U21),
AI$1+1-1=MONTH(T_Eq[[#This Row],[coupon date 1]]),
AI$1+1-1=MONTH(T_Eq[[#This Row],[coupon date 2]]),
AI$1+1-1=MONTH(T_Eq[[#This Row],[coupon date 3]])),
IF('CF USD'!$A$8="on",T_Eq[[#This Row],[Dividend in USD]],T_Eq[[#This Row],[Dividend in Loc.Curr]])
/T_Eq[[#This Row],[Dividends per annum]],0),
"")</f>
        <v>0</v>
      </c>
      <c r="AJ21" s="669">
        <f>IFERROR(IF(
OR(
AJ$1+1-1=MONTH($U21),
AJ$1+1-1=MONTH(T_Eq[[#This Row],[coupon date 1]]),
AJ$1+1-1=MONTH(T_Eq[[#This Row],[coupon date 2]]),
AJ$1+1-1=MONTH(T_Eq[[#This Row],[coupon date 3]])),
IF('CF USD'!$A$8="on",T_Eq[[#This Row],[Dividend in USD]],T_Eq[[#This Row],[Dividend in Loc.Curr]])
/T_Eq[[#This Row],[Dividends per annum]],0),
"")</f>
        <v>0</v>
      </c>
    </row>
    <row r="22" spans="1:36" x14ac:dyDescent="0.25">
      <c r="A22" s="70" t="s">
        <v>51</v>
      </c>
      <c r="B22" s="70" t="s">
        <v>2369</v>
      </c>
      <c r="C22" s="418" t="s">
        <v>963</v>
      </c>
      <c r="D22" s="672" t="s">
        <v>196</v>
      </c>
      <c r="E22" s="418" t="s">
        <v>18</v>
      </c>
      <c r="F22" s="418" t="s">
        <v>283</v>
      </c>
      <c r="G22" s="418" t="s">
        <v>283</v>
      </c>
      <c r="H22" s="70" t="s">
        <v>2475</v>
      </c>
      <c r="I22" s="678">
        <v>-1200</v>
      </c>
      <c r="J22" s="295">
        <v>66.7</v>
      </c>
      <c r="K22" s="666">
        <f>ABS(T_Eq[[#This Row],[Quantity]]*T_Eq[[#This Row],[Market price]])</f>
        <v>80040</v>
      </c>
      <c r="L22" s="666">
        <f>ABS(INDEX('Tech list'!A:C,MATCH(T_Eq[[#This Row],[Risk CCY]],'Tech list'!A:A,0),3)*T_Eq[[#This Row],[Market value, CCY]])</f>
        <v>80040</v>
      </c>
      <c r="M22" s="679">
        <v>30.784541666666666</v>
      </c>
      <c r="N22" s="666">
        <f>ABS(T_Eq[[#This Row],[Cost price]]*T_Eq[[#This Row],[Quantity]])</f>
        <v>36941.449999999997</v>
      </c>
      <c r="O22" s="213">
        <f>IF(T_Eq[[#This Row],[Quantity]]&lt;0,N22/K22-1,K22/N22-1)</f>
        <v>-0.53846264367816099</v>
      </c>
      <c r="P22" s="669">
        <v>0</v>
      </c>
      <c r="Q22" s="668">
        <f>T_Eq[[#This Row],[Dividend per share]]/T_Eq[[#This Row],[Market price]]</f>
        <v>0</v>
      </c>
      <c r="R22" s="666">
        <f>T_Eq[[#This Row],[Dividend per share]]*T_Eq[[#This Row],[Quantity]]</f>
        <v>0</v>
      </c>
      <c r="S22" s="666">
        <f>INDEX('Tech list'!A:C,MATCH(T_Eq[[#This Row],[Risk CCY]],'Tech list'!A:A,0),3)*T_Eq[[#This Row],[Dividend in Loc.Curr]]</f>
        <v>0</v>
      </c>
      <c r="T22" s="666"/>
      <c r="U22" s="675"/>
      <c r="V22" s="671"/>
      <c r="W22" s="671"/>
      <c r="X22" s="671"/>
      <c r="Y22" s="680" t="str">
        <f>IFERROR(IF(
OR(
Y$1+1-1=MONTH($U22),
Y$1+1-1=MONTH(T_Eq[[#This Row],[coupon date 1]]),
Y$1+1-1=MONTH(T_Eq[[#This Row],[coupon date 2]]),
Y$1+1-1=MONTH(T_Eq[[#This Row],[coupon date 3]])),
IF('CF USD'!$A$8="on",T_Eq[[#This Row],[Dividend in USD]],T_Eq[[#This Row],[Dividend in Loc.Curr]])
/T_Eq[[#This Row],[Dividends per annum]],0),
"")</f>
        <v/>
      </c>
      <c r="Z22" s="669">
        <f>IFERROR(IF(
OR(
Z$1+1-1=MONTH($U22),
Z$1+1-1=MONTH(T_Eq[[#This Row],[coupon date 1]]),
Z$1+1-1=MONTH(T_Eq[[#This Row],[coupon date 2]]),
Z$1+1-1=MONTH(T_Eq[[#This Row],[coupon date 3]])),
IF('CF USD'!$A$8="on",T_Eq[[#This Row],[Dividend in USD]],T_Eq[[#This Row],[Dividend in Loc.Curr]])
/T_Eq[[#This Row],[Dividends per annum]],0),
"")</f>
        <v>0</v>
      </c>
      <c r="AA22" s="669">
        <f>IFERROR(IF(
OR(
AA$1+1-1=MONTH($U22),
AA$1+1-1=MONTH(T_Eq[[#This Row],[coupon date 1]]),
AA$1+1-1=MONTH(T_Eq[[#This Row],[coupon date 2]]),
AA$1+1-1=MONTH(T_Eq[[#This Row],[coupon date 3]])),
IF('CF USD'!$A$8="on",T_Eq[[#This Row],[Dividend in USD]],T_Eq[[#This Row],[Dividend in Loc.Curr]])
/T_Eq[[#This Row],[Dividends per annum]],0),
"")</f>
        <v>0</v>
      </c>
      <c r="AB22" s="669">
        <f>IFERROR(IF(
OR(
AB$1+1-1=MONTH($U22),
AB$1+1-1=MONTH(T_Eq[[#This Row],[coupon date 1]]),
AB$1+1-1=MONTH(T_Eq[[#This Row],[coupon date 2]]),
AB$1+1-1=MONTH(T_Eq[[#This Row],[coupon date 3]])),
IF('CF USD'!$A$8="on",T_Eq[[#This Row],[Dividend in USD]],T_Eq[[#This Row],[Dividend in Loc.Curr]])
/T_Eq[[#This Row],[Dividends per annum]],0),
"")</f>
        <v>0</v>
      </c>
      <c r="AC22" s="669">
        <f>IFERROR(IF(
OR(
AC$1+1-1=MONTH($U22),
AC$1+1-1=MONTH(T_Eq[[#This Row],[coupon date 1]]),
AC$1+1-1=MONTH(T_Eq[[#This Row],[coupon date 2]]),
AC$1+1-1=MONTH(T_Eq[[#This Row],[coupon date 3]])),
IF('CF USD'!$A$8="on",T_Eq[[#This Row],[Dividend in USD]],T_Eq[[#This Row],[Dividend in Loc.Curr]])
/T_Eq[[#This Row],[Dividends per annum]],0),
"")</f>
        <v>0</v>
      </c>
      <c r="AD22" s="669">
        <f>IFERROR(IF(
OR(
AD$1+1-1=MONTH($U22),
AD$1+1-1=MONTH(T_Eq[[#This Row],[coupon date 1]]),
AD$1+1-1=MONTH(T_Eq[[#This Row],[coupon date 2]]),
AD$1+1-1=MONTH(T_Eq[[#This Row],[coupon date 3]])),
IF('CF USD'!$A$8="on",T_Eq[[#This Row],[Dividend in USD]],T_Eq[[#This Row],[Dividend in Loc.Curr]])
/T_Eq[[#This Row],[Dividends per annum]],0),
"")</f>
        <v>0</v>
      </c>
      <c r="AE22" s="669">
        <f>IFERROR(IF(
OR(
AE$1+1-1=MONTH($U22),
AE$1+1-1=MONTH(T_Eq[[#This Row],[coupon date 1]]),
AE$1+1-1=MONTH(T_Eq[[#This Row],[coupon date 2]]),
AE$1+1-1=MONTH(T_Eq[[#This Row],[coupon date 3]])),
IF('CF USD'!$A$8="on",T_Eq[[#This Row],[Dividend in USD]],T_Eq[[#This Row],[Dividend in Loc.Curr]])
/T_Eq[[#This Row],[Dividends per annum]],0),
"")</f>
        <v>0</v>
      </c>
      <c r="AF22" s="669">
        <f>IFERROR(IF(
OR(
AF$1+1-1=MONTH($U22),
AF$1+1-1=MONTH(T_Eq[[#This Row],[coupon date 1]]),
AF$1+1-1=MONTH(T_Eq[[#This Row],[coupon date 2]]),
AF$1+1-1=MONTH(T_Eq[[#This Row],[coupon date 3]])),
IF('CF USD'!$A$8="on",T_Eq[[#This Row],[Dividend in USD]],T_Eq[[#This Row],[Dividend in Loc.Curr]])
/T_Eq[[#This Row],[Dividends per annum]],0),
"")</f>
        <v>0</v>
      </c>
      <c r="AG22" s="669">
        <f>IFERROR(IF(
OR(
AG$1+1-1=MONTH($U22),
AG$1+1-1=MONTH(T_Eq[[#This Row],[coupon date 1]]),
AG$1+1-1=MONTH(T_Eq[[#This Row],[coupon date 2]]),
AG$1+1-1=MONTH(T_Eq[[#This Row],[coupon date 3]])),
IF('CF USD'!$A$8="on",T_Eq[[#This Row],[Dividend in USD]],T_Eq[[#This Row],[Dividend in Loc.Curr]])
/T_Eq[[#This Row],[Dividends per annum]],0),
"")</f>
        <v>0</v>
      </c>
      <c r="AH22" s="669">
        <f>IFERROR(IF(
OR(
AH$1+1-1=MONTH($U22),
AH$1+1-1=MONTH(T_Eq[[#This Row],[coupon date 1]]),
AH$1+1-1=MONTH(T_Eq[[#This Row],[coupon date 2]]),
AH$1+1-1=MONTH(T_Eq[[#This Row],[coupon date 3]])),
IF('CF USD'!$A$8="on",T_Eq[[#This Row],[Dividend in USD]],T_Eq[[#This Row],[Dividend in Loc.Curr]])
/T_Eq[[#This Row],[Dividends per annum]],0),
"")</f>
        <v>0</v>
      </c>
      <c r="AI22" s="669">
        <f>IFERROR(IF(
OR(
AI$1+1-1=MONTH($U22),
AI$1+1-1=MONTH(T_Eq[[#This Row],[coupon date 1]]),
AI$1+1-1=MONTH(T_Eq[[#This Row],[coupon date 2]]),
AI$1+1-1=MONTH(T_Eq[[#This Row],[coupon date 3]])),
IF('CF USD'!$A$8="on",T_Eq[[#This Row],[Dividend in USD]],T_Eq[[#This Row],[Dividend in Loc.Curr]])
/T_Eq[[#This Row],[Dividends per annum]],0),
"")</f>
        <v>0</v>
      </c>
      <c r="AJ22" s="669">
        <f>IFERROR(IF(
OR(
AJ$1+1-1=MONTH($U22),
AJ$1+1-1=MONTH(T_Eq[[#This Row],[coupon date 1]]),
AJ$1+1-1=MONTH(T_Eq[[#This Row],[coupon date 2]]),
AJ$1+1-1=MONTH(T_Eq[[#This Row],[coupon date 3]])),
IF('CF USD'!$A$8="on",T_Eq[[#This Row],[Dividend in USD]],T_Eq[[#This Row],[Dividend in Loc.Curr]])
/T_Eq[[#This Row],[Dividends per annum]],0),
"")</f>
        <v>0</v>
      </c>
    </row>
    <row r="23" spans="1:36" x14ac:dyDescent="0.25">
      <c r="A23" s="70" t="s">
        <v>51</v>
      </c>
      <c r="B23" s="70" t="s">
        <v>2369</v>
      </c>
      <c r="C23" s="672" t="s">
        <v>1071</v>
      </c>
      <c r="D23" s="672" t="s">
        <v>196</v>
      </c>
      <c r="E23" s="418" t="s">
        <v>18</v>
      </c>
      <c r="F23" s="418" t="s">
        <v>283</v>
      </c>
      <c r="G23" s="418" t="s">
        <v>283</v>
      </c>
      <c r="H23" s="70" t="s">
        <v>2475</v>
      </c>
      <c r="I23" s="678">
        <v>-5000</v>
      </c>
      <c r="J23" s="295">
        <v>24.07</v>
      </c>
      <c r="K23" s="666">
        <f>ABS(T_Eq[[#This Row],[Quantity]]*T_Eq[[#This Row],[Market price]])</f>
        <v>120350</v>
      </c>
      <c r="L23" s="666">
        <f>ABS(INDEX('Tech list'!A:C,MATCH(T_Eq[[#This Row],[Risk CCY]],'Tech list'!A:A,0),3)*T_Eq[[#This Row],[Market value, CCY]])</f>
        <v>120350</v>
      </c>
      <c r="M23" s="679">
        <v>13.599081666666667</v>
      </c>
      <c r="N23" s="666">
        <f>ABS(T_Eq[[#This Row],[Cost price]]*T_Eq[[#This Row],[Quantity]])</f>
        <v>67995.40833333334</v>
      </c>
      <c r="O23" s="213">
        <f>IF(T_Eq[[#This Row],[Quantity]]&lt;0,N23/K23-1,K23/N23-1)</f>
        <v>-0.43501945713890033</v>
      </c>
      <c r="P23" s="669">
        <v>0</v>
      </c>
      <c r="Q23" s="668">
        <f>T_Eq[[#This Row],[Dividend per share]]/T_Eq[[#This Row],[Market price]]</f>
        <v>0</v>
      </c>
      <c r="R23" s="666">
        <f>T_Eq[[#This Row],[Dividend per share]]*T_Eq[[#This Row],[Quantity]]</f>
        <v>0</v>
      </c>
      <c r="S23" s="666">
        <f>INDEX('Tech list'!A:C,MATCH(T_Eq[[#This Row],[Risk CCY]],'Tech list'!A:A,0),3)*T_Eq[[#This Row],[Dividend in Loc.Curr]]</f>
        <v>0</v>
      </c>
      <c r="T23" s="666"/>
      <c r="U23" s="675"/>
      <c r="V23" s="671"/>
      <c r="W23" s="671"/>
      <c r="X23" s="671"/>
      <c r="Y23" s="680" t="str">
        <f>IFERROR(IF(
OR(
Y$1+1-1=MONTH($U23),
Y$1+1-1=MONTH(T_Eq[[#This Row],[coupon date 1]]),
Y$1+1-1=MONTH(T_Eq[[#This Row],[coupon date 2]]),
Y$1+1-1=MONTH(T_Eq[[#This Row],[coupon date 3]])),
IF('CF USD'!$A$8="on",T_Eq[[#This Row],[Dividend in USD]],T_Eq[[#This Row],[Dividend in Loc.Curr]])
/T_Eq[[#This Row],[Dividends per annum]],0),
"")</f>
        <v/>
      </c>
      <c r="Z23" s="669">
        <f>IFERROR(IF(
OR(
Z$1+1-1=MONTH($U23),
Z$1+1-1=MONTH(T_Eq[[#This Row],[coupon date 1]]),
Z$1+1-1=MONTH(T_Eq[[#This Row],[coupon date 2]]),
Z$1+1-1=MONTH(T_Eq[[#This Row],[coupon date 3]])),
IF('CF USD'!$A$8="on",T_Eq[[#This Row],[Dividend in USD]],T_Eq[[#This Row],[Dividend in Loc.Curr]])
/T_Eq[[#This Row],[Dividends per annum]],0),
"")</f>
        <v>0</v>
      </c>
      <c r="AA23" s="669">
        <f>IFERROR(IF(
OR(
AA$1+1-1=MONTH($U23),
AA$1+1-1=MONTH(T_Eq[[#This Row],[coupon date 1]]),
AA$1+1-1=MONTH(T_Eq[[#This Row],[coupon date 2]]),
AA$1+1-1=MONTH(T_Eq[[#This Row],[coupon date 3]])),
IF('CF USD'!$A$8="on",T_Eq[[#This Row],[Dividend in USD]],T_Eq[[#This Row],[Dividend in Loc.Curr]])
/T_Eq[[#This Row],[Dividends per annum]],0),
"")</f>
        <v>0</v>
      </c>
      <c r="AB23" s="669">
        <f>IFERROR(IF(
OR(
AB$1+1-1=MONTH($U23),
AB$1+1-1=MONTH(T_Eq[[#This Row],[coupon date 1]]),
AB$1+1-1=MONTH(T_Eq[[#This Row],[coupon date 2]]),
AB$1+1-1=MONTH(T_Eq[[#This Row],[coupon date 3]])),
IF('CF USD'!$A$8="on",T_Eq[[#This Row],[Dividend in USD]],T_Eq[[#This Row],[Dividend in Loc.Curr]])
/T_Eq[[#This Row],[Dividends per annum]],0),
"")</f>
        <v>0</v>
      </c>
      <c r="AC23" s="669">
        <f>IFERROR(IF(
OR(
AC$1+1-1=MONTH($U23),
AC$1+1-1=MONTH(T_Eq[[#This Row],[coupon date 1]]),
AC$1+1-1=MONTH(T_Eq[[#This Row],[coupon date 2]]),
AC$1+1-1=MONTH(T_Eq[[#This Row],[coupon date 3]])),
IF('CF USD'!$A$8="on",T_Eq[[#This Row],[Dividend in USD]],T_Eq[[#This Row],[Dividend in Loc.Curr]])
/T_Eq[[#This Row],[Dividends per annum]],0),
"")</f>
        <v>0</v>
      </c>
      <c r="AD23" s="669">
        <f>IFERROR(IF(
OR(
AD$1+1-1=MONTH($U23),
AD$1+1-1=MONTH(T_Eq[[#This Row],[coupon date 1]]),
AD$1+1-1=MONTH(T_Eq[[#This Row],[coupon date 2]]),
AD$1+1-1=MONTH(T_Eq[[#This Row],[coupon date 3]])),
IF('CF USD'!$A$8="on",T_Eq[[#This Row],[Dividend in USD]],T_Eq[[#This Row],[Dividend in Loc.Curr]])
/T_Eq[[#This Row],[Dividends per annum]],0),
"")</f>
        <v>0</v>
      </c>
      <c r="AE23" s="669">
        <f>IFERROR(IF(
OR(
AE$1+1-1=MONTH($U23),
AE$1+1-1=MONTH(T_Eq[[#This Row],[coupon date 1]]),
AE$1+1-1=MONTH(T_Eq[[#This Row],[coupon date 2]]),
AE$1+1-1=MONTH(T_Eq[[#This Row],[coupon date 3]])),
IF('CF USD'!$A$8="on",T_Eq[[#This Row],[Dividend in USD]],T_Eq[[#This Row],[Dividend in Loc.Curr]])
/T_Eq[[#This Row],[Dividends per annum]],0),
"")</f>
        <v>0</v>
      </c>
      <c r="AF23" s="669">
        <f>IFERROR(IF(
OR(
AF$1+1-1=MONTH($U23),
AF$1+1-1=MONTH(T_Eq[[#This Row],[coupon date 1]]),
AF$1+1-1=MONTH(T_Eq[[#This Row],[coupon date 2]]),
AF$1+1-1=MONTH(T_Eq[[#This Row],[coupon date 3]])),
IF('CF USD'!$A$8="on",T_Eq[[#This Row],[Dividend in USD]],T_Eq[[#This Row],[Dividend in Loc.Curr]])
/T_Eq[[#This Row],[Dividends per annum]],0),
"")</f>
        <v>0</v>
      </c>
      <c r="AG23" s="669">
        <f>IFERROR(IF(
OR(
AG$1+1-1=MONTH($U23),
AG$1+1-1=MONTH(T_Eq[[#This Row],[coupon date 1]]),
AG$1+1-1=MONTH(T_Eq[[#This Row],[coupon date 2]]),
AG$1+1-1=MONTH(T_Eq[[#This Row],[coupon date 3]])),
IF('CF USD'!$A$8="on",T_Eq[[#This Row],[Dividend in USD]],T_Eq[[#This Row],[Dividend in Loc.Curr]])
/T_Eq[[#This Row],[Dividends per annum]],0),
"")</f>
        <v>0</v>
      </c>
      <c r="AH23" s="669">
        <f>IFERROR(IF(
OR(
AH$1+1-1=MONTH($U23),
AH$1+1-1=MONTH(T_Eq[[#This Row],[coupon date 1]]),
AH$1+1-1=MONTH(T_Eq[[#This Row],[coupon date 2]]),
AH$1+1-1=MONTH(T_Eq[[#This Row],[coupon date 3]])),
IF('CF USD'!$A$8="on",T_Eq[[#This Row],[Dividend in USD]],T_Eq[[#This Row],[Dividend in Loc.Curr]])
/T_Eq[[#This Row],[Dividends per annum]],0),
"")</f>
        <v>0</v>
      </c>
      <c r="AI23" s="669">
        <f>IFERROR(IF(
OR(
AI$1+1-1=MONTH($U23),
AI$1+1-1=MONTH(T_Eq[[#This Row],[coupon date 1]]),
AI$1+1-1=MONTH(T_Eq[[#This Row],[coupon date 2]]),
AI$1+1-1=MONTH(T_Eq[[#This Row],[coupon date 3]])),
IF('CF USD'!$A$8="on",T_Eq[[#This Row],[Dividend in USD]],T_Eq[[#This Row],[Dividend in Loc.Curr]])
/T_Eq[[#This Row],[Dividends per annum]],0),
"")</f>
        <v>0</v>
      </c>
      <c r="AJ23" s="669">
        <f>IFERROR(IF(
OR(
AJ$1+1-1=MONTH($U23),
AJ$1+1-1=MONTH(T_Eq[[#This Row],[coupon date 1]]),
AJ$1+1-1=MONTH(T_Eq[[#This Row],[coupon date 2]]),
AJ$1+1-1=MONTH(T_Eq[[#This Row],[coupon date 3]])),
IF('CF USD'!$A$8="on",T_Eq[[#This Row],[Dividend in USD]],T_Eq[[#This Row],[Dividend in Loc.Curr]])
/T_Eq[[#This Row],[Dividends per annum]],0),
"")</f>
        <v>0</v>
      </c>
    </row>
    <row r="24" spans="1:36" x14ac:dyDescent="0.25">
      <c r="A24" s="70" t="s">
        <v>51</v>
      </c>
      <c r="B24" s="70" t="s">
        <v>2369</v>
      </c>
      <c r="C24" s="672" t="s">
        <v>989</v>
      </c>
      <c r="D24" s="672" t="s">
        <v>196</v>
      </c>
      <c r="E24" s="418" t="s">
        <v>18</v>
      </c>
      <c r="F24" s="418" t="s">
        <v>283</v>
      </c>
      <c r="G24" s="418" t="s">
        <v>283</v>
      </c>
      <c r="H24" s="70" t="s">
        <v>2475</v>
      </c>
      <c r="I24" s="678">
        <v>-8400</v>
      </c>
      <c r="J24" s="295">
        <v>2.2400000000000002</v>
      </c>
      <c r="K24" s="666">
        <f>ABS(T_Eq[[#This Row],[Quantity]]*T_Eq[[#This Row],[Market price]])</f>
        <v>18816</v>
      </c>
      <c r="L24" s="666">
        <f>ABS(INDEX('Tech list'!A:C,MATCH(T_Eq[[#This Row],[Risk CCY]],'Tech list'!A:A,0),3)*T_Eq[[#This Row],[Market value, CCY]])</f>
        <v>18816</v>
      </c>
      <c r="M24" s="679">
        <v>8.5593500000000002</v>
      </c>
      <c r="N24" s="666">
        <f>ABS(T_Eq[[#This Row],[Cost price]]*T_Eq[[#This Row],[Quantity]])</f>
        <v>71898.540000000008</v>
      </c>
      <c r="O24" s="213">
        <f>IF(T_Eq[[#This Row],[Quantity]]&lt;0,N24/K24-1,K24/N24-1)</f>
        <v>2.8211383928571432</v>
      </c>
      <c r="P24" s="669">
        <v>0</v>
      </c>
      <c r="Q24" s="668">
        <f>T_Eq[[#This Row],[Dividend per share]]/T_Eq[[#This Row],[Market price]]</f>
        <v>0</v>
      </c>
      <c r="R24" s="666">
        <f>T_Eq[[#This Row],[Dividend per share]]*T_Eq[[#This Row],[Quantity]]</f>
        <v>0</v>
      </c>
      <c r="S24" s="666">
        <f>INDEX('Tech list'!A:C,MATCH(T_Eq[[#This Row],[Risk CCY]],'Tech list'!A:A,0),3)*T_Eq[[#This Row],[Dividend in Loc.Curr]]</f>
        <v>0</v>
      </c>
      <c r="T24" s="666"/>
      <c r="U24" s="675"/>
      <c r="V24" s="671"/>
      <c r="W24" s="671"/>
      <c r="X24" s="671"/>
      <c r="Y24" s="680" t="str">
        <f>IFERROR(IF(
OR(
Y$1+1-1=MONTH($U24),
Y$1+1-1=MONTH(T_Eq[[#This Row],[coupon date 1]]),
Y$1+1-1=MONTH(T_Eq[[#This Row],[coupon date 2]]),
Y$1+1-1=MONTH(T_Eq[[#This Row],[coupon date 3]])),
IF('CF USD'!$A$8="on",T_Eq[[#This Row],[Dividend in USD]],T_Eq[[#This Row],[Dividend in Loc.Curr]])
/T_Eq[[#This Row],[Dividends per annum]],0),
"")</f>
        <v/>
      </c>
      <c r="Z24" s="669">
        <f>IFERROR(IF(
OR(
Z$1+1-1=MONTH($U24),
Z$1+1-1=MONTH(T_Eq[[#This Row],[coupon date 1]]),
Z$1+1-1=MONTH(T_Eq[[#This Row],[coupon date 2]]),
Z$1+1-1=MONTH(T_Eq[[#This Row],[coupon date 3]])),
IF('CF USD'!$A$8="on",T_Eq[[#This Row],[Dividend in USD]],T_Eq[[#This Row],[Dividend in Loc.Curr]])
/T_Eq[[#This Row],[Dividends per annum]],0),
"")</f>
        <v>0</v>
      </c>
      <c r="AA24" s="669">
        <f>IFERROR(IF(
OR(
AA$1+1-1=MONTH($U24),
AA$1+1-1=MONTH(T_Eq[[#This Row],[coupon date 1]]),
AA$1+1-1=MONTH(T_Eq[[#This Row],[coupon date 2]]),
AA$1+1-1=MONTH(T_Eq[[#This Row],[coupon date 3]])),
IF('CF USD'!$A$8="on",T_Eq[[#This Row],[Dividend in USD]],T_Eq[[#This Row],[Dividend in Loc.Curr]])
/T_Eq[[#This Row],[Dividends per annum]],0),
"")</f>
        <v>0</v>
      </c>
      <c r="AB24" s="669">
        <f>IFERROR(IF(
OR(
AB$1+1-1=MONTH($U24),
AB$1+1-1=MONTH(T_Eq[[#This Row],[coupon date 1]]),
AB$1+1-1=MONTH(T_Eq[[#This Row],[coupon date 2]]),
AB$1+1-1=MONTH(T_Eq[[#This Row],[coupon date 3]])),
IF('CF USD'!$A$8="on",T_Eq[[#This Row],[Dividend in USD]],T_Eq[[#This Row],[Dividend in Loc.Curr]])
/T_Eq[[#This Row],[Dividends per annum]],0),
"")</f>
        <v>0</v>
      </c>
      <c r="AC24" s="669">
        <f>IFERROR(IF(
OR(
AC$1+1-1=MONTH($U24),
AC$1+1-1=MONTH(T_Eq[[#This Row],[coupon date 1]]),
AC$1+1-1=MONTH(T_Eq[[#This Row],[coupon date 2]]),
AC$1+1-1=MONTH(T_Eq[[#This Row],[coupon date 3]])),
IF('CF USD'!$A$8="on",T_Eq[[#This Row],[Dividend in USD]],T_Eq[[#This Row],[Dividend in Loc.Curr]])
/T_Eq[[#This Row],[Dividends per annum]],0),
"")</f>
        <v>0</v>
      </c>
      <c r="AD24" s="669">
        <f>IFERROR(IF(
OR(
AD$1+1-1=MONTH($U24),
AD$1+1-1=MONTH(T_Eq[[#This Row],[coupon date 1]]),
AD$1+1-1=MONTH(T_Eq[[#This Row],[coupon date 2]]),
AD$1+1-1=MONTH(T_Eq[[#This Row],[coupon date 3]])),
IF('CF USD'!$A$8="on",T_Eq[[#This Row],[Dividend in USD]],T_Eq[[#This Row],[Dividend in Loc.Curr]])
/T_Eq[[#This Row],[Dividends per annum]],0),
"")</f>
        <v>0</v>
      </c>
      <c r="AE24" s="669">
        <f>IFERROR(IF(
OR(
AE$1+1-1=MONTH($U24),
AE$1+1-1=MONTH(T_Eq[[#This Row],[coupon date 1]]),
AE$1+1-1=MONTH(T_Eq[[#This Row],[coupon date 2]]),
AE$1+1-1=MONTH(T_Eq[[#This Row],[coupon date 3]])),
IF('CF USD'!$A$8="on",T_Eq[[#This Row],[Dividend in USD]],T_Eq[[#This Row],[Dividend in Loc.Curr]])
/T_Eq[[#This Row],[Dividends per annum]],0),
"")</f>
        <v>0</v>
      </c>
      <c r="AF24" s="669">
        <f>IFERROR(IF(
OR(
AF$1+1-1=MONTH($U24),
AF$1+1-1=MONTH(T_Eq[[#This Row],[coupon date 1]]),
AF$1+1-1=MONTH(T_Eq[[#This Row],[coupon date 2]]),
AF$1+1-1=MONTH(T_Eq[[#This Row],[coupon date 3]])),
IF('CF USD'!$A$8="on",T_Eq[[#This Row],[Dividend in USD]],T_Eq[[#This Row],[Dividend in Loc.Curr]])
/T_Eq[[#This Row],[Dividends per annum]],0),
"")</f>
        <v>0</v>
      </c>
      <c r="AG24" s="669">
        <f>IFERROR(IF(
OR(
AG$1+1-1=MONTH($U24),
AG$1+1-1=MONTH(T_Eq[[#This Row],[coupon date 1]]),
AG$1+1-1=MONTH(T_Eq[[#This Row],[coupon date 2]]),
AG$1+1-1=MONTH(T_Eq[[#This Row],[coupon date 3]])),
IF('CF USD'!$A$8="on",T_Eq[[#This Row],[Dividend in USD]],T_Eq[[#This Row],[Dividend in Loc.Curr]])
/T_Eq[[#This Row],[Dividends per annum]],0),
"")</f>
        <v>0</v>
      </c>
      <c r="AH24" s="669">
        <f>IFERROR(IF(
OR(
AH$1+1-1=MONTH($U24),
AH$1+1-1=MONTH(T_Eq[[#This Row],[coupon date 1]]),
AH$1+1-1=MONTH(T_Eq[[#This Row],[coupon date 2]]),
AH$1+1-1=MONTH(T_Eq[[#This Row],[coupon date 3]])),
IF('CF USD'!$A$8="on",T_Eq[[#This Row],[Dividend in USD]],T_Eq[[#This Row],[Dividend in Loc.Curr]])
/T_Eq[[#This Row],[Dividends per annum]],0),
"")</f>
        <v>0</v>
      </c>
      <c r="AI24" s="669">
        <f>IFERROR(IF(
OR(
AI$1+1-1=MONTH($U24),
AI$1+1-1=MONTH(T_Eq[[#This Row],[coupon date 1]]),
AI$1+1-1=MONTH(T_Eq[[#This Row],[coupon date 2]]),
AI$1+1-1=MONTH(T_Eq[[#This Row],[coupon date 3]])),
IF('CF USD'!$A$8="on",T_Eq[[#This Row],[Dividend in USD]],T_Eq[[#This Row],[Dividend in Loc.Curr]])
/T_Eq[[#This Row],[Dividends per annum]],0),
"")</f>
        <v>0</v>
      </c>
      <c r="AJ24" s="669">
        <f>IFERROR(IF(
OR(
AJ$1+1-1=MONTH($U24),
AJ$1+1-1=MONTH(T_Eq[[#This Row],[coupon date 1]]),
AJ$1+1-1=MONTH(T_Eq[[#This Row],[coupon date 2]]),
AJ$1+1-1=MONTH(T_Eq[[#This Row],[coupon date 3]])),
IF('CF USD'!$A$8="on",T_Eq[[#This Row],[Dividend in USD]],T_Eq[[#This Row],[Dividend in Loc.Curr]])
/T_Eq[[#This Row],[Dividends per annum]],0),
"")</f>
        <v>0</v>
      </c>
    </row>
    <row r="25" spans="1:36" x14ac:dyDescent="0.25">
      <c r="A25" s="70" t="s">
        <v>51</v>
      </c>
      <c r="B25" s="70" t="s">
        <v>2369</v>
      </c>
      <c r="C25" s="418" t="s">
        <v>1210</v>
      </c>
      <c r="D25" s="672" t="s">
        <v>196</v>
      </c>
      <c r="E25" s="418" t="s">
        <v>18</v>
      </c>
      <c r="F25" s="418" t="s">
        <v>283</v>
      </c>
      <c r="G25" s="418" t="s">
        <v>283</v>
      </c>
      <c r="H25" s="70" t="s">
        <v>2475</v>
      </c>
      <c r="I25" s="678">
        <v>-1800</v>
      </c>
      <c r="J25" s="295">
        <v>35.54</v>
      </c>
      <c r="K25" s="666">
        <f>ABS(T_Eq[[#This Row],[Quantity]]*T_Eq[[#This Row],[Market price]])</f>
        <v>63972</v>
      </c>
      <c r="L25" s="666">
        <f>ABS(INDEX('Tech list'!A:C,MATCH(T_Eq[[#This Row],[Risk CCY]],'Tech list'!A:A,0),3)*T_Eq[[#This Row],[Market value, CCY]])</f>
        <v>63972</v>
      </c>
      <c r="M25" s="679">
        <v>20.900849999999998</v>
      </c>
      <c r="N25" s="666">
        <f>ABS(T_Eq[[#This Row],[Cost price]]*T_Eq[[#This Row],[Quantity]])</f>
        <v>37621.53</v>
      </c>
      <c r="O25" s="213">
        <f>IF(T_Eq[[#This Row],[Quantity]]&lt;0,N25/K25-1,K25/N25-1)</f>
        <v>-0.41190630275745643</v>
      </c>
      <c r="P25" s="669">
        <v>0</v>
      </c>
      <c r="Q25" s="668">
        <f>T_Eq[[#This Row],[Dividend per share]]/T_Eq[[#This Row],[Market price]]</f>
        <v>0</v>
      </c>
      <c r="R25" s="666">
        <f>T_Eq[[#This Row],[Dividend per share]]*T_Eq[[#This Row],[Quantity]]</f>
        <v>0</v>
      </c>
      <c r="S25" s="666">
        <f>INDEX('Tech list'!A:C,MATCH(T_Eq[[#This Row],[Risk CCY]],'Tech list'!A:A,0),3)*T_Eq[[#This Row],[Dividend in Loc.Curr]]</f>
        <v>0</v>
      </c>
      <c r="T25" s="666"/>
      <c r="U25" s="675"/>
      <c r="V25" s="671"/>
      <c r="W25" s="671"/>
      <c r="X25" s="671"/>
      <c r="Y25" s="680" t="str">
        <f>IFERROR(IF(
OR(
Y$1+1-1=MONTH($U25),
Y$1+1-1=MONTH(T_Eq[[#This Row],[coupon date 1]]),
Y$1+1-1=MONTH(T_Eq[[#This Row],[coupon date 2]]),
Y$1+1-1=MONTH(T_Eq[[#This Row],[coupon date 3]])),
IF('CF USD'!$A$8="on",T_Eq[[#This Row],[Dividend in USD]],T_Eq[[#This Row],[Dividend in Loc.Curr]])
/T_Eq[[#This Row],[Dividends per annum]],0),
"")</f>
        <v/>
      </c>
      <c r="Z25" s="669">
        <f>IFERROR(IF(
OR(
Z$1+1-1=MONTH($U25),
Z$1+1-1=MONTH(T_Eq[[#This Row],[coupon date 1]]),
Z$1+1-1=MONTH(T_Eq[[#This Row],[coupon date 2]]),
Z$1+1-1=MONTH(T_Eq[[#This Row],[coupon date 3]])),
IF('CF USD'!$A$8="on",T_Eq[[#This Row],[Dividend in USD]],T_Eq[[#This Row],[Dividend in Loc.Curr]])
/T_Eq[[#This Row],[Dividends per annum]],0),
"")</f>
        <v>0</v>
      </c>
      <c r="AA25" s="669">
        <f>IFERROR(IF(
OR(
AA$1+1-1=MONTH($U25),
AA$1+1-1=MONTH(T_Eq[[#This Row],[coupon date 1]]),
AA$1+1-1=MONTH(T_Eq[[#This Row],[coupon date 2]]),
AA$1+1-1=MONTH(T_Eq[[#This Row],[coupon date 3]])),
IF('CF USD'!$A$8="on",T_Eq[[#This Row],[Dividend in USD]],T_Eq[[#This Row],[Dividend in Loc.Curr]])
/T_Eq[[#This Row],[Dividends per annum]],0),
"")</f>
        <v>0</v>
      </c>
      <c r="AB25" s="669">
        <f>IFERROR(IF(
OR(
AB$1+1-1=MONTH($U25),
AB$1+1-1=MONTH(T_Eq[[#This Row],[coupon date 1]]),
AB$1+1-1=MONTH(T_Eq[[#This Row],[coupon date 2]]),
AB$1+1-1=MONTH(T_Eq[[#This Row],[coupon date 3]])),
IF('CF USD'!$A$8="on",T_Eq[[#This Row],[Dividend in USD]],T_Eq[[#This Row],[Dividend in Loc.Curr]])
/T_Eq[[#This Row],[Dividends per annum]],0),
"")</f>
        <v>0</v>
      </c>
      <c r="AC25" s="669">
        <f>IFERROR(IF(
OR(
AC$1+1-1=MONTH($U25),
AC$1+1-1=MONTH(T_Eq[[#This Row],[coupon date 1]]),
AC$1+1-1=MONTH(T_Eq[[#This Row],[coupon date 2]]),
AC$1+1-1=MONTH(T_Eq[[#This Row],[coupon date 3]])),
IF('CF USD'!$A$8="on",T_Eq[[#This Row],[Dividend in USD]],T_Eq[[#This Row],[Dividend in Loc.Curr]])
/T_Eq[[#This Row],[Dividends per annum]],0),
"")</f>
        <v>0</v>
      </c>
      <c r="AD25" s="669">
        <f>IFERROR(IF(
OR(
AD$1+1-1=MONTH($U25),
AD$1+1-1=MONTH(T_Eq[[#This Row],[coupon date 1]]),
AD$1+1-1=MONTH(T_Eq[[#This Row],[coupon date 2]]),
AD$1+1-1=MONTH(T_Eq[[#This Row],[coupon date 3]])),
IF('CF USD'!$A$8="on",T_Eq[[#This Row],[Dividend in USD]],T_Eq[[#This Row],[Dividend in Loc.Curr]])
/T_Eq[[#This Row],[Dividends per annum]],0),
"")</f>
        <v>0</v>
      </c>
      <c r="AE25" s="669">
        <f>IFERROR(IF(
OR(
AE$1+1-1=MONTH($U25),
AE$1+1-1=MONTH(T_Eq[[#This Row],[coupon date 1]]),
AE$1+1-1=MONTH(T_Eq[[#This Row],[coupon date 2]]),
AE$1+1-1=MONTH(T_Eq[[#This Row],[coupon date 3]])),
IF('CF USD'!$A$8="on",T_Eq[[#This Row],[Dividend in USD]],T_Eq[[#This Row],[Dividend in Loc.Curr]])
/T_Eq[[#This Row],[Dividends per annum]],0),
"")</f>
        <v>0</v>
      </c>
      <c r="AF25" s="669">
        <f>IFERROR(IF(
OR(
AF$1+1-1=MONTH($U25),
AF$1+1-1=MONTH(T_Eq[[#This Row],[coupon date 1]]),
AF$1+1-1=MONTH(T_Eq[[#This Row],[coupon date 2]]),
AF$1+1-1=MONTH(T_Eq[[#This Row],[coupon date 3]])),
IF('CF USD'!$A$8="on",T_Eq[[#This Row],[Dividend in USD]],T_Eq[[#This Row],[Dividend in Loc.Curr]])
/T_Eq[[#This Row],[Dividends per annum]],0),
"")</f>
        <v>0</v>
      </c>
      <c r="AG25" s="669">
        <f>IFERROR(IF(
OR(
AG$1+1-1=MONTH($U25),
AG$1+1-1=MONTH(T_Eq[[#This Row],[coupon date 1]]),
AG$1+1-1=MONTH(T_Eq[[#This Row],[coupon date 2]]),
AG$1+1-1=MONTH(T_Eq[[#This Row],[coupon date 3]])),
IF('CF USD'!$A$8="on",T_Eq[[#This Row],[Dividend in USD]],T_Eq[[#This Row],[Dividend in Loc.Curr]])
/T_Eq[[#This Row],[Dividends per annum]],0),
"")</f>
        <v>0</v>
      </c>
      <c r="AH25" s="669">
        <f>IFERROR(IF(
OR(
AH$1+1-1=MONTH($U25),
AH$1+1-1=MONTH(T_Eq[[#This Row],[coupon date 1]]),
AH$1+1-1=MONTH(T_Eq[[#This Row],[coupon date 2]]),
AH$1+1-1=MONTH(T_Eq[[#This Row],[coupon date 3]])),
IF('CF USD'!$A$8="on",T_Eq[[#This Row],[Dividend in USD]],T_Eq[[#This Row],[Dividend in Loc.Curr]])
/T_Eq[[#This Row],[Dividends per annum]],0),
"")</f>
        <v>0</v>
      </c>
      <c r="AI25" s="669">
        <f>IFERROR(IF(
OR(
AI$1+1-1=MONTH($U25),
AI$1+1-1=MONTH(T_Eq[[#This Row],[coupon date 1]]),
AI$1+1-1=MONTH(T_Eq[[#This Row],[coupon date 2]]),
AI$1+1-1=MONTH(T_Eq[[#This Row],[coupon date 3]])),
IF('CF USD'!$A$8="on",T_Eq[[#This Row],[Dividend in USD]],T_Eq[[#This Row],[Dividend in Loc.Curr]])
/T_Eq[[#This Row],[Dividends per annum]],0),
"")</f>
        <v>0</v>
      </c>
      <c r="AJ25" s="669">
        <f>IFERROR(IF(
OR(
AJ$1+1-1=MONTH($U25),
AJ$1+1-1=MONTH(T_Eq[[#This Row],[coupon date 1]]),
AJ$1+1-1=MONTH(T_Eq[[#This Row],[coupon date 2]]),
AJ$1+1-1=MONTH(T_Eq[[#This Row],[coupon date 3]])),
IF('CF USD'!$A$8="on",T_Eq[[#This Row],[Dividend in USD]],T_Eq[[#This Row],[Dividend in Loc.Curr]])
/T_Eq[[#This Row],[Dividends per annum]],0),
"")</f>
        <v>0</v>
      </c>
    </row>
    <row r="26" spans="1:36" x14ac:dyDescent="0.25">
      <c r="A26" s="70" t="s">
        <v>51</v>
      </c>
      <c r="B26" s="70" t="s">
        <v>2369</v>
      </c>
      <c r="C26" s="736" t="s">
        <v>2431</v>
      </c>
      <c r="D26" s="672" t="s">
        <v>196</v>
      </c>
      <c r="E26" s="418" t="s">
        <v>18</v>
      </c>
      <c r="F26" s="418" t="s">
        <v>283</v>
      </c>
      <c r="G26" s="418" t="s">
        <v>283</v>
      </c>
      <c r="H26" s="70" t="s">
        <v>2475</v>
      </c>
      <c r="I26" s="678">
        <v>-3600</v>
      </c>
      <c r="J26" s="295">
        <v>7.23</v>
      </c>
      <c r="K26" s="666">
        <f>ABS(T_Eq[[#This Row],[Quantity]]*T_Eq[[#This Row],[Market price]])</f>
        <v>26028</v>
      </c>
      <c r="L26" s="666">
        <f>ABS(INDEX('Tech list'!A:C,MATCH(T_Eq[[#This Row],[Risk CCY]],'Tech list'!A:A,0),3)*T_Eq[[#This Row],[Market value, CCY]])</f>
        <v>26028</v>
      </c>
      <c r="M26" s="679">
        <v>5.429783333333333</v>
      </c>
      <c r="N26" s="666">
        <f>ABS(T_Eq[[#This Row],[Cost price]]*T_Eq[[#This Row],[Quantity]])</f>
        <v>19547.219999999998</v>
      </c>
      <c r="O26" s="213">
        <f>IF(T_Eq[[#This Row],[Quantity]]&lt;0,N26/K26-1,K26/N26-1)</f>
        <v>-0.24899262332872296</v>
      </c>
      <c r="P26" s="669">
        <v>0</v>
      </c>
      <c r="Q26" s="668">
        <f>T_Eq[[#This Row],[Dividend per share]]/T_Eq[[#This Row],[Market price]]</f>
        <v>0</v>
      </c>
      <c r="R26" s="666">
        <f>T_Eq[[#This Row],[Dividend per share]]*T_Eq[[#This Row],[Quantity]]</f>
        <v>0</v>
      </c>
      <c r="S26" s="666">
        <f>INDEX('Tech list'!A:C,MATCH(T_Eq[[#This Row],[Risk CCY]],'Tech list'!A:A,0),3)*T_Eq[[#This Row],[Dividend in Loc.Curr]]</f>
        <v>0</v>
      </c>
      <c r="T26" s="666"/>
      <c r="U26" s="675"/>
      <c r="V26" s="671"/>
      <c r="W26" s="671"/>
      <c r="X26" s="671"/>
      <c r="Y26" s="680" t="str">
        <f>IFERROR(IF(
OR(
Y$1+1-1=MONTH($U26),
Y$1+1-1=MONTH(T_Eq[[#This Row],[coupon date 1]]),
Y$1+1-1=MONTH(T_Eq[[#This Row],[coupon date 2]]),
Y$1+1-1=MONTH(T_Eq[[#This Row],[coupon date 3]])),
IF('CF USD'!$A$8="on",T_Eq[[#This Row],[Dividend in USD]],T_Eq[[#This Row],[Dividend in Loc.Curr]])
/T_Eq[[#This Row],[Dividends per annum]],0),
"")</f>
        <v/>
      </c>
      <c r="Z26" s="669">
        <f>IFERROR(IF(
OR(
Z$1+1-1=MONTH($U26),
Z$1+1-1=MONTH(T_Eq[[#This Row],[coupon date 1]]),
Z$1+1-1=MONTH(T_Eq[[#This Row],[coupon date 2]]),
Z$1+1-1=MONTH(T_Eq[[#This Row],[coupon date 3]])),
IF('CF USD'!$A$8="on",T_Eq[[#This Row],[Dividend in USD]],T_Eq[[#This Row],[Dividend in Loc.Curr]])
/T_Eq[[#This Row],[Dividends per annum]],0),
"")</f>
        <v>0</v>
      </c>
      <c r="AA26" s="669">
        <f>IFERROR(IF(
OR(
AA$1+1-1=MONTH($U26),
AA$1+1-1=MONTH(T_Eq[[#This Row],[coupon date 1]]),
AA$1+1-1=MONTH(T_Eq[[#This Row],[coupon date 2]]),
AA$1+1-1=MONTH(T_Eq[[#This Row],[coupon date 3]])),
IF('CF USD'!$A$8="on",T_Eq[[#This Row],[Dividend in USD]],T_Eq[[#This Row],[Dividend in Loc.Curr]])
/T_Eq[[#This Row],[Dividends per annum]],0),
"")</f>
        <v>0</v>
      </c>
      <c r="AB26" s="669">
        <f>IFERROR(IF(
OR(
AB$1+1-1=MONTH($U26),
AB$1+1-1=MONTH(T_Eq[[#This Row],[coupon date 1]]),
AB$1+1-1=MONTH(T_Eq[[#This Row],[coupon date 2]]),
AB$1+1-1=MONTH(T_Eq[[#This Row],[coupon date 3]])),
IF('CF USD'!$A$8="on",T_Eq[[#This Row],[Dividend in USD]],T_Eq[[#This Row],[Dividend in Loc.Curr]])
/T_Eq[[#This Row],[Dividends per annum]],0),
"")</f>
        <v>0</v>
      </c>
      <c r="AC26" s="669">
        <f>IFERROR(IF(
OR(
AC$1+1-1=MONTH($U26),
AC$1+1-1=MONTH(T_Eq[[#This Row],[coupon date 1]]),
AC$1+1-1=MONTH(T_Eq[[#This Row],[coupon date 2]]),
AC$1+1-1=MONTH(T_Eq[[#This Row],[coupon date 3]])),
IF('CF USD'!$A$8="on",T_Eq[[#This Row],[Dividend in USD]],T_Eq[[#This Row],[Dividend in Loc.Curr]])
/T_Eq[[#This Row],[Dividends per annum]],0),
"")</f>
        <v>0</v>
      </c>
      <c r="AD26" s="669">
        <f>IFERROR(IF(
OR(
AD$1+1-1=MONTH($U26),
AD$1+1-1=MONTH(T_Eq[[#This Row],[coupon date 1]]),
AD$1+1-1=MONTH(T_Eq[[#This Row],[coupon date 2]]),
AD$1+1-1=MONTH(T_Eq[[#This Row],[coupon date 3]])),
IF('CF USD'!$A$8="on",T_Eq[[#This Row],[Dividend in USD]],T_Eq[[#This Row],[Dividend in Loc.Curr]])
/T_Eq[[#This Row],[Dividends per annum]],0),
"")</f>
        <v>0</v>
      </c>
      <c r="AE26" s="669">
        <f>IFERROR(IF(
OR(
AE$1+1-1=MONTH($U26),
AE$1+1-1=MONTH(T_Eq[[#This Row],[coupon date 1]]),
AE$1+1-1=MONTH(T_Eq[[#This Row],[coupon date 2]]),
AE$1+1-1=MONTH(T_Eq[[#This Row],[coupon date 3]])),
IF('CF USD'!$A$8="on",T_Eq[[#This Row],[Dividend in USD]],T_Eq[[#This Row],[Dividend in Loc.Curr]])
/T_Eq[[#This Row],[Dividends per annum]],0),
"")</f>
        <v>0</v>
      </c>
      <c r="AF26" s="669">
        <f>IFERROR(IF(
OR(
AF$1+1-1=MONTH($U26),
AF$1+1-1=MONTH(T_Eq[[#This Row],[coupon date 1]]),
AF$1+1-1=MONTH(T_Eq[[#This Row],[coupon date 2]]),
AF$1+1-1=MONTH(T_Eq[[#This Row],[coupon date 3]])),
IF('CF USD'!$A$8="on",T_Eq[[#This Row],[Dividend in USD]],T_Eq[[#This Row],[Dividend in Loc.Curr]])
/T_Eq[[#This Row],[Dividends per annum]],0),
"")</f>
        <v>0</v>
      </c>
      <c r="AG26" s="669">
        <f>IFERROR(IF(
OR(
AG$1+1-1=MONTH($U26),
AG$1+1-1=MONTH(T_Eq[[#This Row],[coupon date 1]]),
AG$1+1-1=MONTH(T_Eq[[#This Row],[coupon date 2]]),
AG$1+1-1=MONTH(T_Eq[[#This Row],[coupon date 3]])),
IF('CF USD'!$A$8="on",T_Eq[[#This Row],[Dividend in USD]],T_Eq[[#This Row],[Dividend in Loc.Curr]])
/T_Eq[[#This Row],[Dividends per annum]],0),
"")</f>
        <v>0</v>
      </c>
      <c r="AH26" s="669">
        <f>IFERROR(IF(
OR(
AH$1+1-1=MONTH($U26),
AH$1+1-1=MONTH(T_Eq[[#This Row],[coupon date 1]]),
AH$1+1-1=MONTH(T_Eq[[#This Row],[coupon date 2]]),
AH$1+1-1=MONTH(T_Eq[[#This Row],[coupon date 3]])),
IF('CF USD'!$A$8="on",T_Eq[[#This Row],[Dividend in USD]],T_Eq[[#This Row],[Dividend in Loc.Curr]])
/T_Eq[[#This Row],[Dividends per annum]],0),
"")</f>
        <v>0</v>
      </c>
      <c r="AI26" s="669">
        <f>IFERROR(IF(
OR(
AI$1+1-1=MONTH($U26),
AI$1+1-1=MONTH(T_Eq[[#This Row],[coupon date 1]]),
AI$1+1-1=MONTH(T_Eq[[#This Row],[coupon date 2]]),
AI$1+1-1=MONTH(T_Eq[[#This Row],[coupon date 3]])),
IF('CF USD'!$A$8="on",T_Eq[[#This Row],[Dividend in USD]],T_Eq[[#This Row],[Dividend in Loc.Curr]])
/T_Eq[[#This Row],[Dividends per annum]],0),
"")</f>
        <v>0</v>
      </c>
      <c r="AJ26" s="669">
        <f>IFERROR(IF(
OR(
AJ$1+1-1=MONTH($U26),
AJ$1+1-1=MONTH(T_Eq[[#This Row],[coupon date 1]]),
AJ$1+1-1=MONTH(T_Eq[[#This Row],[coupon date 2]]),
AJ$1+1-1=MONTH(T_Eq[[#This Row],[coupon date 3]])),
IF('CF USD'!$A$8="on",T_Eq[[#This Row],[Dividend in USD]],T_Eq[[#This Row],[Dividend in Loc.Curr]])
/T_Eq[[#This Row],[Dividends per annum]],0),
"")</f>
        <v>0</v>
      </c>
    </row>
    <row r="27" spans="1:36" x14ac:dyDescent="0.25">
      <c r="A27" s="70" t="s">
        <v>51</v>
      </c>
      <c r="B27" s="70" t="s">
        <v>195</v>
      </c>
      <c r="C27" s="676" t="s">
        <v>861</v>
      </c>
      <c r="D27" s="418" t="s">
        <v>862</v>
      </c>
      <c r="E27" s="418" t="s">
        <v>19</v>
      </c>
      <c r="F27" s="418" t="s">
        <v>337</v>
      </c>
      <c r="G27" s="418" t="s">
        <v>2496</v>
      </c>
      <c r="H27" s="70" t="s">
        <v>2475</v>
      </c>
      <c r="I27" s="665">
        <v>6500</v>
      </c>
      <c r="J27" s="295">
        <v>27.48</v>
      </c>
      <c r="K27" s="666">
        <f>ABS(T_Eq[[#This Row],[Quantity]]*T_Eq[[#This Row],[Market price]])</f>
        <v>178620</v>
      </c>
      <c r="L27" s="666">
        <f ca="1">ABS(INDEX('Tech list'!A:C,MATCH(T_Eq[[#This Row],[Risk CCY]],'Tech list'!A:A,0),3)*T_Eq[[#This Row],[Market value, CCY]])</f>
        <v>238886.38799999998</v>
      </c>
      <c r="M27" s="667">
        <v>19.22484153846154</v>
      </c>
      <c r="N27" s="666">
        <f>ABS(T_Eq[[#This Row],[Cost price]]*T_Eq[[#This Row],[Quantity]])</f>
        <v>124961.47000000002</v>
      </c>
      <c r="O27" s="213">
        <f>IF(T_Eq[[#This Row],[Quantity]]&lt;0,N27/K27-1,K27/N27-1)</f>
        <v>0.42940059844046319</v>
      </c>
      <c r="P27" s="669">
        <v>1.26</v>
      </c>
      <c r="Q27" s="668">
        <f>T_Eq[[#This Row],[Dividend per share]]/T_Eq[[#This Row],[Market price]]</f>
        <v>4.5851528384279479E-2</v>
      </c>
      <c r="R27" s="666">
        <f>T_Eq[[#This Row],[Dividend per share]]*T_Eq[[#This Row],[Quantity]]</f>
        <v>8190</v>
      </c>
      <c r="S27" s="666">
        <f ca="1">INDEX('Tech list'!A:C,MATCH(T_Eq[[#This Row],[Risk CCY]],'Tech list'!A:A,0),3)*T_Eq[[#This Row],[Dividend in Loc.Curr]]</f>
        <v>10953.305999999999</v>
      </c>
      <c r="T27" s="666">
        <v>2</v>
      </c>
      <c r="U27" s="675">
        <v>45976</v>
      </c>
      <c r="V27" s="671">
        <f>EDATE(T_Eq[[#This Row],[Next coupon date]],12/$T27)</f>
        <v>46157</v>
      </c>
      <c r="W27" s="671">
        <f>EDATE(T_Eq[[#This Row],[coupon date 1]],12/$T27)</f>
        <v>46341</v>
      </c>
      <c r="X27" s="671">
        <f>EDATE(T_Eq[[#This Row],[coupon date 2]],12/$T27)</f>
        <v>46522</v>
      </c>
      <c r="Y27" s="669">
        <f>IFERROR(IF(
OR(
Y$1+1-1=MONTH($U27),
Y$1+1-1=MONTH(T_Eq[[#This Row],[coupon date 1]]),
Y$1+1-1=MONTH(T_Eq[[#This Row],[coupon date 2]]),
Y$1+1-1=MONTH(T_Eq[[#This Row],[coupon date 3]])),
IF('CF USD'!$A$8="on",T_Eq[[#This Row],[Dividend in USD]],T_Eq[[#This Row],[Dividend in Loc.Curr]])
/T_Eq[[#This Row],[Dividends per annum]],0),
"")</f>
        <v>0</v>
      </c>
      <c r="Z27" s="669">
        <f>IFERROR(IF(
OR(
Z$1+1-1=MONTH($U27),
Z$1+1-1=MONTH(T_Eq[[#This Row],[coupon date 1]]),
Z$1+1-1=MONTH(T_Eq[[#This Row],[coupon date 2]]),
Z$1+1-1=MONTH(T_Eq[[#This Row],[coupon date 3]])),
IF('CF USD'!$A$8="on",T_Eq[[#This Row],[Dividend in USD]],T_Eq[[#This Row],[Dividend in Loc.Curr]])
/T_Eq[[#This Row],[Dividends per annum]],0),
"")</f>
        <v>0</v>
      </c>
      <c r="AA27" s="669">
        <f>IFERROR(IF(
OR(
AA$1+1-1=MONTH($U27),
AA$1+1-1=MONTH(T_Eq[[#This Row],[coupon date 1]]),
AA$1+1-1=MONTH(T_Eq[[#This Row],[coupon date 2]]),
AA$1+1-1=MONTH(T_Eq[[#This Row],[coupon date 3]])),
IF('CF USD'!$A$8="on",T_Eq[[#This Row],[Dividend in USD]],T_Eq[[#This Row],[Dividend in Loc.Curr]])
/T_Eq[[#This Row],[Dividends per annum]],0),
"")</f>
        <v>0</v>
      </c>
      <c r="AB27" s="669">
        <f>IFERROR(IF(
OR(
AB$1+1-1=MONTH($U27),
AB$1+1-1=MONTH(T_Eq[[#This Row],[coupon date 1]]),
AB$1+1-1=MONTH(T_Eq[[#This Row],[coupon date 2]]),
AB$1+1-1=MONTH(T_Eq[[#This Row],[coupon date 3]])),
IF('CF USD'!$A$8="on",T_Eq[[#This Row],[Dividend in USD]],T_Eq[[#This Row],[Dividend in Loc.Curr]])
/T_Eq[[#This Row],[Dividends per annum]],0),
"")</f>
        <v>0</v>
      </c>
      <c r="AC27" s="669">
        <f>IFERROR(IF(
OR(
AC$1+1-1=MONTH($U27),
AC$1+1-1=MONTH(T_Eq[[#This Row],[coupon date 1]]),
AC$1+1-1=MONTH(T_Eq[[#This Row],[coupon date 2]]),
AC$1+1-1=MONTH(T_Eq[[#This Row],[coupon date 3]])),
IF('CF USD'!$A$8="on",T_Eq[[#This Row],[Dividend in USD]],T_Eq[[#This Row],[Dividend in Loc.Curr]])
/T_Eq[[#This Row],[Dividends per annum]],0),
"")</f>
        <v>4095</v>
      </c>
      <c r="AD27" s="669">
        <f>IFERROR(IF(
OR(
AD$1+1-1=MONTH($U27),
AD$1+1-1=MONTH(T_Eq[[#This Row],[coupon date 1]]),
AD$1+1-1=MONTH(T_Eq[[#This Row],[coupon date 2]]),
AD$1+1-1=MONTH(T_Eq[[#This Row],[coupon date 3]])),
IF('CF USD'!$A$8="on",T_Eq[[#This Row],[Dividend in USD]],T_Eq[[#This Row],[Dividend in Loc.Curr]])
/T_Eq[[#This Row],[Dividends per annum]],0),
"")</f>
        <v>0</v>
      </c>
      <c r="AE27" s="669">
        <f>IFERROR(IF(
OR(
AE$1+1-1=MONTH($U27),
AE$1+1-1=MONTH(T_Eq[[#This Row],[coupon date 1]]),
AE$1+1-1=MONTH(T_Eq[[#This Row],[coupon date 2]]),
AE$1+1-1=MONTH(T_Eq[[#This Row],[coupon date 3]])),
IF('CF USD'!$A$8="on",T_Eq[[#This Row],[Dividend in USD]],T_Eq[[#This Row],[Dividend in Loc.Curr]])
/T_Eq[[#This Row],[Dividends per annum]],0),
"")</f>
        <v>0</v>
      </c>
      <c r="AF27" s="669">
        <f>IFERROR(IF(
OR(
AF$1+1-1=MONTH($U27),
AF$1+1-1=MONTH(T_Eq[[#This Row],[coupon date 1]]),
AF$1+1-1=MONTH(T_Eq[[#This Row],[coupon date 2]]),
AF$1+1-1=MONTH(T_Eq[[#This Row],[coupon date 3]])),
IF('CF USD'!$A$8="on",T_Eq[[#This Row],[Dividend in USD]],T_Eq[[#This Row],[Dividend in Loc.Curr]])
/T_Eq[[#This Row],[Dividends per annum]],0),
"")</f>
        <v>0</v>
      </c>
      <c r="AG27" s="669">
        <f>IFERROR(IF(
OR(
AG$1+1-1=MONTH($U27),
AG$1+1-1=MONTH(T_Eq[[#This Row],[coupon date 1]]),
AG$1+1-1=MONTH(T_Eq[[#This Row],[coupon date 2]]),
AG$1+1-1=MONTH(T_Eq[[#This Row],[coupon date 3]])),
IF('CF USD'!$A$8="on",T_Eq[[#This Row],[Dividend in USD]],T_Eq[[#This Row],[Dividend in Loc.Curr]])
/T_Eq[[#This Row],[Dividends per annum]],0),
"")</f>
        <v>0</v>
      </c>
      <c r="AH27" s="669">
        <f>IFERROR(IF(
OR(
AH$1+1-1=MONTH($U27),
AH$1+1-1=MONTH(T_Eq[[#This Row],[coupon date 1]]),
AH$1+1-1=MONTH(T_Eq[[#This Row],[coupon date 2]]),
AH$1+1-1=MONTH(T_Eq[[#This Row],[coupon date 3]])),
IF('CF USD'!$A$8="on",T_Eq[[#This Row],[Dividend in USD]],T_Eq[[#This Row],[Dividend in Loc.Curr]])
/T_Eq[[#This Row],[Dividends per annum]],0),
"")</f>
        <v>0</v>
      </c>
      <c r="AI27" s="669">
        <f>IFERROR(IF(
OR(
AI$1+1-1=MONTH($U27),
AI$1+1-1=MONTH(T_Eq[[#This Row],[coupon date 1]]),
AI$1+1-1=MONTH(T_Eq[[#This Row],[coupon date 2]]),
AI$1+1-1=MONTH(T_Eq[[#This Row],[coupon date 3]])),
IF('CF USD'!$A$8="on",T_Eq[[#This Row],[Dividend in USD]],T_Eq[[#This Row],[Dividend in Loc.Curr]])
/T_Eq[[#This Row],[Dividends per annum]],0),
"")</f>
        <v>4095</v>
      </c>
      <c r="AJ27" s="669">
        <f>IFERROR(IF(
OR(
AJ$1+1-1=MONTH($U27),
AJ$1+1-1=MONTH(T_Eq[[#This Row],[coupon date 1]]),
AJ$1+1-1=MONTH(T_Eq[[#This Row],[coupon date 2]]),
AJ$1+1-1=MONTH(T_Eq[[#This Row],[coupon date 3]])),
IF('CF USD'!$A$8="on",T_Eq[[#This Row],[Dividend in USD]],T_Eq[[#This Row],[Dividend in Loc.Curr]])
/T_Eq[[#This Row],[Dividends per annum]],0),
"")</f>
        <v>0</v>
      </c>
    </row>
    <row r="28" spans="1:36" x14ac:dyDescent="0.25">
      <c r="A28" s="70" t="s">
        <v>51</v>
      </c>
      <c r="B28" s="70" t="s">
        <v>195</v>
      </c>
      <c r="C28" s="418" t="s">
        <v>1083</v>
      </c>
      <c r="D28" s="418" t="s">
        <v>1084</v>
      </c>
      <c r="E28" s="418" t="s">
        <v>18</v>
      </c>
      <c r="F28" s="418" t="s">
        <v>283</v>
      </c>
      <c r="G28" s="70" t="s">
        <v>283</v>
      </c>
      <c r="H28" s="70" t="s">
        <v>2475</v>
      </c>
      <c r="I28" s="665">
        <v>3250</v>
      </c>
      <c r="J28" s="295">
        <v>60.3</v>
      </c>
      <c r="K28" s="666">
        <f>ABS(T_Eq[[#This Row],[Quantity]]*T_Eq[[#This Row],[Market price]])</f>
        <v>195975</v>
      </c>
      <c r="L28" s="666">
        <f>ABS(INDEX('Tech list'!A:C,MATCH(T_Eq[[#This Row],[Risk CCY]],'Tech list'!A:A,0),3)*T_Eq[[#This Row],[Market value, CCY]])</f>
        <v>195975</v>
      </c>
      <c r="M28" s="667">
        <v>46.235852307692305</v>
      </c>
      <c r="N28" s="666">
        <f>ABS(T_Eq[[#This Row],[Cost price]]*T_Eq[[#This Row],[Quantity]])</f>
        <v>150266.51999999999</v>
      </c>
      <c r="O28" s="213">
        <f>IF(T_Eq[[#This Row],[Quantity]]&lt;0,N28/K28-1,K28/N28-1)</f>
        <v>0.3041827281286611</v>
      </c>
      <c r="P28" s="682">
        <v>0.62</v>
      </c>
      <c r="Q28" s="683">
        <f>T_Eq[[#This Row],[Dividend per share]]/T_Eq[[#This Row],[Market price]]</f>
        <v>1.0281923714759536E-2</v>
      </c>
      <c r="R28" s="666">
        <f>T_Eq[[#This Row],[Dividend per share]]*T_Eq[[#This Row],[Quantity]]</f>
        <v>2015</v>
      </c>
      <c r="S28" s="666">
        <f>INDEX('Tech list'!A:C,MATCH(T_Eq[[#This Row],[Risk CCY]],'Tech list'!A:A,0),3)*T_Eq[[#This Row],[Dividend in Loc.Curr]]</f>
        <v>2015</v>
      </c>
      <c r="T28" s="666">
        <v>4</v>
      </c>
      <c r="U28" s="675">
        <v>46056</v>
      </c>
      <c r="V28" s="671">
        <f>EDATE(T_Eq[[#This Row],[Next coupon date]],12/$T28)</f>
        <v>46145</v>
      </c>
      <c r="W28" s="671">
        <f>EDATE(T_Eq[[#This Row],[coupon date 1]],12/$T28)</f>
        <v>46237</v>
      </c>
      <c r="X28" s="671">
        <f>EDATE(T_Eq[[#This Row],[coupon date 2]],12/$T28)</f>
        <v>46329</v>
      </c>
      <c r="Y28" s="682">
        <f>IFERROR(IF(
OR(
Y$1+1-1=MONTH($U28),
Y$1+1-1=MONTH(T_Eq[[#This Row],[coupon date 1]]),
Y$1+1-1=MONTH(T_Eq[[#This Row],[coupon date 2]]),
Y$1+1-1=MONTH(T_Eq[[#This Row],[coupon date 3]])),
IF('CF USD'!$A$8="on",T_Eq[[#This Row],[Dividend in USD]],T_Eq[[#This Row],[Dividend in Loc.Curr]])
/T_Eq[[#This Row],[Dividends per annum]],0),
"")</f>
        <v>0</v>
      </c>
      <c r="Z28" s="682">
        <f>IFERROR(IF(
OR(
Z$1+1-1=MONTH($U28),
Z$1+1-1=MONTH(T_Eq[[#This Row],[coupon date 1]]),
Z$1+1-1=MONTH(T_Eq[[#This Row],[coupon date 2]]),
Z$1+1-1=MONTH(T_Eq[[#This Row],[coupon date 3]])),
IF('CF USD'!$A$8="on",T_Eq[[#This Row],[Dividend in USD]],T_Eq[[#This Row],[Dividend in Loc.Curr]])
/T_Eq[[#This Row],[Dividends per annum]],0),
"")</f>
        <v>503.75</v>
      </c>
      <c r="AA28" s="682">
        <f>IFERROR(IF(
OR(
AA$1+1-1=MONTH($U28),
AA$1+1-1=MONTH(T_Eq[[#This Row],[coupon date 1]]),
AA$1+1-1=MONTH(T_Eq[[#This Row],[coupon date 2]]),
AA$1+1-1=MONTH(T_Eq[[#This Row],[coupon date 3]])),
IF('CF USD'!$A$8="on",T_Eq[[#This Row],[Dividend in USD]],T_Eq[[#This Row],[Dividend in Loc.Curr]])
/T_Eq[[#This Row],[Dividends per annum]],0),
"")</f>
        <v>0</v>
      </c>
      <c r="AB28" s="682">
        <f>IFERROR(IF(
OR(
AB$1+1-1=MONTH($U28),
AB$1+1-1=MONTH(T_Eq[[#This Row],[coupon date 1]]),
AB$1+1-1=MONTH(T_Eq[[#This Row],[coupon date 2]]),
AB$1+1-1=MONTH(T_Eq[[#This Row],[coupon date 3]])),
IF('CF USD'!$A$8="on",T_Eq[[#This Row],[Dividend in USD]],T_Eq[[#This Row],[Dividend in Loc.Curr]])
/T_Eq[[#This Row],[Dividends per annum]],0),
"")</f>
        <v>0</v>
      </c>
      <c r="AC28" s="682">
        <f>IFERROR(IF(
OR(
AC$1+1-1=MONTH($U28),
AC$1+1-1=MONTH(T_Eq[[#This Row],[coupon date 1]]),
AC$1+1-1=MONTH(T_Eq[[#This Row],[coupon date 2]]),
AC$1+1-1=MONTH(T_Eq[[#This Row],[coupon date 3]])),
IF('CF USD'!$A$8="on",T_Eq[[#This Row],[Dividend in USD]],T_Eq[[#This Row],[Dividend in Loc.Curr]])
/T_Eq[[#This Row],[Dividends per annum]],0),
"")</f>
        <v>503.75</v>
      </c>
      <c r="AD28" s="682">
        <f>IFERROR(IF(
OR(
AD$1+1-1=MONTH($U28),
AD$1+1-1=MONTH(T_Eq[[#This Row],[coupon date 1]]),
AD$1+1-1=MONTH(T_Eq[[#This Row],[coupon date 2]]),
AD$1+1-1=MONTH(T_Eq[[#This Row],[coupon date 3]])),
IF('CF USD'!$A$8="on",T_Eq[[#This Row],[Dividend in USD]],T_Eq[[#This Row],[Dividend in Loc.Curr]])
/T_Eq[[#This Row],[Dividends per annum]],0),
"")</f>
        <v>0</v>
      </c>
      <c r="AE28" s="682">
        <f>IFERROR(IF(
OR(
AE$1+1-1=MONTH($U28),
AE$1+1-1=MONTH(T_Eq[[#This Row],[coupon date 1]]),
AE$1+1-1=MONTH(T_Eq[[#This Row],[coupon date 2]]),
AE$1+1-1=MONTH(T_Eq[[#This Row],[coupon date 3]])),
IF('CF USD'!$A$8="on",T_Eq[[#This Row],[Dividend in USD]],T_Eq[[#This Row],[Dividend in Loc.Curr]])
/T_Eq[[#This Row],[Dividends per annum]],0),
"")</f>
        <v>0</v>
      </c>
      <c r="AF28" s="682">
        <f>IFERROR(IF(
OR(
AF$1+1-1=MONTH($U28),
AF$1+1-1=MONTH(T_Eq[[#This Row],[coupon date 1]]),
AF$1+1-1=MONTH(T_Eq[[#This Row],[coupon date 2]]),
AF$1+1-1=MONTH(T_Eq[[#This Row],[coupon date 3]])),
IF('CF USD'!$A$8="on",T_Eq[[#This Row],[Dividend in USD]],T_Eq[[#This Row],[Dividend in Loc.Curr]])
/T_Eq[[#This Row],[Dividends per annum]],0),
"")</f>
        <v>503.75</v>
      </c>
      <c r="AG28" s="682">
        <f>IFERROR(IF(
OR(
AG$1+1-1=MONTH($U28),
AG$1+1-1=MONTH(T_Eq[[#This Row],[coupon date 1]]),
AG$1+1-1=MONTH(T_Eq[[#This Row],[coupon date 2]]),
AG$1+1-1=MONTH(T_Eq[[#This Row],[coupon date 3]])),
IF('CF USD'!$A$8="on",T_Eq[[#This Row],[Dividend in USD]],T_Eq[[#This Row],[Dividend in Loc.Curr]])
/T_Eq[[#This Row],[Dividends per annum]],0),
"")</f>
        <v>0</v>
      </c>
      <c r="AH28" s="682">
        <f>IFERROR(IF(
OR(
AH$1+1-1=MONTH($U28),
AH$1+1-1=MONTH(T_Eq[[#This Row],[coupon date 1]]),
AH$1+1-1=MONTH(T_Eq[[#This Row],[coupon date 2]]),
AH$1+1-1=MONTH(T_Eq[[#This Row],[coupon date 3]])),
IF('CF USD'!$A$8="on",T_Eq[[#This Row],[Dividend in USD]],T_Eq[[#This Row],[Dividend in Loc.Curr]])
/T_Eq[[#This Row],[Dividends per annum]],0),
"")</f>
        <v>0</v>
      </c>
      <c r="AI28" s="682">
        <f>IFERROR(IF(
OR(
AI$1+1-1=MONTH($U28),
AI$1+1-1=MONTH(T_Eq[[#This Row],[coupon date 1]]),
AI$1+1-1=MONTH(T_Eq[[#This Row],[coupon date 2]]),
AI$1+1-1=MONTH(T_Eq[[#This Row],[coupon date 3]])),
IF('CF USD'!$A$8="on",T_Eq[[#This Row],[Dividend in USD]],T_Eq[[#This Row],[Dividend in Loc.Curr]])
/T_Eq[[#This Row],[Dividends per annum]],0),
"")</f>
        <v>503.75</v>
      </c>
      <c r="AJ28" s="682">
        <f>IFERROR(IF(
OR(
AJ$1+1-1=MONTH($U28),
AJ$1+1-1=MONTH(T_Eq[[#This Row],[coupon date 1]]),
AJ$1+1-1=MONTH(T_Eq[[#This Row],[coupon date 2]]),
AJ$1+1-1=MONTH(T_Eq[[#This Row],[coupon date 3]])),
IF('CF USD'!$A$8="on",T_Eq[[#This Row],[Dividend in USD]],T_Eq[[#This Row],[Dividend in Loc.Curr]])
/T_Eq[[#This Row],[Dividends per annum]],0),
"")</f>
        <v>0</v>
      </c>
    </row>
    <row r="29" spans="1:36" x14ac:dyDescent="0.25">
      <c r="A29" s="70" t="s">
        <v>51</v>
      </c>
      <c r="B29" s="70" t="s">
        <v>195</v>
      </c>
      <c r="C29" s="676" t="s">
        <v>1057</v>
      </c>
      <c r="D29" s="676" t="s">
        <v>1058</v>
      </c>
      <c r="E29" s="672" t="s">
        <v>18</v>
      </c>
      <c r="F29" s="672" t="s">
        <v>283</v>
      </c>
      <c r="G29" s="418" t="s">
        <v>2496</v>
      </c>
      <c r="H29" s="70" t="s">
        <v>2475</v>
      </c>
      <c r="I29" s="665">
        <v>12950</v>
      </c>
      <c r="J29" s="295">
        <v>62.57</v>
      </c>
      <c r="K29" s="666">
        <f>ABS(T_Eq[[#This Row],[Quantity]]*T_Eq[[#This Row],[Market price]])</f>
        <v>810281.5</v>
      </c>
      <c r="L29" s="666">
        <f>ABS(INDEX('Tech list'!A:C,MATCH(T_Eq[[#This Row],[Risk CCY]],'Tech list'!A:A,0),3)*T_Eq[[#This Row],[Market value, CCY]])</f>
        <v>810281.5</v>
      </c>
      <c r="M29" s="667">
        <v>38.720798455598455</v>
      </c>
      <c r="N29" s="666">
        <f>ABS(T_Eq[[#This Row],[Cost price]]*T_Eq[[#This Row],[Quantity]])</f>
        <v>501434.33999999997</v>
      </c>
      <c r="O29" s="213">
        <f>IF(T_Eq[[#This Row],[Quantity]]&lt;0,N29/K29-1,K29/N29-1)</f>
        <v>0.61592742132499345</v>
      </c>
      <c r="P29" s="669">
        <f>0.075*2</f>
        <v>0.15</v>
      </c>
      <c r="Q29" s="213">
        <f>T_Eq[[#This Row],[Dividend per share]]/T_Eq[[#This Row],[Market price]]</f>
        <v>2.3973150071919451E-3</v>
      </c>
      <c r="R29" s="666">
        <f>T_Eq[[#This Row],[Dividend per share]]*T_Eq[[#This Row],[Quantity]]</f>
        <v>1942.5</v>
      </c>
      <c r="S29" s="666">
        <f>INDEX('Tech list'!A:C,MATCH(T_Eq[[#This Row],[Risk CCY]],'Tech list'!A:A,0),3)*T_Eq[[#This Row],[Dividend in Loc.Curr]]</f>
        <v>1942.5</v>
      </c>
      <c r="T29" s="666">
        <v>4</v>
      </c>
      <c r="U29" s="675">
        <v>45964</v>
      </c>
      <c r="V29" s="671">
        <f>EDATE(T_Eq[[#This Row],[Next coupon date]],12/$T29)</f>
        <v>46056</v>
      </c>
      <c r="W29" s="671">
        <f>EDATE(T_Eq[[#This Row],[coupon date 1]],12/$T29)</f>
        <v>46145</v>
      </c>
      <c r="X29" s="671">
        <f>EDATE(T_Eq[[#This Row],[coupon date 2]],12/$T29)</f>
        <v>46237</v>
      </c>
      <c r="Y29" s="669">
        <f>IFERROR(IF(
OR(
Y$1+1-1=MONTH($U29),
Y$1+1-1=MONTH(T_Eq[[#This Row],[coupon date 1]]),
Y$1+1-1=MONTH(T_Eq[[#This Row],[coupon date 2]]),
Y$1+1-1=MONTH(T_Eq[[#This Row],[coupon date 3]])),
IF('CF USD'!$A$8="on",T_Eq[[#This Row],[Dividend in USD]],T_Eq[[#This Row],[Dividend in Loc.Curr]])
/T_Eq[[#This Row],[Dividends per annum]],0),
"")</f>
        <v>0</v>
      </c>
      <c r="Z29" s="669">
        <f>IFERROR(IF(
OR(
Z$1+1-1=MONTH($U29),
Z$1+1-1=MONTH(T_Eq[[#This Row],[coupon date 1]]),
Z$1+1-1=MONTH(T_Eq[[#This Row],[coupon date 2]]),
Z$1+1-1=MONTH(T_Eq[[#This Row],[coupon date 3]])),
IF('CF USD'!$A$8="on",T_Eq[[#This Row],[Dividend in USD]],T_Eq[[#This Row],[Dividend in Loc.Curr]])
/T_Eq[[#This Row],[Dividends per annum]],0),
"")</f>
        <v>485.625</v>
      </c>
      <c r="AA29" s="669">
        <f>IFERROR(IF(
OR(
AA$1+1-1=MONTH($U29),
AA$1+1-1=MONTH(T_Eq[[#This Row],[coupon date 1]]),
AA$1+1-1=MONTH(T_Eq[[#This Row],[coupon date 2]]),
AA$1+1-1=MONTH(T_Eq[[#This Row],[coupon date 3]])),
IF('CF USD'!$A$8="on",T_Eq[[#This Row],[Dividend in USD]],T_Eq[[#This Row],[Dividend in Loc.Curr]])
/T_Eq[[#This Row],[Dividends per annum]],0),
"")</f>
        <v>0</v>
      </c>
      <c r="AB29" s="669">
        <f>IFERROR(IF(
OR(
AB$1+1-1=MONTH($U29),
AB$1+1-1=MONTH(T_Eq[[#This Row],[coupon date 1]]),
AB$1+1-1=MONTH(T_Eq[[#This Row],[coupon date 2]]),
AB$1+1-1=MONTH(T_Eq[[#This Row],[coupon date 3]])),
IF('CF USD'!$A$8="on",T_Eq[[#This Row],[Dividend in USD]],T_Eq[[#This Row],[Dividend in Loc.Curr]])
/T_Eq[[#This Row],[Dividends per annum]],0),
"")</f>
        <v>0</v>
      </c>
      <c r="AC29" s="669">
        <f>IFERROR(IF(
OR(
AC$1+1-1=MONTH($U29),
AC$1+1-1=MONTH(T_Eq[[#This Row],[coupon date 1]]),
AC$1+1-1=MONTH(T_Eq[[#This Row],[coupon date 2]]),
AC$1+1-1=MONTH(T_Eq[[#This Row],[coupon date 3]])),
IF('CF USD'!$A$8="on",T_Eq[[#This Row],[Dividend in USD]],T_Eq[[#This Row],[Dividend in Loc.Curr]])
/T_Eq[[#This Row],[Dividends per annum]],0),
"")</f>
        <v>485.625</v>
      </c>
      <c r="AD29" s="669">
        <f>IFERROR(IF(
OR(
AD$1+1-1=MONTH($U29),
AD$1+1-1=MONTH(T_Eq[[#This Row],[coupon date 1]]),
AD$1+1-1=MONTH(T_Eq[[#This Row],[coupon date 2]]),
AD$1+1-1=MONTH(T_Eq[[#This Row],[coupon date 3]])),
IF('CF USD'!$A$8="on",T_Eq[[#This Row],[Dividend in USD]],T_Eq[[#This Row],[Dividend in Loc.Curr]])
/T_Eq[[#This Row],[Dividends per annum]],0),
"")</f>
        <v>0</v>
      </c>
      <c r="AE29" s="669">
        <f>IFERROR(IF(
OR(
AE$1+1-1=MONTH($U29),
AE$1+1-1=MONTH(T_Eq[[#This Row],[coupon date 1]]),
AE$1+1-1=MONTH(T_Eq[[#This Row],[coupon date 2]]),
AE$1+1-1=MONTH(T_Eq[[#This Row],[coupon date 3]])),
IF('CF USD'!$A$8="on",T_Eq[[#This Row],[Dividend in USD]],T_Eq[[#This Row],[Dividend in Loc.Curr]])
/T_Eq[[#This Row],[Dividends per annum]],0),
"")</f>
        <v>0</v>
      </c>
      <c r="AF29" s="669">
        <f>IFERROR(IF(
OR(
AF$1+1-1=MONTH($U29),
AF$1+1-1=MONTH(T_Eq[[#This Row],[coupon date 1]]),
AF$1+1-1=MONTH(T_Eq[[#This Row],[coupon date 2]]),
AF$1+1-1=MONTH(T_Eq[[#This Row],[coupon date 3]])),
IF('CF USD'!$A$8="on",T_Eq[[#This Row],[Dividend in USD]],T_Eq[[#This Row],[Dividend in Loc.Curr]])
/T_Eq[[#This Row],[Dividends per annum]],0),
"")</f>
        <v>485.625</v>
      </c>
      <c r="AG29" s="669">
        <f>IFERROR(IF(
OR(
AG$1+1-1=MONTH($U29),
AG$1+1-1=MONTH(T_Eq[[#This Row],[coupon date 1]]),
AG$1+1-1=MONTH(T_Eq[[#This Row],[coupon date 2]]),
AG$1+1-1=MONTH(T_Eq[[#This Row],[coupon date 3]])),
IF('CF USD'!$A$8="on",T_Eq[[#This Row],[Dividend in USD]],T_Eq[[#This Row],[Dividend in Loc.Curr]])
/T_Eq[[#This Row],[Dividends per annum]],0),
"")</f>
        <v>0</v>
      </c>
      <c r="AH29" s="669">
        <f>IFERROR(IF(
OR(
AH$1+1-1=MONTH($U29),
AH$1+1-1=MONTH(T_Eq[[#This Row],[coupon date 1]]),
AH$1+1-1=MONTH(T_Eq[[#This Row],[coupon date 2]]),
AH$1+1-1=MONTH(T_Eq[[#This Row],[coupon date 3]])),
IF('CF USD'!$A$8="on",T_Eq[[#This Row],[Dividend in USD]],T_Eq[[#This Row],[Dividend in Loc.Curr]])
/T_Eq[[#This Row],[Dividends per annum]],0),
"")</f>
        <v>0</v>
      </c>
      <c r="AI29" s="669">
        <f>IFERROR(IF(
OR(
AI$1+1-1=MONTH($U29),
AI$1+1-1=MONTH(T_Eq[[#This Row],[coupon date 1]]),
AI$1+1-1=MONTH(T_Eq[[#This Row],[coupon date 2]]),
AI$1+1-1=MONTH(T_Eq[[#This Row],[coupon date 3]])),
IF('CF USD'!$A$8="on",T_Eq[[#This Row],[Dividend in USD]],T_Eq[[#This Row],[Dividend in Loc.Curr]])
/T_Eq[[#This Row],[Dividends per annum]],0),
"")</f>
        <v>485.625</v>
      </c>
      <c r="AJ29" s="669">
        <f>IFERROR(IF(
OR(
AJ$1+1-1=MONTH($U29),
AJ$1+1-1=MONTH(T_Eq[[#This Row],[coupon date 1]]),
AJ$1+1-1=MONTH(T_Eq[[#This Row],[coupon date 2]]),
AJ$1+1-1=MONTH(T_Eq[[#This Row],[coupon date 3]])),
IF('CF USD'!$A$8="on",T_Eq[[#This Row],[Dividend in USD]],T_Eq[[#This Row],[Dividend in Loc.Curr]])
/T_Eq[[#This Row],[Dividends per annum]],0),
"")</f>
        <v>0</v>
      </c>
    </row>
    <row r="30" spans="1:36" x14ac:dyDescent="0.25">
      <c r="A30" s="70" t="s">
        <v>51</v>
      </c>
      <c r="B30" s="70" t="s">
        <v>195</v>
      </c>
      <c r="C30" s="676" t="s">
        <v>863</v>
      </c>
      <c r="D30" s="418" t="s">
        <v>864</v>
      </c>
      <c r="E30" s="418" t="s">
        <v>19</v>
      </c>
      <c r="F30" s="418" t="s">
        <v>2498</v>
      </c>
      <c r="G30" s="418" t="s">
        <v>2496</v>
      </c>
      <c r="H30" s="70" t="s">
        <v>2475</v>
      </c>
      <c r="I30" s="665">
        <v>37000</v>
      </c>
      <c r="J30" s="295">
        <v>5.05</v>
      </c>
      <c r="K30" s="666">
        <f>ABS(T_Eq[[#This Row],[Quantity]]*T_Eq[[#This Row],[Market price]])</f>
        <v>186850</v>
      </c>
      <c r="L30" s="666">
        <f ca="1">ABS(INDEX('Tech list'!A:C,MATCH(T_Eq[[#This Row],[Risk CCY]],'Tech list'!A:A,0),3)*T_Eq[[#This Row],[Market value, CCY]])</f>
        <v>249893.18999999997</v>
      </c>
      <c r="M30" s="667">
        <v>3.0100881081081079</v>
      </c>
      <c r="N30" s="666">
        <f>ABS(T_Eq[[#This Row],[Cost price]]*T_Eq[[#This Row],[Quantity]])</f>
        <v>111373.26</v>
      </c>
      <c r="O30" s="213">
        <f>IF(T_Eq[[#This Row],[Quantity]]&lt;0,N30/K30-1,K30/N30-1)</f>
        <v>0.67769175473538268</v>
      </c>
      <c r="P30" s="669">
        <f>0.037+0.038</f>
        <v>7.4999999999999997E-2</v>
      </c>
      <c r="Q30" s="668">
        <f>T_Eq[[#This Row],[Dividend per share]]/T_Eq[[#This Row],[Market price]]</f>
        <v>1.4851485148514851E-2</v>
      </c>
      <c r="R30" s="666">
        <f>T_Eq[[#This Row],[Dividend per share]]*T_Eq[[#This Row],[Quantity]]</f>
        <v>2775</v>
      </c>
      <c r="S30" s="666">
        <f ca="1">INDEX('Tech list'!A:C,MATCH(T_Eq[[#This Row],[Risk CCY]],'Tech list'!A:A,0),3)*T_Eq[[#This Row],[Dividend in Loc.Curr]]</f>
        <v>3711.2849999999999</v>
      </c>
      <c r="T30" s="666">
        <v>2</v>
      </c>
      <c r="U30" s="675">
        <v>45945</v>
      </c>
      <c r="V30" s="671">
        <f>EDATE(T_Eq[[#This Row],[Next coupon date]],12/$T30)</f>
        <v>46127</v>
      </c>
      <c r="W30" s="671">
        <f>EDATE(T_Eq[[#This Row],[coupon date 1]],12/$T30)</f>
        <v>46310</v>
      </c>
      <c r="X30" s="671">
        <f>EDATE(T_Eq[[#This Row],[coupon date 2]],12/$T30)</f>
        <v>46492</v>
      </c>
      <c r="Y30" s="669">
        <f>IFERROR(IF(
OR(
Y$1+1-1=MONTH($U30),
Y$1+1-1=MONTH(T_Eq[[#This Row],[coupon date 1]]),
Y$1+1-1=MONTH(T_Eq[[#This Row],[coupon date 2]]),
Y$1+1-1=MONTH(T_Eq[[#This Row],[coupon date 3]])),
IF('CF USD'!$A$8="on",T_Eq[[#This Row],[Dividend in USD]],T_Eq[[#This Row],[Dividend in Loc.Curr]])
/T_Eq[[#This Row],[Dividends per annum]],0),
"")</f>
        <v>0</v>
      </c>
      <c r="Z30" s="669">
        <f>IFERROR(IF(
OR(
Z$1+1-1=MONTH($U30),
Z$1+1-1=MONTH(T_Eq[[#This Row],[coupon date 1]]),
Z$1+1-1=MONTH(T_Eq[[#This Row],[coupon date 2]]),
Z$1+1-1=MONTH(T_Eq[[#This Row],[coupon date 3]])),
IF('CF USD'!$A$8="on",T_Eq[[#This Row],[Dividend in USD]],T_Eq[[#This Row],[Dividend in Loc.Curr]])
/T_Eq[[#This Row],[Dividends per annum]],0),
"")</f>
        <v>0</v>
      </c>
      <c r="AA30" s="669">
        <f>IFERROR(IF(
OR(
AA$1+1-1=MONTH($U30),
AA$1+1-1=MONTH(T_Eq[[#This Row],[coupon date 1]]),
AA$1+1-1=MONTH(T_Eq[[#This Row],[coupon date 2]]),
AA$1+1-1=MONTH(T_Eq[[#This Row],[coupon date 3]])),
IF('CF USD'!$A$8="on",T_Eq[[#This Row],[Dividend in USD]],T_Eq[[#This Row],[Dividend in Loc.Curr]])
/T_Eq[[#This Row],[Dividends per annum]],0),
"")</f>
        <v>0</v>
      </c>
      <c r="AB30" s="669">
        <f>IFERROR(IF(
OR(
AB$1+1-1=MONTH($U30),
AB$1+1-1=MONTH(T_Eq[[#This Row],[coupon date 1]]),
AB$1+1-1=MONTH(T_Eq[[#This Row],[coupon date 2]]),
AB$1+1-1=MONTH(T_Eq[[#This Row],[coupon date 3]])),
IF('CF USD'!$A$8="on",T_Eq[[#This Row],[Dividend in USD]],T_Eq[[#This Row],[Dividend in Loc.Curr]])
/T_Eq[[#This Row],[Dividends per annum]],0),
"")</f>
        <v>1387.5</v>
      </c>
      <c r="AC30" s="669">
        <f>IFERROR(IF(
OR(
AC$1+1-1=MONTH($U30),
AC$1+1-1=MONTH(T_Eq[[#This Row],[coupon date 1]]),
AC$1+1-1=MONTH(T_Eq[[#This Row],[coupon date 2]]),
AC$1+1-1=MONTH(T_Eq[[#This Row],[coupon date 3]])),
IF('CF USD'!$A$8="on",T_Eq[[#This Row],[Dividend in USD]],T_Eq[[#This Row],[Dividend in Loc.Curr]])
/T_Eq[[#This Row],[Dividends per annum]],0),
"")</f>
        <v>0</v>
      </c>
      <c r="AD30" s="669">
        <f>IFERROR(IF(
OR(
AD$1+1-1=MONTH($U30),
AD$1+1-1=MONTH(T_Eq[[#This Row],[coupon date 1]]),
AD$1+1-1=MONTH(T_Eq[[#This Row],[coupon date 2]]),
AD$1+1-1=MONTH(T_Eq[[#This Row],[coupon date 3]])),
IF('CF USD'!$A$8="on",T_Eq[[#This Row],[Dividend in USD]],T_Eq[[#This Row],[Dividend in Loc.Curr]])
/T_Eq[[#This Row],[Dividends per annum]],0),
"")</f>
        <v>0</v>
      </c>
      <c r="AE30" s="669">
        <f>IFERROR(IF(
OR(
AE$1+1-1=MONTH($U30),
AE$1+1-1=MONTH(T_Eq[[#This Row],[coupon date 1]]),
AE$1+1-1=MONTH(T_Eq[[#This Row],[coupon date 2]]),
AE$1+1-1=MONTH(T_Eq[[#This Row],[coupon date 3]])),
IF('CF USD'!$A$8="on",T_Eq[[#This Row],[Dividend in USD]],T_Eq[[#This Row],[Dividend in Loc.Curr]])
/T_Eq[[#This Row],[Dividends per annum]],0),
"")</f>
        <v>0</v>
      </c>
      <c r="AF30" s="669">
        <f>IFERROR(IF(
OR(
AF$1+1-1=MONTH($U30),
AF$1+1-1=MONTH(T_Eq[[#This Row],[coupon date 1]]),
AF$1+1-1=MONTH(T_Eq[[#This Row],[coupon date 2]]),
AF$1+1-1=MONTH(T_Eq[[#This Row],[coupon date 3]])),
IF('CF USD'!$A$8="on",T_Eq[[#This Row],[Dividend in USD]],T_Eq[[#This Row],[Dividend in Loc.Curr]])
/T_Eq[[#This Row],[Dividends per annum]],0),
"")</f>
        <v>0</v>
      </c>
      <c r="AG30" s="669">
        <f>IFERROR(IF(
OR(
AG$1+1-1=MONTH($U30),
AG$1+1-1=MONTH(T_Eq[[#This Row],[coupon date 1]]),
AG$1+1-1=MONTH(T_Eq[[#This Row],[coupon date 2]]),
AG$1+1-1=MONTH(T_Eq[[#This Row],[coupon date 3]])),
IF('CF USD'!$A$8="on",T_Eq[[#This Row],[Dividend in USD]],T_Eq[[#This Row],[Dividend in Loc.Curr]])
/T_Eq[[#This Row],[Dividends per annum]],0),
"")</f>
        <v>0</v>
      </c>
      <c r="AH30" s="669">
        <f>IFERROR(IF(
OR(
AH$1+1-1=MONTH($U30),
AH$1+1-1=MONTH(T_Eq[[#This Row],[coupon date 1]]),
AH$1+1-1=MONTH(T_Eq[[#This Row],[coupon date 2]]),
AH$1+1-1=MONTH(T_Eq[[#This Row],[coupon date 3]])),
IF('CF USD'!$A$8="on",T_Eq[[#This Row],[Dividend in USD]],T_Eq[[#This Row],[Dividend in Loc.Curr]])
/T_Eq[[#This Row],[Dividends per annum]],0),
"")</f>
        <v>1387.5</v>
      </c>
      <c r="AI30" s="669">
        <f>IFERROR(IF(
OR(
AI$1+1-1=MONTH($U30),
AI$1+1-1=MONTH(T_Eq[[#This Row],[coupon date 1]]),
AI$1+1-1=MONTH(T_Eq[[#This Row],[coupon date 2]]),
AI$1+1-1=MONTH(T_Eq[[#This Row],[coupon date 3]])),
IF('CF USD'!$A$8="on",T_Eq[[#This Row],[Dividend in USD]],T_Eq[[#This Row],[Dividend in Loc.Curr]])
/T_Eq[[#This Row],[Dividends per annum]],0),
"")</f>
        <v>0</v>
      </c>
      <c r="AJ30" s="669">
        <f>IFERROR(IF(
OR(
AJ$1+1-1=MONTH($U30),
AJ$1+1-1=MONTH(T_Eq[[#This Row],[coupon date 1]]),
AJ$1+1-1=MONTH(T_Eq[[#This Row],[coupon date 2]]),
AJ$1+1-1=MONTH(T_Eq[[#This Row],[coupon date 3]])),
IF('CF USD'!$A$8="on",T_Eq[[#This Row],[Dividend in USD]],T_Eq[[#This Row],[Dividend in Loc.Curr]])
/T_Eq[[#This Row],[Dividends per annum]],0),
"")</f>
        <v>0</v>
      </c>
    </row>
    <row r="31" spans="1:36" x14ac:dyDescent="0.25">
      <c r="A31" s="70" t="s">
        <v>51</v>
      </c>
      <c r="B31" s="70" t="s">
        <v>195</v>
      </c>
      <c r="C31" s="418" t="s">
        <v>1085</v>
      </c>
      <c r="D31" s="418" t="s">
        <v>1086</v>
      </c>
      <c r="E31" s="418" t="s">
        <v>18</v>
      </c>
      <c r="F31" s="418" t="s">
        <v>283</v>
      </c>
      <c r="G31" s="70" t="s">
        <v>2475</v>
      </c>
      <c r="H31" s="70" t="s">
        <v>2475</v>
      </c>
      <c r="I31" s="665">
        <v>1700</v>
      </c>
      <c r="J31" s="295">
        <v>121.86</v>
      </c>
      <c r="K31" s="666">
        <f>ABS(T_Eq[[#This Row],[Quantity]]*T_Eq[[#This Row],[Market price]])</f>
        <v>207162</v>
      </c>
      <c r="L31" s="666">
        <f>ABS(INDEX('Tech list'!A:C,MATCH(T_Eq[[#This Row],[Risk CCY]],'Tech list'!A:A,0),3)*T_Eq[[#This Row],[Market value, CCY]])</f>
        <v>207162</v>
      </c>
      <c r="M31" s="667">
        <v>88.357841176470586</v>
      </c>
      <c r="N31" s="666">
        <f>ABS(T_Eq[[#This Row],[Cost price]]*T_Eq[[#This Row],[Quantity]])</f>
        <v>150208.32999999999</v>
      </c>
      <c r="O31" s="213">
        <f>IF(T_Eq[[#This Row],[Quantity]]&lt;0,N31/K31-1,K31/N31-1)</f>
        <v>0.3791645243642614</v>
      </c>
      <c r="P31" s="682">
        <v>0.81</v>
      </c>
      <c r="Q31" s="683">
        <f>T_Eq[[#This Row],[Dividend per share]]/T_Eq[[#This Row],[Market price]]</f>
        <v>6.6469719350073864E-3</v>
      </c>
      <c r="R31" s="666">
        <f>T_Eq[[#This Row],[Dividend per share]]*T_Eq[[#This Row],[Quantity]]</f>
        <v>1377</v>
      </c>
      <c r="S31" s="666">
        <f>INDEX('Tech list'!A:C,MATCH(T_Eq[[#This Row],[Risk CCY]],'Tech list'!A:A,0),3)*T_Eq[[#This Row],[Dividend in Loc.Curr]]</f>
        <v>1377</v>
      </c>
      <c r="T31" s="666">
        <v>4</v>
      </c>
      <c r="U31" s="675">
        <v>46030</v>
      </c>
      <c r="V31" s="671">
        <f>EDATE(T_Eq[[#This Row],[Next coupon date]],12/$T31)</f>
        <v>46120</v>
      </c>
      <c r="W31" s="671">
        <f>EDATE(T_Eq[[#This Row],[coupon date 1]],12/$T31)</f>
        <v>46211</v>
      </c>
      <c r="X31" s="671">
        <f>EDATE(T_Eq[[#This Row],[coupon date 2]],12/$T31)</f>
        <v>46303</v>
      </c>
      <c r="Y31" s="682">
        <f>IFERROR(IF(
OR(
Y$1+1-1=MONTH($U31),
Y$1+1-1=MONTH(T_Eq[[#This Row],[coupon date 1]]),
Y$1+1-1=MONTH(T_Eq[[#This Row],[coupon date 2]]),
Y$1+1-1=MONTH(T_Eq[[#This Row],[coupon date 3]])),
IF('CF USD'!$A$8="on",T_Eq[[#This Row],[Dividend in USD]],T_Eq[[#This Row],[Dividend in Loc.Curr]])
/T_Eq[[#This Row],[Dividends per annum]],0),
"")</f>
        <v>344.25</v>
      </c>
      <c r="Z31" s="682">
        <f>IFERROR(IF(
OR(
Z$1+1-1=MONTH($U31),
Z$1+1-1=MONTH(T_Eq[[#This Row],[coupon date 1]]),
Z$1+1-1=MONTH(T_Eq[[#This Row],[coupon date 2]]),
Z$1+1-1=MONTH(T_Eq[[#This Row],[coupon date 3]])),
IF('CF USD'!$A$8="on",T_Eq[[#This Row],[Dividend in USD]],T_Eq[[#This Row],[Dividend in Loc.Curr]])
/T_Eq[[#This Row],[Dividends per annum]],0),
"")</f>
        <v>0</v>
      </c>
      <c r="AA31" s="682">
        <f>IFERROR(IF(
OR(
AA$1+1-1=MONTH($U31),
AA$1+1-1=MONTH(T_Eq[[#This Row],[coupon date 1]]),
AA$1+1-1=MONTH(T_Eq[[#This Row],[coupon date 2]]),
AA$1+1-1=MONTH(T_Eq[[#This Row],[coupon date 3]])),
IF('CF USD'!$A$8="on",T_Eq[[#This Row],[Dividend in USD]],T_Eq[[#This Row],[Dividend in Loc.Curr]])
/T_Eq[[#This Row],[Dividends per annum]],0),
"")</f>
        <v>0</v>
      </c>
      <c r="AB31" s="682">
        <f>IFERROR(IF(
OR(
AB$1+1-1=MONTH($U31),
AB$1+1-1=MONTH(T_Eq[[#This Row],[coupon date 1]]),
AB$1+1-1=MONTH(T_Eq[[#This Row],[coupon date 2]]),
AB$1+1-1=MONTH(T_Eq[[#This Row],[coupon date 3]])),
IF('CF USD'!$A$8="on",T_Eq[[#This Row],[Dividend in USD]],T_Eq[[#This Row],[Dividend in Loc.Curr]])
/T_Eq[[#This Row],[Dividends per annum]],0),
"")</f>
        <v>344.25</v>
      </c>
      <c r="AC31" s="682">
        <f>IFERROR(IF(
OR(
AC$1+1-1=MONTH($U31),
AC$1+1-1=MONTH(T_Eq[[#This Row],[coupon date 1]]),
AC$1+1-1=MONTH(T_Eq[[#This Row],[coupon date 2]]),
AC$1+1-1=MONTH(T_Eq[[#This Row],[coupon date 3]])),
IF('CF USD'!$A$8="on",T_Eq[[#This Row],[Dividend in USD]],T_Eq[[#This Row],[Dividend in Loc.Curr]])
/T_Eq[[#This Row],[Dividends per annum]],0),
"")</f>
        <v>0</v>
      </c>
      <c r="AD31" s="682">
        <f>IFERROR(IF(
OR(
AD$1+1-1=MONTH($U31),
AD$1+1-1=MONTH(T_Eq[[#This Row],[coupon date 1]]),
AD$1+1-1=MONTH(T_Eq[[#This Row],[coupon date 2]]),
AD$1+1-1=MONTH(T_Eq[[#This Row],[coupon date 3]])),
IF('CF USD'!$A$8="on",T_Eq[[#This Row],[Dividend in USD]],T_Eq[[#This Row],[Dividend in Loc.Curr]])
/T_Eq[[#This Row],[Dividends per annum]],0),
"")</f>
        <v>0</v>
      </c>
      <c r="AE31" s="682">
        <f>IFERROR(IF(
OR(
AE$1+1-1=MONTH($U31),
AE$1+1-1=MONTH(T_Eq[[#This Row],[coupon date 1]]),
AE$1+1-1=MONTH(T_Eq[[#This Row],[coupon date 2]]),
AE$1+1-1=MONTH(T_Eq[[#This Row],[coupon date 3]])),
IF('CF USD'!$A$8="on",T_Eq[[#This Row],[Dividend in USD]],T_Eq[[#This Row],[Dividend in Loc.Curr]])
/T_Eq[[#This Row],[Dividends per annum]],0),
"")</f>
        <v>344.25</v>
      </c>
      <c r="AF31" s="682">
        <f>IFERROR(IF(
OR(
AF$1+1-1=MONTH($U31),
AF$1+1-1=MONTH(T_Eq[[#This Row],[coupon date 1]]),
AF$1+1-1=MONTH(T_Eq[[#This Row],[coupon date 2]]),
AF$1+1-1=MONTH(T_Eq[[#This Row],[coupon date 3]])),
IF('CF USD'!$A$8="on",T_Eq[[#This Row],[Dividend in USD]],T_Eq[[#This Row],[Dividend in Loc.Curr]])
/T_Eq[[#This Row],[Dividends per annum]],0),
"")</f>
        <v>0</v>
      </c>
      <c r="AG31" s="682">
        <f>IFERROR(IF(
OR(
AG$1+1-1=MONTH($U31),
AG$1+1-1=MONTH(T_Eq[[#This Row],[coupon date 1]]),
AG$1+1-1=MONTH(T_Eq[[#This Row],[coupon date 2]]),
AG$1+1-1=MONTH(T_Eq[[#This Row],[coupon date 3]])),
IF('CF USD'!$A$8="on",T_Eq[[#This Row],[Dividend in USD]],T_Eq[[#This Row],[Dividend in Loc.Curr]])
/T_Eq[[#This Row],[Dividends per annum]],0),
"")</f>
        <v>0</v>
      </c>
      <c r="AH31" s="682">
        <f>IFERROR(IF(
OR(
AH$1+1-1=MONTH($U31),
AH$1+1-1=MONTH(T_Eq[[#This Row],[coupon date 1]]),
AH$1+1-1=MONTH(T_Eq[[#This Row],[coupon date 2]]),
AH$1+1-1=MONTH(T_Eq[[#This Row],[coupon date 3]])),
IF('CF USD'!$A$8="on",T_Eq[[#This Row],[Dividend in USD]],T_Eq[[#This Row],[Dividend in Loc.Curr]])
/T_Eq[[#This Row],[Dividends per annum]],0),
"")</f>
        <v>344.25</v>
      </c>
      <c r="AI31" s="682">
        <f>IFERROR(IF(
OR(
AI$1+1-1=MONTH($U31),
AI$1+1-1=MONTH(T_Eq[[#This Row],[coupon date 1]]),
AI$1+1-1=MONTH(T_Eq[[#This Row],[coupon date 2]]),
AI$1+1-1=MONTH(T_Eq[[#This Row],[coupon date 3]])),
IF('CF USD'!$A$8="on",T_Eq[[#This Row],[Dividend in USD]],T_Eq[[#This Row],[Dividend in Loc.Curr]])
/T_Eq[[#This Row],[Dividends per annum]],0),
"")</f>
        <v>0</v>
      </c>
      <c r="AJ31" s="682">
        <f>IFERROR(IF(
OR(
AJ$1+1-1=MONTH($U31),
AJ$1+1-1=MONTH(T_Eq[[#This Row],[coupon date 1]]),
AJ$1+1-1=MONTH(T_Eq[[#This Row],[coupon date 2]]),
AJ$1+1-1=MONTH(T_Eq[[#This Row],[coupon date 3]])),
IF('CF USD'!$A$8="on",T_Eq[[#This Row],[Dividend in USD]],T_Eq[[#This Row],[Dividend in Loc.Curr]])
/T_Eq[[#This Row],[Dividends per annum]],0),
"")</f>
        <v>0</v>
      </c>
    </row>
    <row r="32" spans="1:36" x14ac:dyDescent="0.25">
      <c r="A32" s="70" t="s">
        <v>51</v>
      </c>
      <c r="B32" s="70" t="s">
        <v>195</v>
      </c>
      <c r="C32" s="418" t="s">
        <v>1087</v>
      </c>
      <c r="D32" s="418" t="s">
        <v>1088</v>
      </c>
      <c r="E32" s="418" t="s">
        <v>18</v>
      </c>
      <c r="F32" s="418" t="s">
        <v>283</v>
      </c>
      <c r="G32" s="418"/>
      <c r="H32" s="70" t="s">
        <v>2475</v>
      </c>
      <c r="I32" s="665">
        <v>12105</v>
      </c>
      <c r="J32" s="295">
        <v>26.86</v>
      </c>
      <c r="K32" s="666">
        <f>ABS(T_Eq[[#This Row],[Quantity]]*T_Eq[[#This Row],[Market price]])</f>
        <v>325140.3</v>
      </c>
      <c r="L32" s="666">
        <f>ABS(INDEX('Tech list'!A:C,MATCH(T_Eq[[#This Row],[Risk CCY]],'Tech list'!A:A,0),3)*T_Eq[[#This Row],[Market value, CCY]])</f>
        <v>325140.3</v>
      </c>
      <c r="M32" s="667">
        <v>24.789320115654689</v>
      </c>
      <c r="N32" s="666">
        <f>ABS(T_Eq[[#This Row],[Cost price]]*T_Eq[[#This Row],[Quantity]])</f>
        <v>300074.72000000003</v>
      </c>
      <c r="O32" s="213">
        <f>IF(T_Eq[[#This Row],[Quantity]]&lt;0,N32/K32-1,K32/N32-1)</f>
        <v>8.3531128513591346E-2</v>
      </c>
      <c r="P32" s="682">
        <v>0.43</v>
      </c>
      <c r="Q32" s="683">
        <f>T_Eq[[#This Row],[Dividend per share]]/T_Eq[[#This Row],[Market price]]</f>
        <v>1.6008935219657482E-2</v>
      </c>
      <c r="R32" s="666">
        <f>T_Eq[[#This Row],[Dividend per share]]*T_Eq[[#This Row],[Quantity]]</f>
        <v>5205.1499999999996</v>
      </c>
      <c r="S32" s="666">
        <f>INDEX('Tech list'!A:C,MATCH(T_Eq[[#This Row],[Risk CCY]],'Tech list'!A:A,0),3)*T_Eq[[#This Row],[Dividend in Loc.Curr]]</f>
        <v>5205.1499999999996</v>
      </c>
      <c r="T32" s="666">
        <v>4</v>
      </c>
      <c r="U32" s="675">
        <v>46086</v>
      </c>
      <c r="V32" s="671">
        <f>EDATE(T_Eq[[#This Row],[Next coupon date]],12/$T32)</f>
        <v>46178</v>
      </c>
      <c r="W32" s="671">
        <f>EDATE(T_Eq[[#This Row],[coupon date 1]],12/$T32)</f>
        <v>46270</v>
      </c>
      <c r="X32" s="671">
        <f>EDATE(T_Eq[[#This Row],[coupon date 2]],12/$T32)</f>
        <v>46361</v>
      </c>
      <c r="Y32" s="682">
        <f>IFERROR(IF(
OR(
Y$1+1-1=MONTH($U32),
Y$1+1-1=MONTH(T_Eq[[#This Row],[coupon date 1]]),
Y$1+1-1=MONTH(T_Eq[[#This Row],[coupon date 2]]),
Y$1+1-1=MONTH(T_Eq[[#This Row],[coupon date 3]])),
IF('CF USD'!$A$8="on",T_Eq[[#This Row],[Dividend in USD]],T_Eq[[#This Row],[Dividend in Loc.Curr]])
/T_Eq[[#This Row],[Dividends per annum]],0),
"")</f>
        <v>0</v>
      </c>
      <c r="Z32" s="682">
        <f>IFERROR(IF(
OR(
Z$1+1-1=MONTH($U32),
Z$1+1-1=MONTH(T_Eq[[#This Row],[coupon date 1]]),
Z$1+1-1=MONTH(T_Eq[[#This Row],[coupon date 2]]),
Z$1+1-1=MONTH(T_Eq[[#This Row],[coupon date 3]])),
IF('CF USD'!$A$8="on",T_Eq[[#This Row],[Dividend in USD]],T_Eq[[#This Row],[Dividend in Loc.Curr]])
/T_Eq[[#This Row],[Dividends per annum]],0),
"")</f>
        <v>0</v>
      </c>
      <c r="AA32" s="682">
        <f>IFERROR(IF(
OR(
AA$1+1-1=MONTH($U32),
AA$1+1-1=MONTH(T_Eq[[#This Row],[coupon date 1]]),
AA$1+1-1=MONTH(T_Eq[[#This Row],[coupon date 2]]),
AA$1+1-1=MONTH(T_Eq[[#This Row],[coupon date 3]])),
IF('CF USD'!$A$8="on",T_Eq[[#This Row],[Dividend in USD]],T_Eq[[#This Row],[Dividend in Loc.Curr]])
/T_Eq[[#This Row],[Dividends per annum]],0),
"")</f>
        <v>1301.2874999999999</v>
      </c>
      <c r="AB32" s="682">
        <f>IFERROR(IF(
OR(
AB$1+1-1=MONTH($U32),
AB$1+1-1=MONTH(T_Eq[[#This Row],[coupon date 1]]),
AB$1+1-1=MONTH(T_Eq[[#This Row],[coupon date 2]]),
AB$1+1-1=MONTH(T_Eq[[#This Row],[coupon date 3]])),
IF('CF USD'!$A$8="on",T_Eq[[#This Row],[Dividend in USD]],T_Eq[[#This Row],[Dividend in Loc.Curr]])
/T_Eq[[#This Row],[Dividends per annum]],0),
"")</f>
        <v>0</v>
      </c>
      <c r="AC32" s="682">
        <f>IFERROR(IF(
OR(
AC$1+1-1=MONTH($U32),
AC$1+1-1=MONTH(T_Eq[[#This Row],[coupon date 1]]),
AC$1+1-1=MONTH(T_Eq[[#This Row],[coupon date 2]]),
AC$1+1-1=MONTH(T_Eq[[#This Row],[coupon date 3]])),
IF('CF USD'!$A$8="on",T_Eq[[#This Row],[Dividend in USD]],T_Eq[[#This Row],[Dividend in Loc.Curr]])
/T_Eq[[#This Row],[Dividends per annum]],0),
"")</f>
        <v>0</v>
      </c>
      <c r="AD32" s="682">
        <f>IFERROR(IF(
OR(
AD$1+1-1=MONTH($U32),
AD$1+1-1=MONTH(T_Eq[[#This Row],[coupon date 1]]),
AD$1+1-1=MONTH(T_Eq[[#This Row],[coupon date 2]]),
AD$1+1-1=MONTH(T_Eq[[#This Row],[coupon date 3]])),
IF('CF USD'!$A$8="on",T_Eq[[#This Row],[Dividend in USD]],T_Eq[[#This Row],[Dividend in Loc.Curr]])
/T_Eq[[#This Row],[Dividends per annum]],0),
"")</f>
        <v>1301.2874999999999</v>
      </c>
      <c r="AE32" s="682">
        <f>IFERROR(IF(
OR(
AE$1+1-1=MONTH($U32),
AE$1+1-1=MONTH(T_Eq[[#This Row],[coupon date 1]]),
AE$1+1-1=MONTH(T_Eq[[#This Row],[coupon date 2]]),
AE$1+1-1=MONTH(T_Eq[[#This Row],[coupon date 3]])),
IF('CF USD'!$A$8="on",T_Eq[[#This Row],[Dividend in USD]],T_Eq[[#This Row],[Dividend in Loc.Curr]])
/T_Eq[[#This Row],[Dividends per annum]],0),
"")</f>
        <v>0</v>
      </c>
      <c r="AF32" s="682">
        <f>IFERROR(IF(
OR(
AF$1+1-1=MONTH($U32),
AF$1+1-1=MONTH(T_Eq[[#This Row],[coupon date 1]]),
AF$1+1-1=MONTH(T_Eq[[#This Row],[coupon date 2]]),
AF$1+1-1=MONTH(T_Eq[[#This Row],[coupon date 3]])),
IF('CF USD'!$A$8="on",T_Eq[[#This Row],[Dividend in USD]],T_Eq[[#This Row],[Dividend in Loc.Curr]])
/T_Eq[[#This Row],[Dividends per annum]],0),
"")</f>
        <v>0</v>
      </c>
      <c r="AG32" s="682">
        <f>IFERROR(IF(
OR(
AG$1+1-1=MONTH($U32),
AG$1+1-1=MONTH(T_Eq[[#This Row],[coupon date 1]]),
AG$1+1-1=MONTH(T_Eq[[#This Row],[coupon date 2]]),
AG$1+1-1=MONTH(T_Eq[[#This Row],[coupon date 3]])),
IF('CF USD'!$A$8="on",T_Eq[[#This Row],[Dividend in USD]],T_Eq[[#This Row],[Dividend in Loc.Curr]])
/T_Eq[[#This Row],[Dividends per annum]],0),
"")</f>
        <v>1301.2874999999999</v>
      </c>
      <c r="AH32" s="682">
        <f>IFERROR(IF(
OR(
AH$1+1-1=MONTH($U32),
AH$1+1-1=MONTH(T_Eq[[#This Row],[coupon date 1]]),
AH$1+1-1=MONTH(T_Eq[[#This Row],[coupon date 2]]),
AH$1+1-1=MONTH(T_Eq[[#This Row],[coupon date 3]])),
IF('CF USD'!$A$8="on",T_Eq[[#This Row],[Dividend in USD]],T_Eq[[#This Row],[Dividend in Loc.Curr]])
/T_Eq[[#This Row],[Dividends per annum]],0),
"")</f>
        <v>0</v>
      </c>
      <c r="AI32" s="682">
        <f>IFERROR(IF(
OR(
AI$1+1-1=MONTH($U32),
AI$1+1-1=MONTH(T_Eq[[#This Row],[coupon date 1]]),
AI$1+1-1=MONTH(T_Eq[[#This Row],[coupon date 2]]),
AI$1+1-1=MONTH(T_Eq[[#This Row],[coupon date 3]])),
IF('CF USD'!$A$8="on",T_Eq[[#This Row],[Dividend in USD]],T_Eq[[#This Row],[Dividend in Loc.Curr]])
/T_Eq[[#This Row],[Dividends per annum]],0),
"")</f>
        <v>0</v>
      </c>
      <c r="AJ32" s="682">
        <f>IFERROR(IF(
OR(
AJ$1+1-1=MONTH($U32),
AJ$1+1-1=MONTH(T_Eq[[#This Row],[coupon date 1]]),
AJ$1+1-1=MONTH(T_Eq[[#This Row],[coupon date 2]]),
AJ$1+1-1=MONTH(T_Eq[[#This Row],[coupon date 3]])),
IF('CF USD'!$A$8="on",T_Eq[[#This Row],[Dividend in USD]],T_Eq[[#This Row],[Dividend in Loc.Curr]])
/T_Eq[[#This Row],[Dividends per annum]],0),
"")</f>
        <v>1301.2874999999999</v>
      </c>
    </row>
    <row r="33" spans="1:36" x14ac:dyDescent="0.25">
      <c r="A33" s="70" t="s">
        <v>51</v>
      </c>
      <c r="B33" s="70" t="s">
        <v>195</v>
      </c>
      <c r="C33" s="676" t="s">
        <v>865</v>
      </c>
      <c r="D33" s="418" t="s">
        <v>866</v>
      </c>
      <c r="E33" s="418" t="s">
        <v>19</v>
      </c>
      <c r="F33" s="418" t="s">
        <v>294</v>
      </c>
      <c r="G33" s="418"/>
      <c r="H33" s="70" t="s">
        <v>2475</v>
      </c>
      <c r="I33" s="665">
        <v>2600</v>
      </c>
      <c r="J33" s="295">
        <v>71.180000000000007</v>
      </c>
      <c r="K33" s="666">
        <f>ABS(T_Eq[[#This Row],[Quantity]]*T_Eq[[#This Row],[Market price]])</f>
        <v>185068.00000000003</v>
      </c>
      <c r="L33" s="666">
        <f ca="1">ABS(INDEX('Tech list'!A:C,MATCH(T_Eq[[#This Row],[Risk CCY]],'Tech list'!A:A,0),3)*T_Eq[[#This Row],[Market value, CCY]])</f>
        <v>247509.94320000004</v>
      </c>
      <c r="M33" s="667">
        <v>45.134223076923078</v>
      </c>
      <c r="N33" s="666">
        <f>ABS(T_Eq[[#This Row],[Cost price]]*T_Eq[[#This Row],[Quantity]])</f>
        <v>117348.98</v>
      </c>
      <c r="O33" s="213">
        <f>IF(T_Eq[[#This Row],[Quantity]]&lt;0,N33/K33-1,K33/N33-1)</f>
        <v>0.57707378453566482</v>
      </c>
      <c r="P33" s="669">
        <v>3.3799000000000001</v>
      </c>
      <c r="Q33" s="668">
        <f>T_Eq[[#This Row],[Dividend per share]]/T_Eq[[#This Row],[Market price]]</f>
        <v>4.7483843776341669E-2</v>
      </c>
      <c r="R33" s="666">
        <f>T_Eq[[#This Row],[Dividend per share]]*T_Eq[[#This Row],[Quantity]]</f>
        <v>8787.74</v>
      </c>
      <c r="S33" s="666">
        <f ca="1">INDEX('Tech list'!A:C,MATCH(T_Eq[[#This Row],[Risk CCY]],'Tech list'!A:A,0),3)*T_Eq[[#This Row],[Dividend in Loc.Curr]]</f>
        <v>11752.723475999999</v>
      </c>
      <c r="T33" s="666">
        <v>2</v>
      </c>
      <c r="U33" s="675">
        <v>45929</v>
      </c>
      <c r="V33" s="671">
        <f>EDATE(T_Eq[[#This Row],[Next coupon date]],12/$T33)</f>
        <v>46110</v>
      </c>
      <c r="W33" s="671">
        <f>EDATE(T_Eq[[#This Row],[coupon date 1]],12/$T33)</f>
        <v>46294</v>
      </c>
      <c r="X33" s="671">
        <f>EDATE(T_Eq[[#This Row],[coupon date 2]],12/$T33)</f>
        <v>46475</v>
      </c>
      <c r="Y33" s="669">
        <f>IFERROR(IF(
OR(
Y$1+1-1=MONTH($U33),
Y$1+1-1=MONTH(T_Eq[[#This Row],[coupon date 1]]),
Y$1+1-1=MONTH(T_Eq[[#This Row],[coupon date 2]]),
Y$1+1-1=MONTH(T_Eq[[#This Row],[coupon date 3]])),
IF('CF USD'!$A$8="on",T_Eq[[#This Row],[Dividend in USD]],T_Eq[[#This Row],[Dividend in Loc.Curr]])
/T_Eq[[#This Row],[Dividends per annum]],0),
"")</f>
        <v>0</v>
      </c>
      <c r="Z33" s="669">
        <f>IFERROR(IF(
OR(
Z$1+1-1=MONTH($U33),
Z$1+1-1=MONTH(T_Eq[[#This Row],[coupon date 1]]),
Z$1+1-1=MONTH(T_Eq[[#This Row],[coupon date 2]]),
Z$1+1-1=MONTH(T_Eq[[#This Row],[coupon date 3]])),
IF('CF USD'!$A$8="on",T_Eq[[#This Row],[Dividend in USD]],T_Eq[[#This Row],[Dividend in Loc.Curr]])
/T_Eq[[#This Row],[Dividends per annum]],0),
"")</f>
        <v>0</v>
      </c>
      <c r="AA33" s="669">
        <f>IFERROR(IF(
OR(
AA$1+1-1=MONTH($U33),
AA$1+1-1=MONTH(T_Eq[[#This Row],[coupon date 1]]),
AA$1+1-1=MONTH(T_Eq[[#This Row],[coupon date 2]]),
AA$1+1-1=MONTH(T_Eq[[#This Row],[coupon date 3]])),
IF('CF USD'!$A$8="on",T_Eq[[#This Row],[Dividend in USD]],T_Eq[[#This Row],[Dividend in Loc.Curr]])
/T_Eq[[#This Row],[Dividends per annum]],0),
"")</f>
        <v>4393.87</v>
      </c>
      <c r="AB33" s="669">
        <f>IFERROR(IF(
OR(
AB$1+1-1=MONTH($U33),
AB$1+1-1=MONTH(T_Eq[[#This Row],[coupon date 1]]),
AB$1+1-1=MONTH(T_Eq[[#This Row],[coupon date 2]]),
AB$1+1-1=MONTH(T_Eq[[#This Row],[coupon date 3]])),
IF('CF USD'!$A$8="on",T_Eq[[#This Row],[Dividend in USD]],T_Eq[[#This Row],[Dividend in Loc.Curr]])
/T_Eq[[#This Row],[Dividends per annum]],0),
"")</f>
        <v>0</v>
      </c>
      <c r="AC33" s="669">
        <f>IFERROR(IF(
OR(
AC$1+1-1=MONTH($U33),
AC$1+1-1=MONTH(T_Eq[[#This Row],[coupon date 1]]),
AC$1+1-1=MONTH(T_Eq[[#This Row],[coupon date 2]]),
AC$1+1-1=MONTH(T_Eq[[#This Row],[coupon date 3]])),
IF('CF USD'!$A$8="on",T_Eq[[#This Row],[Dividend in USD]],T_Eq[[#This Row],[Dividend in Loc.Curr]])
/T_Eq[[#This Row],[Dividends per annum]],0),
"")</f>
        <v>0</v>
      </c>
      <c r="AD33" s="669">
        <f>IFERROR(IF(
OR(
AD$1+1-1=MONTH($U33),
AD$1+1-1=MONTH(T_Eq[[#This Row],[coupon date 1]]),
AD$1+1-1=MONTH(T_Eq[[#This Row],[coupon date 2]]),
AD$1+1-1=MONTH(T_Eq[[#This Row],[coupon date 3]])),
IF('CF USD'!$A$8="on",T_Eq[[#This Row],[Dividend in USD]],T_Eq[[#This Row],[Dividend in Loc.Curr]])
/T_Eq[[#This Row],[Dividends per annum]],0),
"")</f>
        <v>0</v>
      </c>
      <c r="AE33" s="669">
        <f>IFERROR(IF(
OR(
AE$1+1-1=MONTH($U33),
AE$1+1-1=MONTH(T_Eq[[#This Row],[coupon date 1]]),
AE$1+1-1=MONTH(T_Eq[[#This Row],[coupon date 2]]),
AE$1+1-1=MONTH(T_Eq[[#This Row],[coupon date 3]])),
IF('CF USD'!$A$8="on",T_Eq[[#This Row],[Dividend in USD]],T_Eq[[#This Row],[Dividend in Loc.Curr]])
/T_Eq[[#This Row],[Dividends per annum]],0),
"")</f>
        <v>0</v>
      </c>
      <c r="AF33" s="669">
        <f>IFERROR(IF(
OR(
AF$1+1-1=MONTH($U33),
AF$1+1-1=MONTH(T_Eq[[#This Row],[coupon date 1]]),
AF$1+1-1=MONTH(T_Eq[[#This Row],[coupon date 2]]),
AF$1+1-1=MONTH(T_Eq[[#This Row],[coupon date 3]])),
IF('CF USD'!$A$8="on",T_Eq[[#This Row],[Dividend in USD]],T_Eq[[#This Row],[Dividend in Loc.Curr]])
/T_Eq[[#This Row],[Dividends per annum]],0),
"")</f>
        <v>0</v>
      </c>
      <c r="AG33" s="669">
        <f>IFERROR(IF(
OR(
AG$1+1-1=MONTH($U33),
AG$1+1-1=MONTH(T_Eq[[#This Row],[coupon date 1]]),
AG$1+1-1=MONTH(T_Eq[[#This Row],[coupon date 2]]),
AG$1+1-1=MONTH(T_Eq[[#This Row],[coupon date 3]])),
IF('CF USD'!$A$8="on",T_Eq[[#This Row],[Dividend in USD]],T_Eq[[#This Row],[Dividend in Loc.Curr]])
/T_Eq[[#This Row],[Dividends per annum]],0),
"")</f>
        <v>4393.87</v>
      </c>
      <c r="AH33" s="669">
        <f>IFERROR(IF(
OR(
AH$1+1-1=MONTH($U33),
AH$1+1-1=MONTH(T_Eq[[#This Row],[coupon date 1]]),
AH$1+1-1=MONTH(T_Eq[[#This Row],[coupon date 2]]),
AH$1+1-1=MONTH(T_Eq[[#This Row],[coupon date 3]])),
IF('CF USD'!$A$8="on",T_Eq[[#This Row],[Dividend in USD]],T_Eq[[#This Row],[Dividend in Loc.Curr]])
/T_Eq[[#This Row],[Dividends per annum]],0),
"")</f>
        <v>0</v>
      </c>
      <c r="AI33" s="669">
        <f>IFERROR(IF(
OR(
AI$1+1-1=MONTH($U33),
AI$1+1-1=MONTH(T_Eq[[#This Row],[coupon date 1]]),
AI$1+1-1=MONTH(T_Eq[[#This Row],[coupon date 2]]),
AI$1+1-1=MONTH(T_Eq[[#This Row],[coupon date 3]])),
IF('CF USD'!$A$8="on",T_Eq[[#This Row],[Dividend in USD]],T_Eq[[#This Row],[Dividend in Loc.Curr]])
/T_Eq[[#This Row],[Dividends per annum]],0),
"")</f>
        <v>0</v>
      </c>
      <c r="AJ33" s="669">
        <f>IFERROR(IF(
OR(
AJ$1+1-1=MONTH($U33),
AJ$1+1-1=MONTH(T_Eq[[#This Row],[coupon date 1]]),
AJ$1+1-1=MONTH(T_Eq[[#This Row],[coupon date 2]]),
AJ$1+1-1=MONTH(T_Eq[[#This Row],[coupon date 3]])),
IF('CF USD'!$A$8="on",T_Eq[[#This Row],[Dividend in USD]],T_Eq[[#This Row],[Dividend in Loc.Curr]])
/T_Eq[[#This Row],[Dividends per annum]],0),
"")</f>
        <v>0</v>
      </c>
    </row>
    <row r="34" spans="1:36" x14ac:dyDescent="0.25">
      <c r="A34" s="70" t="s">
        <v>51</v>
      </c>
      <c r="B34" s="70" t="s">
        <v>195</v>
      </c>
      <c r="C34" s="418" t="s">
        <v>2267</v>
      </c>
      <c r="D34" s="418" t="s">
        <v>2268</v>
      </c>
      <c r="E34" s="418" t="s">
        <v>18</v>
      </c>
      <c r="F34" s="418" t="s">
        <v>283</v>
      </c>
      <c r="G34" s="418"/>
      <c r="H34" s="418" t="s">
        <v>2476</v>
      </c>
      <c r="I34" s="684">
        <v>38725</v>
      </c>
      <c r="J34" s="295">
        <v>16.100000000000001</v>
      </c>
      <c r="K34" s="666">
        <f>ABS(T_Eq[[#This Row],[Quantity]]*T_Eq[[#This Row],[Market price]])</f>
        <v>623472.5</v>
      </c>
      <c r="L34" s="666">
        <f>ABS(INDEX('Tech list'!A:C,MATCH(T_Eq[[#This Row],[Risk CCY]],'Tech list'!A:A,0),3)*T_Eq[[#This Row],[Market value, CCY]])</f>
        <v>623472.5</v>
      </c>
      <c r="M34" s="679">
        <v>12.946720723047127</v>
      </c>
      <c r="N34" s="666">
        <f>ABS(T_Eq[[#This Row],[Cost price]]*T_Eq[[#This Row],[Quantity]])</f>
        <v>501361.76</v>
      </c>
      <c r="O34" s="213">
        <f>IF(T_Eq[[#This Row],[Quantity]]&lt;0,N34/K34-1,K34/N34-1)</f>
        <v>0.24355814452223079</v>
      </c>
      <c r="P34" s="669">
        <f>0.3726+0.3475</f>
        <v>0.72009999999999996</v>
      </c>
      <c r="Q34" s="668">
        <f>T_Eq[[#This Row],[Dividend per share]]/T_Eq[[#This Row],[Market price]]</f>
        <v>4.4726708074534154E-2</v>
      </c>
      <c r="R34" s="666">
        <f>T_Eq[[#This Row],[Dividend per share]]*T_Eq[[#This Row],[Quantity]]</f>
        <v>27885.872499999998</v>
      </c>
      <c r="S34" s="666">
        <f>INDEX('Tech list'!A:C,MATCH(T_Eq[[#This Row],[Risk CCY]],'Tech list'!A:A,0),3)*T_Eq[[#This Row],[Dividend in Loc.Curr]]</f>
        <v>27885.872499999998</v>
      </c>
      <c r="T34" s="666">
        <v>2</v>
      </c>
      <c r="U34" s="675">
        <v>45726</v>
      </c>
      <c r="V34" s="671">
        <f>EDATE(T_Eq[[#This Row],[Next coupon date]],12/$T34)</f>
        <v>45910</v>
      </c>
      <c r="W34" s="671">
        <f>EDATE(T_Eq[[#This Row],[coupon date 1]],12/$T34)</f>
        <v>46091</v>
      </c>
      <c r="X34" s="671">
        <f>EDATE(T_Eq[[#This Row],[coupon date 2]],12/$T34)</f>
        <v>46275</v>
      </c>
      <c r="Y34" s="669">
        <f>IFERROR(IF(
OR(
Y$1+1-1=MONTH($U34),
Y$1+1-1=MONTH(T_Eq[[#This Row],[coupon date 1]]),
Y$1+1-1=MONTH(T_Eq[[#This Row],[coupon date 2]]),
Y$1+1-1=MONTH(T_Eq[[#This Row],[coupon date 3]])),
IF('CF USD'!$A$8="on",T_Eq[[#This Row],[Dividend in USD]],T_Eq[[#This Row],[Dividend in Loc.Curr]])
/T_Eq[[#This Row],[Dividends per annum]],0),
"")</f>
        <v>0</v>
      </c>
      <c r="Z34" s="669">
        <f>IFERROR(IF(
OR(
Z$1+1-1=MONTH($U34),
Z$1+1-1=MONTH(T_Eq[[#This Row],[coupon date 1]]),
Z$1+1-1=MONTH(T_Eq[[#This Row],[coupon date 2]]),
Z$1+1-1=MONTH(T_Eq[[#This Row],[coupon date 3]])),
IF('CF USD'!$A$8="on",T_Eq[[#This Row],[Dividend in USD]],T_Eq[[#This Row],[Dividend in Loc.Curr]])
/T_Eq[[#This Row],[Dividends per annum]],0),
"")</f>
        <v>0</v>
      </c>
      <c r="AA34" s="669">
        <f>IFERROR(IF(
OR(
AA$1+1-1=MONTH($U34),
AA$1+1-1=MONTH(T_Eq[[#This Row],[coupon date 1]]),
AA$1+1-1=MONTH(T_Eq[[#This Row],[coupon date 2]]),
AA$1+1-1=MONTH(T_Eq[[#This Row],[coupon date 3]])),
IF('CF USD'!$A$8="on",T_Eq[[#This Row],[Dividend in USD]],T_Eq[[#This Row],[Dividend in Loc.Curr]])
/T_Eq[[#This Row],[Dividends per annum]],0),
"")</f>
        <v>13942.936249999999</v>
      </c>
      <c r="AB34" s="669">
        <f>IFERROR(IF(
OR(
AB$1+1-1=MONTH($U34),
AB$1+1-1=MONTH(T_Eq[[#This Row],[coupon date 1]]),
AB$1+1-1=MONTH(T_Eq[[#This Row],[coupon date 2]]),
AB$1+1-1=MONTH(T_Eq[[#This Row],[coupon date 3]])),
IF('CF USD'!$A$8="on",T_Eq[[#This Row],[Dividend in USD]],T_Eq[[#This Row],[Dividend in Loc.Curr]])
/T_Eq[[#This Row],[Dividends per annum]],0),
"")</f>
        <v>0</v>
      </c>
      <c r="AC34" s="669">
        <f>IFERROR(IF(
OR(
AC$1+1-1=MONTH($U34),
AC$1+1-1=MONTH(T_Eq[[#This Row],[coupon date 1]]),
AC$1+1-1=MONTH(T_Eq[[#This Row],[coupon date 2]]),
AC$1+1-1=MONTH(T_Eq[[#This Row],[coupon date 3]])),
IF('CF USD'!$A$8="on",T_Eq[[#This Row],[Dividend in USD]],T_Eq[[#This Row],[Dividend in Loc.Curr]])
/T_Eq[[#This Row],[Dividends per annum]],0),
"")</f>
        <v>0</v>
      </c>
      <c r="AD34" s="669">
        <f>IFERROR(IF(
OR(
AD$1+1-1=MONTH($U34),
AD$1+1-1=MONTH(T_Eq[[#This Row],[coupon date 1]]),
AD$1+1-1=MONTH(T_Eq[[#This Row],[coupon date 2]]),
AD$1+1-1=MONTH(T_Eq[[#This Row],[coupon date 3]])),
IF('CF USD'!$A$8="on",T_Eq[[#This Row],[Dividend in USD]],T_Eq[[#This Row],[Dividend in Loc.Curr]])
/T_Eq[[#This Row],[Dividends per annum]],0),
"")</f>
        <v>0</v>
      </c>
      <c r="AE34" s="669">
        <f>IFERROR(IF(
OR(
AE$1+1-1=MONTH($U34),
AE$1+1-1=MONTH(T_Eq[[#This Row],[coupon date 1]]),
AE$1+1-1=MONTH(T_Eq[[#This Row],[coupon date 2]]),
AE$1+1-1=MONTH(T_Eq[[#This Row],[coupon date 3]])),
IF('CF USD'!$A$8="on",T_Eq[[#This Row],[Dividend in USD]],T_Eq[[#This Row],[Dividend in Loc.Curr]])
/T_Eq[[#This Row],[Dividends per annum]],0),
"")</f>
        <v>0</v>
      </c>
      <c r="AF34" s="669">
        <f>IFERROR(IF(
OR(
AF$1+1-1=MONTH($U34),
AF$1+1-1=MONTH(T_Eq[[#This Row],[coupon date 1]]),
AF$1+1-1=MONTH(T_Eq[[#This Row],[coupon date 2]]),
AF$1+1-1=MONTH(T_Eq[[#This Row],[coupon date 3]])),
IF('CF USD'!$A$8="on",T_Eq[[#This Row],[Dividend in USD]],T_Eq[[#This Row],[Dividend in Loc.Curr]])
/T_Eq[[#This Row],[Dividends per annum]],0),
"")</f>
        <v>0</v>
      </c>
      <c r="AG34" s="669">
        <f>IFERROR(IF(
OR(
AG$1+1-1=MONTH($U34),
AG$1+1-1=MONTH(T_Eq[[#This Row],[coupon date 1]]),
AG$1+1-1=MONTH(T_Eq[[#This Row],[coupon date 2]]),
AG$1+1-1=MONTH(T_Eq[[#This Row],[coupon date 3]])),
IF('CF USD'!$A$8="on",T_Eq[[#This Row],[Dividend in USD]],T_Eq[[#This Row],[Dividend in Loc.Curr]])
/T_Eq[[#This Row],[Dividends per annum]],0),
"")</f>
        <v>13942.936249999999</v>
      </c>
      <c r="AH34" s="669">
        <f>IFERROR(IF(
OR(
AH$1+1-1=MONTH($U34),
AH$1+1-1=MONTH(T_Eq[[#This Row],[coupon date 1]]),
AH$1+1-1=MONTH(T_Eq[[#This Row],[coupon date 2]]),
AH$1+1-1=MONTH(T_Eq[[#This Row],[coupon date 3]])),
IF('CF USD'!$A$8="on",T_Eq[[#This Row],[Dividend in USD]],T_Eq[[#This Row],[Dividend in Loc.Curr]])
/T_Eq[[#This Row],[Dividends per annum]],0),
"")</f>
        <v>0</v>
      </c>
      <c r="AI34" s="669">
        <f>IFERROR(IF(
OR(
AI$1+1-1=MONTH($U34),
AI$1+1-1=MONTH(T_Eq[[#This Row],[coupon date 1]]),
AI$1+1-1=MONTH(T_Eq[[#This Row],[coupon date 2]]),
AI$1+1-1=MONTH(T_Eq[[#This Row],[coupon date 3]])),
IF('CF USD'!$A$8="on",T_Eq[[#This Row],[Dividend in USD]],T_Eq[[#This Row],[Dividend in Loc.Curr]])
/T_Eq[[#This Row],[Dividends per annum]],0),
"")</f>
        <v>0</v>
      </c>
      <c r="AJ34" s="669">
        <f>IFERROR(IF(
OR(
AJ$1+1-1=MONTH($U34),
AJ$1+1-1=MONTH(T_Eq[[#This Row],[coupon date 1]]),
AJ$1+1-1=MONTH(T_Eq[[#This Row],[coupon date 2]]),
AJ$1+1-1=MONTH(T_Eq[[#This Row],[coupon date 3]])),
IF('CF USD'!$A$8="on",T_Eq[[#This Row],[Dividend in USD]],T_Eq[[#This Row],[Dividend in Loc.Curr]])
/T_Eq[[#This Row],[Dividends per annum]],0),
"")</f>
        <v>0</v>
      </c>
    </row>
    <row r="35" spans="1:36" x14ac:dyDescent="0.25">
      <c r="A35" s="320" t="s">
        <v>51</v>
      </c>
      <c r="B35" s="320" t="s">
        <v>1191</v>
      </c>
      <c r="C35" s="685" t="s">
        <v>1185</v>
      </c>
      <c r="D35" s="418" t="s">
        <v>1186</v>
      </c>
      <c r="E35" s="418" t="s">
        <v>18</v>
      </c>
      <c r="F35" s="418" t="e">
        <v>#N/A</v>
      </c>
      <c r="G35" s="418"/>
      <c r="H35" s="70" t="s">
        <v>2475</v>
      </c>
      <c r="I35" s="665">
        <v>2700</v>
      </c>
      <c r="J35" s="295">
        <v>126.74</v>
      </c>
      <c r="K35" s="666">
        <f>ABS(T_Eq[[#This Row],[Quantity]]*T_Eq[[#This Row],[Market price]])</f>
        <v>342198</v>
      </c>
      <c r="L35" s="666">
        <f>ABS(INDEX('Tech list'!A:C,MATCH(T_Eq[[#This Row],[Risk CCY]],'Tech list'!A:A,0),3)*T_Eq[[#This Row],[Market value, CCY]])</f>
        <v>342198</v>
      </c>
      <c r="M35" s="667">
        <v>111.05633703703704</v>
      </c>
      <c r="N35" s="666">
        <f>ABS(T_Eq[[#This Row],[Cost price]]*T_Eq[[#This Row],[Quantity]])</f>
        <v>299852.11</v>
      </c>
      <c r="O35" s="213">
        <f>IF(T_Eq[[#This Row],[Quantity]]&lt;0,N35/K35-1,K35/N35-1)</f>
        <v>0.14122258469350113</v>
      </c>
      <c r="P35" s="669">
        <f>0.115+0.015+0.003</f>
        <v>0.13300000000000001</v>
      </c>
      <c r="Q35" s="668">
        <f>T_Eq[[#This Row],[Dividend per share]]/T_Eq[[#This Row],[Market price]]</f>
        <v>1.0493924569985799E-3</v>
      </c>
      <c r="R35" s="666">
        <f>T_Eq[[#This Row],[Dividend per share]]*T_Eq[[#This Row],[Quantity]]</f>
        <v>359.1</v>
      </c>
      <c r="S35" s="666">
        <f>INDEX('Tech list'!A:C,MATCH(T_Eq[[#This Row],[Risk CCY]],'Tech list'!A:A,0),3)*T_Eq[[#This Row],[Dividend in Loc.Curr]]</f>
        <v>359.1</v>
      </c>
      <c r="T35" s="666">
        <v>4</v>
      </c>
      <c r="U35" s="675">
        <v>46017</v>
      </c>
      <c r="V35" s="671">
        <f>EDATE(T_Eq[[#This Row],[Next coupon date]],12/$T35)</f>
        <v>46107</v>
      </c>
      <c r="W35" s="671">
        <f>EDATE(T_Eq[[#This Row],[coupon date 1]],12/$T35)</f>
        <v>46199</v>
      </c>
      <c r="X35" s="671">
        <f>EDATE(T_Eq[[#This Row],[coupon date 2]],12/$T35)</f>
        <v>46291</v>
      </c>
      <c r="Y35" s="669">
        <f>IFERROR(IF(
OR(
Y$1+1-1=MONTH($U35),
Y$1+1-1=MONTH(T_Eq[[#This Row],[coupon date 1]]),
Y$1+1-1=MONTH(T_Eq[[#This Row],[coupon date 2]]),
Y$1+1-1=MONTH(T_Eq[[#This Row],[coupon date 3]])),
IF('CF USD'!$A$8="on",T_Eq[[#This Row],[Dividend in USD]],T_Eq[[#This Row],[Dividend in Loc.Curr]])
/T_Eq[[#This Row],[Dividends per annum]],0),
"")</f>
        <v>0</v>
      </c>
      <c r="Z35" s="669">
        <f>IFERROR(IF(
OR(
Z$1+1-1=MONTH($U35),
Z$1+1-1=MONTH(T_Eq[[#This Row],[coupon date 1]]),
Z$1+1-1=MONTH(T_Eq[[#This Row],[coupon date 2]]),
Z$1+1-1=MONTH(T_Eq[[#This Row],[coupon date 3]])),
IF('CF USD'!$A$8="on",T_Eq[[#This Row],[Dividend in USD]],T_Eq[[#This Row],[Dividend in Loc.Curr]])
/T_Eq[[#This Row],[Dividends per annum]],0),
"")</f>
        <v>0</v>
      </c>
      <c r="AA35" s="669">
        <f>IFERROR(IF(
OR(
AA$1+1-1=MONTH($U35),
AA$1+1-1=MONTH(T_Eq[[#This Row],[coupon date 1]]),
AA$1+1-1=MONTH(T_Eq[[#This Row],[coupon date 2]]),
AA$1+1-1=MONTH(T_Eq[[#This Row],[coupon date 3]])),
IF('CF USD'!$A$8="on",T_Eq[[#This Row],[Dividend in USD]],T_Eq[[#This Row],[Dividend in Loc.Curr]])
/T_Eq[[#This Row],[Dividends per annum]],0),
"")</f>
        <v>89.775000000000006</v>
      </c>
      <c r="AB35" s="669">
        <f>IFERROR(IF(
OR(
AB$1+1-1=MONTH($U35),
AB$1+1-1=MONTH(T_Eq[[#This Row],[coupon date 1]]),
AB$1+1-1=MONTH(T_Eq[[#This Row],[coupon date 2]]),
AB$1+1-1=MONTH(T_Eq[[#This Row],[coupon date 3]])),
IF('CF USD'!$A$8="on",T_Eq[[#This Row],[Dividend in USD]],T_Eq[[#This Row],[Dividend in Loc.Curr]])
/T_Eq[[#This Row],[Dividends per annum]],0),
"")</f>
        <v>0</v>
      </c>
      <c r="AC35" s="669">
        <f>IFERROR(IF(
OR(
AC$1+1-1=MONTH($U35),
AC$1+1-1=MONTH(T_Eq[[#This Row],[coupon date 1]]),
AC$1+1-1=MONTH(T_Eq[[#This Row],[coupon date 2]]),
AC$1+1-1=MONTH(T_Eq[[#This Row],[coupon date 3]])),
IF('CF USD'!$A$8="on",T_Eq[[#This Row],[Dividend in USD]],T_Eq[[#This Row],[Dividend in Loc.Curr]])
/T_Eq[[#This Row],[Dividends per annum]],0),
"")</f>
        <v>0</v>
      </c>
      <c r="AD35" s="669">
        <f>IFERROR(IF(
OR(
AD$1+1-1=MONTH($U35),
AD$1+1-1=MONTH(T_Eq[[#This Row],[coupon date 1]]),
AD$1+1-1=MONTH(T_Eq[[#This Row],[coupon date 2]]),
AD$1+1-1=MONTH(T_Eq[[#This Row],[coupon date 3]])),
IF('CF USD'!$A$8="on",T_Eq[[#This Row],[Dividend in USD]],T_Eq[[#This Row],[Dividend in Loc.Curr]])
/T_Eq[[#This Row],[Dividends per annum]],0),
"")</f>
        <v>89.775000000000006</v>
      </c>
      <c r="AE35" s="669">
        <f>IFERROR(IF(
OR(
AE$1+1-1=MONTH($U35),
AE$1+1-1=MONTH(T_Eq[[#This Row],[coupon date 1]]),
AE$1+1-1=MONTH(T_Eq[[#This Row],[coupon date 2]]),
AE$1+1-1=MONTH(T_Eq[[#This Row],[coupon date 3]])),
IF('CF USD'!$A$8="on",T_Eq[[#This Row],[Dividend in USD]],T_Eq[[#This Row],[Dividend in Loc.Curr]])
/T_Eq[[#This Row],[Dividends per annum]],0),
"")</f>
        <v>0</v>
      </c>
      <c r="AF35" s="669">
        <f>IFERROR(IF(
OR(
AF$1+1-1=MONTH($U35),
AF$1+1-1=MONTH(T_Eq[[#This Row],[coupon date 1]]),
AF$1+1-1=MONTH(T_Eq[[#This Row],[coupon date 2]]),
AF$1+1-1=MONTH(T_Eq[[#This Row],[coupon date 3]])),
IF('CF USD'!$A$8="on",T_Eq[[#This Row],[Dividend in USD]],T_Eq[[#This Row],[Dividend in Loc.Curr]])
/T_Eq[[#This Row],[Dividends per annum]],0),
"")</f>
        <v>0</v>
      </c>
      <c r="AG35" s="669">
        <f>IFERROR(IF(
OR(
AG$1+1-1=MONTH($U35),
AG$1+1-1=MONTH(T_Eq[[#This Row],[coupon date 1]]),
AG$1+1-1=MONTH(T_Eq[[#This Row],[coupon date 2]]),
AG$1+1-1=MONTH(T_Eq[[#This Row],[coupon date 3]])),
IF('CF USD'!$A$8="on",T_Eq[[#This Row],[Dividend in USD]],T_Eq[[#This Row],[Dividend in Loc.Curr]])
/T_Eq[[#This Row],[Dividends per annum]],0),
"")</f>
        <v>89.775000000000006</v>
      </c>
      <c r="AH35" s="669">
        <f>IFERROR(IF(
OR(
AH$1+1-1=MONTH($U35),
AH$1+1-1=MONTH(T_Eq[[#This Row],[coupon date 1]]),
AH$1+1-1=MONTH(T_Eq[[#This Row],[coupon date 2]]),
AH$1+1-1=MONTH(T_Eq[[#This Row],[coupon date 3]])),
IF('CF USD'!$A$8="on",T_Eq[[#This Row],[Dividend in USD]],T_Eq[[#This Row],[Dividend in Loc.Curr]])
/T_Eq[[#This Row],[Dividends per annum]],0),
"")</f>
        <v>0</v>
      </c>
      <c r="AI35" s="669">
        <f>IFERROR(IF(
OR(
AI$1+1-1=MONTH($U35),
AI$1+1-1=MONTH(T_Eq[[#This Row],[coupon date 1]]),
AI$1+1-1=MONTH(T_Eq[[#This Row],[coupon date 2]]),
AI$1+1-1=MONTH(T_Eq[[#This Row],[coupon date 3]])),
IF('CF USD'!$A$8="on",T_Eq[[#This Row],[Dividend in USD]],T_Eq[[#This Row],[Dividend in Loc.Curr]])
/T_Eq[[#This Row],[Dividends per annum]],0),
"")</f>
        <v>0</v>
      </c>
      <c r="AJ35" s="669">
        <f>IFERROR(IF(
OR(
AJ$1+1-1=MONTH($U35),
AJ$1+1-1=MONTH(T_Eq[[#This Row],[coupon date 1]]),
AJ$1+1-1=MONTH(T_Eq[[#This Row],[coupon date 2]]),
AJ$1+1-1=MONTH(T_Eq[[#This Row],[coupon date 3]])),
IF('CF USD'!$A$8="on",T_Eq[[#This Row],[Dividend in USD]],T_Eq[[#This Row],[Dividend in Loc.Curr]])
/T_Eq[[#This Row],[Dividends per annum]],0),
"")</f>
        <v>89.775000000000006</v>
      </c>
    </row>
    <row r="36" spans="1:36" x14ac:dyDescent="0.25">
      <c r="A36" s="70" t="s">
        <v>51</v>
      </c>
      <c r="B36" s="70" t="s">
        <v>1191</v>
      </c>
      <c r="C36" s="676" t="s">
        <v>1187</v>
      </c>
      <c r="D36" s="418" t="s">
        <v>1188</v>
      </c>
      <c r="E36" s="418" t="s">
        <v>21</v>
      </c>
      <c r="F36" s="418" t="e">
        <v>#N/A</v>
      </c>
      <c r="G36" s="418"/>
      <c r="H36" s="70" t="s">
        <v>2475</v>
      </c>
      <c r="I36" s="665">
        <v>9735</v>
      </c>
      <c r="J36" s="295">
        <v>35.14</v>
      </c>
      <c r="K36" s="666">
        <f>ABS(T_Eq[[#This Row],[Quantity]]*T_Eq[[#This Row],[Market price]])</f>
        <v>342087.9</v>
      </c>
      <c r="L36" s="666">
        <f ca="1">ABS(INDEX('Tech list'!A:C,MATCH(T_Eq[[#This Row],[Risk CCY]],'Tech list'!A:A,0),3)*T_Eq[[#This Row],[Market value, CCY]])</f>
        <v>395829.90909000003</v>
      </c>
      <c r="M36" s="667">
        <v>30.737857216230097</v>
      </c>
      <c r="N36" s="666">
        <f>ABS(T_Eq[[#This Row],[Cost price]]*T_Eq[[#This Row],[Quantity]])</f>
        <v>299233.03999999998</v>
      </c>
      <c r="O36" s="213">
        <f>IF(T_Eq[[#This Row],[Quantity]]&lt;0,N36/K36-1,K36/N36-1)</f>
        <v>0.14321566896489779</v>
      </c>
      <c r="P36" s="669">
        <v>0</v>
      </c>
      <c r="Q36" s="668">
        <f>T_Eq[[#This Row],[Dividend per share]]/T_Eq[[#This Row],[Market price]]</f>
        <v>0</v>
      </c>
      <c r="R36" s="666">
        <f>T_Eq[[#This Row],[Dividend per share]]*T_Eq[[#This Row],[Quantity]]</f>
        <v>0</v>
      </c>
      <c r="S36" s="666">
        <f ca="1">INDEX('Tech list'!A:C,MATCH(T_Eq[[#This Row],[Risk CCY]],'Tech list'!A:A,0),3)*T_Eq[[#This Row],[Dividend in Loc.Curr]]</f>
        <v>0</v>
      </c>
      <c r="T36" s="666">
        <v>1</v>
      </c>
      <c r="U36" s="681">
        <v>46023</v>
      </c>
      <c r="V36" s="671">
        <f>EDATE(T_Eq[[#This Row],[Next coupon date]],12/$T36)</f>
        <v>46388</v>
      </c>
      <c r="W36" s="671">
        <f>EDATE(T_Eq[[#This Row],[coupon date 1]],12/$T36)</f>
        <v>46753</v>
      </c>
      <c r="X36" s="671">
        <f>EDATE(T_Eq[[#This Row],[coupon date 2]],12/$T36)</f>
        <v>47119</v>
      </c>
      <c r="Y36" s="669">
        <f>IFERROR(IF(
OR(
Y$1+1-1=MONTH($U36),
Y$1+1-1=MONTH(T_Eq[[#This Row],[coupon date 1]]),
Y$1+1-1=MONTH(T_Eq[[#This Row],[coupon date 2]]),
Y$1+1-1=MONTH(T_Eq[[#This Row],[coupon date 3]])),
IF('CF USD'!$A$8="on",T_Eq[[#This Row],[Dividend in USD]],T_Eq[[#This Row],[Dividend in Loc.Curr]])
/T_Eq[[#This Row],[Dividends per annum]],0),
"")</f>
        <v>0</v>
      </c>
      <c r="Z36" s="669">
        <f>IFERROR(IF(
OR(
Z$1+1-1=MONTH($U36),
Z$1+1-1=MONTH(T_Eq[[#This Row],[coupon date 1]]),
Z$1+1-1=MONTH(T_Eq[[#This Row],[coupon date 2]]),
Z$1+1-1=MONTH(T_Eq[[#This Row],[coupon date 3]])),
IF('CF USD'!$A$8="on",T_Eq[[#This Row],[Dividend in USD]],T_Eq[[#This Row],[Dividend in Loc.Curr]])
/T_Eq[[#This Row],[Dividends per annum]],0),
"")</f>
        <v>0</v>
      </c>
      <c r="AA36" s="669">
        <f>IFERROR(IF(
OR(
AA$1+1-1=MONTH($U36),
AA$1+1-1=MONTH(T_Eq[[#This Row],[coupon date 1]]),
AA$1+1-1=MONTH(T_Eq[[#This Row],[coupon date 2]]),
AA$1+1-1=MONTH(T_Eq[[#This Row],[coupon date 3]])),
IF('CF USD'!$A$8="on",T_Eq[[#This Row],[Dividend in USD]],T_Eq[[#This Row],[Dividend in Loc.Curr]])
/T_Eq[[#This Row],[Dividends per annum]],0),
"")</f>
        <v>0</v>
      </c>
      <c r="AB36" s="669">
        <f>IFERROR(IF(
OR(
AB$1+1-1=MONTH($U36),
AB$1+1-1=MONTH(T_Eq[[#This Row],[coupon date 1]]),
AB$1+1-1=MONTH(T_Eq[[#This Row],[coupon date 2]]),
AB$1+1-1=MONTH(T_Eq[[#This Row],[coupon date 3]])),
IF('CF USD'!$A$8="on",T_Eq[[#This Row],[Dividend in USD]],T_Eq[[#This Row],[Dividend in Loc.Curr]])
/T_Eq[[#This Row],[Dividends per annum]],0),
"")</f>
        <v>0</v>
      </c>
      <c r="AC36" s="669">
        <f>IFERROR(IF(
OR(
AC$1+1-1=MONTH($U36),
AC$1+1-1=MONTH(T_Eq[[#This Row],[coupon date 1]]),
AC$1+1-1=MONTH(T_Eq[[#This Row],[coupon date 2]]),
AC$1+1-1=MONTH(T_Eq[[#This Row],[coupon date 3]])),
IF('CF USD'!$A$8="on",T_Eq[[#This Row],[Dividend in USD]],T_Eq[[#This Row],[Dividend in Loc.Curr]])
/T_Eq[[#This Row],[Dividends per annum]],0),
"")</f>
        <v>0</v>
      </c>
      <c r="AD36" s="669">
        <f>IFERROR(IF(
OR(
AD$1+1-1=MONTH($U36),
AD$1+1-1=MONTH(T_Eq[[#This Row],[coupon date 1]]),
AD$1+1-1=MONTH(T_Eq[[#This Row],[coupon date 2]]),
AD$1+1-1=MONTH(T_Eq[[#This Row],[coupon date 3]])),
IF('CF USD'!$A$8="on",T_Eq[[#This Row],[Dividend in USD]],T_Eq[[#This Row],[Dividend in Loc.Curr]])
/T_Eq[[#This Row],[Dividends per annum]],0),
"")</f>
        <v>0</v>
      </c>
      <c r="AE36" s="669">
        <f>IFERROR(IF(
OR(
AE$1+1-1=MONTH($U36),
AE$1+1-1=MONTH(T_Eq[[#This Row],[coupon date 1]]),
AE$1+1-1=MONTH(T_Eq[[#This Row],[coupon date 2]]),
AE$1+1-1=MONTH(T_Eq[[#This Row],[coupon date 3]])),
IF('CF USD'!$A$8="on",T_Eq[[#This Row],[Dividend in USD]],T_Eq[[#This Row],[Dividend in Loc.Curr]])
/T_Eq[[#This Row],[Dividends per annum]],0),
"")</f>
        <v>0</v>
      </c>
      <c r="AF36" s="669">
        <f>IFERROR(IF(
OR(
AF$1+1-1=MONTH($U36),
AF$1+1-1=MONTH(T_Eq[[#This Row],[coupon date 1]]),
AF$1+1-1=MONTH(T_Eq[[#This Row],[coupon date 2]]),
AF$1+1-1=MONTH(T_Eq[[#This Row],[coupon date 3]])),
IF('CF USD'!$A$8="on",T_Eq[[#This Row],[Dividend in USD]],T_Eq[[#This Row],[Dividend in Loc.Curr]])
/T_Eq[[#This Row],[Dividends per annum]],0),
"")</f>
        <v>0</v>
      </c>
      <c r="AG36" s="669">
        <f>IFERROR(IF(
OR(
AG$1+1-1=MONTH($U36),
AG$1+1-1=MONTH(T_Eq[[#This Row],[coupon date 1]]),
AG$1+1-1=MONTH(T_Eq[[#This Row],[coupon date 2]]),
AG$1+1-1=MONTH(T_Eq[[#This Row],[coupon date 3]])),
IF('CF USD'!$A$8="on",T_Eq[[#This Row],[Dividend in USD]],T_Eq[[#This Row],[Dividend in Loc.Curr]])
/T_Eq[[#This Row],[Dividends per annum]],0),
"")</f>
        <v>0</v>
      </c>
      <c r="AH36" s="669">
        <f>IFERROR(IF(
OR(
AH$1+1-1=MONTH($U36),
AH$1+1-1=MONTH(T_Eq[[#This Row],[coupon date 1]]),
AH$1+1-1=MONTH(T_Eq[[#This Row],[coupon date 2]]),
AH$1+1-1=MONTH(T_Eq[[#This Row],[coupon date 3]])),
IF('CF USD'!$A$8="on",T_Eq[[#This Row],[Dividend in USD]],T_Eq[[#This Row],[Dividend in Loc.Curr]])
/T_Eq[[#This Row],[Dividends per annum]],0),
"")</f>
        <v>0</v>
      </c>
      <c r="AI36" s="669">
        <f>IFERROR(IF(
OR(
AI$1+1-1=MONTH($U36),
AI$1+1-1=MONTH(T_Eq[[#This Row],[coupon date 1]]),
AI$1+1-1=MONTH(T_Eq[[#This Row],[coupon date 2]]),
AI$1+1-1=MONTH(T_Eq[[#This Row],[coupon date 3]])),
IF('CF USD'!$A$8="on",T_Eq[[#This Row],[Dividend in USD]],T_Eq[[#This Row],[Dividend in Loc.Curr]])
/T_Eq[[#This Row],[Dividends per annum]],0),
"")</f>
        <v>0</v>
      </c>
      <c r="AJ36" s="669">
        <f>IFERROR(IF(
OR(
AJ$1+1-1=MONTH($U36),
AJ$1+1-1=MONTH(T_Eq[[#This Row],[coupon date 1]]),
AJ$1+1-1=MONTH(T_Eq[[#This Row],[coupon date 2]]),
AJ$1+1-1=MONTH(T_Eq[[#This Row],[coupon date 3]])),
IF('CF USD'!$A$8="on",T_Eq[[#This Row],[Dividend in USD]],T_Eq[[#This Row],[Dividend in Loc.Curr]])
/T_Eq[[#This Row],[Dividends per annum]],0),
"")</f>
        <v>0</v>
      </c>
    </row>
    <row r="37" spans="1:36" x14ac:dyDescent="0.25">
      <c r="A37" s="70" t="s">
        <v>51</v>
      </c>
      <c r="B37" s="70" t="s">
        <v>195</v>
      </c>
      <c r="C37" s="676" t="s">
        <v>2260</v>
      </c>
      <c r="D37" s="676" t="s">
        <v>2261</v>
      </c>
      <c r="E37" s="418" t="s">
        <v>21</v>
      </c>
      <c r="F37" s="418" t="s">
        <v>464</v>
      </c>
      <c r="G37" s="418"/>
      <c r="H37" s="70" t="s">
        <v>2475</v>
      </c>
      <c r="I37" s="831" t="e">
        <v>#N/A</v>
      </c>
      <c r="J37" s="295" t="e">
        <v>#N/A</v>
      </c>
      <c r="K37" s="666" t="e">
        <f>ABS(T_Eq[[#This Row],[Quantity]]*T_Eq[[#This Row],[Market price]])</f>
        <v>#N/A</v>
      </c>
      <c r="L37" s="666" t="e">
        <f ca="1">ABS(INDEX('Tech list'!A:C,MATCH(T_Eq[[#This Row],[Risk CCY]],'Tech list'!A:A,0),3)*T_Eq[[#This Row],[Market value, CCY]])</f>
        <v>#N/A</v>
      </c>
      <c r="M37" s="679" t="e">
        <v>#N/A</v>
      </c>
      <c r="N37" s="666" t="e">
        <f>ABS(T_Eq[[#This Row],[Cost price]]*T_Eq[[#This Row],[Quantity]])</f>
        <v>#N/A</v>
      </c>
      <c r="O37" s="213" t="e">
        <f>IF(T_Eq[[#This Row],[Quantity]]&lt;0,N37/K37-1,K37/N37-1)</f>
        <v>#N/A</v>
      </c>
      <c r="P37" s="669">
        <v>1.52</v>
      </c>
      <c r="Q37" s="668" t="e">
        <f>T_Eq[[#This Row],[Dividend per share]]/T_Eq[[#This Row],[Market price]]</f>
        <v>#N/A</v>
      </c>
      <c r="R37" s="666" t="e">
        <f>T_Eq[[#This Row],[Dividend per share]]*T_Eq[[#This Row],[Quantity]]</f>
        <v>#N/A</v>
      </c>
      <c r="S37" s="666" t="e">
        <f ca="1">INDEX('Tech list'!A:C,MATCH(T_Eq[[#This Row],[Risk CCY]],'Tech list'!A:A,0),3)*T_Eq[[#This Row],[Dividend in Loc.Curr]]</f>
        <v>#N/A</v>
      </c>
      <c r="T37" s="666">
        <v>1</v>
      </c>
      <c r="U37" s="675">
        <v>46113</v>
      </c>
      <c r="V37" s="671">
        <f>EDATE(T_Eq[[#This Row],[Next coupon date]],12/$T37)</f>
        <v>46478</v>
      </c>
      <c r="W37" s="671">
        <f>EDATE(T_Eq[[#This Row],[coupon date 1]],12/$T37)</f>
        <v>46844</v>
      </c>
      <c r="X37" s="671">
        <f>EDATE(T_Eq[[#This Row],[coupon date 2]],12/$T37)</f>
        <v>47209</v>
      </c>
      <c r="Y37" s="669">
        <f>IFERROR(IF(
OR(
Y$1+1-1=MONTH($U37),
Y$1+1-1=MONTH(T_Eq[[#This Row],[coupon date 1]]),
Y$1+1-1=MONTH(T_Eq[[#This Row],[coupon date 2]]),
Y$1+1-1=MONTH(T_Eq[[#This Row],[coupon date 3]])),
IF('CF USD'!$A$8="on",T_Eq[[#This Row],[Dividend in USD]],T_Eq[[#This Row],[Dividend in Loc.Curr]])
/T_Eq[[#This Row],[Dividends per annum]],0),
"")</f>
        <v>0</v>
      </c>
      <c r="Z37" s="669">
        <f>IFERROR(IF(
OR(
Z$1+1-1=MONTH($U37),
Z$1+1-1=MONTH(T_Eq[[#This Row],[coupon date 1]]),
Z$1+1-1=MONTH(T_Eq[[#This Row],[coupon date 2]]),
Z$1+1-1=MONTH(T_Eq[[#This Row],[coupon date 3]])),
IF('CF USD'!$A$8="on",T_Eq[[#This Row],[Dividend in USD]],T_Eq[[#This Row],[Dividend in Loc.Curr]])
/T_Eq[[#This Row],[Dividends per annum]],0),
"")</f>
        <v>0</v>
      </c>
      <c r="AA37" s="669">
        <f>IFERROR(IF(
OR(
AA$1+1-1=MONTH($U37),
AA$1+1-1=MONTH(T_Eq[[#This Row],[coupon date 1]]),
AA$1+1-1=MONTH(T_Eq[[#This Row],[coupon date 2]]),
AA$1+1-1=MONTH(T_Eq[[#This Row],[coupon date 3]])),
IF('CF USD'!$A$8="on",T_Eq[[#This Row],[Dividend in USD]],T_Eq[[#This Row],[Dividend in Loc.Curr]])
/T_Eq[[#This Row],[Dividends per annum]],0),
"")</f>
        <v>0</v>
      </c>
      <c r="AB37" s="669" t="str">
        <f>IFERROR(IF(
OR(
AB$1+1-1=MONTH($U37),
AB$1+1-1=MONTH(T_Eq[[#This Row],[coupon date 1]]),
AB$1+1-1=MONTH(T_Eq[[#This Row],[coupon date 2]]),
AB$1+1-1=MONTH(T_Eq[[#This Row],[coupon date 3]])),
IF('CF USD'!$A$8="on",T_Eq[[#This Row],[Dividend in USD]],T_Eq[[#This Row],[Dividend in Loc.Curr]])
/T_Eq[[#This Row],[Dividends per annum]],0),
"")</f>
        <v/>
      </c>
      <c r="AC37" s="669">
        <f>IFERROR(IF(
OR(
AC$1+1-1=MONTH($U37),
AC$1+1-1=MONTH(T_Eq[[#This Row],[coupon date 1]]),
AC$1+1-1=MONTH(T_Eq[[#This Row],[coupon date 2]]),
AC$1+1-1=MONTH(T_Eq[[#This Row],[coupon date 3]])),
IF('CF USD'!$A$8="on",T_Eq[[#This Row],[Dividend in USD]],T_Eq[[#This Row],[Dividend in Loc.Curr]])
/T_Eq[[#This Row],[Dividends per annum]],0),
"")</f>
        <v>0</v>
      </c>
      <c r="AD37" s="669">
        <f>IFERROR(IF(
OR(
AD$1+1-1=MONTH($U37),
AD$1+1-1=MONTH(T_Eq[[#This Row],[coupon date 1]]),
AD$1+1-1=MONTH(T_Eq[[#This Row],[coupon date 2]]),
AD$1+1-1=MONTH(T_Eq[[#This Row],[coupon date 3]])),
IF('CF USD'!$A$8="on",T_Eq[[#This Row],[Dividend in USD]],T_Eq[[#This Row],[Dividend in Loc.Curr]])
/T_Eq[[#This Row],[Dividends per annum]],0),
"")</f>
        <v>0</v>
      </c>
      <c r="AE37" s="669">
        <f>IFERROR(IF(
OR(
AE$1+1-1=MONTH($U37),
AE$1+1-1=MONTH(T_Eq[[#This Row],[coupon date 1]]),
AE$1+1-1=MONTH(T_Eq[[#This Row],[coupon date 2]]),
AE$1+1-1=MONTH(T_Eq[[#This Row],[coupon date 3]])),
IF('CF USD'!$A$8="on",T_Eq[[#This Row],[Dividend in USD]],T_Eq[[#This Row],[Dividend in Loc.Curr]])
/T_Eq[[#This Row],[Dividends per annum]],0),
"")</f>
        <v>0</v>
      </c>
      <c r="AF37" s="669">
        <f>IFERROR(IF(
OR(
AF$1+1-1=MONTH($U37),
AF$1+1-1=MONTH(T_Eq[[#This Row],[coupon date 1]]),
AF$1+1-1=MONTH(T_Eq[[#This Row],[coupon date 2]]),
AF$1+1-1=MONTH(T_Eq[[#This Row],[coupon date 3]])),
IF('CF USD'!$A$8="on",T_Eq[[#This Row],[Dividend in USD]],T_Eq[[#This Row],[Dividend in Loc.Curr]])
/T_Eq[[#This Row],[Dividends per annum]],0),
"")</f>
        <v>0</v>
      </c>
      <c r="AG37" s="669">
        <f>IFERROR(IF(
OR(
AG$1+1-1=MONTH($U37),
AG$1+1-1=MONTH(T_Eq[[#This Row],[coupon date 1]]),
AG$1+1-1=MONTH(T_Eq[[#This Row],[coupon date 2]]),
AG$1+1-1=MONTH(T_Eq[[#This Row],[coupon date 3]])),
IF('CF USD'!$A$8="on",T_Eq[[#This Row],[Dividend in USD]],T_Eq[[#This Row],[Dividend in Loc.Curr]])
/T_Eq[[#This Row],[Dividends per annum]],0),
"")</f>
        <v>0</v>
      </c>
      <c r="AH37" s="669">
        <f>IFERROR(IF(
OR(
AH$1+1-1=MONTH($U37),
AH$1+1-1=MONTH(T_Eq[[#This Row],[coupon date 1]]),
AH$1+1-1=MONTH(T_Eq[[#This Row],[coupon date 2]]),
AH$1+1-1=MONTH(T_Eq[[#This Row],[coupon date 3]])),
IF('CF USD'!$A$8="on",T_Eq[[#This Row],[Dividend in USD]],T_Eq[[#This Row],[Dividend in Loc.Curr]])
/T_Eq[[#This Row],[Dividends per annum]],0),
"")</f>
        <v>0</v>
      </c>
      <c r="AI37" s="669">
        <f>IFERROR(IF(
OR(
AI$1+1-1=MONTH($U37),
AI$1+1-1=MONTH(T_Eq[[#This Row],[coupon date 1]]),
AI$1+1-1=MONTH(T_Eq[[#This Row],[coupon date 2]]),
AI$1+1-1=MONTH(T_Eq[[#This Row],[coupon date 3]])),
IF('CF USD'!$A$8="on",T_Eq[[#This Row],[Dividend in USD]],T_Eq[[#This Row],[Dividend in Loc.Curr]])
/T_Eq[[#This Row],[Dividends per annum]],0),
"")</f>
        <v>0</v>
      </c>
      <c r="AJ37" s="669">
        <f>IFERROR(IF(
OR(
AJ$1+1-1=MONTH($U37),
AJ$1+1-1=MONTH(T_Eq[[#This Row],[coupon date 1]]),
AJ$1+1-1=MONTH(T_Eq[[#This Row],[coupon date 2]]),
AJ$1+1-1=MONTH(T_Eq[[#This Row],[coupon date 3]])),
IF('CF USD'!$A$8="on",T_Eq[[#This Row],[Dividend in USD]],T_Eq[[#This Row],[Dividend in Loc.Curr]])
/T_Eq[[#This Row],[Dividends per annum]],0),
"")</f>
        <v>0</v>
      </c>
    </row>
    <row r="38" spans="1:36" x14ac:dyDescent="0.25">
      <c r="A38" s="70" t="s">
        <v>51</v>
      </c>
      <c r="B38" s="70" t="s">
        <v>195</v>
      </c>
      <c r="C38" s="676" t="s">
        <v>2262</v>
      </c>
      <c r="D38" s="676" t="s">
        <v>2263</v>
      </c>
      <c r="E38" s="418" t="s">
        <v>18</v>
      </c>
      <c r="F38" s="418" t="s">
        <v>283</v>
      </c>
      <c r="G38" s="418"/>
      <c r="H38" s="418" t="s">
        <v>2476</v>
      </c>
      <c r="I38" s="684">
        <v>48700</v>
      </c>
      <c r="J38" s="295">
        <v>15.76</v>
      </c>
      <c r="K38" s="666">
        <f>ABS(T_Eq[[#This Row],[Quantity]]*T_Eq[[#This Row],[Market price]])</f>
        <v>767512</v>
      </c>
      <c r="L38" s="666">
        <f>ABS(INDEX('Tech list'!A:C,MATCH(T_Eq[[#This Row],[Risk CCY]],'Tech list'!A:A,0),3)*T_Eq[[#This Row],[Market value, CCY]])</f>
        <v>767512</v>
      </c>
      <c r="M38" s="679">
        <v>12.257578439425052</v>
      </c>
      <c r="N38" s="666">
        <f>ABS(T_Eq[[#This Row],[Cost price]]*T_Eq[[#This Row],[Quantity]])</f>
        <v>596944.07000000007</v>
      </c>
      <c r="O38" s="213">
        <f>IF(T_Eq[[#This Row],[Quantity]]&lt;0,N38/K38-1,K38/N38-1)</f>
        <v>0.28573519458866548</v>
      </c>
      <c r="P38" s="669">
        <v>1.84</v>
      </c>
      <c r="Q38" s="668">
        <f>T_Eq[[#This Row],[Dividend per share]]/T_Eq[[#This Row],[Market price]]</f>
        <v>0.116751269035533</v>
      </c>
      <c r="R38" s="666">
        <f>T_Eq[[#This Row],[Dividend per share]]*T_Eq[[#This Row],[Quantity]]</f>
        <v>89608</v>
      </c>
      <c r="S38" s="666">
        <f>INDEX('Tech list'!A:C,MATCH(T_Eq[[#This Row],[Risk CCY]],'Tech list'!A:A,0),3)*T_Eq[[#This Row],[Dividend in Loc.Curr]]</f>
        <v>89608</v>
      </c>
      <c r="T38" s="666">
        <v>4</v>
      </c>
      <c r="U38" s="675">
        <v>46108</v>
      </c>
      <c r="V38" s="671">
        <f>EDATE(T_Eq[[#This Row],[Next coupon date]],12/$T38)</f>
        <v>46200</v>
      </c>
      <c r="W38" s="671">
        <f>EDATE(T_Eq[[#This Row],[coupon date 1]],12/$T38)</f>
        <v>46292</v>
      </c>
      <c r="X38" s="671">
        <f>EDATE(T_Eq[[#This Row],[coupon date 2]],12/$T38)</f>
        <v>46383</v>
      </c>
      <c r="Y38" s="669">
        <f>IFERROR(IF(
OR(
Y$1+1-1=MONTH($U38),
Y$1+1-1=MONTH(T_Eq[[#This Row],[coupon date 1]]),
Y$1+1-1=MONTH(T_Eq[[#This Row],[coupon date 2]]),
Y$1+1-1=MONTH(T_Eq[[#This Row],[coupon date 3]])),
IF('CF USD'!$A$8="on",T_Eq[[#This Row],[Dividend in USD]],T_Eq[[#This Row],[Dividend in Loc.Curr]])
/T_Eq[[#This Row],[Dividends per annum]],0),
"")</f>
        <v>0</v>
      </c>
      <c r="Z38" s="669">
        <f>IFERROR(IF(
OR(
Z$1+1-1=MONTH($U38),
Z$1+1-1=MONTH(T_Eq[[#This Row],[coupon date 1]]),
Z$1+1-1=MONTH(T_Eq[[#This Row],[coupon date 2]]),
Z$1+1-1=MONTH(T_Eq[[#This Row],[coupon date 3]])),
IF('CF USD'!$A$8="on",T_Eq[[#This Row],[Dividend in USD]],T_Eq[[#This Row],[Dividend in Loc.Curr]])
/T_Eq[[#This Row],[Dividends per annum]],0),
"")</f>
        <v>0</v>
      </c>
      <c r="AA38" s="669">
        <f>IFERROR(IF(
OR(
AA$1+1-1=MONTH($U38),
AA$1+1-1=MONTH(T_Eq[[#This Row],[coupon date 1]]),
AA$1+1-1=MONTH(T_Eq[[#This Row],[coupon date 2]]),
AA$1+1-1=MONTH(T_Eq[[#This Row],[coupon date 3]])),
IF('CF USD'!$A$8="on",T_Eq[[#This Row],[Dividend in USD]],T_Eq[[#This Row],[Dividend in Loc.Curr]])
/T_Eq[[#This Row],[Dividends per annum]],0),
"")</f>
        <v>22402</v>
      </c>
      <c r="AB38" s="669">
        <f>IFERROR(IF(
OR(
AB$1+1-1=MONTH($U38),
AB$1+1-1=MONTH(T_Eq[[#This Row],[coupon date 1]]),
AB$1+1-1=MONTH(T_Eq[[#This Row],[coupon date 2]]),
AB$1+1-1=MONTH(T_Eq[[#This Row],[coupon date 3]])),
IF('CF USD'!$A$8="on",T_Eq[[#This Row],[Dividend in USD]],T_Eq[[#This Row],[Dividend in Loc.Curr]])
/T_Eq[[#This Row],[Dividends per annum]],0),
"")</f>
        <v>0</v>
      </c>
      <c r="AC38" s="669">
        <f>IFERROR(IF(
OR(
AC$1+1-1=MONTH($U38),
AC$1+1-1=MONTH(T_Eq[[#This Row],[coupon date 1]]),
AC$1+1-1=MONTH(T_Eq[[#This Row],[coupon date 2]]),
AC$1+1-1=MONTH(T_Eq[[#This Row],[coupon date 3]])),
IF('CF USD'!$A$8="on",T_Eq[[#This Row],[Dividend in USD]],T_Eq[[#This Row],[Dividend in Loc.Curr]])
/T_Eq[[#This Row],[Dividends per annum]],0),
"")</f>
        <v>0</v>
      </c>
      <c r="AD38" s="669">
        <f>IFERROR(IF(
OR(
AD$1+1-1=MONTH($U38),
AD$1+1-1=MONTH(T_Eq[[#This Row],[coupon date 1]]),
AD$1+1-1=MONTH(T_Eq[[#This Row],[coupon date 2]]),
AD$1+1-1=MONTH(T_Eq[[#This Row],[coupon date 3]])),
IF('CF USD'!$A$8="on",T_Eq[[#This Row],[Dividend in USD]],T_Eq[[#This Row],[Dividend in Loc.Curr]])
/T_Eq[[#This Row],[Dividends per annum]],0),
"")</f>
        <v>22402</v>
      </c>
      <c r="AE38" s="669">
        <f>IFERROR(IF(
OR(
AE$1+1-1=MONTH($U38),
AE$1+1-1=MONTH(T_Eq[[#This Row],[coupon date 1]]),
AE$1+1-1=MONTH(T_Eq[[#This Row],[coupon date 2]]),
AE$1+1-1=MONTH(T_Eq[[#This Row],[coupon date 3]])),
IF('CF USD'!$A$8="on",T_Eq[[#This Row],[Dividend in USD]],T_Eq[[#This Row],[Dividend in Loc.Curr]])
/T_Eq[[#This Row],[Dividends per annum]],0),
"")</f>
        <v>0</v>
      </c>
      <c r="AF38" s="669">
        <f>IFERROR(IF(
OR(
AF$1+1-1=MONTH($U38),
AF$1+1-1=MONTH(T_Eq[[#This Row],[coupon date 1]]),
AF$1+1-1=MONTH(T_Eq[[#This Row],[coupon date 2]]),
AF$1+1-1=MONTH(T_Eq[[#This Row],[coupon date 3]])),
IF('CF USD'!$A$8="on",T_Eq[[#This Row],[Dividend in USD]],T_Eq[[#This Row],[Dividend in Loc.Curr]])
/T_Eq[[#This Row],[Dividends per annum]],0),
"")</f>
        <v>0</v>
      </c>
      <c r="AG38" s="669">
        <f>IFERROR(IF(
OR(
AG$1+1-1=MONTH($U38),
AG$1+1-1=MONTH(T_Eq[[#This Row],[coupon date 1]]),
AG$1+1-1=MONTH(T_Eq[[#This Row],[coupon date 2]]),
AG$1+1-1=MONTH(T_Eq[[#This Row],[coupon date 3]])),
IF('CF USD'!$A$8="on",T_Eq[[#This Row],[Dividend in USD]],T_Eq[[#This Row],[Dividend in Loc.Curr]])
/T_Eq[[#This Row],[Dividends per annum]],0),
"")</f>
        <v>22402</v>
      </c>
      <c r="AH38" s="669">
        <f>IFERROR(IF(
OR(
AH$1+1-1=MONTH($U38),
AH$1+1-1=MONTH(T_Eq[[#This Row],[coupon date 1]]),
AH$1+1-1=MONTH(T_Eq[[#This Row],[coupon date 2]]),
AH$1+1-1=MONTH(T_Eq[[#This Row],[coupon date 3]])),
IF('CF USD'!$A$8="on",T_Eq[[#This Row],[Dividend in USD]],T_Eq[[#This Row],[Dividend in Loc.Curr]])
/T_Eq[[#This Row],[Dividends per annum]],0),
"")</f>
        <v>0</v>
      </c>
      <c r="AI38" s="669">
        <f>IFERROR(IF(
OR(
AI$1+1-1=MONTH($U38),
AI$1+1-1=MONTH(T_Eq[[#This Row],[coupon date 1]]),
AI$1+1-1=MONTH(T_Eq[[#This Row],[coupon date 2]]),
AI$1+1-1=MONTH(T_Eq[[#This Row],[coupon date 3]])),
IF('CF USD'!$A$8="on",T_Eq[[#This Row],[Dividend in USD]],T_Eq[[#This Row],[Dividend in Loc.Curr]])
/T_Eq[[#This Row],[Dividends per annum]],0),
"")</f>
        <v>0</v>
      </c>
      <c r="AJ38" s="669">
        <f>IFERROR(IF(
OR(
AJ$1+1-1=MONTH($U38),
AJ$1+1-1=MONTH(T_Eq[[#This Row],[coupon date 1]]),
AJ$1+1-1=MONTH(T_Eq[[#This Row],[coupon date 2]]),
AJ$1+1-1=MONTH(T_Eq[[#This Row],[coupon date 3]])),
IF('CF USD'!$A$8="on",T_Eq[[#This Row],[Dividend in USD]],T_Eq[[#This Row],[Dividend in Loc.Curr]])
/T_Eq[[#This Row],[Dividends per annum]],0),
"")</f>
        <v>22402</v>
      </c>
    </row>
    <row r="39" spans="1:36" x14ac:dyDescent="0.25">
      <c r="A39" s="70" t="s">
        <v>51</v>
      </c>
      <c r="B39" s="70" t="s">
        <v>195</v>
      </c>
      <c r="C39" s="676" t="s">
        <v>2264</v>
      </c>
      <c r="D39" s="676" t="s">
        <v>2265</v>
      </c>
      <c r="E39" s="418" t="s">
        <v>21</v>
      </c>
      <c r="F39" s="418" t="s">
        <v>302</v>
      </c>
      <c r="G39" s="418"/>
      <c r="H39" s="70" t="s">
        <v>2475</v>
      </c>
      <c r="I39" s="831" t="e">
        <v>#N/A</v>
      </c>
      <c r="J39" s="295" t="e">
        <v>#N/A</v>
      </c>
      <c r="K39" s="666" t="e">
        <f>ABS(T_Eq[[#This Row],[Quantity]]*T_Eq[[#This Row],[Market price]])</f>
        <v>#N/A</v>
      </c>
      <c r="L39" s="666" t="e">
        <f ca="1">ABS(INDEX('Tech list'!A:C,MATCH(T_Eq[[#This Row],[Risk CCY]],'Tech list'!A:A,0),3)*T_Eq[[#This Row],[Market value, CCY]])</f>
        <v>#N/A</v>
      </c>
      <c r="M39" s="679" t="e">
        <v>#N/A</v>
      </c>
      <c r="N39" s="666" t="e">
        <f>ABS(T_Eq[[#This Row],[Cost price]]*T_Eq[[#This Row],[Quantity]])</f>
        <v>#N/A</v>
      </c>
      <c r="O39" s="213" t="e">
        <f>IF(T_Eq[[#This Row],[Quantity]]&lt;0,N39/K39-1,K39/N39-1)</f>
        <v>#N/A</v>
      </c>
      <c r="P39" s="669">
        <v>3.92</v>
      </c>
      <c r="Q39" s="668" t="e">
        <f>T_Eq[[#This Row],[Dividend per share]]/T_Eq[[#This Row],[Market price]]</f>
        <v>#N/A</v>
      </c>
      <c r="R39" s="666" t="e">
        <f>T_Eq[[#This Row],[Dividend per share]]*T_Eq[[#This Row],[Quantity]]</f>
        <v>#N/A</v>
      </c>
      <c r="S39" s="666" t="e">
        <f ca="1">INDEX('Tech list'!A:C,MATCH(T_Eq[[#This Row],[Risk CCY]],'Tech list'!A:A,0),3)*T_Eq[[#This Row],[Dividend in Loc.Curr]]</f>
        <v>#N/A</v>
      </c>
      <c r="T39" s="666">
        <v>1</v>
      </c>
      <c r="U39" s="675">
        <v>46156</v>
      </c>
      <c r="V39" s="671">
        <f>EDATE(T_Eq[[#This Row],[Next coupon date]],12/$T39)</f>
        <v>46521</v>
      </c>
      <c r="W39" s="671">
        <f>EDATE(T_Eq[[#This Row],[coupon date 1]],12/$T39)</f>
        <v>46887</v>
      </c>
      <c r="X39" s="671">
        <f>EDATE(T_Eq[[#This Row],[coupon date 2]],12/$T39)</f>
        <v>47252</v>
      </c>
      <c r="Y39" s="669">
        <f>IFERROR(IF(
OR(
Y$1+1-1=MONTH($U39),
Y$1+1-1=MONTH(T_Eq[[#This Row],[coupon date 1]]),
Y$1+1-1=MONTH(T_Eq[[#This Row],[coupon date 2]]),
Y$1+1-1=MONTH(T_Eq[[#This Row],[coupon date 3]])),
IF('CF USD'!$A$8="on",T_Eq[[#This Row],[Dividend in USD]],T_Eq[[#This Row],[Dividend in Loc.Curr]])
/T_Eq[[#This Row],[Dividends per annum]],0),
"")</f>
        <v>0</v>
      </c>
      <c r="Z39" s="669">
        <f>IFERROR(IF(
OR(
Z$1+1-1=MONTH($U39),
Z$1+1-1=MONTH(T_Eq[[#This Row],[coupon date 1]]),
Z$1+1-1=MONTH(T_Eq[[#This Row],[coupon date 2]]),
Z$1+1-1=MONTH(T_Eq[[#This Row],[coupon date 3]])),
IF('CF USD'!$A$8="on",T_Eq[[#This Row],[Dividend in USD]],T_Eq[[#This Row],[Dividend in Loc.Curr]])
/T_Eq[[#This Row],[Dividends per annum]],0),
"")</f>
        <v>0</v>
      </c>
      <c r="AA39" s="669">
        <f>IFERROR(IF(
OR(
AA$1+1-1=MONTH($U39),
AA$1+1-1=MONTH(T_Eq[[#This Row],[coupon date 1]]),
AA$1+1-1=MONTH(T_Eq[[#This Row],[coupon date 2]]),
AA$1+1-1=MONTH(T_Eq[[#This Row],[coupon date 3]])),
IF('CF USD'!$A$8="on",T_Eq[[#This Row],[Dividend in USD]],T_Eq[[#This Row],[Dividend in Loc.Curr]])
/T_Eq[[#This Row],[Dividends per annum]],0),
"")</f>
        <v>0</v>
      </c>
      <c r="AB39" s="669">
        <f>IFERROR(IF(
OR(
AB$1+1-1=MONTH($U39),
AB$1+1-1=MONTH(T_Eq[[#This Row],[coupon date 1]]),
AB$1+1-1=MONTH(T_Eq[[#This Row],[coupon date 2]]),
AB$1+1-1=MONTH(T_Eq[[#This Row],[coupon date 3]])),
IF('CF USD'!$A$8="on",T_Eq[[#This Row],[Dividend in USD]],T_Eq[[#This Row],[Dividend in Loc.Curr]])
/T_Eq[[#This Row],[Dividends per annum]],0),
"")</f>
        <v>0</v>
      </c>
      <c r="AC39" s="669" t="str">
        <f>IFERROR(IF(
OR(
AC$1+1-1=MONTH($U39),
AC$1+1-1=MONTH(T_Eq[[#This Row],[coupon date 1]]),
AC$1+1-1=MONTH(T_Eq[[#This Row],[coupon date 2]]),
AC$1+1-1=MONTH(T_Eq[[#This Row],[coupon date 3]])),
IF('CF USD'!$A$8="on",T_Eq[[#This Row],[Dividend in USD]],T_Eq[[#This Row],[Dividend in Loc.Curr]])
/T_Eq[[#This Row],[Dividends per annum]],0),
"")</f>
        <v/>
      </c>
      <c r="AD39" s="669">
        <f>IFERROR(IF(
OR(
AD$1+1-1=MONTH($U39),
AD$1+1-1=MONTH(T_Eq[[#This Row],[coupon date 1]]),
AD$1+1-1=MONTH(T_Eq[[#This Row],[coupon date 2]]),
AD$1+1-1=MONTH(T_Eq[[#This Row],[coupon date 3]])),
IF('CF USD'!$A$8="on",T_Eq[[#This Row],[Dividend in USD]],T_Eq[[#This Row],[Dividend in Loc.Curr]])
/T_Eq[[#This Row],[Dividends per annum]],0),
"")</f>
        <v>0</v>
      </c>
      <c r="AE39" s="669">
        <f>IFERROR(IF(
OR(
AE$1+1-1=MONTH($U39),
AE$1+1-1=MONTH(T_Eq[[#This Row],[coupon date 1]]),
AE$1+1-1=MONTH(T_Eq[[#This Row],[coupon date 2]]),
AE$1+1-1=MONTH(T_Eq[[#This Row],[coupon date 3]])),
IF('CF USD'!$A$8="on",T_Eq[[#This Row],[Dividend in USD]],T_Eq[[#This Row],[Dividend in Loc.Curr]])
/T_Eq[[#This Row],[Dividends per annum]],0),
"")</f>
        <v>0</v>
      </c>
      <c r="AF39" s="669">
        <f>IFERROR(IF(
OR(
AF$1+1-1=MONTH($U39),
AF$1+1-1=MONTH(T_Eq[[#This Row],[coupon date 1]]),
AF$1+1-1=MONTH(T_Eq[[#This Row],[coupon date 2]]),
AF$1+1-1=MONTH(T_Eq[[#This Row],[coupon date 3]])),
IF('CF USD'!$A$8="on",T_Eq[[#This Row],[Dividend in USD]],T_Eq[[#This Row],[Dividend in Loc.Curr]])
/T_Eq[[#This Row],[Dividends per annum]],0),
"")</f>
        <v>0</v>
      </c>
      <c r="AG39" s="669">
        <f>IFERROR(IF(
OR(
AG$1+1-1=MONTH($U39),
AG$1+1-1=MONTH(T_Eq[[#This Row],[coupon date 1]]),
AG$1+1-1=MONTH(T_Eq[[#This Row],[coupon date 2]]),
AG$1+1-1=MONTH(T_Eq[[#This Row],[coupon date 3]])),
IF('CF USD'!$A$8="on",T_Eq[[#This Row],[Dividend in USD]],T_Eq[[#This Row],[Dividend in Loc.Curr]])
/T_Eq[[#This Row],[Dividends per annum]],0),
"")</f>
        <v>0</v>
      </c>
      <c r="AH39" s="669">
        <f>IFERROR(IF(
OR(
AH$1+1-1=MONTH($U39),
AH$1+1-1=MONTH(T_Eq[[#This Row],[coupon date 1]]),
AH$1+1-1=MONTH(T_Eq[[#This Row],[coupon date 2]]),
AH$1+1-1=MONTH(T_Eq[[#This Row],[coupon date 3]])),
IF('CF USD'!$A$8="on",T_Eq[[#This Row],[Dividend in USD]],T_Eq[[#This Row],[Dividend in Loc.Curr]])
/T_Eq[[#This Row],[Dividends per annum]],0),
"")</f>
        <v>0</v>
      </c>
      <c r="AI39" s="669">
        <f>IFERROR(IF(
OR(
AI$1+1-1=MONTH($U39),
AI$1+1-1=MONTH(T_Eq[[#This Row],[coupon date 1]]),
AI$1+1-1=MONTH(T_Eq[[#This Row],[coupon date 2]]),
AI$1+1-1=MONTH(T_Eq[[#This Row],[coupon date 3]])),
IF('CF USD'!$A$8="on",T_Eq[[#This Row],[Dividend in USD]],T_Eq[[#This Row],[Dividend in Loc.Curr]])
/T_Eq[[#This Row],[Dividends per annum]],0),
"")</f>
        <v>0</v>
      </c>
      <c r="AJ39" s="669">
        <f>IFERROR(IF(
OR(
AJ$1+1-1=MONTH($U39),
AJ$1+1-1=MONTH(T_Eq[[#This Row],[coupon date 1]]),
AJ$1+1-1=MONTH(T_Eq[[#This Row],[coupon date 2]]),
AJ$1+1-1=MONTH(T_Eq[[#This Row],[coupon date 3]])),
IF('CF USD'!$A$8="on",T_Eq[[#This Row],[Dividend in USD]],T_Eq[[#This Row],[Dividend in Loc.Curr]])
/T_Eq[[#This Row],[Dividends per annum]],0),
"")</f>
        <v>0</v>
      </c>
    </row>
    <row r="40" spans="1:36" x14ac:dyDescent="0.25">
      <c r="A40" s="70" t="s">
        <v>51</v>
      </c>
      <c r="B40" s="70" t="s">
        <v>1191</v>
      </c>
      <c r="C40" s="676" t="s">
        <v>2258</v>
      </c>
      <c r="D40" s="676" t="s">
        <v>2259</v>
      </c>
      <c r="E40" s="418" t="s">
        <v>18</v>
      </c>
      <c r="F40" s="418" t="e">
        <v>#N/A</v>
      </c>
      <c r="G40" s="418"/>
      <c r="H40" s="418" t="s">
        <v>2476</v>
      </c>
      <c r="I40" s="684">
        <v>54050</v>
      </c>
      <c r="J40" s="295">
        <v>19.36</v>
      </c>
      <c r="K40" s="666">
        <f>ABS(T_Eq[[#This Row],[Quantity]]*T_Eq[[#This Row],[Market price]])</f>
        <v>1046408</v>
      </c>
      <c r="L40" s="666">
        <f>ABS(INDEX('Tech list'!A:C,MATCH(T_Eq[[#This Row],[Risk CCY]],'Tech list'!A:A,0),3)*T_Eq[[#This Row],[Market value, CCY]])</f>
        <v>1046408</v>
      </c>
      <c r="M40" s="679">
        <v>18.478832932469935</v>
      </c>
      <c r="N40" s="666">
        <f>ABS(T_Eq[[#This Row],[Cost price]]*T_Eq[[#This Row],[Quantity]])</f>
        <v>998780.91999999993</v>
      </c>
      <c r="O40" s="213">
        <f>IF(T_Eq[[#This Row],[Quantity]]&lt;0,N40/K40-1,K40/N40-1)</f>
        <v>4.7685212088352857E-2</v>
      </c>
      <c r="P40" s="669">
        <v>1</v>
      </c>
      <c r="Q40" s="668">
        <f>T_Eq[[#This Row],[Dividend per share]]/T_Eq[[#This Row],[Market price]]</f>
        <v>5.1652892561983473E-2</v>
      </c>
      <c r="R40" s="666">
        <f>T_Eq[[#This Row],[Dividend per share]]*T_Eq[[#This Row],[Quantity]]</f>
        <v>54050</v>
      </c>
      <c r="S40" s="666">
        <f>INDEX('Tech list'!A:C,MATCH(T_Eq[[#This Row],[Risk CCY]],'Tech list'!A:A,0),3)*T_Eq[[#This Row],[Dividend in Loc.Curr]]</f>
        <v>54050</v>
      </c>
      <c r="T40" s="666">
        <v>4</v>
      </c>
      <c r="U40" s="675">
        <v>46002</v>
      </c>
      <c r="V40" s="671">
        <f>EDATE(T_Eq[[#This Row],[Next coupon date]],12/$T40)</f>
        <v>46092</v>
      </c>
      <c r="W40" s="671">
        <f>EDATE(T_Eq[[#This Row],[coupon date 1]],12/$T40)</f>
        <v>46184</v>
      </c>
      <c r="X40" s="671">
        <f>EDATE(T_Eq[[#This Row],[coupon date 2]],12/$T40)</f>
        <v>46276</v>
      </c>
      <c r="Y40" s="669">
        <f>IFERROR(IF(
OR(
Y$1+1-1=MONTH($U40),
Y$1+1-1=MONTH(T_Eq[[#This Row],[coupon date 1]]),
Y$1+1-1=MONTH(T_Eq[[#This Row],[coupon date 2]]),
Y$1+1-1=MONTH(T_Eq[[#This Row],[coupon date 3]])),
IF('CF USD'!$A$8="on",T_Eq[[#This Row],[Dividend in USD]],T_Eq[[#This Row],[Dividend in Loc.Curr]])
/T_Eq[[#This Row],[Dividends per annum]],0),
"")</f>
        <v>0</v>
      </c>
      <c r="Z40" s="669">
        <f>IFERROR(IF(
OR(
Z$1+1-1=MONTH($U40),
Z$1+1-1=MONTH(T_Eq[[#This Row],[coupon date 1]]),
Z$1+1-1=MONTH(T_Eq[[#This Row],[coupon date 2]]),
Z$1+1-1=MONTH(T_Eq[[#This Row],[coupon date 3]])),
IF('CF USD'!$A$8="on",T_Eq[[#This Row],[Dividend in USD]],T_Eq[[#This Row],[Dividend in Loc.Curr]])
/T_Eq[[#This Row],[Dividends per annum]],0),
"")</f>
        <v>0</v>
      </c>
      <c r="AA40" s="669">
        <f>IFERROR(IF(
OR(
AA$1+1-1=MONTH($U40),
AA$1+1-1=MONTH(T_Eq[[#This Row],[coupon date 1]]),
AA$1+1-1=MONTH(T_Eq[[#This Row],[coupon date 2]]),
AA$1+1-1=MONTH(T_Eq[[#This Row],[coupon date 3]])),
IF('CF USD'!$A$8="on",T_Eq[[#This Row],[Dividend in USD]],T_Eq[[#This Row],[Dividend in Loc.Curr]])
/T_Eq[[#This Row],[Dividends per annum]],0),
"")</f>
        <v>13512.5</v>
      </c>
      <c r="AB40" s="669">
        <f>IFERROR(IF(
OR(
AB$1+1-1=MONTH($U40),
AB$1+1-1=MONTH(T_Eq[[#This Row],[coupon date 1]]),
AB$1+1-1=MONTH(T_Eq[[#This Row],[coupon date 2]]),
AB$1+1-1=MONTH(T_Eq[[#This Row],[coupon date 3]])),
IF('CF USD'!$A$8="on",T_Eq[[#This Row],[Dividend in USD]],T_Eq[[#This Row],[Dividend in Loc.Curr]])
/T_Eq[[#This Row],[Dividends per annum]],0),
"")</f>
        <v>0</v>
      </c>
      <c r="AC40" s="669">
        <f>IFERROR(IF(
OR(
AC$1+1-1=MONTH($U40),
AC$1+1-1=MONTH(T_Eq[[#This Row],[coupon date 1]]),
AC$1+1-1=MONTH(T_Eq[[#This Row],[coupon date 2]]),
AC$1+1-1=MONTH(T_Eq[[#This Row],[coupon date 3]])),
IF('CF USD'!$A$8="on",T_Eq[[#This Row],[Dividend in USD]],T_Eq[[#This Row],[Dividend in Loc.Curr]])
/T_Eq[[#This Row],[Dividends per annum]],0),
"")</f>
        <v>0</v>
      </c>
      <c r="AD40" s="669">
        <f>IFERROR(IF(
OR(
AD$1+1-1=MONTH($U40),
AD$1+1-1=MONTH(T_Eq[[#This Row],[coupon date 1]]),
AD$1+1-1=MONTH(T_Eq[[#This Row],[coupon date 2]]),
AD$1+1-1=MONTH(T_Eq[[#This Row],[coupon date 3]])),
IF('CF USD'!$A$8="on",T_Eq[[#This Row],[Dividend in USD]],T_Eq[[#This Row],[Dividend in Loc.Curr]])
/T_Eq[[#This Row],[Dividends per annum]],0),
"")</f>
        <v>13512.5</v>
      </c>
      <c r="AE40" s="669">
        <f>IFERROR(IF(
OR(
AE$1+1-1=MONTH($U40),
AE$1+1-1=MONTH(T_Eq[[#This Row],[coupon date 1]]),
AE$1+1-1=MONTH(T_Eq[[#This Row],[coupon date 2]]),
AE$1+1-1=MONTH(T_Eq[[#This Row],[coupon date 3]])),
IF('CF USD'!$A$8="on",T_Eq[[#This Row],[Dividend in USD]],T_Eq[[#This Row],[Dividend in Loc.Curr]])
/T_Eq[[#This Row],[Dividends per annum]],0),
"")</f>
        <v>0</v>
      </c>
      <c r="AF40" s="669">
        <f>IFERROR(IF(
OR(
AF$1+1-1=MONTH($U40),
AF$1+1-1=MONTH(T_Eq[[#This Row],[coupon date 1]]),
AF$1+1-1=MONTH(T_Eq[[#This Row],[coupon date 2]]),
AF$1+1-1=MONTH(T_Eq[[#This Row],[coupon date 3]])),
IF('CF USD'!$A$8="on",T_Eq[[#This Row],[Dividend in USD]],T_Eq[[#This Row],[Dividend in Loc.Curr]])
/T_Eq[[#This Row],[Dividends per annum]],0),
"")</f>
        <v>0</v>
      </c>
      <c r="AG40" s="669">
        <f>IFERROR(IF(
OR(
AG$1+1-1=MONTH($U40),
AG$1+1-1=MONTH(T_Eq[[#This Row],[coupon date 1]]),
AG$1+1-1=MONTH(T_Eq[[#This Row],[coupon date 2]]),
AG$1+1-1=MONTH(T_Eq[[#This Row],[coupon date 3]])),
IF('CF USD'!$A$8="on",T_Eq[[#This Row],[Dividend in USD]],T_Eq[[#This Row],[Dividend in Loc.Curr]])
/T_Eq[[#This Row],[Dividends per annum]],0),
"")</f>
        <v>13512.5</v>
      </c>
      <c r="AH40" s="669">
        <f>IFERROR(IF(
OR(
AH$1+1-1=MONTH($U40),
AH$1+1-1=MONTH(T_Eq[[#This Row],[coupon date 1]]),
AH$1+1-1=MONTH(T_Eq[[#This Row],[coupon date 2]]),
AH$1+1-1=MONTH(T_Eq[[#This Row],[coupon date 3]])),
IF('CF USD'!$A$8="on",T_Eq[[#This Row],[Dividend in USD]],T_Eq[[#This Row],[Dividend in Loc.Curr]])
/T_Eq[[#This Row],[Dividends per annum]],0),
"")</f>
        <v>0</v>
      </c>
      <c r="AI40" s="669">
        <f>IFERROR(IF(
OR(
AI$1+1-1=MONTH($U40),
AI$1+1-1=MONTH(T_Eq[[#This Row],[coupon date 1]]),
AI$1+1-1=MONTH(T_Eq[[#This Row],[coupon date 2]]),
AI$1+1-1=MONTH(T_Eq[[#This Row],[coupon date 3]])),
IF('CF USD'!$A$8="on",T_Eq[[#This Row],[Dividend in USD]],T_Eq[[#This Row],[Dividend in Loc.Curr]])
/T_Eq[[#This Row],[Dividends per annum]],0),
"")</f>
        <v>0</v>
      </c>
      <c r="AJ40" s="669">
        <f>IFERROR(IF(
OR(
AJ$1+1-1=MONTH($U40),
AJ$1+1-1=MONTH(T_Eq[[#This Row],[coupon date 1]]),
AJ$1+1-1=MONTH(T_Eq[[#This Row],[coupon date 2]]),
AJ$1+1-1=MONTH(T_Eq[[#This Row],[coupon date 3]])),
IF('CF USD'!$A$8="on",T_Eq[[#This Row],[Dividend in USD]],T_Eq[[#This Row],[Dividend in Loc.Curr]])
/T_Eq[[#This Row],[Dividends per annum]],0),
"")</f>
        <v>13512.5</v>
      </c>
    </row>
    <row r="41" spans="1:36" x14ac:dyDescent="0.25">
      <c r="A41" s="70" t="s">
        <v>51</v>
      </c>
      <c r="B41" s="70" t="s">
        <v>1191</v>
      </c>
      <c r="C41" s="676" t="s">
        <v>2256</v>
      </c>
      <c r="D41" s="676" t="s">
        <v>2257</v>
      </c>
      <c r="E41" s="676" t="s">
        <v>18</v>
      </c>
      <c r="F41" s="676" t="e">
        <v>#N/A</v>
      </c>
      <c r="G41" s="676"/>
      <c r="H41" s="70" t="s">
        <v>2475</v>
      </c>
      <c r="I41" s="684">
        <v>24575</v>
      </c>
      <c r="J41" s="295">
        <v>26.21</v>
      </c>
      <c r="K41" s="666">
        <f>ABS(T_Eq[[#This Row],[Quantity]]*T_Eq[[#This Row],[Market price]])</f>
        <v>644110.75</v>
      </c>
      <c r="L41" s="666">
        <f>ABS(INDEX('Tech list'!A:C,MATCH(T_Eq[[#This Row],[Risk CCY]],'Tech list'!A:A,0),3)*T_Eq[[#This Row],[Market value, CCY]])</f>
        <v>644110.75</v>
      </c>
      <c r="M41" s="679">
        <v>24.41001912512716</v>
      </c>
      <c r="N41" s="666">
        <f>ABS(T_Eq[[#This Row],[Cost price]]*T_Eq[[#This Row],[Quantity]])</f>
        <v>599876.22</v>
      </c>
      <c r="O41" s="213">
        <f>IF(T_Eq[[#This Row],[Quantity]]&lt;0,N41/K41-1,K41/N41-1)</f>
        <v>7.3739429110892374E-2</v>
      </c>
      <c r="P41" s="669">
        <v>0</v>
      </c>
      <c r="Q41" s="668">
        <f>T_Eq[[#This Row],[Dividend per share]]/T_Eq[[#This Row],[Market price]]</f>
        <v>0</v>
      </c>
      <c r="R41" s="666">
        <f>T_Eq[[#This Row],[Dividend per share]]*T_Eq[[#This Row],[Quantity]]</f>
        <v>0</v>
      </c>
      <c r="S41" s="666">
        <f>INDEX('Tech list'!A:C,MATCH(T_Eq[[#This Row],[Risk CCY]],'Tech list'!A:A,0),3)*T_Eq[[#This Row],[Dividend in Loc.Curr]]</f>
        <v>0</v>
      </c>
      <c r="T41" s="666">
        <v>1</v>
      </c>
      <c r="U41" s="675">
        <v>46023</v>
      </c>
      <c r="V41" s="671">
        <f>EDATE(T_Eq[[#This Row],[Next coupon date]],12/$T41)</f>
        <v>46388</v>
      </c>
      <c r="W41" s="671">
        <f>EDATE(T_Eq[[#This Row],[coupon date 1]],12/$T41)</f>
        <v>46753</v>
      </c>
      <c r="X41" s="671">
        <f>EDATE(T_Eq[[#This Row],[coupon date 2]],12/$T41)</f>
        <v>47119</v>
      </c>
      <c r="Y41" s="669">
        <f>IFERROR(IF(
OR(
Y$1+1-1=MONTH($U41),
Y$1+1-1=MONTH(T_Eq[[#This Row],[coupon date 1]]),
Y$1+1-1=MONTH(T_Eq[[#This Row],[coupon date 2]]),
Y$1+1-1=MONTH(T_Eq[[#This Row],[coupon date 3]])),
IF('CF USD'!$A$8="on",T_Eq[[#This Row],[Dividend in USD]],T_Eq[[#This Row],[Dividend in Loc.Curr]])
/T_Eq[[#This Row],[Dividends per annum]],0),
"")</f>
        <v>0</v>
      </c>
      <c r="Z41" s="669">
        <f>IFERROR(IF(
OR(
Z$1+1-1=MONTH($U41),
Z$1+1-1=MONTH(T_Eq[[#This Row],[coupon date 1]]),
Z$1+1-1=MONTH(T_Eq[[#This Row],[coupon date 2]]),
Z$1+1-1=MONTH(T_Eq[[#This Row],[coupon date 3]])),
IF('CF USD'!$A$8="on",T_Eq[[#This Row],[Dividend in USD]],T_Eq[[#This Row],[Dividend in Loc.Curr]])
/T_Eq[[#This Row],[Dividends per annum]],0),
"")</f>
        <v>0</v>
      </c>
      <c r="AA41" s="669">
        <f>IFERROR(IF(
OR(
AA$1+1-1=MONTH($U41),
AA$1+1-1=MONTH(T_Eq[[#This Row],[coupon date 1]]),
AA$1+1-1=MONTH(T_Eq[[#This Row],[coupon date 2]]),
AA$1+1-1=MONTH(T_Eq[[#This Row],[coupon date 3]])),
IF('CF USD'!$A$8="on",T_Eq[[#This Row],[Dividend in USD]],T_Eq[[#This Row],[Dividend in Loc.Curr]])
/T_Eq[[#This Row],[Dividends per annum]],0),
"")</f>
        <v>0</v>
      </c>
      <c r="AB41" s="669">
        <f>IFERROR(IF(
OR(
AB$1+1-1=MONTH($U41),
AB$1+1-1=MONTH(T_Eq[[#This Row],[coupon date 1]]),
AB$1+1-1=MONTH(T_Eq[[#This Row],[coupon date 2]]),
AB$1+1-1=MONTH(T_Eq[[#This Row],[coupon date 3]])),
IF('CF USD'!$A$8="on",T_Eq[[#This Row],[Dividend in USD]],T_Eq[[#This Row],[Dividend in Loc.Curr]])
/T_Eq[[#This Row],[Dividends per annum]],0),
"")</f>
        <v>0</v>
      </c>
      <c r="AC41" s="669">
        <f>IFERROR(IF(
OR(
AC$1+1-1=MONTH($U41),
AC$1+1-1=MONTH(T_Eq[[#This Row],[coupon date 1]]),
AC$1+1-1=MONTH(T_Eq[[#This Row],[coupon date 2]]),
AC$1+1-1=MONTH(T_Eq[[#This Row],[coupon date 3]])),
IF('CF USD'!$A$8="on",T_Eq[[#This Row],[Dividend in USD]],T_Eq[[#This Row],[Dividend in Loc.Curr]])
/T_Eq[[#This Row],[Dividends per annum]],0),
"")</f>
        <v>0</v>
      </c>
      <c r="AD41" s="669">
        <f>IFERROR(IF(
OR(
AD$1+1-1=MONTH($U41),
AD$1+1-1=MONTH(T_Eq[[#This Row],[coupon date 1]]),
AD$1+1-1=MONTH(T_Eq[[#This Row],[coupon date 2]]),
AD$1+1-1=MONTH(T_Eq[[#This Row],[coupon date 3]])),
IF('CF USD'!$A$8="on",T_Eq[[#This Row],[Dividend in USD]],T_Eq[[#This Row],[Dividend in Loc.Curr]])
/T_Eq[[#This Row],[Dividends per annum]],0),
"")</f>
        <v>0</v>
      </c>
      <c r="AE41" s="669">
        <f>IFERROR(IF(
OR(
AE$1+1-1=MONTH($U41),
AE$1+1-1=MONTH(T_Eq[[#This Row],[coupon date 1]]),
AE$1+1-1=MONTH(T_Eq[[#This Row],[coupon date 2]]),
AE$1+1-1=MONTH(T_Eq[[#This Row],[coupon date 3]])),
IF('CF USD'!$A$8="on",T_Eq[[#This Row],[Dividend in USD]],T_Eq[[#This Row],[Dividend in Loc.Curr]])
/T_Eq[[#This Row],[Dividends per annum]],0),
"")</f>
        <v>0</v>
      </c>
      <c r="AF41" s="669">
        <f>IFERROR(IF(
OR(
AF$1+1-1=MONTH($U41),
AF$1+1-1=MONTH(T_Eq[[#This Row],[coupon date 1]]),
AF$1+1-1=MONTH(T_Eq[[#This Row],[coupon date 2]]),
AF$1+1-1=MONTH(T_Eq[[#This Row],[coupon date 3]])),
IF('CF USD'!$A$8="on",T_Eq[[#This Row],[Dividend in USD]],T_Eq[[#This Row],[Dividend in Loc.Curr]])
/T_Eq[[#This Row],[Dividends per annum]],0),
"")</f>
        <v>0</v>
      </c>
      <c r="AG41" s="669">
        <f>IFERROR(IF(
OR(
AG$1+1-1=MONTH($U41),
AG$1+1-1=MONTH(T_Eq[[#This Row],[coupon date 1]]),
AG$1+1-1=MONTH(T_Eq[[#This Row],[coupon date 2]]),
AG$1+1-1=MONTH(T_Eq[[#This Row],[coupon date 3]])),
IF('CF USD'!$A$8="on",T_Eq[[#This Row],[Dividend in USD]],T_Eq[[#This Row],[Dividend in Loc.Curr]])
/T_Eq[[#This Row],[Dividends per annum]],0),
"")</f>
        <v>0</v>
      </c>
      <c r="AH41" s="669">
        <f>IFERROR(IF(
OR(
AH$1+1-1=MONTH($U41),
AH$1+1-1=MONTH(T_Eq[[#This Row],[coupon date 1]]),
AH$1+1-1=MONTH(T_Eq[[#This Row],[coupon date 2]]),
AH$1+1-1=MONTH(T_Eq[[#This Row],[coupon date 3]])),
IF('CF USD'!$A$8="on",T_Eq[[#This Row],[Dividend in USD]],T_Eq[[#This Row],[Dividend in Loc.Curr]])
/T_Eq[[#This Row],[Dividends per annum]],0),
"")</f>
        <v>0</v>
      </c>
      <c r="AI41" s="669">
        <f>IFERROR(IF(
OR(
AI$1+1-1=MONTH($U41),
AI$1+1-1=MONTH(T_Eq[[#This Row],[coupon date 1]]),
AI$1+1-1=MONTH(T_Eq[[#This Row],[coupon date 2]]),
AI$1+1-1=MONTH(T_Eq[[#This Row],[coupon date 3]])),
IF('CF USD'!$A$8="on",T_Eq[[#This Row],[Dividend in USD]],T_Eq[[#This Row],[Dividend in Loc.Curr]])
/T_Eq[[#This Row],[Dividends per annum]],0),
"")</f>
        <v>0</v>
      </c>
      <c r="AJ41" s="669">
        <f>IFERROR(IF(
OR(
AJ$1+1-1=MONTH($U41),
AJ$1+1-1=MONTH(T_Eq[[#This Row],[coupon date 1]]),
AJ$1+1-1=MONTH(T_Eq[[#This Row],[coupon date 2]]),
AJ$1+1-1=MONTH(T_Eq[[#This Row],[coupon date 3]])),
IF('CF USD'!$A$8="on",T_Eq[[#This Row],[Dividend in USD]],T_Eq[[#This Row],[Dividend in Loc.Curr]])
/T_Eq[[#This Row],[Dividends per annum]],0),
"")</f>
        <v>0</v>
      </c>
    </row>
    <row r="42" spans="1:36" x14ac:dyDescent="0.25">
      <c r="A42" s="70" t="s">
        <v>51</v>
      </c>
      <c r="B42" s="70" t="s">
        <v>1191</v>
      </c>
      <c r="C42" s="676" t="s">
        <v>2349</v>
      </c>
      <c r="D42" s="676" t="s">
        <v>2350</v>
      </c>
      <c r="E42" s="676" t="s">
        <v>18</v>
      </c>
      <c r="F42" s="676" t="e">
        <v>#N/A</v>
      </c>
      <c r="G42" s="676"/>
      <c r="H42" s="418" t="s">
        <v>2476</v>
      </c>
      <c r="I42" s="684">
        <v>57900</v>
      </c>
      <c r="J42" s="295">
        <v>18.0975</v>
      </c>
      <c r="K42" s="666">
        <f>ABS(T_Eq[[#This Row],[Quantity]]*T_Eq[[#This Row],[Market price]])</f>
        <v>1047845.25</v>
      </c>
      <c r="L42" s="666">
        <f>ABS(INDEX('Tech list'!A:C,MATCH(T_Eq[[#This Row],[Risk CCY]],'Tech list'!A:A,0),3)*T_Eq[[#This Row],[Market value, CCY]])</f>
        <v>1047845.25</v>
      </c>
      <c r="M42" s="679">
        <v>17.300523316062176</v>
      </c>
      <c r="N42" s="666">
        <f>ABS(T_Eq[[#This Row],[Cost price]]*T_Eq[[#This Row],[Quantity]])</f>
        <v>1001700.2999999999</v>
      </c>
      <c r="O42" s="213">
        <f>IF(T_Eq[[#This Row],[Quantity]]&lt;0,N42/K42-1,K42/N42-1)</f>
        <v>4.6066622921047351E-2</v>
      </c>
      <c r="P42" s="682">
        <v>0.74099999999999988</v>
      </c>
      <c r="Q42" s="683">
        <f>T_Eq[[#This Row],[Dividend per share]]/T_Eq[[#This Row],[Market price]]</f>
        <v>4.0944881889763772E-2</v>
      </c>
      <c r="R42" s="666">
        <f>T_Eq[[#This Row],[Dividend per share]]*T_Eq[[#This Row],[Quantity]]</f>
        <v>42903.899999999994</v>
      </c>
      <c r="S42" s="666">
        <f>INDEX('Tech list'!A:C,MATCH(T_Eq[[#This Row],[Risk CCY]],'Tech list'!A:A,0),3)*T_Eq[[#This Row],[Dividend in Loc.Curr]]</f>
        <v>42903.899999999994</v>
      </c>
      <c r="T42" s="666">
        <v>4</v>
      </c>
      <c r="U42" s="675">
        <v>46039</v>
      </c>
      <c r="V42" s="671">
        <f>EDATE(T_Eq[[#This Row],[Next coupon date]],12/$T42)</f>
        <v>46129</v>
      </c>
      <c r="W42" s="671">
        <f>EDATE(T_Eq[[#This Row],[coupon date 1]],12/$T42)</f>
        <v>46220</v>
      </c>
      <c r="X42" s="671">
        <f>EDATE(T_Eq[[#This Row],[coupon date 2]],12/$T42)</f>
        <v>46312</v>
      </c>
      <c r="Y42" s="669">
        <f>IFERROR(IF(
OR(
Y$1+1-1=MONTH($U42),
Y$1+1-1=MONTH(T_Eq[[#This Row],[coupon date 1]]),
Y$1+1-1=MONTH(T_Eq[[#This Row],[coupon date 2]]),
Y$1+1-1=MONTH(T_Eq[[#This Row],[coupon date 3]])),
IF('CF USD'!$A$8="on",T_Eq[[#This Row],[Dividend in USD]],T_Eq[[#This Row],[Dividend in Loc.Curr]])
/T_Eq[[#This Row],[Dividends per annum]],0),
"")</f>
        <v>10725.974999999999</v>
      </c>
      <c r="Z42" s="669">
        <f>IFERROR(IF(
OR(
Z$1+1-1=MONTH($U42),
Z$1+1-1=MONTH(T_Eq[[#This Row],[coupon date 1]]),
Z$1+1-1=MONTH(T_Eq[[#This Row],[coupon date 2]]),
Z$1+1-1=MONTH(T_Eq[[#This Row],[coupon date 3]])),
IF('CF USD'!$A$8="on",T_Eq[[#This Row],[Dividend in USD]],T_Eq[[#This Row],[Dividend in Loc.Curr]])
/T_Eq[[#This Row],[Dividends per annum]],0),
"")</f>
        <v>0</v>
      </c>
      <c r="AA42" s="669">
        <f>IFERROR(IF(
OR(
AA$1+1-1=MONTH($U42),
AA$1+1-1=MONTH(T_Eq[[#This Row],[coupon date 1]]),
AA$1+1-1=MONTH(T_Eq[[#This Row],[coupon date 2]]),
AA$1+1-1=MONTH(T_Eq[[#This Row],[coupon date 3]])),
IF('CF USD'!$A$8="on",T_Eq[[#This Row],[Dividend in USD]],T_Eq[[#This Row],[Dividend in Loc.Curr]])
/T_Eq[[#This Row],[Dividends per annum]],0),
"")</f>
        <v>0</v>
      </c>
      <c r="AB42" s="669">
        <f>IFERROR(IF(
OR(
AB$1+1-1=MONTH($U42),
AB$1+1-1=MONTH(T_Eq[[#This Row],[coupon date 1]]),
AB$1+1-1=MONTH(T_Eq[[#This Row],[coupon date 2]]),
AB$1+1-1=MONTH(T_Eq[[#This Row],[coupon date 3]])),
IF('CF USD'!$A$8="on",T_Eq[[#This Row],[Dividend in USD]],T_Eq[[#This Row],[Dividend in Loc.Curr]])
/T_Eq[[#This Row],[Dividends per annum]],0),
"")</f>
        <v>10725.974999999999</v>
      </c>
      <c r="AC42" s="669">
        <f>IFERROR(IF(
OR(
AC$1+1-1=MONTH($U42),
AC$1+1-1=MONTH(T_Eq[[#This Row],[coupon date 1]]),
AC$1+1-1=MONTH(T_Eq[[#This Row],[coupon date 2]]),
AC$1+1-1=MONTH(T_Eq[[#This Row],[coupon date 3]])),
IF('CF USD'!$A$8="on",T_Eq[[#This Row],[Dividend in USD]],T_Eq[[#This Row],[Dividend in Loc.Curr]])
/T_Eq[[#This Row],[Dividends per annum]],0),
"")</f>
        <v>0</v>
      </c>
      <c r="AD42" s="669">
        <f>IFERROR(IF(
OR(
AD$1+1-1=MONTH($U42),
AD$1+1-1=MONTH(T_Eq[[#This Row],[coupon date 1]]),
AD$1+1-1=MONTH(T_Eq[[#This Row],[coupon date 2]]),
AD$1+1-1=MONTH(T_Eq[[#This Row],[coupon date 3]])),
IF('CF USD'!$A$8="on",T_Eq[[#This Row],[Dividend in USD]],T_Eq[[#This Row],[Dividend in Loc.Curr]])
/T_Eq[[#This Row],[Dividends per annum]],0),
"")</f>
        <v>0</v>
      </c>
      <c r="AE42" s="669">
        <f>IFERROR(IF(
OR(
AE$1+1-1=MONTH($U42),
AE$1+1-1=MONTH(T_Eq[[#This Row],[coupon date 1]]),
AE$1+1-1=MONTH(T_Eq[[#This Row],[coupon date 2]]),
AE$1+1-1=MONTH(T_Eq[[#This Row],[coupon date 3]])),
IF('CF USD'!$A$8="on",T_Eq[[#This Row],[Dividend in USD]],T_Eq[[#This Row],[Dividend in Loc.Curr]])
/T_Eq[[#This Row],[Dividends per annum]],0),
"")</f>
        <v>10725.974999999999</v>
      </c>
      <c r="AF42" s="669">
        <f>IFERROR(IF(
OR(
AF$1+1-1=MONTH($U42),
AF$1+1-1=MONTH(T_Eq[[#This Row],[coupon date 1]]),
AF$1+1-1=MONTH(T_Eq[[#This Row],[coupon date 2]]),
AF$1+1-1=MONTH(T_Eq[[#This Row],[coupon date 3]])),
IF('CF USD'!$A$8="on",T_Eq[[#This Row],[Dividend in USD]],T_Eq[[#This Row],[Dividend in Loc.Curr]])
/T_Eq[[#This Row],[Dividends per annum]],0),
"")</f>
        <v>0</v>
      </c>
      <c r="AG42" s="669">
        <f>IFERROR(IF(
OR(
AG$1+1-1=MONTH($U42),
AG$1+1-1=MONTH(T_Eq[[#This Row],[coupon date 1]]),
AG$1+1-1=MONTH(T_Eq[[#This Row],[coupon date 2]]),
AG$1+1-1=MONTH(T_Eq[[#This Row],[coupon date 3]])),
IF('CF USD'!$A$8="on",T_Eq[[#This Row],[Dividend in USD]],T_Eq[[#This Row],[Dividend in Loc.Curr]])
/T_Eq[[#This Row],[Dividends per annum]],0),
"")</f>
        <v>0</v>
      </c>
      <c r="AH42" s="669">
        <f>IFERROR(IF(
OR(
AH$1+1-1=MONTH($U42),
AH$1+1-1=MONTH(T_Eq[[#This Row],[coupon date 1]]),
AH$1+1-1=MONTH(T_Eq[[#This Row],[coupon date 2]]),
AH$1+1-1=MONTH(T_Eq[[#This Row],[coupon date 3]])),
IF('CF USD'!$A$8="on",T_Eq[[#This Row],[Dividend in USD]],T_Eq[[#This Row],[Dividend in Loc.Curr]])
/T_Eq[[#This Row],[Dividends per annum]],0),
"")</f>
        <v>10725.974999999999</v>
      </c>
      <c r="AI42" s="669">
        <f>IFERROR(IF(
OR(
AI$1+1-1=MONTH($U42),
AI$1+1-1=MONTH(T_Eq[[#This Row],[coupon date 1]]),
AI$1+1-1=MONTH(T_Eq[[#This Row],[coupon date 2]]),
AI$1+1-1=MONTH(T_Eq[[#This Row],[coupon date 3]])),
IF('CF USD'!$A$8="on",T_Eq[[#This Row],[Dividend in USD]],T_Eq[[#This Row],[Dividend in Loc.Curr]])
/T_Eq[[#This Row],[Dividends per annum]],0),
"")</f>
        <v>0</v>
      </c>
      <c r="AJ42" s="669">
        <f>IFERROR(IF(
OR(
AJ$1+1-1=MONTH($U42),
AJ$1+1-1=MONTH(T_Eq[[#This Row],[coupon date 1]]),
AJ$1+1-1=MONTH(T_Eq[[#This Row],[coupon date 2]]),
AJ$1+1-1=MONTH(T_Eq[[#This Row],[coupon date 3]])),
IF('CF USD'!$A$8="on",T_Eq[[#This Row],[Dividend in USD]],T_Eq[[#This Row],[Dividend in Loc.Curr]])
/T_Eq[[#This Row],[Dividends per annum]],0),
"")</f>
        <v>0</v>
      </c>
    </row>
    <row r="43" spans="1:36" x14ac:dyDescent="0.25">
      <c r="A43" s="70" t="s">
        <v>51</v>
      </c>
      <c r="B43" s="70" t="s">
        <v>195</v>
      </c>
      <c r="C43" s="676" t="s">
        <v>2345</v>
      </c>
      <c r="D43" s="676" t="s">
        <v>2346</v>
      </c>
      <c r="E43" s="676" t="s">
        <v>18</v>
      </c>
      <c r="F43" s="676" t="s">
        <v>283</v>
      </c>
      <c r="G43" s="676"/>
      <c r="H43" s="70" t="s">
        <v>2475</v>
      </c>
      <c r="I43" s="831" t="e">
        <v>#N/A</v>
      </c>
      <c r="J43" s="295" t="e">
        <v>#N/A</v>
      </c>
      <c r="K43" s="666" t="e">
        <f>ABS(T_Eq[[#This Row],[Quantity]]*T_Eq[[#This Row],[Market price]])</f>
        <v>#N/A</v>
      </c>
      <c r="L43" s="666" t="e">
        <f>ABS(INDEX('Tech list'!A:C,MATCH(T_Eq[[#This Row],[Risk CCY]],'Tech list'!A:A,0),3)*T_Eq[[#This Row],[Market value, CCY]])</f>
        <v>#N/A</v>
      </c>
      <c r="M43" s="679" t="e">
        <v>#N/A</v>
      </c>
      <c r="N43" s="666" t="e">
        <f>ABS(T_Eq[[#This Row],[Cost price]]*T_Eq[[#This Row],[Quantity]])</f>
        <v>#N/A</v>
      </c>
      <c r="O43" s="213" t="e">
        <f>IF(T_Eq[[#This Row],[Quantity]]&lt;0,N43/K43-1,K43/N43-1)</f>
        <v>#N/A</v>
      </c>
      <c r="P43" s="682">
        <v>0</v>
      </c>
      <c r="Q43" s="683" t="e">
        <f>T_Eq[[#This Row],[Dividend per share]]/T_Eq[[#This Row],[Market price]]</f>
        <v>#N/A</v>
      </c>
      <c r="R43" s="666" t="e">
        <f>T_Eq[[#This Row],[Dividend per share]]*T_Eq[[#This Row],[Quantity]]</f>
        <v>#N/A</v>
      </c>
      <c r="S43" s="666" t="e">
        <f>INDEX('Tech list'!A:C,MATCH(T_Eq[[#This Row],[Risk CCY]],'Tech list'!A:A,0),3)*T_Eq[[#This Row],[Dividend in Loc.Curr]]</f>
        <v>#N/A</v>
      </c>
      <c r="T43" s="666">
        <v>1</v>
      </c>
      <c r="U43" s="675">
        <v>46040</v>
      </c>
      <c r="V43" s="671">
        <f>EDATE(T_Eq[[#This Row],[Next coupon date]],12/$T43)</f>
        <v>46405</v>
      </c>
      <c r="W43" s="671">
        <f>EDATE(T_Eq[[#This Row],[coupon date 1]],12/$T43)</f>
        <v>46770</v>
      </c>
      <c r="X43" s="671">
        <f>EDATE(T_Eq[[#This Row],[coupon date 2]],12/$T43)</f>
        <v>47136</v>
      </c>
      <c r="Y43" s="682" t="str">
        <f>IFERROR(IF(
OR(
Y$1+1-1=MONTH($U43),
Y$1+1-1=MONTH(T_Eq[[#This Row],[coupon date 1]]),
Y$1+1-1=MONTH(T_Eq[[#This Row],[coupon date 2]]),
Y$1+1-1=MONTH(T_Eq[[#This Row],[coupon date 3]])),
IF('CF USD'!$A$8="on",T_Eq[[#This Row],[Dividend in USD]],T_Eq[[#This Row],[Dividend in Loc.Curr]])
/T_Eq[[#This Row],[Dividends per annum]],0),
"")</f>
        <v/>
      </c>
      <c r="Z43" s="682">
        <f>IFERROR(IF(
OR(
Z$1+1-1=MONTH($U43),
Z$1+1-1=MONTH(T_Eq[[#This Row],[coupon date 1]]),
Z$1+1-1=MONTH(T_Eq[[#This Row],[coupon date 2]]),
Z$1+1-1=MONTH(T_Eq[[#This Row],[coupon date 3]])),
IF('CF USD'!$A$8="on",T_Eq[[#This Row],[Dividend in USD]],T_Eq[[#This Row],[Dividend in Loc.Curr]])
/T_Eq[[#This Row],[Dividends per annum]],0),
"")</f>
        <v>0</v>
      </c>
      <c r="AA43" s="682">
        <f>IFERROR(IF(
OR(
AA$1+1-1=MONTH($U43),
AA$1+1-1=MONTH(T_Eq[[#This Row],[coupon date 1]]),
AA$1+1-1=MONTH(T_Eq[[#This Row],[coupon date 2]]),
AA$1+1-1=MONTH(T_Eq[[#This Row],[coupon date 3]])),
IF('CF USD'!$A$8="on",T_Eq[[#This Row],[Dividend in USD]],T_Eq[[#This Row],[Dividend in Loc.Curr]])
/T_Eq[[#This Row],[Dividends per annum]],0),
"")</f>
        <v>0</v>
      </c>
      <c r="AB43" s="682">
        <f>IFERROR(IF(
OR(
AB$1+1-1=MONTH($U43),
AB$1+1-1=MONTH(T_Eq[[#This Row],[coupon date 1]]),
AB$1+1-1=MONTH(T_Eq[[#This Row],[coupon date 2]]),
AB$1+1-1=MONTH(T_Eq[[#This Row],[coupon date 3]])),
IF('CF USD'!$A$8="on",T_Eq[[#This Row],[Dividend in USD]],T_Eq[[#This Row],[Dividend in Loc.Curr]])
/T_Eq[[#This Row],[Dividends per annum]],0),
"")</f>
        <v>0</v>
      </c>
      <c r="AC43" s="682">
        <f>IFERROR(IF(
OR(
AC$1+1-1=MONTH($U43),
AC$1+1-1=MONTH(T_Eq[[#This Row],[coupon date 1]]),
AC$1+1-1=MONTH(T_Eq[[#This Row],[coupon date 2]]),
AC$1+1-1=MONTH(T_Eq[[#This Row],[coupon date 3]])),
IF('CF USD'!$A$8="on",T_Eq[[#This Row],[Dividend in USD]],T_Eq[[#This Row],[Dividend in Loc.Curr]])
/T_Eq[[#This Row],[Dividends per annum]],0),
"")</f>
        <v>0</v>
      </c>
      <c r="AD43" s="682">
        <f>IFERROR(IF(
OR(
AD$1+1-1=MONTH($U43),
AD$1+1-1=MONTH(T_Eq[[#This Row],[coupon date 1]]),
AD$1+1-1=MONTH(T_Eq[[#This Row],[coupon date 2]]),
AD$1+1-1=MONTH(T_Eq[[#This Row],[coupon date 3]])),
IF('CF USD'!$A$8="on",T_Eq[[#This Row],[Dividend in USD]],T_Eq[[#This Row],[Dividend in Loc.Curr]])
/T_Eq[[#This Row],[Dividends per annum]],0),
"")</f>
        <v>0</v>
      </c>
      <c r="AE43" s="682">
        <f>IFERROR(IF(
OR(
AE$1+1-1=MONTH($U43),
AE$1+1-1=MONTH(T_Eq[[#This Row],[coupon date 1]]),
AE$1+1-1=MONTH(T_Eq[[#This Row],[coupon date 2]]),
AE$1+1-1=MONTH(T_Eq[[#This Row],[coupon date 3]])),
IF('CF USD'!$A$8="on",T_Eq[[#This Row],[Dividend in USD]],T_Eq[[#This Row],[Dividend in Loc.Curr]])
/T_Eq[[#This Row],[Dividends per annum]],0),
"")</f>
        <v>0</v>
      </c>
      <c r="AF43" s="682">
        <f>IFERROR(IF(
OR(
AF$1+1-1=MONTH($U43),
AF$1+1-1=MONTH(T_Eq[[#This Row],[coupon date 1]]),
AF$1+1-1=MONTH(T_Eq[[#This Row],[coupon date 2]]),
AF$1+1-1=MONTH(T_Eq[[#This Row],[coupon date 3]])),
IF('CF USD'!$A$8="on",T_Eq[[#This Row],[Dividend in USD]],T_Eq[[#This Row],[Dividend in Loc.Curr]])
/T_Eq[[#This Row],[Dividends per annum]],0),
"")</f>
        <v>0</v>
      </c>
      <c r="AG43" s="682">
        <f>IFERROR(IF(
OR(
AG$1+1-1=MONTH($U43),
AG$1+1-1=MONTH(T_Eq[[#This Row],[coupon date 1]]),
AG$1+1-1=MONTH(T_Eq[[#This Row],[coupon date 2]]),
AG$1+1-1=MONTH(T_Eq[[#This Row],[coupon date 3]])),
IF('CF USD'!$A$8="on",T_Eq[[#This Row],[Dividend in USD]],T_Eq[[#This Row],[Dividend in Loc.Curr]])
/T_Eq[[#This Row],[Dividends per annum]],0),
"")</f>
        <v>0</v>
      </c>
      <c r="AH43" s="682">
        <f>IFERROR(IF(
OR(
AH$1+1-1=MONTH($U43),
AH$1+1-1=MONTH(T_Eq[[#This Row],[coupon date 1]]),
AH$1+1-1=MONTH(T_Eq[[#This Row],[coupon date 2]]),
AH$1+1-1=MONTH(T_Eq[[#This Row],[coupon date 3]])),
IF('CF USD'!$A$8="on",T_Eq[[#This Row],[Dividend in USD]],T_Eq[[#This Row],[Dividend in Loc.Curr]])
/T_Eq[[#This Row],[Dividends per annum]],0),
"")</f>
        <v>0</v>
      </c>
      <c r="AI43" s="682">
        <f>IFERROR(IF(
OR(
AI$1+1-1=MONTH($U43),
AI$1+1-1=MONTH(T_Eq[[#This Row],[coupon date 1]]),
AI$1+1-1=MONTH(T_Eq[[#This Row],[coupon date 2]]),
AI$1+1-1=MONTH(T_Eq[[#This Row],[coupon date 3]])),
IF('CF USD'!$A$8="on",T_Eq[[#This Row],[Dividend in USD]],T_Eq[[#This Row],[Dividend in Loc.Curr]])
/T_Eq[[#This Row],[Dividends per annum]],0),
"")</f>
        <v>0</v>
      </c>
      <c r="AJ43" s="682">
        <f>IFERROR(IF(
OR(
AJ$1+1-1=MONTH($U43),
AJ$1+1-1=MONTH(T_Eq[[#This Row],[coupon date 1]]),
AJ$1+1-1=MONTH(T_Eq[[#This Row],[coupon date 2]]),
AJ$1+1-1=MONTH(T_Eq[[#This Row],[coupon date 3]])),
IF('CF USD'!$A$8="on",T_Eq[[#This Row],[Dividend in USD]],T_Eq[[#This Row],[Dividend in Loc.Curr]])
/T_Eq[[#This Row],[Dividends per annum]],0),
"")</f>
        <v>0</v>
      </c>
    </row>
    <row r="44" spans="1:36" x14ac:dyDescent="0.25">
      <c r="A44" s="70" t="s">
        <v>51</v>
      </c>
      <c r="B44" s="70" t="s">
        <v>1191</v>
      </c>
      <c r="C44" s="676" t="s">
        <v>2347</v>
      </c>
      <c r="D44" s="676" t="s">
        <v>2348</v>
      </c>
      <c r="E44" s="676" t="s">
        <v>18</v>
      </c>
      <c r="F44" s="676" t="e">
        <v>#N/A</v>
      </c>
      <c r="G44" s="676"/>
      <c r="H44" s="70" t="s">
        <v>2475</v>
      </c>
      <c r="I44" s="684">
        <v>2730</v>
      </c>
      <c r="J44" s="295">
        <v>211.41</v>
      </c>
      <c r="K44" s="666">
        <f>ABS(T_Eq[[#This Row],[Quantity]]*T_Eq[[#This Row],[Market price]])</f>
        <v>577149.30000000005</v>
      </c>
      <c r="L44" s="666">
        <f>ABS(INDEX('Tech list'!A:C,MATCH(T_Eq[[#This Row],[Risk CCY]],'Tech list'!A:A,0),3)*T_Eq[[#This Row],[Market value, CCY]])</f>
        <v>577149.30000000005</v>
      </c>
      <c r="M44" s="679">
        <v>186.48972161172162</v>
      </c>
      <c r="N44" s="666">
        <f>ABS(T_Eq[[#This Row],[Cost price]]*T_Eq[[#This Row],[Quantity]])</f>
        <v>509116.94</v>
      </c>
      <c r="O44" s="213">
        <f>IF(T_Eq[[#This Row],[Quantity]]&lt;0,N44/K44-1,K44/N44-1)</f>
        <v>0.13362816016296786</v>
      </c>
      <c r="P44" s="682">
        <v>0</v>
      </c>
      <c r="Q44" s="683">
        <f>T_Eq[[#This Row],[Dividend per share]]/T_Eq[[#This Row],[Market price]]</f>
        <v>0</v>
      </c>
      <c r="R44" s="666">
        <f>T_Eq[[#This Row],[Dividend per share]]*T_Eq[[#This Row],[Quantity]]</f>
        <v>0</v>
      </c>
      <c r="S44" s="666">
        <f>INDEX('Tech list'!A:C,MATCH(T_Eq[[#This Row],[Risk CCY]],'Tech list'!A:A,0),3)*T_Eq[[#This Row],[Dividend in Loc.Curr]]</f>
        <v>0</v>
      </c>
      <c r="T44" s="666">
        <v>1</v>
      </c>
      <c r="U44" s="675">
        <v>46041</v>
      </c>
      <c r="V44" s="671">
        <f>EDATE(T_Eq[[#This Row],[Next coupon date]],12/$T44)</f>
        <v>46406</v>
      </c>
      <c r="W44" s="671">
        <f>EDATE(T_Eq[[#This Row],[coupon date 1]],12/$T44)</f>
        <v>46771</v>
      </c>
      <c r="X44" s="671">
        <f>EDATE(T_Eq[[#This Row],[coupon date 2]],12/$T44)</f>
        <v>47137</v>
      </c>
      <c r="Y44" s="682">
        <f>IFERROR(IF(
OR(
Y$1+1-1=MONTH($U44),
Y$1+1-1=MONTH(T_Eq[[#This Row],[coupon date 1]]),
Y$1+1-1=MONTH(T_Eq[[#This Row],[coupon date 2]]),
Y$1+1-1=MONTH(T_Eq[[#This Row],[coupon date 3]])),
IF('CF USD'!$A$8="on",T_Eq[[#This Row],[Dividend in USD]],T_Eq[[#This Row],[Dividend in Loc.Curr]])
/T_Eq[[#This Row],[Dividends per annum]],0),
"")</f>
        <v>0</v>
      </c>
      <c r="Z44" s="682">
        <f>IFERROR(IF(
OR(
Z$1+1-1=MONTH($U44),
Z$1+1-1=MONTH(T_Eq[[#This Row],[coupon date 1]]),
Z$1+1-1=MONTH(T_Eq[[#This Row],[coupon date 2]]),
Z$1+1-1=MONTH(T_Eq[[#This Row],[coupon date 3]])),
IF('CF USD'!$A$8="on",T_Eq[[#This Row],[Dividend in USD]],T_Eq[[#This Row],[Dividend in Loc.Curr]])
/T_Eq[[#This Row],[Dividends per annum]],0),
"")</f>
        <v>0</v>
      </c>
      <c r="AA44" s="682">
        <f>IFERROR(IF(
OR(
AA$1+1-1=MONTH($U44),
AA$1+1-1=MONTH(T_Eq[[#This Row],[coupon date 1]]),
AA$1+1-1=MONTH(T_Eq[[#This Row],[coupon date 2]]),
AA$1+1-1=MONTH(T_Eq[[#This Row],[coupon date 3]])),
IF('CF USD'!$A$8="on",T_Eq[[#This Row],[Dividend in USD]],T_Eq[[#This Row],[Dividend in Loc.Curr]])
/T_Eq[[#This Row],[Dividends per annum]],0),
"")</f>
        <v>0</v>
      </c>
      <c r="AB44" s="682">
        <f>IFERROR(IF(
OR(
AB$1+1-1=MONTH($U44),
AB$1+1-1=MONTH(T_Eq[[#This Row],[coupon date 1]]),
AB$1+1-1=MONTH(T_Eq[[#This Row],[coupon date 2]]),
AB$1+1-1=MONTH(T_Eq[[#This Row],[coupon date 3]])),
IF('CF USD'!$A$8="on",T_Eq[[#This Row],[Dividend in USD]],T_Eq[[#This Row],[Dividend in Loc.Curr]])
/T_Eq[[#This Row],[Dividends per annum]],0),
"")</f>
        <v>0</v>
      </c>
      <c r="AC44" s="682">
        <f>IFERROR(IF(
OR(
AC$1+1-1=MONTH($U44),
AC$1+1-1=MONTH(T_Eq[[#This Row],[coupon date 1]]),
AC$1+1-1=MONTH(T_Eq[[#This Row],[coupon date 2]]),
AC$1+1-1=MONTH(T_Eq[[#This Row],[coupon date 3]])),
IF('CF USD'!$A$8="on",T_Eq[[#This Row],[Dividend in USD]],T_Eq[[#This Row],[Dividend in Loc.Curr]])
/T_Eq[[#This Row],[Dividends per annum]],0),
"")</f>
        <v>0</v>
      </c>
      <c r="AD44" s="682">
        <f>IFERROR(IF(
OR(
AD$1+1-1=MONTH($U44),
AD$1+1-1=MONTH(T_Eq[[#This Row],[coupon date 1]]),
AD$1+1-1=MONTH(T_Eq[[#This Row],[coupon date 2]]),
AD$1+1-1=MONTH(T_Eq[[#This Row],[coupon date 3]])),
IF('CF USD'!$A$8="on",T_Eq[[#This Row],[Dividend in USD]],T_Eq[[#This Row],[Dividend in Loc.Curr]])
/T_Eq[[#This Row],[Dividends per annum]],0),
"")</f>
        <v>0</v>
      </c>
      <c r="AE44" s="682">
        <f>IFERROR(IF(
OR(
AE$1+1-1=MONTH($U44),
AE$1+1-1=MONTH(T_Eq[[#This Row],[coupon date 1]]),
AE$1+1-1=MONTH(T_Eq[[#This Row],[coupon date 2]]),
AE$1+1-1=MONTH(T_Eq[[#This Row],[coupon date 3]])),
IF('CF USD'!$A$8="on",T_Eq[[#This Row],[Dividend in USD]],T_Eq[[#This Row],[Dividend in Loc.Curr]])
/T_Eq[[#This Row],[Dividends per annum]],0),
"")</f>
        <v>0</v>
      </c>
      <c r="AF44" s="682">
        <f>IFERROR(IF(
OR(
AF$1+1-1=MONTH($U44),
AF$1+1-1=MONTH(T_Eq[[#This Row],[coupon date 1]]),
AF$1+1-1=MONTH(T_Eq[[#This Row],[coupon date 2]]),
AF$1+1-1=MONTH(T_Eq[[#This Row],[coupon date 3]])),
IF('CF USD'!$A$8="on",T_Eq[[#This Row],[Dividend in USD]],T_Eq[[#This Row],[Dividend in Loc.Curr]])
/T_Eq[[#This Row],[Dividends per annum]],0),
"")</f>
        <v>0</v>
      </c>
      <c r="AG44" s="682">
        <f>IFERROR(IF(
OR(
AG$1+1-1=MONTH($U44),
AG$1+1-1=MONTH(T_Eq[[#This Row],[coupon date 1]]),
AG$1+1-1=MONTH(T_Eq[[#This Row],[coupon date 2]]),
AG$1+1-1=MONTH(T_Eq[[#This Row],[coupon date 3]])),
IF('CF USD'!$A$8="on",T_Eq[[#This Row],[Dividend in USD]],T_Eq[[#This Row],[Dividend in Loc.Curr]])
/T_Eq[[#This Row],[Dividends per annum]],0),
"")</f>
        <v>0</v>
      </c>
      <c r="AH44" s="682">
        <f>IFERROR(IF(
OR(
AH$1+1-1=MONTH($U44),
AH$1+1-1=MONTH(T_Eq[[#This Row],[coupon date 1]]),
AH$1+1-1=MONTH(T_Eq[[#This Row],[coupon date 2]]),
AH$1+1-1=MONTH(T_Eq[[#This Row],[coupon date 3]])),
IF('CF USD'!$A$8="on",T_Eq[[#This Row],[Dividend in USD]],T_Eq[[#This Row],[Dividend in Loc.Curr]])
/T_Eq[[#This Row],[Dividends per annum]],0),
"")</f>
        <v>0</v>
      </c>
      <c r="AI44" s="682">
        <f>IFERROR(IF(
OR(
AI$1+1-1=MONTH($U44),
AI$1+1-1=MONTH(T_Eq[[#This Row],[coupon date 1]]),
AI$1+1-1=MONTH(T_Eq[[#This Row],[coupon date 2]]),
AI$1+1-1=MONTH(T_Eq[[#This Row],[coupon date 3]])),
IF('CF USD'!$A$8="on",T_Eq[[#This Row],[Dividend in USD]],T_Eq[[#This Row],[Dividend in Loc.Curr]])
/T_Eq[[#This Row],[Dividends per annum]],0),
"")</f>
        <v>0</v>
      </c>
      <c r="AJ44" s="682">
        <f>IFERROR(IF(
OR(
AJ$1+1-1=MONTH($U44),
AJ$1+1-1=MONTH(T_Eq[[#This Row],[coupon date 1]]),
AJ$1+1-1=MONTH(T_Eq[[#This Row],[coupon date 2]]),
AJ$1+1-1=MONTH(T_Eq[[#This Row],[coupon date 3]])),
IF('CF USD'!$A$8="on",T_Eq[[#This Row],[Dividend in USD]],T_Eq[[#This Row],[Dividend in Loc.Curr]])
/T_Eq[[#This Row],[Dividends per annum]],0),
"")</f>
        <v>0</v>
      </c>
    </row>
    <row r="45" spans="1:36" x14ac:dyDescent="0.25">
      <c r="A45" s="70" t="s">
        <v>51</v>
      </c>
      <c r="B45" s="70" t="s">
        <v>195</v>
      </c>
      <c r="C45" s="676" t="s">
        <v>2341</v>
      </c>
      <c r="D45" s="640" t="s">
        <v>1622</v>
      </c>
      <c r="E45" s="672" t="s">
        <v>18</v>
      </c>
      <c r="F45" s="672" t="s">
        <v>283</v>
      </c>
      <c r="G45" s="672"/>
      <c r="H45" s="70" t="s">
        <v>2475</v>
      </c>
      <c r="I45" s="684">
        <v>6680</v>
      </c>
      <c r="J45" s="295">
        <v>61.92</v>
      </c>
      <c r="K45" s="666">
        <f>ABS(T_Eq[[#This Row],[Quantity]]*T_Eq[[#This Row],[Market price]])</f>
        <v>413625.60000000003</v>
      </c>
      <c r="L45" s="666">
        <f>ABS(INDEX('Tech list'!A:C,MATCH(T_Eq[[#This Row],[Risk CCY]],'Tech list'!A:A,0),3)*T_Eq[[#This Row],[Market value, CCY]])</f>
        <v>413625.60000000003</v>
      </c>
      <c r="M45" s="677">
        <v>73.560729041916161</v>
      </c>
      <c r="N45" s="666">
        <f>ABS(T_Eq[[#This Row],[Cost price]]*T_Eq[[#This Row],[Quantity]])</f>
        <v>491385.67</v>
      </c>
      <c r="O45" s="213">
        <f>IF(T_Eq[[#This Row],[Quantity]]&lt;0,N45/K45-1,K45/N45-1)</f>
        <v>-0.15824651541018675</v>
      </c>
      <c r="P45" s="682">
        <v>0</v>
      </c>
      <c r="Q45" s="213">
        <f>T_Eq[[#This Row],[Dividend per share]]/T_Eq[[#This Row],[Market price]]</f>
        <v>0</v>
      </c>
      <c r="R45" s="666">
        <f>T_Eq[[#This Row],[Dividend per share]]*T_Eq[[#This Row],[Quantity]]</f>
        <v>0</v>
      </c>
      <c r="S45" s="666">
        <f>INDEX('Tech list'!A:C,MATCH(T_Eq[[#This Row],[Risk CCY]],'Tech list'!A:A,0),3)*T_Eq[[#This Row],[Dividend in Loc.Curr]]</f>
        <v>0</v>
      </c>
      <c r="T45" s="666">
        <v>1</v>
      </c>
      <c r="U45" s="675">
        <v>46041</v>
      </c>
      <c r="V45" s="671">
        <f>EDATE(T_Eq[[#This Row],[Next coupon date]],12/$T45)</f>
        <v>46406</v>
      </c>
      <c r="W45" s="671">
        <f>EDATE(T_Eq[[#This Row],[coupon date 1]],12/$T45)</f>
        <v>46771</v>
      </c>
      <c r="X45" s="671">
        <f>EDATE(T_Eq[[#This Row],[coupon date 2]],12/$T45)</f>
        <v>47137</v>
      </c>
      <c r="Y45" s="682">
        <f>IFERROR(IF(
OR(
Y$1+1-1=MONTH($U45),
Y$1+1-1=MONTH(T_Eq[[#This Row],[coupon date 1]]),
Y$1+1-1=MONTH(T_Eq[[#This Row],[coupon date 2]]),
Y$1+1-1=MONTH(T_Eq[[#This Row],[coupon date 3]])),
IF('CF USD'!$A$8="on",T_Eq[[#This Row],[Dividend in USD]],T_Eq[[#This Row],[Dividend in Loc.Curr]])
/T_Eq[[#This Row],[Dividends per annum]],0),
"")</f>
        <v>0</v>
      </c>
      <c r="Z45" s="682">
        <f>IFERROR(IF(
OR(
Z$1+1-1=MONTH($U45),
Z$1+1-1=MONTH(T_Eq[[#This Row],[coupon date 1]]),
Z$1+1-1=MONTH(T_Eq[[#This Row],[coupon date 2]]),
Z$1+1-1=MONTH(T_Eq[[#This Row],[coupon date 3]])),
IF('CF USD'!$A$8="on",T_Eq[[#This Row],[Dividend in USD]],T_Eq[[#This Row],[Dividend in Loc.Curr]])
/T_Eq[[#This Row],[Dividends per annum]],0),
"")</f>
        <v>0</v>
      </c>
      <c r="AA45" s="682">
        <f>IFERROR(IF(
OR(
AA$1+1-1=MONTH($U45),
AA$1+1-1=MONTH(T_Eq[[#This Row],[coupon date 1]]),
AA$1+1-1=MONTH(T_Eq[[#This Row],[coupon date 2]]),
AA$1+1-1=MONTH(T_Eq[[#This Row],[coupon date 3]])),
IF('CF USD'!$A$8="on",T_Eq[[#This Row],[Dividend in USD]],T_Eq[[#This Row],[Dividend in Loc.Curr]])
/T_Eq[[#This Row],[Dividends per annum]],0),
"")</f>
        <v>0</v>
      </c>
      <c r="AB45" s="682">
        <f>IFERROR(IF(
OR(
AB$1+1-1=MONTH($U45),
AB$1+1-1=MONTH(T_Eq[[#This Row],[coupon date 1]]),
AB$1+1-1=MONTH(T_Eq[[#This Row],[coupon date 2]]),
AB$1+1-1=MONTH(T_Eq[[#This Row],[coupon date 3]])),
IF('CF USD'!$A$8="on",T_Eq[[#This Row],[Dividend in USD]],T_Eq[[#This Row],[Dividend in Loc.Curr]])
/T_Eq[[#This Row],[Dividends per annum]],0),
"")</f>
        <v>0</v>
      </c>
      <c r="AC45" s="682">
        <f>IFERROR(IF(
OR(
AC$1+1-1=MONTH($U45),
AC$1+1-1=MONTH(T_Eq[[#This Row],[coupon date 1]]),
AC$1+1-1=MONTH(T_Eq[[#This Row],[coupon date 2]]),
AC$1+1-1=MONTH(T_Eq[[#This Row],[coupon date 3]])),
IF('CF USD'!$A$8="on",T_Eq[[#This Row],[Dividend in USD]],T_Eq[[#This Row],[Dividend in Loc.Curr]])
/T_Eq[[#This Row],[Dividends per annum]],0),
"")</f>
        <v>0</v>
      </c>
      <c r="AD45" s="682">
        <f>IFERROR(IF(
OR(
AD$1+1-1=MONTH($U45),
AD$1+1-1=MONTH(T_Eq[[#This Row],[coupon date 1]]),
AD$1+1-1=MONTH(T_Eq[[#This Row],[coupon date 2]]),
AD$1+1-1=MONTH(T_Eq[[#This Row],[coupon date 3]])),
IF('CF USD'!$A$8="on",T_Eq[[#This Row],[Dividend in USD]],T_Eq[[#This Row],[Dividend in Loc.Curr]])
/T_Eq[[#This Row],[Dividends per annum]],0),
"")</f>
        <v>0</v>
      </c>
      <c r="AE45" s="682">
        <f>IFERROR(IF(
OR(
AE$1+1-1=MONTH($U45),
AE$1+1-1=MONTH(T_Eq[[#This Row],[coupon date 1]]),
AE$1+1-1=MONTH(T_Eq[[#This Row],[coupon date 2]]),
AE$1+1-1=MONTH(T_Eq[[#This Row],[coupon date 3]])),
IF('CF USD'!$A$8="on",T_Eq[[#This Row],[Dividend in USD]],T_Eq[[#This Row],[Dividend in Loc.Curr]])
/T_Eq[[#This Row],[Dividends per annum]],0),
"")</f>
        <v>0</v>
      </c>
      <c r="AF45" s="682">
        <f>IFERROR(IF(
OR(
AF$1+1-1=MONTH($U45),
AF$1+1-1=MONTH(T_Eq[[#This Row],[coupon date 1]]),
AF$1+1-1=MONTH(T_Eq[[#This Row],[coupon date 2]]),
AF$1+1-1=MONTH(T_Eq[[#This Row],[coupon date 3]])),
IF('CF USD'!$A$8="on",T_Eq[[#This Row],[Dividend in USD]],T_Eq[[#This Row],[Dividend in Loc.Curr]])
/T_Eq[[#This Row],[Dividends per annum]],0),
"")</f>
        <v>0</v>
      </c>
      <c r="AG45" s="682">
        <f>IFERROR(IF(
OR(
AG$1+1-1=MONTH($U45),
AG$1+1-1=MONTH(T_Eq[[#This Row],[coupon date 1]]),
AG$1+1-1=MONTH(T_Eq[[#This Row],[coupon date 2]]),
AG$1+1-1=MONTH(T_Eq[[#This Row],[coupon date 3]])),
IF('CF USD'!$A$8="on",T_Eq[[#This Row],[Dividend in USD]],T_Eq[[#This Row],[Dividend in Loc.Curr]])
/T_Eq[[#This Row],[Dividends per annum]],0),
"")</f>
        <v>0</v>
      </c>
      <c r="AH45" s="682">
        <f>IFERROR(IF(
OR(
AH$1+1-1=MONTH($U45),
AH$1+1-1=MONTH(T_Eq[[#This Row],[coupon date 1]]),
AH$1+1-1=MONTH(T_Eq[[#This Row],[coupon date 2]]),
AH$1+1-1=MONTH(T_Eq[[#This Row],[coupon date 3]])),
IF('CF USD'!$A$8="on",T_Eq[[#This Row],[Dividend in USD]],T_Eq[[#This Row],[Dividend in Loc.Curr]])
/T_Eq[[#This Row],[Dividends per annum]],0),
"")</f>
        <v>0</v>
      </c>
      <c r="AI45" s="682">
        <f>IFERROR(IF(
OR(
AI$1+1-1=MONTH($U45),
AI$1+1-1=MONTH(T_Eq[[#This Row],[coupon date 1]]),
AI$1+1-1=MONTH(T_Eq[[#This Row],[coupon date 2]]),
AI$1+1-1=MONTH(T_Eq[[#This Row],[coupon date 3]])),
IF('CF USD'!$A$8="on",T_Eq[[#This Row],[Dividend in USD]],T_Eq[[#This Row],[Dividend in Loc.Curr]])
/T_Eq[[#This Row],[Dividends per annum]],0),
"")</f>
        <v>0</v>
      </c>
      <c r="AJ45" s="682">
        <f>IFERROR(IF(
OR(
AJ$1+1-1=MONTH($U45),
AJ$1+1-1=MONTH(T_Eq[[#This Row],[coupon date 1]]),
AJ$1+1-1=MONTH(T_Eq[[#This Row],[coupon date 2]]),
AJ$1+1-1=MONTH(T_Eq[[#This Row],[coupon date 3]])),
IF('CF USD'!$A$8="on",T_Eq[[#This Row],[Dividend in USD]],T_Eq[[#This Row],[Dividend in Loc.Curr]])
/T_Eq[[#This Row],[Dividends per annum]],0),
"")</f>
        <v>0</v>
      </c>
    </row>
    <row r="46" spans="1:36" x14ac:dyDescent="0.25">
      <c r="A46" s="70" t="s">
        <v>51</v>
      </c>
      <c r="B46" s="70" t="s">
        <v>1191</v>
      </c>
      <c r="C46" s="676" t="s">
        <v>2343</v>
      </c>
      <c r="D46" s="640" t="s">
        <v>2344</v>
      </c>
      <c r="E46" s="672" t="s">
        <v>18</v>
      </c>
      <c r="F46" s="672" t="e">
        <v>#N/A</v>
      </c>
      <c r="G46" s="672"/>
      <c r="H46" s="418" t="s">
        <v>2476</v>
      </c>
      <c r="I46" s="684" t="e">
        <v>#N/A</v>
      </c>
      <c r="J46" s="295" t="e">
        <v>#N/A</v>
      </c>
      <c r="K46" s="666" t="e">
        <f>ABS(T_Eq[[#This Row],[Quantity]]*T_Eq[[#This Row],[Market price]])</f>
        <v>#N/A</v>
      </c>
      <c r="L46" s="666" t="e">
        <f>ABS(INDEX('Tech list'!A:C,MATCH(T_Eq[[#This Row],[Risk CCY]],'Tech list'!A:A,0),3)*T_Eq[[#This Row],[Market value, CCY]])</f>
        <v>#N/A</v>
      </c>
      <c r="M46" s="677" t="e">
        <v>#N/A</v>
      </c>
      <c r="N46" s="666" t="e">
        <f>ABS(T_Eq[[#This Row],[Cost price]]*T_Eq[[#This Row],[Quantity]])</f>
        <v>#N/A</v>
      </c>
      <c r="O46" s="213" t="e">
        <f>IF(T_Eq[[#This Row],[Quantity]]&lt;0,N46/K46-1,K46/N46-1)</f>
        <v>#N/A</v>
      </c>
      <c r="P46" s="682">
        <v>2.0960000000000001</v>
      </c>
      <c r="Q46" s="213" t="e">
        <f>T_Eq[[#This Row],[Dividend per share]]/T_Eq[[#This Row],[Market price]]</f>
        <v>#N/A</v>
      </c>
      <c r="R46" s="666" t="e">
        <f>T_Eq[[#This Row],[Dividend per share]]*T_Eq[[#This Row],[Quantity]]</f>
        <v>#N/A</v>
      </c>
      <c r="S46" s="666" t="e">
        <f>INDEX('Tech list'!A:C,MATCH(T_Eq[[#This Row],[Risk CCY]],'Tech list'!A:A,0),3)*T_Eq[[#This Row],[Dividend in Loc.Curr]]</f>
        <v>#N/A</v>
      </c>
      <c r="T46" s="666">
        <v>1</v>
      </c>
      <c r="U46" s="675">
        <v>46379</v>
      </c>
      <c r="V46" s="671">
        <f>EDATE(T_Eq[[#This Row],[Next coupon date]],12/$T46)</f>
        <v>46744</v>
      </c>
      <c r="W46" s="671">
        <f>EDATE(T_Eq[[#This Row],[coupon date 1]],12/$T46)</f>
        <v>47110</v>
      </c>
      <c r="X46" s="671">
        <f>EDATE(T_Eq[[#This Row],[coupon date 2]],12/$T46)</f>
        <v>47475</v>
      </c>
      <c r="Y46" s="682">
        <f>IFERROR(IF(
OR(
Y$1+1-1=MONTH($U46),
Y$1+1-1=MONTH(T_Eq[[#This Row],[coupon date 1]]),
Y$1+1-1=MONTH(T_Eq[[#This Row],[coupon date 2]]),
Y$1+1-1=MONTH(T_Eq[[#This Row],[coupon date 3]])),
IF('CF USD'!$A$8="on",T_Eq[[#This Row],[Dividend in USD]],T_Eq[[#This Row],[Dividend in Loc.Curr]])
/T_Eq[[#This Row],[Dividends per annum]],0),
"")</f>
        <v>0</v>
      </c>
      <c r="Z46" s="682">
        <f>IFERROR(IF(
OR(
Z$1+1-1=MONTH($U46),
Z$1+1-1=MONTH(T_Eq[[#This Row],[coupon date 1]]),
Z$1+1-1=MONTH(T_Eq[[#This Row],[coupon date 2]]),
Z$1+1-1=MONTH(T_Eq[[#This Row],[coupon date 3]])),
IF('CF USD'!$A$8="on",T_Eq[[#This Row],[Dividend in USD]],T_Eq[[#This Row],[Dividend in Loc.Curr]])
/T_Eq[[#This Row],[Dividends per annum]],0),
"")</f>
        <v>0</v>
      </c>
      <c r="AA46" s="682">
        <f>IFERROR(IF(
OR(
AA$1+1-1=MONTH($U46),
AA$1+1-1=MONTH(T_Eq[[#This Row],[coupon date 1]]),
AA$1+1-1=MONTH(T_Eq[[#This Row],[coupon date 2]]),
AA$1+1-1=MONTH(T_Eq[[#This Row],[coupon date 3]])),
IF('CF USD'!$A$8="on",T_Eq[[#This Row],[Dividend in USD]],T_Eq[[#This Row],[Dividend in Loc.Curr]])
/T_Eq[[#This Row],[Dividends per annum]],0),
"")</f>
        <v>0</v>
      </c>
      <c r="AB46" s="682">
        <f>IFERROR(IF(
OR(
AB$1+1-1=MONTH($U46),
AB$1+1-1=MONTH(T_Eq[[#This Row],[coupon date 1]]),
AB$1+1-1=MONTH(T_Eq[[#This Row],[coupon date 2]]),
AB$1+1-1=MONTH(T_Eq[[#This Row],[coupon date 3]])),
IF('CF USD'!$A$8="on",T_Eq[[#This Row],[Dividend in USD]],T_Eq[[#This Row],[Dividend in Loc.Curr]])
/T_Eq[[#This Row],[Dividends per annum]],0),
"")</f>
        <v>0</v>
      </c>
      <c r="AC46" s="682">
        <f>IFERROR(IF(
OR(
AC$1+1-1=MONTH($U46),
AC$1+1-1=MONTH(T_Eq[[#This Row],[coupon date 1]]),
AC$1+1-1=MONTH(T_Eq[[#This Row],[coupon date 2]]),
AC$1+1-1=MONTH(T_Eq[[#This Row],[coupon date 3]])),
IF('CF USD'!$A$8="on",T_Eq[[#This Row],[Dividend in USD]],T_Eq[[#This Row],[Dividend in Loc.Curr]])
/T_Eq[[#This Row],[Dividends per annum]],0),
"")</f>
        <v>0</v>
      </c>
      <c r="AD46" s="682">
        <f>IFERROR(IF(
OR(
AD$1+1-1=MONTH($U46),
AD$1+1-1=MONTH(T_Eq[[#This Row],[coupon date 1]]),
AD$1+1-1=MONTH(T_Eq[[#This Row],[coupon date 2]]),
AD$1+1-1=MONTH(T_Eq[[#This Row],[coupon date 3]])),
IF('CF USD'!$A$8="on",T_Eq[[#This Row],[Dividend in USD]],T_Eq[[#This Row],[Dividend in Loc.Curr]])
/T_Eq[[#This Row],[Dividends per annum]],0),
"")</f>
        <v>0</v>
      </c>
      <c r="AE46" s="682">
        <f>IFERROR(IF(
OR(
AE$1+1-1=MONTH($U46),
AE$1+1-1=MONTH(T_Eq[[#This Row],[coupon date 1]]),
AE$1+1-1=MONTH(T_Eq[[#This Row],[coupon date 2]]),
AE$1+1-1=MONTH(T_Eq[[#This Row],[coupon date 3]])),
IF('CF USD'!$A$8="on",T_Eq[[#This Row],[Dividend in USD]],T_Eq[[#This Row],[Dividend in Loc.Curr]])
/T_Eq[[#This Row],[Dividends per annum]],0),
"")</f>
        <v>0</v>
      </c>
      <c r="AF46" s="682">
        <f>IFERROR(IF(
OR(
AF$1+1-1=MONTH($U46),
AF$1+1-1=MONTH(T_Eq[[#This Row],[coupon date 1]]),
AF$1+1-1=MONTH(T_Eq[[#This Row],[coupon date 2]]),
AF$1+1-1=MONTH(T_Eq[[#This Row],[coupon date 3]])),
IF('CF USD'!$A$8="on",T_Eq[[#This Row],[Dividend in USD]],T_Eq[[#This Row],[Dividend in Loc.Curr]])
/T_Eq[[#This Row],[Dividends per annum]],0),
"")</f>
        <v>0</v>
      </c>
      <c r="AG46" s="682">
        <f>IFERROR(IF(
OR(
AG$1+1-1=MONTH($U46),
AG$1+1-1=MONTH(T_Eq[[#This Row],[coupon date 1]]),
AG$1+1-1=MONTH(T_Eq[[#This Row],[coupon date 2]]),
AG$1+1-1=MONTH(T_Eq[[#This Row],[coupon date 3]])),
IF('CF USD'!$A$8="on",T_Eq[[#This Row],[Dividend in USD]],T_Eq[[#This Row],[Dividend in Loc.Curr]])
/T_Eq[[#This Row],[Dividends per annum]],0),
"")</f>
        <v>0</v>
      </c>
      <c r="AH46" s="682">
        <f>IFERROR(IF(
OR(
AH$1+1-1=MONTH($U46),
AH$1+1-1=MONTH(T_Eq[[#This Row],[coupon date 1]]),
AH$1+1-1=MONTH(T_Eq[[#This Row],[coupon date 2]]),
AH$1+1-1=MONTH(T_Eq[[#This Row],[coupon date 3]])),
IF('CF USD'!$A$8="on",T_Eq[[#This Row],[Dividend in USD]],T_Eq[[#This Row],[Dividend in Loc.Curr]])
/T_Eq[[#This Row],[Dividends per annum]],0),
"")</f>
        <v>0</v>
      </c>
      <c r="AI46" s="682">
        <f>IFERROR(IF(
OR(
AI$1+1-1=MONTH($U46),
AI$1+1-1=MONTH(T_Eq[[#This Row],[coupon date 1]]),
AI$1+1-1=MONTH(T_Eq[[#This Row],[coupon date 2]]),
AI$1+1-1=MONTH(T_Eq[[#This Row],[coupon date 3]])),
IF('CF USD'!$A$8="on",T_Eq[[#This Row],[Dividend in USD]],T_Eq[[#This Row],[Dividend in Loc.Curr]])
/T_Eq[[#This Row],[Dividends per annum]],0),
"")</f>
        <v>0</v>
      </c>
      <c r="AJ46" s="682" t="str">
        <f>IFERROR(IF(
OR(
AJ$1+1-1=MONTH($U46),
AJ$1+1-1=MONTH(T_Eq[[#This Row],[coupon date 1]]),
AJ$1+1-1=MONTH(T_Eq[[#This Row],[coupon date 2]]),
AJ$1+1-1=MONTH(T_Eq[[#This Row],[coupon date 3]])),
IF('CF USD'!$A$8="on",T_Eq[[#This Row],[Dividend in USD]],T_Eq[[#This Row],[Dividend in Loc.Curr]])
/T_Eq[[#This Row],[Dividends per annum]],0),
"")</f>
        <v/>
      </c>
    </row>
    <row r="47" spans="1:36" x14ac:dyDescent="0.25">
      <c r="A47" s="70" t="s">
        <v>51</v>
      </c>
      <c r="B47" s="70" t="s">
        <v>1191</v>
      </c>
      <c r="C47" s="676" t="s">
        <v>2339</v>
      </c>
      <c r="D47" s="676" t="s">
        <v>2340</v>
      </c>
      <c r="E47" s="672" t="s">
        <v>21</v>
      </c>
      <c r="F47" s="672" t="e">
        <v>#N/A</v>
      </c>
      <c r="G47" s="672"/>
      <c r="H47" s="70" t="s">
        <v>2475</v>
      </c>
      <c r="I47" s="684">
        <v>6520</v>
      </c>
      <c r="J47" s="295">
        <v>77.930000000000007</v>
      </c>
      <c r="K47" s="666">
        <f>ABS(T_Eq[[#This Row],[Quantity]]*T_Eq[[#This Row],[Market price]])</f>
        <v>508103.60000000003</v>
      </c>
      <c r="L47" s="666">
        <f ca="1">ABS(INDEX('Tech list'!A:C,MATCH(T_Eq[[#This Row],[Risk CCY]],'Tech list'!A:A,0),3)*T_Eq[[#This Row],[Market value, CCY]])</f>
        <v>587926.67556</v>
      </c>
      <c r="M47" s="677">
        <v>76.359315950920248</v>
      </c>
      <c r="N47" s="666">
        <f>ABS(T_Eq[[#This Row],[Cost price]]*T_Eq[[#This Row],[Quantity]])</f>
        <v>497862.74</v>
      </c>
      <c r="O47" s="213">
        <f>IF(T_Eq[[#This Row],[Quantity]]&lt;0,N47/K47-1,K47/N47-1)</f>
        <v>2.0569645360486444E-2</v>
      </c>
      <c r="P47" s="669">
        <v>2.42</v>
      </c>
      <c r="Q47" s="213">
        <f>T_Eq[[#This Row],[Dividend per share]]/T_Eq[[#This Row],[Market price]]</f>
        <v>3.1053509559861411E-2</v>
      </c>
      <c r="R47" s="666">
        <f>T_Eq[[#This Row],[Dividend per share]]*T_Eq[[#This Row],[Quantity]]</f>
        <v>15778.4</v>
      </c>
      <c r="S47" s="666">
        <f ca="1">INDEX('Tech list'!A:C,MATCH(T_Eq[[#This Row],[Risk CCY]],'Tech list'!A:A,0),3)*T_Eq[[#This Row],[Dividend in Loc.Curr]]</f>
        <v>18257.18664</v>
      </c>
      <c r="T47" s="666">
        <v>1</v>
      </c>
      <c r="U47" s="675">
        <v>46366</v>
      </c>
      <c r="V47" s="671">
        <f>EDATE(T_Eq[[#This Row],[Next coupon date]],12/$T47)</f>
        <v>46731</v>
      </c>
      <c r="W47" s="671">
        <f>EDATE(T_Eq[[#This Row],[coupon date 1]],12/$T47)</f>
        <v>47097</v>
      </c>
      <c r="X47" s="671">
        <f>EDATE(T_Eq[[#This Row],[coupon date 2]],12/$T47)</f>
        <v>47462</v>
      </c>
      <c r="Y47" s="682">
        <f>IFERROR(IF(
OR(
Y$1+1-1=MONTH($U47),
Y$1+1-1=MONTH(T_Eq[[#This Row],[coupon date 1]]),
Y$1+1-1=MONTH(T_Eq[[#This Row],[coupon date 2]]),
Y$1+1-1=MONTH(T_Eq[[#This Row],[coupon date 3]])),
IF('CF USD'!$A$8="on",T_Eq[[#This Row],[Dividend in USD]],T_Eq[[#This Row],[Dividend in Loc.Curr]])
/T_Eq[[#This Row],[Dividends per annum]],0),
"")</f>
        <v>0</v>
      </c>
      <c r="Z47" s="682">
        <f>IFERROR(IF(
OR(
Z$1+1-1=MONTH($U47),
Z$1+1-1=MONTH(T_Eq[[#This Row],[coupon date 1]]),
Z$1+1-1=MONTH(T_Eq[[#This Row],[coupon date 2]]),
Z$1+1-1=MONTH(T_Eq[[#This Row],[coupon date 3]])),
IF('CF USD'!$A$8="on",T_Eq[[#This Row],[Dividend in USD]],T_Eq[[#This Row],[Dividend in Loc.Curr]])
/T_Eq[[#This Row],[Dividends per annum]],0),
"")</f>
        <v>0</v>
      </c>
      <c r="AA47" s="682">
        <f>IFERROR(IF(
OR(
AA$1+1-1=MONTH($U47),
AA$1+1-1=MONTH(T_Eq[[#This Row],[coupon date 1]]),
AA$1+1-1=MONTH(T_Eq[[#This Row],[coupon date 2]]),
AA$1+1-1=MONTH(T_Eq[[#This Row],[coupon date 3]])),
IF('CF USD'!$A$8="on",T_Eq[[#This Row],[Dividend in USD]],T_Eq[[#This Row],[Dividend in Loc.Curr]])
/T_Eq[[#This Row],[Dividends per annum]],0),
"")</f>
        <v>0</v>
      </c>
      <c r="AB47" s="682">
        <f>IFERROR(IF(
OR(
AB$1+1-1=MONTH($U47),
AB$1+1-1=MONTH(T_Eq[[#This Row],[coupon date 1]]),
AB$1+1-1=MONTH(T_Eq[[#This Row],[coupon date 2]]),
AB$1+1-1=MONTH(T_Eq[[#This Row],[coupon date 3]])),
IF('CF USD'!$A$8="on",T_Eq[[#This Row],[Dividend in USD]],T_Eq[[#This Row],[Dividend in Loc.Curr]])
/T_Eq[[#This Row],[Dividends per annum]],0),
"")</f>
        <v>0</v>
      </c>
      <c r="AC47" s="682">
        <f>IFERROR(IF(
OR(
AC$1+1-1=MONTH($U47),
AC$1+1-1=MONTH(T_Eq[[#This Row],[coupon date 1]]),
AC$1+1-1=MONTH(T_Eq[[#This Row],[coupon date 2]]),
AC$1+1-1=MONTH(T_Eq[[#This Row],[coupon date 3]])),
IF('CF USD'!$A$8="on",T_Eq[[#This Row],[Dividend in USD]],T_Eq[[#This Row],[Dividend in Loc.Curr]])
/T_Eq[[#This Row],[Dividends per annum]],0),
"")</f>
        <v>0</v>
      </c>
      <c r="AD47" s="682">
        <f>IFERROR(IF(
OR(
AD$1+1-1=MONTH($U47),
AD$1+1-1=MONTH(T_Eq[[#This Row],[coupon date 1]]),
AD$1+1-1=MONTH(T_Eq[[#This Row],[coupon date 2]]),
AD$1+1-1=MONTH(T_Eq[[#This Row],[coupon date 3]])),
IF('CF USD'!$A$8="on",T_Eq[[#This Row],[Dividend in USD]],T_Eq[[#This Row],[Dividend in Loc.Curr]])
/T_Eq[[#This Row],[Dividends per annum]],0),
"")</f>
        <v>0</v>
      </c>
      <c r="AE47" s="682">
        <f>IFERROR(IF(
OR(
AE$1+1-1=MONTH($U47),
AE$1+1-1=MONTH(T_Eq[[#This Row],[coupon date 1]]),
AE$1+1-1=MONTH(T_Eq[[#This Row],[coupon date 2]]),
AE$1+1-1=MONTH(T_Eq[[#This Row],[coupon date 3]])),
IF('CF USD'!$A$8="on",T_Eq[[#This Row],[Dividend in USD]],T_Eq[[#This Row],[Dividend in Loc.Curr]])
/T_Eq[[#This Row],[Dividends per annum]],0),
"")</f>
        <v>0</v>
      </c>
      <c r="AF47" s="682">
        <f>IFERROR(IF(
OR(
AF$1+1-1=MONTH($U47),
AF$1+1-1=MONTH(T_Eq[[#This Row],[coupon date 1]]),
AF$1+1-1=MONTH(T_Eq[[#This Row],[coupon date 2]]),
AF$1+1-1=MONTH(T_Eq[[#This Row],[coupon date 3]])),
IF('CF USD'!$A$8="on",T_Eq[[#This Row],[Dividend in USD]],T_Eq[[#This Row],[Dividend in Loc.Curr]])
/T_Eq[[#This Row],[Dividends per annum]],0),
"")</f>
        <v>0</v>
      </c>
      <c r="AG47" s="682">
        <f>IFERROR(IF(
OR(
AG$1+1-1=MONTH($U47),
AG$1+1-1=MONTH(T_Eq[[#This Row],[coupon date 1]]),
AG$1+1-1=MONTH(T_Eq[[#This Row],[coupon date 2]]),
AG$1+1-1=MONTH(T_Eq[[#This Row],[coupon date 3]])),
IF('CF USD'!$A$8="on",T_Eq[[#This Row],[Dividend in USD]],T_Eq[[#This Row],[Dividend in Loc.Curr]])
/T_Eq[[#This Row],[Dividends per annum]],0),
"")</f>
        <v>0</v>
      </c>
      <c r="AH47" s="682">
        <f>IFERROR(IF(
OR(
AH$1+1-1=MONTH($U47),
AH$1+1-1=MONTH(T_Eq[[#This Row],[coupon date 1]]),
AH$1+1-1=MONTH(T_Eq[[#This Row],[coupon date 2]]),
AH$1+1-1=MONTH(T_Eq[[#This Row],[coupon date 3]])),
IF('CF USD'!$A$8="on",T_Eq[[#This Row],[Dividend in USD]],T_Eq[[#This Row],[Dividend in Loc.Curr]])
/T_Eq[[#This Row],[Dividends per annum]],0),
"")</f>
        <v>0</v>
      </c>
      <c r="AI47" s="682">
        <f>IFERROR(IF(
OR(
AI$1+1-1=MONTH($U47),
AI$1+1-1=MONTH(T_Eq[[#This Row],[coupon date 1]]),
AI$1+1-1=MONTH(T_Eq[[#This Row],[coupon date 2]]),
AI$1+1-1=MONTH(T_Eq[[#This Row],[coupon date 3]])),
IF('CF USD'!$A$8="on",T_Eq[[#This Row],[Dividend in USD]],T_Eq[[#This Row],[Dividend in Loc.Curr]])
/T_Eq[[#This Row],[Dividends per annum]],0),
"")</f>
        <v>0</v>
      </c>
      <c r="AJ47" s="682">
        <f>IFERROR(IF(
OR(
AJ$1+1-1=MONTH($U47),
AJ$1+1-1=MONTH(T_Eq[[#This Row],[coupon date 1]]),
AJ$1+1-1=MONTH(T_Eq[[#This Row],[coupon date 2]]),
AJ$1+1-1=MONTH(T_Eq[[#This Row],[coupon date 3]])),
IF('CF USD'!$A$8="on",T_Eq[[#This Row],[Dividend in USD]],T_Eq[[#This Row],[Dividend in Loc.Curr]])
/T_Eq[[#This Row],[Dividends per annum]],0),
"")</f>
        <v>15778.4</v>
      </c>
    </row>
    <row r="48" spans="1:36" x14ac:dyDescent="0.25">
      <c r="A48" s="70" t="s">
        <v>51</v>
      </c>
      <c r="B48" s="70" t="s">
        <v>195</v>
      </c>
      <c r="C48" s="676" t="s">
        <v>2420</v>
      </c>
      <c r="D48" s="676" t="s">
        <v>1500</v>
      </c>
      <c r="E48" s="672" t="s">
        <v>18</v>
      </c>
      <c r="F48" s="672" t="s">
        <v>283</v>
      </c>
      <c r="G48" s="672"/>
      <c r="H48" s="70" t="s">
        <v>2475</v>
      </c>
      <c r="I48" s="684">
        <v>3475</v>
      </c>
      <c r="J48" s="295">
        <v>62.56</v>
      </c>
      <c r="K48" s="666">
        <f>ABS(T_Eq[[#This Row],[Quantity]]*T_Eq[[#This Row],[Market price]])</f>
        <v>217396</v>
      </c>
      <c r="L48" s="666">
        <f>ABS(INDEX('Tech list'!A:C,MATCH(T_Eq[[#This Row],[Risk CCY]],'Tech list'!A:A,0),3)*T_Eq[[#This Row],[Market value, CCY]])</f>
        <v>217396</v>
      </c>
      <c r="M48" s="677">
        <v>57.704195683453236</v>
      </c>
      <c r="N48" s="666">
        <f>ABS(T_Eq[[#This Row],[Cost price]]*T_Eq[[#This Row],[Quantity]])</f>
        <v>200522.08</v>
      </c>
      <c r="O48" s="213">
        <f>IF(T_Eq[[#This Row],[Quantity]]&lt;0,N48/K48-1,K48/N48-1)</f>
        <v>8.4149935009650845E-2</v>
      </c>
      <c r="P48" s="669">
        <v>0.92</v>
      </c>
      <c r="Q48" s="213">
        <f>T_Eq[[#This Row],[Dividend per share]]/T_Eq[[#This Row],[Market price]]</f>
        <v>1.4705882352941176E-2</v>
      </c>
      <c r="R48" s="666">
        <f>T_Eq[[#This Row],[Dividend per share]]*T_Eq[[#This Row],[Quantity]]</f>
        <v>3197</v>
      </c>
      <c r="S48" s="666">
        <f>INDEX('Tech list'!A:C,MATCH(T_Eq[[#This Row],[Risk CCY]],'Tech list'!A:A,0),3)*T_Eq[[#This Row],[Dividend in Loc.Curr]]</f>
        <v>3197</v>
      </c>
      <c r="T48" s="666">
        <v>4</v>
      </c>
      <c r="U48" s="675">
        <v>46074</v>
      </c>
      <c r="V48" s="671">
        <f>EDATE(T_Eq[[#This Row],[Next coupon date]],12/$T48)</f>
        <v>46163</v>
      </c>
      <c r="W48" s="671">
        <f>EDATE(T_Eq[[#This Row],[coupon date 1]],12/$T48)</f>
        <v>46255</v>
      </c>
      <c r="X48" s="671">
        <f>EDATE(T_Eq[[#This Row],[coupon date 2]],12/$T48)</f>
        <v>46347</v>
      </c>
      <c r="Y48" s="682">
        <f>IFERROR(IF(
OR(
Y$1+1-1=MONTH($U48),
Y$1+1-1=MONTH(T_Eq[[#This Row],[coupon date 1]]),
Y$1+1-1=MONTH(T_Eq[[#This Row],[coupon date 2]]),
Y$1+1-1=MONTH(T_Eq[[#This Row],[coupon date 3]])),
IF('CF USD'!$A$8="on",T_Eq[[#This Row],[Dividend in USD]],T_Eq[[#This Row],[Dividend in Loc.Curr]])
/T_Eq[[#This Row],[Dividends per annum]],0),
"")</f>
        <v>0</v>
      </c>
      <c r="Z48" s="682">
        <f>IFERROR(IF(
OR(
Z$1+1-1=MONTH($U48),
Z$1+1-1=MONTH(T_Eq[[#This Row],[coupon date 1]]),
Z$1+1-1=MONTH(T_Eq[[#This Row],[coupon date 2]]),
Z$1+1-1=MONTH(T_Eq[[#This Row],[coupon date 3]])),
IF('CF USD'!$A$8="on",T_Eq[[#This Row],[Dividend in USD]],T_Eq[[#This Row],[Dividend in Loc.Curr]])
/T_Eq[[#This Row],[Dividends per annum]],0),
"")</f>
        <v>799.25</v>
      </c>
      <c r="AA48" s="682">
        <f>IFERROR(IF(
OR(
AA$1+1-1=MONTH($U48),
AA$1+1-1=MONTH(T_Eq[[#This Row],[coupon date 1]]),
AA$1+1-1=MONTH(T_Eq[[#This Row],[coupon date 2]]),
AA$1+1-1=MONTH(T_Eq[[#This Row],[coupon date 3]])),
IF('CF USD'!$A$8="on",T_Eq[[#This Row],[Dividend in USD]],T_Eq[[#This Row],[Dividend in Loc.Curr]])
/T_Eq[[#This Row],[Dividends per annum]],0),
"")</f>
        <v>0</v>
      </c>
      <c r="AB48" s="682">
        <f>IFERROR(IF(
OR(
AB$1+1-1=MONTH($U48),
AB$1+1-1=MONTH(T_Eq[[#This Row],[coupon date 1]]),
AB$1+1-1=MONTH(T_Eq[[#This Row],[coupon date 2]]),
AB$1+1-1=MONTH(T_Eq[[#This Row],[coupon date 3]])),
IF('CF USD'!$A$8="on",T_Eq[[#This Row],[Dividend in USD]],T_Eq[[#This Row],[Dividend in Loc.Curr]])
/T_Eq[[#This Row],[Dividends per annum]],0),
"")</f>
        <v>0</v>
      </c>
      <c r="AC48" s="682">
        <f>IFERROR(IF(
OR(
AC$1+1-1=MONTH($U48),
AC$1+1-1=MONTH(T_Eq[[#This Row],[coupon date 1]]),
AC$1+1-1=MONTH(T_Eq[[#This Row],[coupon date 2]]),
AC$1+1-1=MONTH(T_Eq[[#This Row],[coupon date 3]])),
IF('CF USD'!$A$8="on",T_Eq[[#This Row],[Dividend in USD]],T_Eq[[#This Row],[Dividend in Loc.Curr]])
/T_Eq[[#This Row],[Dividends per annum]],0),
"")</f>
        <v>799.25</v>
      </c>
      <c r="AD48" s="682">
        <f>IFERROR(IF(
OR(
AD$1+1-1=MONTH($U48),
AD$1+1-1=MONTH(T_Eq[[#This Row],[coupon date 1]]),
AD$1+1-1=MONTH(T_Eq[[#This Row],[coupon date 2]]),
AD$1+1-1=MONTH(T_Eq[[#This Row],[coupon date 3]])),
IF('CF USD'!$A$8="on",T_Eq[[#This Row],[Dividend in USD]],T_Eq[[#This Row],[Dividend in Loc.Curr]])
/T_Eq[[#This Row],[Dividends per annum]],0),
"")</f>
        <v>0</v>
      </c>
      <c r="AE48" s="682">
        <f>IFERROR(IF(
OR(
AE$1+1-1=MONTH($U48),
AE$1+1-1=MONTH(T_Eq[[#This Row],[coupon date 1]]),
AE$1+1-1=MONTH(T_Eq[[#This Row],[coupon date 2]]),
AE$1+1-1=MONTH(T_Eq[[#This Row],[coupon date 3]])),
IF('CF USD'!$A$8="on",T_Eq[[#This Row],[Dividend in USD]],T_Eq[[#This Row],[Dividend in Loc.Curr]])
/T_Eq[[#This Row],[Dividends per annum]],0),
"")</f>
        <v>0</v>
      </c>
      <c r="AF48" s="682">
        <f>IFERROR(IF(
OR(
AF$1+1-1=MONTH($U48),
AF$1+1-1=MONTH(T_Eq[[#This Row],[coupon date 1]]),
AF$1+1-1=MONTH(T_Eq[[#This Row],[coupon date 2]]),
AF$1+1-1=MONTH(T_Eq[[#This Row],[coupon date 3]])),
IF('CF USD'!$A$8="on",T_Eq[[#This Row],[Dividend in USD]],T_Eq[[#This Row],[Dividend in Loc.Curr]])
/T_Eq[[#This Row],[Dividends per annum]],0),
"")</f>
        <v>799.25</v>
      </c>
      <c r="AG48" s="682">
        <f>IFERROR(IF(
OR(
AG$1+1-1=MONTH($U48),
AG$1+1-1=MONTH(T_Eq[[#This Row],[coupon date 1]]),
AG$1+1-1=MONTH(T_Eq[[#This Row],[coupon date 2]]),
AG$1+1-1=MONTH(T_Eq[[#This Row],[coupon date 3]])),
IF('CF USD'!$A$8="on",T_Eq[[#This Row],[Dividend in USD]],T_Eq[[#This Row],[Dividend in Loc.Curr]])
/T_Eq[[#This Row],[Dividends per annum]],0),
"")</f>
        <v>0</v>
      </c>
      <c r="AH48" s="682">
        <f>IFERROR(IF(
OR(
AH$1+1-1=MONTH($U48),
AH$1+1-1=MONTH(T_Eq[[#This Row],[coupon date 1]]),
AH$1+1-1=MONTH(T_Eq[[#This Row],[coupon date 2]]),
AH$1+1-1=MONTH(T_Eq[[#This Row],[coupon date 3]])),
IF('CF USD'!$A$8="on",T_Eq[[#This Row],[Dividend in USD]],T_Eq[[#This Row],[Dividend in Loc.Curr]])
/T_Eq[[#This Row],[Dividends per annum]],0),
"")</f>
        <v>0</v>
      </c>
      <c r="AI48" s="682">
        <f>IFERROR(IF(
OR(
AI$1+1-1=MONTH($U48),
AI$1+1-1=MONTH(T_Eq[[#This Row],[coupon date 1]]),
AI$1+1-1=MONTH(T_Eq[[#This Row],[coupon date 2]]),
AI$1+1-1=MONTH(T_Eq[[#This Row],[coupon date 3]])),
IF('CF USD'!$A$8="on",T_Eq[[#This Row],[Dividend in USD]],T_Eq[[#This Row],[Dividend in Loc.Curr]])
/T_Eq[[#This Row],[Dividends per annum]],0),
"")</f>
        <v>799.25</v>
      </c>
      <c r="AJ48" s="682">
        <f>IFERROR(IF(
OR(
AJ$1+1-1=MONTH($U48),
AJ$1+1-1=MONTH(T_Eq[[#This Row],[coupon date 1]]),
AJ$1+1-1=MONTH(T_Eq[[#This Row],[coupon date 2]]),
AJ$1+1-1=MONTH(T_Eq[[#This Row],[coupon date 3]])),
IF('CF USD'!$A$8="on",T_Eq[[#This Row],[Dividend in USD]],T_Eq[[#This Row],[Dividend in Loc.Curr]])
/T_Eq[[#This Row],[Dividends per annum]],0),
"")</f>
        <v>0</v>
      </c>
    </row>
    <row r="49" spans="1:36" x14ac:dyDescent="0.25">
      <c r="A49" s="70" t="s">
        <v>51</v>
      </c>
      <c r="B49" s="70" t="s">
        <v>195</v>
      </c>
      <c r="C49" s="676" t="s">
        <v>2421</v>
      </c>
      <c r="D49" s="676" t="s">
        <v>2422</v>
      </c>
      <c r="E49" s="672" t="s">
        <v>18</v>
      </c>
      <c r="F49" s="672" t="s">
        <v>283</v>
      </c>
      <c r="G49" s="672"/>
      <c r="H49" s="70" t="s">
        <v>2475</v>
      </c>
      <c r="I49" s="684">
        <v>8300</v>
      </c>
      <c r="J49" s="295">
        <v>19.96</v>
      </c>
      <c r="K49" s="666">
        <f>ABS(T_Eq[[#This Row],[Quantity]]*T_Eq[[#This Row],[Market price]])</f>
        <v>165668</v>
      </c>
      <c r="L49" s="666">
        <f>ABS(INDEX('Tech list'!A:C,MATCH(T_Eq[[#This Row],[Risk CCY]],'Tech list'!A:A,0),3)*T_Eq[[#This Row],[Market value, CCY]])</f>
        <v>165668</v>
      </c>
      <c r="M49" s="677">
        <v>33.959810843373496</v>
      </c>
      <c r="N49" s="666">
        <f>ABS(T_Eq[[#This Row],[Cost price]]*T_Eq[[#This Row],[Quantity]])</f>
        <v>281866.43</v>
      </c>
      <c r="O49" s="213">
        <f>IF(T_Eq[[#This Row],[Quantity]]&lt;0,N49/K49-1,K49/N49-1)</f>
        <v>-0.41224643175847508</v>
      </c>
      <c r="P49" s="669">
        <v>0.01</v>
      </c>
      <c r="Q49" s="213">
        <f>T_Eq[[#This Row],[Dividend per share]]/T_Eq[[#This Row],[Market price]]</f>
        <v>5.0100200400801599E-4</v>
      </c>
      <c r="R49" s="666">
        <f>T_Eq[[#This Row],[Dividend per share]]*T_Eq[[#This Row],[Quantity]]</f>
        <v>83</v>
      </c>
      <c r="S49" s="666">
        <f>INDEX('Tech list'!A:C,MATCH(T_Eq[[#This Row],[Risk CCY]],'Tech list'!A:A,0),3)*T_Eq[[#This Row],[Dividend in Loc.Curr]]</f>
        <v>83</v>
      </c>
      <c r="T49" s="666">
        <v>1</v>
      </c>
      <c r="U49" s="675">
        <v>46385</v>
      </c>
      <c r="V49" s="671">
        <f>EDATE(T_Eq[[#This Row],[Next coupon date]],12/$T49)</f>
        <v>46750</v>
      </c>
      <c r="W49" s="671">
        <f>EDATE(T_Eq[[#This Row],[coupon date 1]],12/$T49)</f>
        <v>47116</v>
      </c>
      <c r="X49" s="671">
        <f>EDATE(T_Eq[[#This Row],[coupon date 2]],12/$T49)</f>
        <v>47481</v>
      </c>
      <c r="Y49" s="682">
        <f>IFERROR(IF(
OR(
Y$1+1-1=MONTH($U49),
Y$1+1-1=MONTH(T_Eq[[#This Row],[coupon date 1]]),
Y$1+1-1=MONTH(T_Eq[[#This Row],[coupon date 2]]),
Y$1+1-1=MONTH(T_Eq[[#This Row],[coupon date 3]])),
IF('CF USD'!$A$8="on",T_Eq[[#This Row],[Dividend in USD]],T_Eq[[#This Row],[Dividend in Loc.Curr]])
/T_Eq[[#This Row],[Dividends per annum]],0),
"")</f>
        <v>0</v>
      </c>
      <c r="Z49" s="682">
        <f>IFERROR(IF(
OR(
Z$1+1-1=MONTH($U49),
Z$1+1-1=MONTH(T_Eq[[#This Row],[coupon date 1]]),
Z$1+1-1=MONTH(T_Eq[[#This Row],[coupon date 2]]),
Z$1+1-1=MONTH(T_Eq[[#This Row],[coupon date 3]])),
IF('CF USD'!$A$8="on",T_Eq[[#This Row],[Dividend in USD]],T_Eq[[#This Row],[Dividend in Loc.Curr]])
/T_Eq[[#This Row],[Dividends per annum]],0),
"")</f>
        <v>0</v>
      </c>
      <c r="AA49" s="682">
        <f>IFERROR(IF(
OR(
AA$1+1-1=MONTH($U49),
AA$1+1-1=MONTH(T_Eq[[#This Row],[coupon date 1]]),
AA$1+1-1=MONTH(T_Eq[[#This Row],[coupon date 2]]),
AA$1+1-1=MONTH(T_Eq[[#This Row],[coupon date 3]])),
IF('CF USD'!$A$8="on",T_Eq[[#This Row],[Dividend in USD]],T_Eq[[#This Row],[Dividend in Loc.Curr]])
/T_Eq[[#This Row],[Dividends per annum]],0),
"")</f>
        <v>0</v>
      </c>
      <c r="AB49" s="682">
        <f>IFERROR(IF(
OR(
AB$1+1-1=MONTH($U49),
AB$1+1-1=MONTH(T_Eq[[#This Row],[coupon date 1]]),
AB$1+1-1=MONTH(T_Eq[[#This Row],[coupon date 2]]),
AB$1+1-1=MONTH(T_Eq[[#This Row],[coupon date 3]])),
IF('CF USD'!$A$8="on",T_Eq[[#This Row],[Dividend in USD]],T_Eq[[#This Row],[Dividend in Loc.Curr]])
/T_Eq[[#This Row],[Dividends per annum]],0),
"")</f>
        <v>0</v>
      </c>
      <c r="AC49" s="682">
        <f>IFERROR(IF(
OR(
AC$1+1-1=MONTH($U49),
AC$1+1-1=MONTH(T_Eq[[#This Row],[coupon date 1]]),
AC$1+1-1=MONTH(T_Eq[[#This Row],[coupon date 2]]),
AC$1+1-1=MONTH(T_Eq[[#This Row],[coupon date 3]])),
IF('CF USD'!$A$8="on",T_Eq[[#This Row],[Dividend in USD]],T_Eq[[#This Row],[Dividend in Loc.Curr]])
/T_Eq[[#This Row],[Dividends per annum]],0),
"")</f>
        <v>0</v>
      </c>
      <c r="AD49" s="682">
        <f>IFERROR(IF(
OR(
AD$1+1-1=MONTH($U49),
AD$1+1-1=MONTH(T_Eq[[#This Row],[coupon date 1]]),
AD$1+1-1=MONTH(T_Eq[[#This Row],[coupon date 2]]),
AD$1+1-1=MONTH(T_Eq[[#This Row],[coupon date 3]])),
IF('CF USD'!$A$8="on",T_Eq[[#This Row],[Dividend in USD]],T_Eq[[#This Row],[Dividend in Loc.Curr]])
/T_Eq[[#This Row],[Dividends per annum]],0),
"")</f>
        <v>0</v>
      </c>
      <c r="AE49" s="682">
        <f>IFERROR(IF(
OR(
AE$1+1-1=MONTH($U49),
AE$1+1-1=MONTH(T_Eq[[#This Row],[coupon date 1]]),
AE$1+1-1=MONTH(T_Eq[[#This Row],[coupon date 2]]),
AE$1+1-1=MONTH(T_Eq[[#This Row],[coupon date 3]])),
IF('CF USD'!$A$8="on",T_Eq[[#This Row],[Dividend in USD]],T_Eq[[#This Row],[Dividend in Loc.Curr]])
/T_Eq[[#This Row],[Dividends per annum]],0),
"")</f>
        <v>0</v>
      </c>
      <c r="AF49" s="682">
        <f>IFERROR(IF(
OR(
AF$1+1-1=MONTH($U49),
AF$1+1-1=MONTH(T_Eq[[#This Row],[coupon date 1]]),
AF$1+1-1=MONTH(T_Eq[[#This Row],[coupon date 2]]),
AF$1+1-1=MONTH(T_Eq[[#This Row],[coupon date 3]])),
IF('CF USD'!$A$8="on",T_Eq[[#This Row],[Dividend in USD]],T_Eq[[#This Row],[Dividend in Loc.Curr]])
/T_Eq[[#This Row],[Dividends per annum]],0),
"")</f>
        <v>0</v>
      </c>
      <c r="AG49" s="682">
        <f>IFERROR(IF(
OR(
AG$1+1-1=MONTH($U49),
AG$1+1-1=MONTH(T_Eq[[#This Row],[coupon date 1]]),
AG$1+1-1=MONTH(T_Eq[[#This Row],[coupon date 2]]),
AG$1+1-1=MONTH(T_Eq[[#This Row],[coupon date 3]])),
IF('CF USD'!$A$8="on",T_Eq[[#This Row],[Dividend in USD]],T_Eq[[#This Row],[Dividend in Loc.Curr]])
/T_Eq[[#This Row],[Dividends per annum]],0),
"")</f>
        <v>0</v>
      </c>
      <c r="AH49" s="682">
        <f>IFERROR(IF(
OR(
AH$1+1-1=MONTH($U49),
AH$1+1-1=MONTH(T_Eq[[#This Row],[coupon date 1]]),
AH$1+1-1=MONTH(T_Eq[[#This Row],[coupon date 2]]),
AH$1+1-1=MONTH(T_Eq[[#This Row],[coupon date 3]])),
IF('CF USD'!$A$8="on",T_Eq[[#This Row],[Dividend in USD]],T_Eq[[#This Row],[Dividend in Loc.Curr]])
/T_Eq[[#This Row],[Dividends per annum]],0),
"")</f>
        <v>0</v>
      </c>
      <c r="AI49" s="682">
        <f>IFERROR(IF(
OR(
AI$1+1-1=MONTH($U49),
AI$1+1-1=MONTH(T_Eq[[#This Row],[coupon date 1]]),
AI$1+1-1=MONTH(T_Eq[[#This Row],[coupon date 2]]),
AI$1+1-1=MONTH(T_Eq[[#This Row],[coupon date 3]])),
IF('CF USD'!$A$8="on",T_Eq[[#This Row],[Dividend in USD]],T_Eq[[#This Row],[Dividend in Loc.Curr]])
/T_Eq[[#This Row],[Dividends per annum]],0),
"")</f>
        <v>0</v>
      </c>
      <c r="AJ49" s="682">
        <f>IFERROR(IF(
OR(
AJ$1+1-1=MONTH($U49),
AJ$1+1-1=MONTH(T_Eq[[#This Row],[coupon date 1]]),
AJ$1+1-1=MONTH(T_Eq[[#This Row],[coupon date 2]]),
AJ$1+1-1=MONTH(T_Eq[[#This Row],[coupon date 3]])),
IF('CF USD'!$A$8="on",T_Eq[[#This Row],[Dividend in USD]],T_Eq[[#This Row],[Dividend in Loc.Curr]])
/T_Eq[[#This Row],[Dividends per annum]],0),
"")</f>
        <v>83</v>
      </c>
    </row>
    <row r="50" spans="1:36" x14ac:dyDescent="0.25">
      <c r="A50" s="70" t="s">
        <v>51</v>
      </c>
      <c r="B50" s="70" t="s">
        <v>1191</v>
      </c>
      <c r="C50" s="676" t="s">
        <v>2342</v>
      </c>
      <c r="D50" s="676" t="s">
        <v>2287</v>
      </c>
      <c r="E50" s="672" t="s">
        <v>18</v>
      </c>
      <c r="F50" s="672" t="e">
        <v>#N/A</v>
      </c>
      <c r="G50" s="672"/>
      <c r="H50" s="70" t="s">
        <v>2475</v>
      </c>
      <c r="I50" s="684">
        <v>4310</v>
      </c>
      <c r="J50" s="295">
        <v>116.82</v>
      </c>
      <c r="K50" s="666">
        <f>ABS(T_Eq[[#This Row],[Quantity]]*T_Eq[[#This Row],[Market price]])</f>
        <v>503494.19999999995</v>
      </c>
      <c r="L50" s="666">
        <f>ABS(INDEX('Tech list'!A:C,MATCH(T_Eq[[#This Row],[Risk CCY]],'Tech list'!A:A,0),3)*T_Eq[[#This Row],[Market value, CCY]])</f>
        <v>503494.19999999995</v>
      </c>
      <c r="M50" s="677">
        <v>116.92151044083526</v>
      </c>
      <c r="N50" s="666">
        <f>ABS(T_Eq[[#This Row],[Cost price]]*T_Eq[[#This Row],[Quantity]])</f>
        <v>503931.70999999996</v>
      </c>
      <c r="O50" s="213">
        <f>IF(T_Eq[[#This Row],[Quantity]]&lt;0,N50/K50-1,K50/N50-1)</f>
        <v>-8.6819303353624644E-4</v>
      </c>
      <c r="P50" s="669">
        <f>0.02+0.425+0.239+0.266+0.158</f>
        <v>1.1079999999999999</v>
      </c>
      <c r="Q50" s="213">
        <f>T_Eq[[#This Row],[Dividend per share]]/T_Eq[[#This Row],[Market price]]</f>
        <v>9.4846772812874503E-3</v>
      </c>
      <c r="R50" s="666">
        <f>T_Eq[[#This Row],[Dividend per share]]*T_Eq[[#This Row],[Quantity]]</f>
        <v>4775.4799999999996</v>
      </c>
      <c r="S50" s="666">
        <f>INDEX('Tech list'!A:C,MATCH(T_Eq[[#This Row],[Risk CCY]],'Tech list'!A:A,0),3)*T_Eq[[#This Row],[Dividend in Loc.Curr]]</f>
        <v>4775.4799999999996</v>
      </c>
      <c r="T50" s="666">
        <v>4</v>
      </c>
      <c r="U50" s="675">
        <v>46108</v>
      </c>
      <c r="V50" s="671">
        <f>EDATE(T_Eq[[#This Row],[Next coupon date]],12/$T50)</f>
        <v>46200</v>
      </c>
      <c r="W50" s="671">
        <f>EDATE(T_Eq[[#This Row],[coupon date 1]],12/$T50)</f>
        <v>46292</v>
      </c>
      <c r="X50" s="671">
        <f>EDATE(T_Eq[[#This Row],[coupon date 2]],12/$T50)</f>
        <v>46383</v>
      </c>
      <c r="Y50" s="682">
        <f>IFERROR(IF(
OR(
Y$1+1-1=MONTH($U50),
Y$1+1-1=MONTH(T_Eq[[#This Row],[coupon date 1]]),
Y$1+1-1=MONTH(T_Eq[[#This Row],[coupon date 2]]),
Y$1+1-1=MONTH(T_Eq[[#This Row],[coupon date 3]])),
IF('CF USD'!$A$8="on",T_Eq[[#This Row],[Dividend in USD]],T_Eq[[#This Row],[Dividend in Loc.Curr]])
/T_Eq[[#This Row],[Dividends per annum]],0),
"")</f>
        <v>0</v>
      </c>
      <c r="Z50" s="682">
        <f>IFERROR(IF(
OR(
Z$1+1-1=MONTH($U50),
Z$1+1-1=MONTH(T_Eq[[#This Row],[coupon date 1]]),
Z$1+1-1=MONTH(T_Eq[[#This Row],[coupon date 2]]),
Z$1+1-1=MONTH(T_Eq[[#This Row],[coupon date 3]])),
IF('CF USD'!$A$8="on",T_Eq[[#This Row],[Dividend in USD]],T_Eq[[#This Row],[Dividend in Loc.Curr]])
/T_Eq[[#This Row],[Dividends per annum]],0),
"")</f>
        <v>0</v>
      </c>
      <c r="AA50" s="682">
        <f>IFERROR(IF(
OR(
AA$1+1-1=MONTH($U50),
AA$1+1-1=MONTH(T_Eq[[#This Row],[coupon date 1]]),
AA$1+1-1=MONTH(T_Eq[[#This Row],[coupon date 2]]),
AA$1+1-1=MONTH(T_Eq[[#This Row],[coupon date 3]])),
IF('CF USD'!$A$8="on",T_Eq[[#This Row],[Dividend in USD]],T_Eq[[#This Row],[Dividend in Loc.Curr]])
/T_Eq[[#This Row],[Dividends per annum]],0),
"")</f>
        <v>1193.8699999999999</v>
      </c>
      <c r="AB50" s="682">
        <f>IFERROR(IF(
OR(
AB$1+1-1=MONTH($U50),
AB$1+1-1=MONTH(T_Eq[[#This Row],[coupon date 1]]),
AB$1+1-1=MONTH(T_Eq[[#This Row],[coupon date 2]]),
AB$1+1-1=MONTH(T_Eq[[#This Row],[coupon date 3]])),
IF('CF USD'!$A$8="on",T_Eq[[#This Row],[Dividend in USD]],T_Eq[[#This Row],[Dividend in Loc.Curr]])
/T_Eq[[#This Row],[Dividends per annum]],0),
"")</f>
        <v>0</v>
      </c>
      <c r="AC50" s="682">
        <f>IFERROR(IF(
OR(
AC$1+1-1=MONTH($U50),
AC$1+1-1=MONTH(T_Eq[[#This Row],[coupon date 1]]),
AC$1+1-1=MONTH(T_Eq[[#This Row],[coupon date 2]]),
AC$1+1-1=MONTH(T_Eq[[#This Row],[coupon date 3]])),
IF('CF USD'!$A$8="on",T_Eq[[#This Row],[Dividend in USD]],T_Eq[[#This Row],[Dividend in Loc.Curr]])
/T_Eq[[#This Row],[Dividends per annum]],0),
"")</f>
        <v>0</v>
      </c>
      <c r="AD50" s="682">
        <f>IFERROR(IF(
OR(
AD$1+1-1=MONTH($U50),
AD$1+1-1=MONTH(T_Eq[[#This Row],[coupon date 1]]),
AD$1+1-1=MONTH(T_Eq[[#This Row],[coupon date 2]]),
AD$1+1-1=MONTH(T_Eq[[#This Row],[coupon date 3]])),
IF('CF USD'!$A$8="on",T_Eq[[#This Row],[Dividend in USD]],T_Eq[[#This Row],[Dividend in Loc.Curr]])
/T_Eq[[#This Row],[Dividends per annum]],0),
"")</f>
        <v>1193.8699999999999</v>
      </c>
      <c r="AE50" s="682">
        <f>IFERROR(IF(
OR(
AE$1+1-1=MONTH($U50),
AE$1+1-1=MONTH(T_Eq[[#This Row],[coupon date 1]]),
AE$1+1-1=MONTH(T_Eq[[#This Row],[coupon date 2]]),
AE$1+1-1=MONTH(T_Eq[[#This Row],[coupon date 3]])),
IF('CF USD'!$A$8="on",T_Eq[[#This Row],[Dividend in USD]],T_Eq[[#This Row],[Dividend in Loc.Curr]])
/T_Eq[[#This Row],[Dividends per annum]],0),
"")</f>
        <v>0</v>
      </c>
      <c r="AF50" s="682">
        <f>IFERROR(IF(
OR(
AF$1+1-1=MONTH($U50),
AF$1+1-1=MONTH(T_Eq[[#This Row],[coupon date 1]]),
AF$1+1-1=MONTH(T_Eq[[#This Row],[coupon date 2]]),
AF$1+1-1=MONTH(T_Eq[[#This Row],[coupon date 3]])),
IF('CF USD'!$A$8="on",T_Eq[[#This Row],[Dividend in USD]],T_Eq[[#This Row],[Dividend in Loc.Curr]])
/T_Eq[[#This Row],[Dividends per annum]],0),
"")</f>
        <v>0</v>
      </c>
      <c r="AG50" s="682">
        <f>IFERROR(IF(
OR(
AG$1+1-1=MONTH($U50),
AG$1+1-1=MONTH(T_Eq[[#This Row],[coupon date 1]]),
AG$1+1-1=MONTH(T_Eq[[#This Row],[coupon date 2]]),
AG$1+1-1=MONTH(T_Eq[[#This Row],[coupon date 3]])),
IF('CF USD'!$A$8="on",T_Eq[[#This Row],[Dividend in USD]],T_Eq[[#This Row],[Dividend in Loc.Curr]])
/T_Eq[[#This Row],[Dividends per annum]],0),
"")</f>
        <v>1193.8699999999999</v>
      </c>
      <c r="AH50" s="682">
        <f>IFERROR(IF(
OR(
AH$1+1-1=MONTH($U50),
AH$1+1-1=MONTH(T_Eq[[#This Row],[coupon date 1]]),
AH$1+1-1=MONTH(T_Eq[[#This Row],[coupon date 2]]),
AH$1+1-1=MONTH(T_Eq[[#This Row],[coupon date 3]])),
IF('CF USD'!$A$8="on",T_Eq[[#This Row],[Dividend in USD]],T_Eq[[#This Row],[Dividend in Loc.Curr]])
/T_Eq[[#This Row],[Dividends per annum]],0),
"")</f>
        <v>0</v>
      </c>
      <c r="AI50" s="682">
        <f>IFERROR(IF(
OR(
AI$1+1-1=MONTH($U50),
AI$1+1-1=MONTH(T_Eq[[#This Row],[coupon date 1]]),
AI$1+1-1=MONTH(T_Eq[[#This Row],[coupon date 2]]),
AI$1+1-1=MONTH(T_Eq[[#This Row],[coupon date 3]])),
IF('CF USD'!$A$8="on",T_Eq[[#This Row],[Dividend in USD]],T_Eq[[#This Row],[Dividend in Loc.Curr]])
/T_Eq[[#This Row],[Dividends per annum]],0),
"")</f>
        <v>0</v>
      </c>
      <c r="AJ50" s="682">
        <f>IFERROR(IF(
OR(
AJ$1+1-1=MONTH($U50),
AJ$1+1-1=MONTH(T_Eq[[#This Row],[coupon date 1]]),
AJ$1+1-1=MONTH(T_Eq[[#This Row],[coupon date 2]]),
AJ$1+1-1=MONTH(T_Eq[[#This Row],[coupon date 3]])),
IF('CF USD'!$A$8="on",T_Eq[[#This Row],[Dividend in USD]],T_Eq[[#This Row],[Dividend in Loc.Curr]])
/T_Eq[[#This Row],[Dividends per annum]],0),
"")</f>
        <v>1193.8699999999999</v>
      </c>
    </row>
    <row r="51" spans="1:36" x14ac:dyDescent="0.25">
      <c r="A51" s="70" t="s">
        <v>51</v>
      </c>
      <c r="B51" s="70" t="s">
        <v>195</v>
      </c>
      <c r="C51" s="676" t="s">
        <v>2423</v>
      </c>
      <c r="D51" s="676" t="s">
        <v>2424</v>
      </c>
      <c r="E51" s="672" t="s">
        <v>18</v>
      </c>
      <c r="F51" s="672" t="s">
        <v>283</v>
      </c>
      <c r="G51" s="672"/>
      <c r="H51" s="70" t="s">
        <v>2475</v>
      </c>
      <c r="I51" s="684">
        <v>15150</v>
      </c>
      <c r="J51" s="295">
        <v>28.85</v>
      </c>
      <c r="K51" s="666">
        <f>ABS(T_Eq[[#This Row],[Quantity]]*T_Eq[[#This Row],[Market price]])</f>
        <v>437077.5</v>
      </c>
      <c r="L51" s="666">
        <f>ABS(INDEX('Tech list'!A:C,MATCH(T_Eq[[#This Row],[Risk CCY]],'Tech list'!A:A,0),3)*T_Eq[[#This Row],[Market value, CCY]])</f>
        <v>437077.5</v>
      </c>
      <c r="M51" s="677">
        <v>26.409522772277228</v>
      </c>
      <c r="N51" s="666">
        <f>ABS(T_Eq[[#This Row],[Cost price]]*T_Eq[[#This Row],[Quantity]])</f>
        <v>400104.27</v>
      </c>
      <c r="O51" s="213">
        <f>IF(T_Eq[[#This Row],[Quantity]]&lt;0,N51/K51-1,K51/N51-1)</f>
        <v>9.2408986287499495E-2</v>
      </c>
      <c r="P51" s="669">
        <f>0.287+0.298+0.273*3</f>
        <v>1.4039999999999999</v>
      </c>
      <c r="Q51" s="213">
        <f>T_Eq[[#This Row],[Dividend per share]]/T_Eq[[#This Row],[Market price]]</f>
        <v>4.8665511265164642E-2</v>
      </c>
      <c r="R51" s="666">
        <f>T_Eq[[#This Row],[Dividend per share]]*T_Eq[[#This Row],[Quantity]]</f>
        <v>21270.6</v>
      </c>
      <c r="S51" s="666">
        <f>INDEX('Tech list'!A:C,MATCH(T_Eq[[#This Row],[Risk CCY]],'Tech list'!A:A,0),3)*T_Eq[[#This Row],[Dividend in Loc.Curr]]</f>
        <v>21270.6</v>
      </c>
      <c r="T51" s="666">
        <v>4</v>
      </c>
      <c r="U51" s="675">
        <v>46081</v>
      </c>
      <c r="V51" s="671">
        <f>EDATE(T_Eq[[#This Row],[Next coupon date]],12/$T51)</f>
        <v>46170</v>
      </c>
      <c r="W51" s="671">
        <f>EDATE(T_Eq[[#This Row],[coupon date 1]],12/$T51)</f>
        <v>46262</v>
      </c>
      <c r="X51" s="671">
        <f>EDATE(T_Eq[[#This Row],[coupon date 2]],12/$T51)</f>
        <v>46354</v>
      </c>
      <c r="Y51" s="682">
        <f>IFERROR(IF(
OR(
Y$1+1-1=MONTH($U51),
Y$1+1-1=MONTH(T_Eq[[#This Row],[coupon date 1]]),
Y$1+1-1=MONTH(T_Eq[[#This Row],[coupon date 2]]),
Y$1+1-1=MONTH(T_Eq[[#This Row],[coupon date 3]])),
IF('CF USD'!$A$8="on",T_Eq[[#This Row],[Dividend in USD]],T_Eq[[#This Row],[Dividend in Loc.Curr]])
/T_Eq[[#This Row],[Dividends per annum]],0),
"")</f>
        <v>0</v>
      </c>
      <c r="Z51" s="682">
        <f>IFERROR(IF(
OR(
Z$1+1-1=MONTH($U51),
Z$1+1-1=MONTH(T_Eq[[#This Row],[coupon date 1]]),
Z$1+1-1=MONTH(T_Eq[[#This Row],[coupon date 2]]),
Z$1+1-1=MONTH(T_Eq[[#This Row],[coupon date 3]])),
IF('CF USD'!$A$8="on",T_Eq[[#This Row],[Dividend in USD]],T_Eq[[#This Row],[Dividend in Loc.Curr]])
/T_Eq[[#This Row],[Dividends per annum]],0),
"")</f>
        <v>5317.65</v>
      </c>
      <c r="AA51" s="682">
        <f>IFERROR(IF(
OR(
AA$1+1-1=MONTH($U51),
AA$1+1-1=MONTH(T_Eq[[#This Row],[coupon date 1]]),
AA$1+1-1=MONTH(T_Eq[[#This Row],[coupon date 2]]),
AA$1+1-1=MONTH(T_Eq[[#This Row],[coupon date 3]])),
IF('CF USD'!$A$8="on",T_Eq[[#This Row],[Dividend in USD]],T_Eq[[#This Row],[Dividend in Loc.Curr]])
/T_Eq[[#This Row],[Dividends per annum]],0),
"")</f>
        <v>0</v>
      </c>
      <c r="AB51" s="682">
        <f>IFERROR(IF(
OR(
AB$1+1-1=MONTH($U51),
AB$1+1-1=MONTH(T_Eq[[#This Row],[coupon date 1]]),
AB$1+1-1=MONTH(T_Eq[[#This Row],[coupon date 2]]),
AB$1+1-1=MONTH(T_Eq[[#This Row],[coupon date 3]])),
IF('CF USD'!$A$8="on",T_Eq[[#This Row],[Dividend in USD]],T_Eq[[#This Row],[Dividend in Loc.Curr]])
/T_Eq[[#This Row],[Dividends per annum]],0),
"")</f>
        <v>0</v>
      </c>
      <c r="AC51" s="682">
        <f>IFERROR(IF(
OR(
AC$1+1-1=MONTH($U51),
AC$1+1-1=MONTH(T_Eq[[#This Row],[coupon date 1]]),
AC$1+1-1=MONTH(T_Eq[[#This Row],[coupon date 2]]),
AC$1+1-1=MONTH(T_Eq[[#This Row],[coupon date 3]])),
IF('CF USD'!$A$8="on",T_Eq[[#This Row],[Dividend in USD]],T_Eq[[#This Row],[Dividend in Loc.Curr]])
/T_Eq[[#This Row],[Dividends per annum]],0),
"")</f>
        <v>5317.65</v>
      </c>
      <c r="AD51" s="682">
        <f>IFERROR(IF(
OR(
AD$1+1-1=MONTH($U51),
AD$1+1-1=MONTH(T_Eq[[#This Row],[coupon date 1]]),
AD$1+1-1=MONTH(T_Eq[[#This Row],[coupon date 2]]),
AD$1+1-1=MONTH(T_Eq[[#This Row],[coupon date 3]])),
IF('CF USD'!$A$8="on",T_Eq[[#This Row],[Dividend in USD]],T_Eq[[#This Row],[Dividend in Loc.Curr]])
/T_Eq[[#This Row],[Dividends per annum]],0),
"")</f>
        <v>0</v>
      </c>
      <c r="AE51" s="682">
        <f>IFERROR(IF(
OR(
AE$1+1-1=MONTH($U51),
AE$1+1-1=MONTH(T_Eq[[#This Row],[coupon date 1]]),
AE$1+1-1=MONTH(T_Eq[[#This Row],[coupon date 2]]),
AE$1+1-1=MONTH(T_Eq[[#This Row],[coupon date 3]])),
IF('CF USD'!$A$8="on",T_Eq[[#This Row],[Dividend in USD]],T_Eq[[#This Row],[Dividend in Loc.Curr]])
/T_Eq[[#This Row],[Dividends per annum]],0),
"")</f>
        <v>0</v>
      </c>
      <c r="AF51" s="682">
        <f>IFERROR(IF(
OR(
AF$1+1-1=MONTH($U51),
AF$1+1-1=MONTH(T_Eq[[#This Row],[coupon date 1]]),
AF$1+1-1=MONTH(T_Eq[[#This Row],[coupon date 2]]),
AF$1+1-1=MONTH(T_Eq[[#This Row],[coupon date 3]])),
IF('CF USD'!$A$8="on",T_Eq[[#This Row],[Dividend in USD]],T_Eq[[#This Row],[Dividend in Loc.Curr]])
/T_Eq[[#This Row],[Dividends per annum]],0),
"")</f>
        <v>5317.65</v>
      </c>
      <c r="AG51" s="682">
        <f>IFERROR(IF(
OR(
AG$1+1-1=MONTH($U51),
AG$1+1-1=MONTH(T_Eq[[#This Row],[coupon date 1]]),
AG$1+1-1=MONTH(T_Eq[[#This Row],[coupon date 2]]),
AG$1+1-1=MONTH(T_Eq[[#This Row],[coupon date 3]])),
IF('CF USD'!$A$8="on",T_Eq[[#This Row],[Dividend in USD]],T_Eq[[#This Row],[Dividend in Loc.Curr]])
/T_Eq[[#This Row],[Dividends per annum]],0),
"")</f>
        <v>0</v>
      </c>
      <c r="AH51" s="682">
        <f>IFERROR(IF(
OR(
AH$1+1-1=MONTH($U51),
AH$1+1-1=MONTH(T_Eq[[#This Row],[coupon date 1]]),
AH$1+1-1=MONTH(T_Eq[[#This Row],[coupon date 2]]),
AH$1+1-1=MONTH(T_Eq[[#This Row],[coupon date 3]])),
IF('CF USD'!$A$8="on",T_Eq[[#This Row],[Dividend in USD]],T_Eq[[#This Row],[Dividend in Loc.Curr]])
/T_Eq[[#This Row],[Dividends per annum]],0),
"")</f>
        <v>0</v>
      </c>
      <c r="AI51" s="682">
        <f>IFERROR(IF(
OR(
AI$1+1-1=MONTH($U51),
AI$1+1-1=MONTH(T_Eq[[#This Row],[coupon date 1]]),
AI$1+1-1=MONTH(T_Eq[[#This Row],[coupon date 2]]),
AI$1+1-1=MONTH(T_Eq[[#This Row],[coupon date 3]])),
IF('CF USD'!$A$8="on",T_Eq[[#This Row],[Dividend in USD]],T_Eq[[#This Row],[Dividend in Loc.Curr]])
/T_Eq[[#This Row],[Dividends per annum]],0),
"")</f>
        <v>5317.65</v>
      </c>
      <c r="AJ51" s="682">
        <f>IFERROR(IF(
OR(
AJ$1+1-1=MONTH($U51),
AJ$1+1-1=MONTH(T_Eq[[#This Row],[coupon date 1]]),
AJ$1+1-1=MONTH(T_Eq[[#This Row],[coupon date 2]]),
AJ$1+1-1=MONTH(T_Eq[[#This Row],[coupon date 3]])),
IF('CF USD'!$A$8="on",T_Eq[[#This Row],[Dividend in USD]],T_Eq[[#This Row],[Dividend in Loc.Curr]])
/T_Eq[[#This Row],[Dividends per annum]],0),
"")</f>
        <v>0</v>
      </c>
    </row>
    <row r="52" spans="1:36" x14ac:dyDescent="0.25">
      <c r="A52" s="70" t="s">
        <v>51</v>
      </c>
      <c r="B52" s="70" t="s">
        <v>195</v>
      </c>
      <c r="C52" s="676" t="s">
        <v>2425</v>
      </c>
      <c r="D52" s="676" t="s">
        <v>2426</v>
      </c>
      <c r="E52" s="672" t="s">
        <v>18</v>
      </c>
      <c r="F52" s="672" t="s">
        <v>283</v>
      </c>
      <c r="G52" s="672"/>
      <c r="H52" s="70" t="s">
        <v>2475</v>
      </c>
      <c r="I52" s="684">
        <v>5800</v>
      </c>
      <c r="J52" s="295">
        <v>35.369999999999997</v>
      </c>
      <c r="K52" s="666">
        <f>ABS(T_Eq[[#This Row],[Quantity]]*T_Eq[[#This Row],[Market price]])</f>
        <v>205145.99999999997</v>
      </c>
      <c r="L52" s="666">
        <f>ABS(INDEX('Tech list'!A:C,MATCH(T_Eq[[#This Row],[Risk CCY]],'Tech list'!A:A,0),3)*T_Eq[[#This Row],[Market value, CCY]])</f>
        <v>205145.99999999997</v>
      </c>
      <c r="M52" s="677">
        <v>34.959949999999999</v>
      </c>
      <c r="N52" s="666">
        <f>ABS(T_Eq[[#This Row],[Cost price]]*T_Eq[[#This Row],[Quantity]])</f>
        <v>202767.71</v>
      </c>
      <c r="O52" s="213">
        <f>IF(T_Eq[[#This Row],[Quantity]]&lt;0,N52/K52-1,K52/N52-1)</f>
        <v>1.1729135768214771E-2</v>
      </c>
      <c r="P52" s="669">
        <v>0.68</v>
      </c>
      <c r="Q52" s="213">
        <f>T_Eq[[#This Row],[Dividend per share]]/T_Eq[[#This Row],[Market price]]</f>
        <v>1.9225332202431441E-2</v>
      </c>
      <c r="R52" s="666">
        <f>T_Eq[[#This Row],[Dividend per share]]*T_Eq[[#This Row],[Quantity]]</f>
        <v>3944.0000000000005</v>
      </c>
      <c r="S52" s="666">
        <f>INDEX('Tech list'!A:C,MATCH(T_Eq[[#This Row],[Risk CCY]],'Tech list'!A:A,0),3)*T_Eq[[#This Row],[Dividend in Loc.Curr]]</f>
        <v>3944.0000000000005</v>
      </c>
      <c r="T52" s="666">
        <v>4</v>
      </c>
      <c r="U52" s="675">
        <v>46107</v>
      </c>
      <c r="V52" s="671">
        <f>EDATE(T_Eq[[#This Row],[Next coupon date]],12/$T52)</f>
        <v>46199</v>
      </c>
      <c r="W52" s="671">
        <f>EDATE(T_Eq[[#This Row],[coupon date 1]],12/$T52)</f>
        <v>46291</v>
      </c>
      <c r="X52" s="671">
        <f>EDATE(T_Eq[[#This Row],[coupon date 2]],12/$T52)</f>
        <v>46382</v>
      </c>
      <c r="Y52" s="682">
        <f>IFERROR(IF(
OR(
Y$1+1-1=MONTH($U52),
Y$1+1-1=MONTH(T_Eq[[#This Row],[coupon date 1]]),
Y$1+1-1=MONTH(T_Eq[[#This Row],[coupon date 2]]),
Y$1+1-1=MONTH(T_Eq[[#This Row],[coupon date 3]])),
IF('CF USD'!$A$8="on",T_Eq[[#This Row],[Dividend in USD]],T_Eq[[#This Row],[Dividend in Loc.Curr]])
/T_Eq[[#This Row],[Dividends per annum]],0),
"")</f>
        <v>0</v>
      </c>
      <c r="Z52" s="682">
        <f>IFERROR(IF(
OR(
Z$1+1-1=MONTH($U52),
Z$1+1-1=MONTH(T_Eq[[#This Row],[coupon date 1]]),
Z$1+1-1=MONTH(T_Eq[[#This Row],[coupon date 2]]),
Z$1+1-1=MONTH(T_Eq[[#This Row],[coupon date 3]])),
IF('CF USD'!$A$8="on",T_Eq[[#This Row],[Dividend in USD]],T_Eq[[#This Row],[Dividend in Loc.Curr]])
/T_Eq[[#This Row],[Dividends per annum]],0),
"")</f>
        <v>0</v>
      </c>
      <c r="AA52" s="682">
        <f>IFERROR(IF(
OR(
AA$1+1-1=MONTH($U52),
AA$1+1-1=MONTH(T_Eq[[#This Row],[coupon date 1]]),
AA$1+1-1=MONTH(T_Eq[[#This Row],[coupon date 2]]),
AA$1+1-1=MONTH(T_Eq[[#This Row],[coupon date 3]])),
IF('CF USD'!$A$8="on",T_Eq[[#This Row],[Dividend in USD]],T_Eq[[#This Row],[Dividend in Loc.Curr]])
/T_Eq[[#This Row],[Dividends per annum]],0),
"")</f>
        <v>986.00000000000011</v>
      </c>
      <c r="AB52" s="682">
        <f>IFERROR(IF(
OR(
AB$1+1-1=MONTH($U52),
AB$1+1-1=MONTH(T_Eq[[#This Row],[coupon date 1]]),
AB$1+1-1=MONTH(T_Eq[[#This Row],[coupon date 2]]),
AB$1+1-1=MONTH(T_Eq[[#This Row],[coupon date 3]])),
IF('CF USD'!$A$8="on",T_Eq[[#This Row],[Dividend in USD]],T_Eq[[#This Row],[Dividend in Loc.Curr]])
/T_Eq[[#This Row],[Dividends per annum]],0),
"")</f>
        <v>0</v>
      </c>
      <c r="AC52" s="682">
        <f>IFERROR(IF(
OR(
AC$1+1-1=MONTH($U52),
AC$1+1-1=MONTH(T_Eq[[#This Row],[coupon date 1]]),
AC$1+1-1=MONTH(T_Eq[[#This Row],[coupon date 2]]),
AC$1+1-1=MONTH(T_Eq[[#This Row],[coupon date 3]])),
IF('CF USD'!$A$8="on",T_Eq[[#This Row],[Dividend in USD]],T_Eq[[#This Row],[Dividend in Loc.Curr]])
/T_Eq[[#This Row],[Dividends per annum]],0),
"")</f>
        <v>0</v>
      </c>
      <c r="AD52" s="682">
        <f>IFERROR(IF(
OR(
AD$1+1-1=MONTH($U52),
AD$1+1-1=MONTH(T_Eq[[#This Row],[coupon date 1]]),
AD$1+1-1=MONTH(T_Eq[[#This Row],[coupon date 2]]),
AD$1+1-1=MONTH(T_Eq[[#This Row],[coupon date 3]])),
IF('CF USD'!$A$8="on",T_Eq[[#This Row],[Dividend in USD]],T_Eq[[#This Row],[Dividend in Loc.Curr]])
/T_Eq[[#This Row],[Dividends per annum]],0),
"")</f>
        <v>986.00000000000011</v>
      </c>
      <c r="AE52" s="682">
        <f>IFERROR(IF(
OR(
AE$1+1-1=MONTH($U52),
AE$1+1-1=MONTH(T_Eq[[#This Row],[coupon date 1]]),
AE$1+1-1=MONTH(T_Eq[[#This Row],[coupon date 2]]),
AE$1+1-1=MONTH(T_Eq[[#This Row],[coupon date 3]])),
IF('CF USD'!$A$8="on",T_Eq[[#This Row],[Dividend in USD]],T_Eq[[#This Row],[Dividend in Loc.Curr]])
/T_Eq[[#This Row],[Dividends per annum]],0),
"")</f>
        <v>0</v>
      </c>
      <c r="AF52" s="682">
        <f>IFERROR(IF(
OR(
AF$1+1-1=MONTH($U52),
AF$1+1-1=MONTH(T_Eq[[#This Row],[coupon date 1]]),
AF$1+1-1=MONTH(T_Eq[[#This Row],[coupon date 2]]),
AF$1+1-1=MONTH(T_Eq[[#This Row],[coupon date 3]])),
IF('CF USD'!$A$8="on",T_Eq[[#This Row],[Dividend in USD]],T_Eq[[#This Row],[Dividend in Loc.Curr]])
/T_Eq[[#This Row],[Dividends per annum]],0),
"")</f>
        <v>0</v>
      </c>
      <c r="AG52" s="682">
        <f>IFERROR(IF(
OR(
AG$1+1-1=MONTH($U52),
AG$1+1-1=MONTH(T_Eq[[#This Row],[coupon date 1]]),
AG$1+1-1=MONTH(T_Eq[[#This Row],[coupon date 2]]),
AG$1+1-1=MONTH(T_Eq[[#This Row],[coupon date 3]])),
IF('CF USD'!$A$8="on",T_Eq[[#This Row],[Dividend in USD]],T_Eq[[#This Row],[Dividend in Loc.Curr]])
/T_Eq[[#This Row],[Dividends per annum]],0),
"")</f>
        <v>986.00000000000011</v>
      </c>
      <c r="AH52" s="682">
        <f>IFERROR(IF(
OR(
AH$1+1-1=MONTH($U52),
AH$1+1-1=MONTH(T_Eq[[#This Row],[coupon date 1]]),
AH$1+1-1=MONTH(T_Eq[[#This Row],[coupon date 2]]),
AH$1+1-1=MONTH(T_Eq[[#This Row],[coupon date 3]])),
IF('CF USD'!$A$8="on",T_Eq[[#This Row],[Dividend in USD]],T_Eq[[#This Row],[Dividend in Loc.Curr]])
/T_Eq[[#This Row],[Dividends per annum]],0),
"")</f>
        <v>0</v>
      </c>
      <c r="AI52" s="682">
        <f>IFERROR(IF(
OR(
AI$1+1-1=MONTH($U52),
AI$1+1-1=MONTH(T_Eq[[#This Row],[coupon date 1]]),
AI$1+1-1=MONTH(T_Eq[[#This Row],[coupon date 2]]),
AI$1+1-1=MONTH(T_Eq[[#This Row],[coupon date 3]])),
IF('CF USD'!$A$8="on",T_Eq[[#This Row],[Dividend in USD]],T_Eq[[#This Row],[Dividend in Loc.Curr]])
/T_Eq[[#This Row],[Dividends per annum]],0),
"")</f>
        <v>0</v>
      </c>
      <c r="AJ52" s="682">
        <f>IFERROR(IF(
OR(
AJ$1+1-1=MONTH($U52),
AJ$1+1-1=MONTH(T_Eq[[#This Row],[coupon date 1]]),
AJ$1+1-1=MONTH(T_Eq[[#This Row],[coupon date 2]]),
AJ$1+1-1=MONTH(T_Eq[[#This Row],[coupon date 3]])),
IF('CF USD'!$A$8="on",T_Eq[[#This Row],[Dividend in USD]],T_Eq[[#This Row],[Dividend in Loc.Curr]])
/T_Eq[[#This Row],[Dividends per annum]],0),
"")</f>
        <v>986.00000000000011</v>
      </c>
    </row>
    <row r="53" spans="1:36" x14ac:dyDescent="0.25">
      <c r="A53" s="70" t="s">
        <v>51</v>
      </c>
      <c r="B53" s="70" t="s">
        <v>195</v>
      </c>
      <c r="C53" s="676" t="s">
        <v>2427</v>
      </c>
      <c r="D53" s="676" t="s">
        <v>1875</v>
      </c>
      <c r="E53" s="672" t="s">
        <v>18</v>
      </c>
      <c r="F53" s="672" t="s">
        <v>283</v>
      </c>
      <c r="G53" s="672"/>
      <c r="H53" s="70" t="s">
        <v>2475</v>
      </c>
      <c r="I53" s="684">
        <v>1350</v>
      </c>
      <c r="J53" s="295">
        <v>77.16</v>
      </c>
      <c r="K53" s="666">
        <f>ABS(T_Eq[[#This Row],[Quantity]]*T_Eq[[#This Row],[Market price]])</f>
        <v>104166</v>
      </c>
      <c r="L53" s="666">
        <f>ABS(INDEX('Tech list'!A:C,MATCH(T_Eq[[#This Row],[Risk CCY]],'Tech list'!A:A,0),3)*T_Eq[[#This Row],[Market value, CCY]])</f>
        <v>104166</v>
      </c>
      <c r="M53" s="677">
        <v>75.42296296296297</v>
      </c>
      <c r="N53" s="666">
        <f>ABS(T_Eq[[#This Row],[Cost price]]*T_Eq[[#This Row],[Quantity]])</f>
        <v>101821.00000000001</v>
      </c>
      <c r="O53" s="213">
        <f>IF(T_Eq[[#This Row],[Quantity]]&lt;0,N53/K53-1,K53/N53-1)</f>
        <v>2.3030612545545504E-2</v>
      </c>
      <c r="P53" s="669">
        <f>0.455*4</f>
        <v>1.82</v>
      </c>
      <c r="Q53" s="213">
        <f>T_Eq[[#This Row],[Dividend per share]]/T_Eq[[#This Row],[Market price]]</f>
        <v>2.3587350959046141E-2</v>
      </c>
      <c r="R53" s="666">
        <f>T_Eq[[#This Row],[Dividend per share]]*T_Eq[[#This Row],[Quantity]]</f>
        <v>2457</v>
      </c>
      <c r="S53" s="666">
        <f>INDEX('Tech list'!A:C,MATCH(T_Eq[[#This Row],[Risk CCY]],'Tech list'!A:A,0),3)*T_Eq[[#This Row],[Dividend in Loc.Curr]]</f>
        <v>2457</v>
      </c>
      <c r="T53" s="666">
        <v>4</v>
      </c>
      <c r="U53" s="675">
        <v>46088</v>
      </c>
      <c r="V53" s="671">
        <f>EDATE(T_Eq[[#This Row],[Next coupon date]],12/$T53)</f>
        <v>46180</v>
      </c>
      <c r="W53" s="671">
        <f>EDATE(T_Eq[[#This Row],[coupon date 1]],12/$T53)</f>
        <v>46272</v>
      </c>
      <c r="X53" s="671">
        <f>EDATE(T_Eq[[#This Row],[coupon date 2]],12/$T53)</f>
        <v>46363</v>
      </c>
      <c r="Y53" s="682">
        <f>IFERROR(IF(
OR(
Y$1+1-1=MONTH($U53),
Y$1+1-1=MONTH(T_Eq[[#This Row],[coupon date 1]]),
Y$1+1-1=MONTH(T_Eq[[#This Row],[coupon date 2]]),
Y$1+1-1=MONTH(T_Eq[[#This Row],[coupon date 3]])),
IF('CF USD'!$A$8="on",T_Eq[[#This Row],[Dividend in USD]],T_Eq[[#This Row],[Dividend in Loc.Curr]])
/T_Eq[[#This Row],[Dividends per annum]],0),
"")</f>
        <v>0</v>
      </c>
      <c r="Z53" s="682">
        <f>IFERROR(IF(
OR(
Z$1+1-1=MONTH($U53),
Z$1+1-1=MONTH(T_Eq[[#This Row],[coupon date 1]]),
Z$1+1-1=MONTH(T_Eq[[#This Row],[coupon date 2]]),
Z$1+1-1=MONTH(T_Eq[[#This Row],[coupon date 3]])),
IF('CF USD'!$A$8="on",T_Eq[[#This Row],[Dividend in USD]],T_Eq[[#This Row],[Dividend in Loc.Curr]])
/T_Eq[[#This Row],[Dividends per annum]],0),
"")</f>
        <v>0</v>
      </c>
      <c r="AA53" s="682">
        <f>IFERROR(IF(
OR(
AA$1+1-1=MONTH($U53),
AA$1+1-1=MONTH(T_Eq[[#This Row],[coupon date 1]]),
AA$1+1-1=MONTH(T_Eq[[#This Row],[coupon date 2]]),
AA$1+1-1=MONTH(T_Eq[[#This Row],[coupon date 3]])),
IF('CF USD'!$A$8="on",T_Eq[[#This Row],[Dividend in USD]],T_Eq[[#This Row],[Dividend in Loc.Curr]])
/T_Eq[[#This Row],[Dividends per annum]],0),
"")</f>
        <v>614.25</v>
      </c>
      <c r="AB53" s="682">
        <f>IFERROR(IF(
OR(
AB$1+1-1=MONTH($U53),
AB$1+1-1=MONTH(T_Eq[[#This Row],[coupon date 1]]),
AB$1+1-1=MONTH(T_Eq[[#This Row],[coupon date 2]]),
AB$1+1-1=MONTH(T_Eq[[#This Row],[coupon date 3]])),
IF('CF USD'!$A$8="on",T_Eq[[#This Row],[Dividend in USD]],T_Eq[[#This Row],[Dividend in Loc.Curr]])
/T_Eq[[#This Row],[Dividends per annum]],0),
"")</f>
        <v>0</v>
      </c>
      <c r="AC53" s="682">
        <f>IFERROR(IF(
OR(
AC$1+1-1=MONTH($U53),
AC$1+1-1=MONTH(T_Eq[[#This Row],[coupon date 1]]),
AC$1+1-1=MONTH(T_Eq[[#This Row],[coupon date 2]]),
AC$1+1-1=MONTH(T_Eq[[#This Row],[coupon date 3]])),
IF('CF USD'!$A$8="on",T_Eq[[#This Row],[Dividend in USD]],T_Eq[[#This Row],[Dividend in Loc.Curr]])
/T_Eq[[#This Row],[Dividends per annum]],0),
"")</f>
        <v>0</v>
      </c>
      <c r="AD53" s="682">
        <f>IFERROR(IF(
OR(
AD$1+1-1=MONTH($U53),
AD$1+1-1=MONTH(T_Eq[[#This Row],[coupon date 1]]),
AD$1+1-1=MONTH(T_Eq[[#This Row],[coupon date 2]]),
AD$1+1-1=MONTH(T_Eq[[#This Row],[coupon date 3]])),
IF('CF USD'!$A$8="on",T_Eq[[#This Row],[Dividend in USD]],T_Eq[[#This Row],[Dividend in Loc.Curr]])
/T_Eq[[#This Row],[Dividends per annum]],0),
"")</f>
        <v>614.25</v>
      </c>
      <c r="AE53" s="682">
        <f>IFERROR(IF(
OR(
AE$1+1-1=MONTH($U53),
AE$1+1-1=MONTH(T_Eq[[#This Row],[coupon date 1]]),
AE$1+1-1=MONTH(T_Eq[[#This Row],[coupon date 2]]),
AE$1+1-1=MONTH(T_Eq[[#This Row],[coupon date 3]])),
IF('CF USD'!$A$8="on",T_Eq[[#This Row],[Dividend in USD]],T_Eq[[#This Row],[Dividend in Loc.Curr]])
/T_Eq[[#This Row],[Dividends per annum]],0),
"")</f>
        <v>0</v>
      </c>
      <c r="AF53" s="682">
        <f>IFERROR(IF(
OR(
AF$1+1-1=MONTH($U53),
AF$1+1-1=MONTH(T_Eq[[#This Row],[coupon date 1]]),
AF$1+1-1=MONTH(T_Eq[[#This Row],[coupon date 2]]),
AF$1+1-1=MONTH(T_Eq[[#This Row],[coupon date 3]])),
IF('CF USD'!$A$8="on",T_Eq[[#This Row],[Dividend in USD]],T_Eq[[#This Row],[Dividend in Loc.Curr]])
/T_Eq[[#This Row],[Dividends per annum]],0),
"")</f>
        <v>0</v>
      </c>
      <c r="AG53" s="682">
        <f>IFERROR(IF(
OR(
AG$1+1-1=MONTH($U53),
AG$1+1-1=MONTH(T_Eq[[#This Row],[coupon date 1]]),
AG$1+1-1=MONTH(T_Eq[[#This Row],[coupon date 2]]),
AG$1+1-1=MONTH(T_Eq[[#This Row],[coupon date 3]])),
IF('CF USD'!$A$8="on",T_Eq[[#This Row],[Dividend in USD]],T_Eq[[#This Row],[Dividend in Loc.Curr]])
/T_Eq[[#This Row],[Dividends per annum]],0),
"")</f>
        <v>614.25</v>
      </c>
      <c r="AH53" s="682">
        <f>IFERROR(IF(
OR(
AH$1+1-1=MONTH($U53),
AH$1+1-1=MONTH(T_Eq[[#This Row],[coupon date 1]]),
AH$1+1-1=MONTH(T_Eq[[#This Row],[coupon date 2]]),
AH$1+1-1=MONTH(T_Eq[[#This Row],[coupon date 3]])),
IF('CF USD'!$A$8="on",T_Eq[[#This Row],[Dividend in USD]],T_Eq[[#This Row],[Dividend in Loc.Curr]])
/T_Eq[[#This Row],[Dividends per annum]],0),
"")</f>
        <v>0</v>
      </c>
      <c r="AI53" s="682">
        <f>IFERROR(IF(
OR(
AI$1+1-1=MONTH($U53),
AI$1+1-1=MONTH(T_Eq[[#This Row],[coupon date 1]]),
AI$1+1-1=MONTH(T_Eq[[#This Row],[coupon date 2]]),
AI$1+1-1=MONTH(T_Eq[[#This Row],[coupon date 3]])),
IF('CF USD'!$A$8="on",T_Eq[[#This Row],[Dividend in USD]],T_Eq[[#This Row],[Dividend in Loc.Curr]])
/T_Eq[[#This Row],[Dividends per annum]],0),
"")</f>
        <v>0</v>
      </c>
      <c r="AJ53" s="682">
        <f>IFERROR(IF(
OR(
AJ$1+1-1=MONTH($U53),
AJ$1+1-1=MONTH(T_Eq[[#This Row],[coupon date 1]]),
AJ$1+1-1=MONTH(T_Eq[[#This Row],[coupon date 2]]),
AJ$1+1-1=MONTH(T_Eq[[#This Row],[coupon date 3]])),
IF('CF USD'!$A$8="on",T_Eq[[#This Row],[Dividend in USD]],T_Eq[[#This Row],[Dividend in Loc.Curr]])
/T_Eq[[#This Row],[Dividends per annum]],0),
"")</f>
        <v>614.25</v>
      </c>
    </row>
    <row r="54" spans="1:36" x14ac:dyDescent="0.25">
      <c r="A54" s="70" t="s">
        <v>51</v>
      </c>
      <c r="B54" s="70" t="s">
        <v>195</v>
      </c>
      <c r="C54" s="676" t="s">
        <v>2428</v>
      </c>
      <c r="D54" s="676" t="s">
        <v>1945</v>
      </c>
      <c r="E54" s="672" t="s">
        <v>18</v>
      </c>
      <c r="F54" s="672" t="s">
        <v>283</v>
      </c>
      <c r="G54" s="672"/>
      <c r="H54" s="70" t="s">
        <v>2475</v>
      </c>
      <c r="I54" s="684">
        <v>1650</v>
      </c>
      <c r="J54" s="295">
        <v>68.09</v>
      </c>
      <c r="K54" s="666">
        <f>ABS(T_Eq[[#This Row],[Quantity]]*T_Eq[[#This Row],[Market price]])</f>
        <v>112348.5</v>
      </c>
      <c r="L54" s="666">
        <f>ABS(INDEX('Tech list'!A:C,MATCH(T_Eq[[#This Row],[Risk CCY]],'Tech list'!A:A,0),3)*T_Eq[[#This Row],[Market value, CCY]])</f>
        <v>112348.5</v>
      </c>
      <c r="M54" s="677">
        <v>61.542175757575755</v>
      </c>
      <c r="N54" s="666">
        <f>ABS(T_Eq[[#This Row],[Cost price]]*T_Eq[[#This Row],[Quantity]])</f>
        <v>101544.59</v>
      </c>
      <c r="O54" s="213">
        <f>IF(T_Eq[[#This Row],[Quantity]]&lt;0,N54/K54-1,K54/N54-1)</f>
        <v>0.10639572231272987</v>
      </c>
      <c r="P54" s="669">
        <v>0</v>
      </c>
      <c r="Q54" s="213">
        <f>T_Eq[[#This Row],[Dividend per share]]/T_Eq[[#This Row],[Market price]]</f>
        <v>0</v>
      </c>
      <c r="R54" s="666">
        <f>T_Eq[[#This Row],[Dividend per share]]*T_Eq[[#This Row],[Quantity]]</f>
        <v>0</v>
      </c>
      <c r="S54" s="666">
        <f>INDEX('Tech list'!A:C,MATCH(T_Eq[[#This Row],[Risk CCY]],'Tech list'!A:A,0),3)*T_Eq[[#This Row],[Dividend in Loc.Curr]]</f>
        <v>0</v>
      </c>
      <c r="T54" s="666">
        <v>12</v>
      </c>
      <c r="U54" s="675">
        <v>46023</v>
      </c>
      <c r="V54" s="671">
        <f>EDATE(T_Eq[[#This Row],[Next coupon date]],12/$T54)</f>
        <v>46054</v>
      </c>
      <c r="W54" s="671">
        <f>EDATE(T_Eq[[#This Row],[coupon date 1]],12/$T54)</f>
        <v>46082</v>
      </c>
      <c r="X54" s="671">
        <f>EDATE(T_Eq[[#This Row],[coupon date 2]],12/$T54)</f>
        <v>46113</v>
      </c>
      <c r="Y54" s="682">
        <f>IFERROR(IF(
OR(
Y$1+1-1=MONTH($U54),
Y$1+1-1=MONTH(T_Eq[[#This Row],[coupon date 1]]),
Y$1+1-1=MONTH(T_Eq[[#This Row],[coupon date 2]]),
Y$1+1-1=MONTH(T_Eq[[#This Row],[coupon date 3]])),
IF('CF USD'!$A$8="on",T_Eq[[#This Row],[Dividend in USD]],T_Eq[[#This Row],[Dividend in Loc.Curr]])
/T_Eq[[#This Row],[Dividends per annum]],0),
"")</f>
        <v>0</v>
      </c>
      <c r="Z54" s="682">
        <f>IFERROR(IF(
OR(
Z$1+1-1=MONTH($U54),
Z$1+1-1=MONTH(T_Eq[[#This Row],[coupon date 1]]),
Z$1+1-1=MONTH(T_Eq[[#This Row],[coupon date 2]]),
Z$1+1-1=MONTH(T_Eq[[#This Row],[coupon date 3]])),
IF('CF USD'!$A$8="on",T_Eq[[#This Row],[Dividend in USD]],T_Eq[[#This Row],[Dividend in Loc.Curr]])
/T_Eq[[#This Row],[Dividends per annum]],0),
"")</f>
        <v>0</v>
      </c>
      <c r="AA54" s="682">
        <f>IFERROR(IF(
OR(
AA$1+1-1=MONTH($U54),
AA$1+1-1=MONTH(T_Eq[[#This Row],[coupon date 1]]),
AA$1+1-1=MONTH(T_Eq[[#This Row],[coupon date 2]]),
AA$1+1-1=MONTH(T_Eq[[#This Row],[coupon date 3]])),
IF('CF USD'!$A$8="on",T_Eq[[#This Row],[Dividend in USD]],T_Eq[[#This Row],[Dividend in Loc.Curr]])
/T_Eq[[#This Row],[Dividends per annum]],0),
"")</f>
        <v>0</v>
      </c>
      <c r="AB54" s="682">
        <f>IFERROR(IF(
OR(
AB$1+1-1=MONTH($U54),
AB$1+1-1=MONTH(T_Eq[[#This Row],[coupon date 1]]),
AB$1+1-1=MONTH(T_Eq[[#This Row],[coupon date 2]]),
AB$1+1-1=MONTH(T_Eq[[#This Row],[coupon date 3]])),
IF('CF USD'!$A$8="on",T_Eq[[#This Row],[Dividend in USD]],T_Eq[[#This Row],[Dividend in Loc.Curr]])
/T_Eq[[#This Row],[Dividends per annum]],0),
"")</f>
        <v>0</v>
      </c>
      <c r="AC54" s="682">
        <f>IFERROR(IF(
OR(
AC$1+1-1=MONTH($U54),
AC$1+1-1=MONTH(T_Eq[[#This Row],[coupon date 1]]),
AC$1+1-1=MONTH(T_Eq[[#This Row],[coupon date 2]]),
AC$1+1-1=MONTH(T_Eq[[#This Row],[coupon date 3]])),
IF('CF USD'!$A$8="on",T_Eq[[#This Row],[Dividend in USD]],T_Eq[[#This Row],[Dividend in Loc.Curr]])
/T_Eq[[#This Row],[Dividends per annum]],0),
"")</f>
        <v>0</v>
      </c>
      <c r="AD54" s="682">
        <f>IFERROR(IF(
OR(
AD$1+1-1=MONTH($U54),
AD$1+1-1=MONTH(T_Eq[[#This Row],[coupon date 1]]),
AD$1+1-1=MONTH(T_Eq[[#This Row],[coupon date 2]]),
AD$1+1-1=MONTH(T_Eq[[#This Row],[coupon date 3]])),
IF('CF USD'!$A$8="on",T_Eq[[#This Row],[Dividend in USD]],T_Eq[[#This Row],[Dividend in Loc.Curr]])
/T_Eq[[#This Row],[Dividends per annum]],0),
"")</f>
        <v>0</v>
      </c>
      <c r="AE54" s="682">
        <f>IFERROR(IF(
OR(
AE$1+1-1=MONTH($U54),
AE$1+1-1=MONTH(T_Eq[[#This Row],[coupon date 1]]),
AE$1+1-1=MONTH(T_Eq[[#This Row],[coupon date 2]]),
AE$1+1-1=MONTH(T_Eq[[#This Row],[coupon date 3]])),
IF('CF USD'!$A$8="on",T_Eq[[#This Row],[Dividend in USD]],T_Eq[[#This Row],[Dividend in Loc.Curr]])
/T_Eq[[#This Row],[Dividends per annum]],0),
"")</f>
        <v>0</v>
      </c>
      <c r="AF54" s="682">
        <f>IFERROR(IF(
OR(
AF$1+1-1=MONTH($U54),
AF$1+1-1=MONTH(T_Eq[[#This Row],[coupon date 1]]),
AF$1+1-1=MONTH(T_Eq[[#This Row],[coupon date 2]]),
AF$1+1-1=MONTH(T_Eq[[#This Row],[coupon date 3]])),
IF('CF USD'!$A$8="on",T_Eq[[#This Row],[Dividend in USD]],T_Eq[[#This Row],[Dividend in Loc.Curr]])
/T_Eq[[#This Row],[Dividends per annum]],0),
"")</f>
        <v>0</v>
      </c>
      <c r="AG54" s="682">
        <f>IFERROR(IF(
OR(
AG$1+1-1=MONTH($U54),
AG$1+1-1=MONTH(T_Eq[[#This Row],[coupon date 1]]),
AG$1+1-1=MONTH(T_Eq[[#This Row],[coupon date 2]]),
AG$1+1-1=MONTH(T_Eq[[#This Row],[coupon date 3]])),
IF('CF USD'!$A$8="on",T_Eq[[#This Row],[Dividend in USD]],T_Eq[[#This Row],[Dividend in Loc.Curr]])
/T_Eq[[#This Row],[Dividends per annum]],0),
"")</f>
        <v>0</v>
      </c>
      <c r="AH54" s="682">
        <f>IFERROR(IF(
OR(
AH$1+1-1=MONTH($U54),
AH$1+1-1=MONTH(T_Eq[[#This Row],[coupon date 1]]),
AH$1+1-1=MONTH(T_Eq[[#This Row],[coupon date 2]]),
AH$1+1-1=MONTH(T_Eq[[#This Row],[coupon date 3]])),
IF('CF USD'!$A$8="on",T_Eq[[#This Row],[Dividend in USD]],T_Eq[[#This Row],[Dividend in Loc.Curr]])
/T_Eq[[#This Row],[Dividends per annum]],0),
"")</f>
        <v>0</v>
      </c>
      <c r="AI54" s="682">
        <f>IFERROR(IF(
OR(
AI$1+1-1=MONTH($U54),
AI$1+1-1=MONTH(T_Eq[[#This Row],[coupon date 1]]),
AI$1+1-1=MONTH(T_Eq[[#This Row],[coupon date 2]]),
AI$1+1-1=MONTH(T_Eq[[#This Row],[coupon date 3]])),
IF('CF USD'!$A$8="on",T_Eq[[#This Row],[Dividend in USD]],T_Eq[[#This Row],[Dividend in Loc.Curr]])
/T_Eq[[#This Row],[Dividends per annum]],0),
"")</f>
        <v>0</v>
      </c>
      <c r="AJ54" s="682">
        <f>IFERROR(IF(
OR(
AJ$1+1-1=MONTH($U54),
AJ$1+1-1=MONTH(T_Eq[[#This Row],[coupon date 1]]),
AJ$1+1-1=MONTH(T_Eq[[#This Row],[coupon date 2]]),
AJ$1+1-1=MONTH(T_Eq[[#This Row],[coupon date 3]])),
IF('CF USD'!$A$8="on",T_Eq[[#This Row],[Dividend in USD]],T_Eq[[#This Row],[Dividend in Loc.Curr]])
/T_Eq[[#This Row],[Dividends per annum]],0),
"")</f>
        <v>0</v>
      </c>
    </row>
    <row r="55" spans="1:36" x14ac:dyDescent="0.25">
      <c r="A55" s="70" t="s">
        <v>51</v>
      </c>
      <c r="B55" s="70" t="s">
        <v>1191</v>
      </c>
      <c r="C55" s="676" t="s">
        <v>2429</v>
      </c>
      <c r="D55" s="676" t="s">
        <v>2430</v>
      </c>
      <c r="E55" s="672" t="s">
        <v>18</v>
      </c>
      <c r="F55" s="672" t="e">
        <v>#N/A</v>
      </c>
      <c r="G55" s="672"/>
      <c r="H55" s="418" t="s">
        <v>2476</v>
      </c>
      <c r="I55" s="684">
        <v>13700</v>
      </c>
      <c r="J55" s="295">
        <v>37.7789</v>
      </c>
      <c r="K55" s="666">
        <f>ABS(T_Eq[[#This Row],[Quantity]]*T_Eq[[#This Row],[Market price]])</f>
        <v>517570.93</v>
      </c>
      <c r="L55" s="666">
        <f>ABS(INDEX('Tech list'!A:C,MATCH(T_Eq[[#This Row],[Risk CCY]],'Tech list'!A:A,0),3)*T_Eq[[#This Row],[Market value, CCY]])</f>
        <v>517570.93</v>
      </c>
      <c r="M55" s="677">
        <v>36.4746299270073</v>
      </c>
      <c r="N55" s="666">
        <f>ABS(T_Eq[[#This Row],[Cost price]]*T_Eq[[#This Row],[Quantity]])</f>
        <v>499702.43</v>
      </c>
      <c r="O55" s="213">
        <f>IF(T_Eq[[#This Row],[Quantity]]&lt;0,N55/K55-1,K55/N55-1)</f>
        <v>3.5758281183463581E-2</v>
      </c>
      <c r="P55" s="669">
        <v>2.2551999999999999</v>
      </c>
      <c r="Q55" s="213">
        <f>T_Eq[[#This Row],[Dividend per share]]/T_Eq[[#This Row],[Market price]]</f>
        <v>5.9694697304580067E-2</v>
      </c>
      <c r="R55" s="666">
        <f>T_Eq[[#This Row],[Dividend per share]]*T_Eq[[#This Row],[Quantity]]</f>
        <v>30896.239999999998</v>
      </c>
      <c r="S55" s="666">
        <f>INDEX('Tech list'!A:C,MATCH(T_Eq[[#This Row],[Risk CCY]],'Tech list'!A:A,0),3)*T_Eq[[#This Row],[Dividend in Loc.Curr]]</f>
        <v>30896.239999999998</v>
      </c>
      <c r="T55" s="666">
        <v>1</v>
      </c>
      <c r="U55" s="675">
        <v>46387</v>
      </c>
      <c r="V55" s="671">
        <f>EDATE(T_Eq[[#This Row],[Next coupon date]],12/$T55)</f>
        <v>46752</v>
      </c>
      <c r="W55" s="671">
        <f>EDATE(T_Eq[[#This Row],[coupon date 1]],12/$T55)</f>
        <v>47118</v>
      </c>
      <c r="X55" s="671">
        <f>EDATE(T_Eq[[#This Row],[coupon date 2]],12/$T55)</f>
        <v>47483</v>
      </c>
      <c r="Y55" s="682">
        <f>IFERROR(IF(
OR(
Y$1+1-1=MONTH($U55),
Y$1+1-1=MONTH(T_Eq[[#This Row],[coupon date 1]]),
Y$1+1-1=MONTH(T_Eq[[#This Row],[coupon date 2]]),
Y$1+1-1=MONTH(T_Eq[[#This Row],[coupon date 3]])),
IF('CF USD'!$A$8="on",T_Eq[[#This Row],[Dividend in USD]],T_Eq[[#This Row],[Dividend in Loc.Curr]])
/T_Eq[[#This Row],[Dividends per annum]],0),
"")</f>
        <v>0</v>
      </c>
      <c r="Z55" s="682">
        <f>IFERROR(IF(
OR(
Z$1+1-1=MONTH($U55),
Z$1+1-1=MONTH(T_Eq[[#This Row],[coupon date 1]]),
Z$1+1-1=MONTH(T_Eq[[#This Row],[coupon date 2]]),
Z$1+1-1=MONTH(T_Eq[[#This Row],[coupon date 3]])),
IF('CF USD'!$A$8="on",T_Eq[[#This Row],[Dividend in USD]],T_Eq[[#This Row],[Dividend in Loc.Curr]])
/T_Eq[[#This Row],[Dividends per annum]],0),
"")</f>
        <v>0</v>
      </c>
      <c r="AA55" s="682">
        <f>IFERROR(IF(
OR(
AA$1+1-1=MONTH($U55),
AA$1+1-1=MONTH(T_Eq[[#This Row],[coupon date 1]]),
AA$1+1-1=MONTH(T_Eq[[#This Row],[coupon date 2]]),
AA$1+1-1=MONTH(T_Eq[[#This Row],[coupon date 3]])),
IF('CF USD'!$A$8="on",T_Eq[[#This Row],[Dividend in USD]],T_Eq[[#This Row],[Dividend in Loc.Curr]])
/T_Eq[[#This Row],[Dividends per annum]],0),
"")</f>
        <v>0</v>
      </c>
      <c r="AB55" s="682">
        <f>IFERROR(IF(
OR(
AB$1+1-1=MONTH($U55),
AB$1+1-1=MONTH(T_Eq[[#This Row],[coupon date 1]]),
AB$1+1-1=MONTH(T_Eq[[#This Row],[coupon date 2]]),
AB$1+1-1=MONTH(T_Eq[[#This Row],[coupon date 3]])),
IF('CF USD'!$A$8="on",T_Eq[[#This Row],[Dividend in USD]],T_Eq[[#This Row],[Dividend in Loc.Curr]])
/T_Eq[[#This Row],[Dividends per annum]],0),
"")</f>
        <v>0</v>
      </c>
      <c r="AC55" s="682">
        <f>IFERROR(IF(
OR(
AC$1+1-1=MONTH($U55),
AC$1+1-1=MONTH(T_Eq[[#This Row],[coupon date 1]]),
AC$1+1-1=MONTH(T_Eq[[#This Row],[coupon date 2]]),
AC$1+1-1=MONTH(T_Eq[[#This Row],[coupon date 3]])),
IF('CF USD'!$A$8="on",T_Eq[[#This Row],[Dividend in USD]],T_Eq[[#This Row],[Dividend in Loc.Curr]])
/T_Eq[[#This Row],[Dividends per annum]],0),
"")</f>
        <v>0</v>
      </c>
      <c r="AD55" s="682">
        <f>IFERROR(IF(
OR(
AD$1+1-1=MONTH($U55),
AD$1+1-1=MONTH(T_Eq[[#This Row],[coupon date 1]]),
AD$1+1-1=MONTH(T_Eq[[#This Row],[coupon date 2]]),
AD$1+1-1=MONTH(T_Eq[[#This Row],[coupon date 3]])),
IF('CF USD'!$A$8="on",T_Eq[[#This Row],[Dividend in USD]],T_Eq[[#This Row],[Dividend in Loc.Curr]])
/T_Eq[[#This Row],[Dividends per annum]],0),
"")</f>
        <v>0</v>
      </c>
      <c r="AE55" s="682">
        <f>IFERROR(IF(
OR(
AE$1+1-1=MONTH($U55),
AE$1+1-1=MONTH(T_Eq[[#This Row],[coupon date 1]]),
AE$1+1-1=MONTH(T_Eq[[#This Row],[coupon date 2]]),
AE$1+1-1=MONTH(T_Eq[[#This Row],[coupon date 3]])),
IF('CF USD'!$A$8="on",T_Eq[[#This Row],[Dividend in USD]],T_Eq[[#This Row],[Dividend in Loc.Curr]])
/T_Eq[[#This Row],[Dividends per annum]],0),
"")</f>
        <v>0</v>
      </c>
      <c r="AF55" s="682">
        <f>IFERROR(IF(
OR(
AF$1+1-1=MONTH($U55),
AF$1+1-1=MONTH(T_Eq[[#This Row],[coupon date 1]]),
AF$1+1-1=MONTH(T_Eq[[#This Row],[coupon date 2]]),
AF$1+1-1=MONTH(T_Eq[[#This Row],[coupon date 3]])),
IF('CF USD'!$A$8="on",T_Eq[[#This Row],[Dividend in USD]],T_Eq[[#This Row],[Dividend in Loc.Curr]])
/T_Eq[[#This Row],[Dividends per annum]],0),
"")</f>
        <v>0</v>
      </c>
      <c r="AG55" s="682">
        <f>IFERROR(IF(
OR(
AG$1+1-1=MONTH($U55),
AG$1+1-1=MONTH(T_Eq[[#This Row],[coupon date 1]]),
AG$1+1-1=MONTH(T_Eq[[#This Row],[coupon date 2]]),
AG$1+1-1=MONTH(T_Eq[[#This Row],[coupon date 3]])),
IF('CF USD'!$A$8="on",T_Eq[[#This Row],[Dividend in USD]],T_Eq[[#This Row],[Dividend in Loc.Curr]])
/T_Eq[[#This Row],[Dividends per annum]],0),
"")</f>
        <v>0</v>
      </c>
      <c r="AH55" s="682">
        <f>IFERROR(IF(
OR(
AH$1+1-1=MONTH($U55),
AH$1+1-1=MONTH(T_Eq[[#This Row],[coupon date 1]]),
AH$1+1-1=MONTH(T_Eq[[#This Row],[coupon date 2]]),
AH$1+1-1=MONTH(T_Eq[[#This Row],[coupon date 3]])),
IF('CF USD'!$A$8="on",T_Eq[[#This Row],[Dividend in USD]],T_Eq[[#This Row],[Dividend in Loc.Curr]])
/T_Eq[[#This Row],[Dividends per annum]],0),
"")</f>
        <v>0</v>
      </c>
      <c r="AI55" s="682">
        <f>IFERROR(IF(
OR(
AI$1+1-1=MONTH($U55),
AI$1+1-1=MONTH(T_Eq[[#This Row],[coupon date 1]]),
AI$1+1-1=MONTH(T_Eq[[#This Row],[coupon date 2]]),
AI$1+1-1=MONTH(T_Eq[[#This Row],[coupon date 3]])),
IF('CF USD'!$A$8="on",T_Eq[[#This Row],[Dividend in USD]],T_Eq[[#This Row],[Dividend in Loc.Curr]])
/T_Eq[[#This Row],[Dividends per annum]],0),
"")</f>
        <v>0</v>
      </c>
      <c r="AJ55" s="682">
        <f>IFERROR(IF(
OR(
AJ$1+1-1=MONTH($U55),
AJ$1+1-1=MONTH(T_Eq[[#This Row],[coupon date 1]]),
AJ$1+1-1=MONTH(T_Eq[[#This Row],[coupon date 2]]),
AJ$1+1-1=MONTH(T_Eq[[#This Row],[coupon date 3]])),
IF('CF USD'!$A$8="on",T_Eq[[#This Row],[Dividend in USD]],T_Eq[[#This Row],[Dividend in Loc.Curr]])
/T_Eq[[#This Row],[Dividends per annum]],0),
"")</f>
        <v>30896.239999999998</v>
      </c>
    </row>
    <row r="56" spans="1:36" x14ac:dyDescent="0.25">
      <c r="A56" s="70" t="s">
        <v>51</v>
      </c>
      <c r="B56" s="70" t="s">
        <v>195</v>
      </c>
      <c r="C56" s="676" t="s">
        <v>2433</v>
      </c>
      <c r="D56" s="676" t="s">
        <v>2434</v>
      </c>
      <c r="E56" s="672" t="s">
        <v>18</v>
      </c>
      <c r="F56" s="672" t="s">
        <v>2500</v>
      </c>
      <c r="G56" s="672"/>
      <c r="H56" s="70" t="s">
        <v>2475</v>
      </c>
      <c r="I56" s="684">
        <v>4300</v>
      </c>
      <c r="J56" s="295">
        <v>51.54</v>
      </c>
      <c r="K56" s="666">
        <f>ABS(T_Eq[[#This Row],[Quantity]]*T_Eq[[#This Row],[Market price]])</f>
        <v>221622</v>
      </c>
      <c r="L56" s="666">
        <f>ABS(INDEX('Tech list'!A:C,MATCH(T_Eq[[#This Row],[Risk CCY]],'Tech list'!A:A,0),3)*T_Eq[[#This Row],[Market value, CCY]])</f>
        <v>221622</v>
      </c>
      <c r="M56" s="677">
        <v>46.71997441860465</v>
      </c>
      <c r="N56" s="666">
        <f>ABS(T_Eq[[#This Row],[Cost price]]*T_Eq[[#This Row],[Quantity]])</f>
        <v>200895.88999999998</v>
      </c>
      <c r="O56" s="213">
        <f>IF(T_Eq[[#This Row],[Quantity]]&lt;0,N56/K56-1,K56/N56-1)</f>
        <v>0.10316841225572126</v>
      </c>
      <c r="P56" s="669">
        <v>1.1299999999999999</v>
      </c>
      <c r="Q56" s="213">
        <f>T_Eq[[#This Row],[Dividend per share]]/T_Eq[[#This Row],[Market price]]</f>
        <v>2.1924718665114473E-2</v>
      </c>
      <c r="R56" s="666">
        <f>T_Eq[[#This Row],[Dividend per share]]*T_Eq[[#This Row],[Quantity]]</f>
        <v>4858.9999999999991</v>
      </c>
      <c r="S56" s="666">
        <f>INDEX('Tech list'!A:C,MATCH(T_Eq[[#This Row],[Risk CCY]],'Tech list'!A:A,0),3)*T_Eq[[#This Row],[Dividend in Loc.Curr]]</f>
        <v>4858.9999999999991</v>
      </c>
      <c r="T56" s="666">
        <v>4</v>
      </c>
      <c r="U56" s="675">
        <v>46031</v>
      </c>
      <c r="V56" s="671">
        <f>EDATE(T_Eq[[#This Row],[Next coupon date]],12/$T56)</f>
        <v>46121</v>
      </c>
      <c r="W56" s="671">
        <f>EDATE(T_Eq[[#This Row],[coupon date 1]],12/$T56)</f>
        <v>46212</v>
      </c>
      <c r="X56" s="671">
        <f>EDATE(T_Eq[[#This Row],[coupon date 2]],12/$T56)</f>
        <v>46304</v>
      </c>
      <c r="Y56" s="682">
        <f>IFERROR(IF(
OR(
Y$1+1-1=MONTH($U56),
Y$1+1-1=MONTH(T_Eq[[#This Row],[coupon date 1]]),
Y$1+1-1=MONTH(T_Eq[[#This Row],[coupon date 2]]),
Y$1+1-1=MONTH(T_Eq[[#This Row],[coupon date 3]])),
IF('CF USD'!$A$8="on",T_Eq[[#This Row],[Dividend in USD]],T_Eq[[#This Row],[Dividend in Loc.Curr]])
/T_Eq[[#This Row],[Dividends per annum]],0),
"")</f>
        <v>1214.7499999999998</v>
      </c>
      <c r="Z56" s="682">
        <f>IFERROR(IF(
OR(
Z$1+1-1=MONTH($U56),
Z$1+1-1=MONTH(T_Eq[[#This Row],[coupon date 1]]),
Z$1+1-1=MONTH(T_Eq[[#This Row],[coupon date 2]]),
Z$1+1-1=MONTH(T_Eq[[#This Row],[coupon date 3]])),
IF('CF USD'!$A$8="on",T_Eq[[#This Row],[Dividend in USD]],T_Eq[[#This Row],[Dividend in Loc.Curr]])
/T_Eq[[#This Row],[Dividends per annum]],0),
"")</f>
        <v>0</v>
      </c>
      <c r="AA56" s="682">
        <f>IFERROR(IF(
OR(
AA$1+1-1=MONTH($U56),
AA$1+1-1=MONTH(T_Eq[[#This Row],[coupon date 1]]),
AA$1+1-1=MONTH(T_Eq[[#This Row],[coupon date 2]]),
AA$1+1-1=MONTH(T_Eq[[#This Row],[coupon date 3]])),
IF('CF USD'!$A$8="on",T_Eq[[#This Row],[Dividend in USD]],T_Eq[[#This Row],[Dividend in Loc.Curr]])
/T_Eq[[#This Row],[Dividends per annum]],0),
"")</f>
        <v>0</v>
      </c>
      <c r="AB56" s="682">
        <f>IFERROR(IF(
OR(
AB$1+1-1=MONTH($U56),
AB$1+1-1=MONTH(T_Eq[[#This Row],[coupon date 1]]),
AB$1+1-1=MONTH(T_Eq[[#This Row],[coupon date 2]]),
AB$1+1-1=MONTH(T_Eq[[#This Row],[coupon date 3]])),
IF('CF USD'!$A$8="on",T_Eq[[#This Row],[Dividend in USD]],T_Eq[[#This Row],[Dividend in Loc.Curr]])
/T_Eq[[#This Row],[Dividends per annum]],0),
"")</f>
        <v>1214.7499999999998</v>
      </c>
      <c r="AC56" s="682">
        <f>IFERROR(IF(
OR(
AC$1+1-1=MONTH($U56),
AC$1+1-1=MONTH(T_Eq[[#This Row],[coupon date 1]]),
AC$1+1-1=MONTH(T_Eq[[#This Row],[coupon date 2]]),
AC$1+1-1=MONTH(T_Eq[[#This Row],[coupon date 3]])),
IF('CF USD'!$A$8="on",T_Eq[[#This Row],[Dividend in USD]],T_Eq[[#This Row],[Dividend in Loc.Curr]])
/T_Eq[[#This Row],[Dividends per annum]],0),
"")</f>
        <v>0</v>
      </c>
      <c r="AD56" s="682">
        <f>IFERROR(IF(
OR(
AD$1+1-1=MONTH($U56),
AD$1+1-1=MONTH(T_Eq[[#This Row],[coupon date 1]]),
AD$1+1-1=MONTH(T_Eq[[#This Row],[coupon date 2]]),
AD$1+1-1=MONTH(T_Eq[[#This Row],[coupon date 3]])),
IF('CF USD'!$A$8="on",T_Eq[[#This Row],[Dividend in USD]],T_Eq[[#This Row],[Dividend in Loc.Curr]])
/T_Eq[[#This Row],[Dividends per annum]],0),
"")</f>
        <v>0</v>
      </c>
      <c r="AE56" s="682">
        <f>IFERROR(IF(
OR(
AE$1+1-1=MONTH($U56),
AE$1+1-1=MONTH(T_Eq[[#This Row],[coupon date 1]]),
AE$1+1-1=MONTH(T_Eq[[#This Row],[coupon date 2]]),
AE$1+1-1=MONTH(T_Eq[[#This Row],[coupon date 3]])),
IF('CF USD'!$A$8="on",T_Eq[[#This Row],[Dividend in USD]],T_Eq[[#This Row],[Dividend in Loc.Curr]])
/T_Eq[[#This Row],[Dividends per annum]],0),
"")</f>
        <v>1214.7499999999998</v>
      </c>
      <c r="AF56" s="682">
        <f>IFERROR(IF(
OR(
AF$1+1-1=MONTH($U56),
AF$1+1-1=MONTH(T_Eq[[#This Row],[coupon date 1]]),
AF$1+1-1=MONTH(T_Eq[[#This Row],[coupon date 2]]),
AF$1+1-1=MONTH(T_Eq[[#This Row],[coupon date 3]])),
IF('CF USD'!$A$8="on",T_Eq[[#This Row],[Dividend in USD]],T_Eq[[#This Row],[Dividend in Loc.Curr]])
/T_Eq[[#This Row],[Dividends per annum]],0),
"")</f>
        <v>0</v>
      </c>
      <c r="AG56" s="682">
        <f>IFERROR(IF(
OR(
AG$1+1-1=MONTH($U56),
AG$1+1-1=MONTH(T_Eq[[#This Row],[coupon date 1]]),
AG$1+1-1=MONTH(T_Eq[[#This Row],[coupon date 2]]),
AG$1+1-1=MONTH(T_Eq[[#This Row],[coupon date 3]])),
IF('CF USD'!$A$8="on",T_Eq[[#This Row],[Dividend in USD]],T_Eq[[#This Row],[Dividend in Loc.Curr]])
/T_Eq[[#This Row],[Dividends per annum]],0),
"")</f>
        <v>0</v>
      </c>
      <c r="AH56" s="682">
        <f>IFERROR(IF(
OR(
AH$1+1-1=MONTH($U56),
AH$1+1-1=MONTH(T_Eq[[#This Row],[coupon date 1]]),
AH$1+1-1=MONTH(T_Eq[[#This Row],[coupon date 2]]),
AH$1+1-1=MONTH(T_Eq[[#This Row],[coupon date 3]])),
IF('CF USD'!$A$8="on",T_Eq[[#This Row],[Dividend in USD]],T_Eq[[#This Row],[Dividend in Loc.Curr]])
/T_Eq[[#This Row],[Dividends per annum]],0),
"")</f>
        <v>1214.7499999999998</v>
      </c>
      <c r="AI56" s="682">
        <f>IFERROR(IF(
OR(
AI$1+1-1=MONTH($U56),
AI$1+1-1=MONTH(T_Eq[[#This Row],[coupon date 1]]),
AI$1+1-1=MONTH(T_Eq[[#This Row],[coupon date 2]]),
AI$1+1-1=MONTH(T_Eq[[#This Row],[coupon date 3]])),
IF('CF USD'!$A$8="on",T_Eq[[#This Row],[Dividend in USD]],T_Eq[[#This Row],[Dividend in Loc.Curr]])
/T_Eq[[#This Row],[Dividends per annum]],0),
"")</f>
        <v>0</v>
      </c>
      <c r="AJ56" s="682">
        <f>IFERROR(IF(
OR(
AJ$1+1-1=MONTH($U56),
AJ$1+1-1=MONTH(T_Eq[[#This Row],[coupon date 1]]),
AJ$1+1-1=MONTH(T_Eq[[#This Row],[coupon date 2]]),
AJ$1+1-1=MONTH(T_Eq[[#This Row],[coupon date 3]])),
IF('CF USD'!$A$8="on",T_Eq[[#This Row],[Dividend in USD]],T_Eq[[#This Row],[Dividend in Loc.Curr]])
/T_Eq[[#This Row],[Dividends per annum]],0),
"")</f>
        <v>0</v>
      </c>
    </row>
    <row r="57" spans="1:36" x14ac:dyDescent="0.25">
      <c r="A57" s="70" t="s">
        <v>51</v>
      </c>
      <c r="B57" s="70" t="s">
        <v>1191</v>
      </c>
      <c r="C57" s="676" t="s">
        <v>2435</v>
      </c>
      <c r="D57" s="676" t="s">
        <v>2436</v>
      </c>
      <c r="E57" s="672" t="s">
        <v>21</v>
      </c>
      <c r="F57" s="672" t="e">
        <v>#N/A</v>
      </c>
      <c r="G57" s="672"/>
      <c r="H57" s="70" t="s">
        <v>2475</v>
      </c>
      <c r="I57" s="684">
        <v>1860.5530000000001</v>
      </c>
      <c r="J57" s="295">
        <v>569.69000000000005</v>
      </c>
      <c r="K57" s="666">
        <f>ABS(T_Eq[[#This Row],[Quantity]]*T_Eq[[#This Row],[Market price]])</f>
        <v>1059938.4385700002</v>
      </c>
      <c r="L57" s="666">
        <f ca="1">ABS(INDEX('Tech list'!A:C,MATCH(T_Eq[[#This Row],[Risk CCY]],'Tech list'!A:A,0),3)*T_Eq[[#This Row],[Market value, CCY]])</f>
        <v>1226454.7672693473</v>
      </c>
      <c r="M57" s="677">
        <v>554.4286940495648</v>
      </c>
      <c r="N57" s="666">
        <f>ABS(T_Eq[[#This Row],[Cost price]]*T_Eq[[#This Row],[Quantity]])</f>
        <v>1031543.97</v>
      </c>
      <c r="O57" s="213">
        <f>IF(T_Eq[[#This Row],[Quantity]]&lt;0,N57/K57-1,K57/N57-1)</f>
        <v>2.7526183464579024E-2</v>
      </c>
      <c r="P57" s="669">
        <v>0</v>
      </c>
      <c r="Q57" s="213">
        <f>T_Eq[[#This Row],[Dividend per share]]/T_Eq[[#This Row],[Market price]]</f>
        <v>0</v>
      </c>
      <c r="R57" s="666">
        <f>T_Eq[[#This Row],[Dividend per share]]*T_Eq[[#This Row],[Quantity]]</f>
        <v>0</v>
      </c>
      <c r="S57" s="666">
        <f ca="1">INDEX('Tech list'!A:C,MATCH(T_Eq[[#This Row],[Risk CCY]],'Tech list'!A:A,0),3)*T_Eq[[#This Row],[Dividend in Loc.Curr]]</f>
        <v>0</v>
      </c>
      <c r="T57" s="666">
        <v>12</v>
      </c>
      <c r="U57" s="675">
        <v>46023</v>
      </c>
      <c r="V57" s="671">
        <f>EDATE(T_Eq[[#This Row],[Next coupon date]],12/$T57)</f>
        <v>46054</v>
      </c>
      <c r="W57" s="671">
        <f>EDATE(T_Eq[[#This Row],[coupon date 1]],12/$T57)</f>
        <v>46082</v>
      </c>
      <c r="X57" s="671">
        <f>EDATE(T_Eq[[#This Row],[coupon date 2]],12/$T57)</f>
        <v>46113</v>
      </c>
      <c r="Y57" s="682">
        <f>IFERROR(IF(
OR(
Y$1+1-1=MONTH($U57),
Y$1+1-1=MONTH(T_Eq[[#This Row],[coupon date 1]]),
Y$1+1-1=MONTH(T_Eq[[#This Row],[coupon date 2]]),
Y$1+1-1=MONTH(T_Eq[[#This Row],[coupon date 3]])),
IF('CF USD'!$A$8="on",T_Eq[[#This Row],[Dividend in USD]],T_Eq[[#This Row],[Dividend in Loc.Curr]])
/T_Eq[[#This Row],[Dividends per annum]],0),
"")</f>
        <v>0</v>
      </c>
      <c r="Z57" s="682">
        <f>IFERROR(IF(
OR(
Z$1+1-1=MONTH($U57),
Z$1+1-1=MONTH(T_Eq[[#This Row],[coupon date 1]]),
Z$1+1-1=MONTH(T_Eq[[#This Row],[coupon date 2]]),
Z$1+1-1=MONTH(T_Eq[[#This Row],[coupon date 3]])),
IF('CF USD'!$A$8="on",T_Eq[[#This Row],[Dividend in USD]],T_Eq[[#This Row],[Dividend in Loc.Curr]])
/T_Eq[[#This Row],[Dividends per annum]],0),
"")</f>
        <v>0</v>
      </c>
      <c r="AA57" s="682">
        <f>IFERROR(IF(
OR(
AA$1+1-1=MONTH($U57),
AA$1+1-1=MONTH(T_Eq[[#This Row],[coupon date 1]]),
AA$1+1-1=MONTH(T_Eq[[#This Row],[coupon date 2]]),
AA$1+1-1=MONTH(T_Eq[[#This Row],[coupon date 3]])),
IF('CF USD'!$A$8="on",T_Eq[[#This Row],[Dividend in USD]],T_Eq[[#This Row],[Dividend in Loc.Curr]])
/T_Eq[[#This Row],[Dividends per annum]],0),
"")</f>
        <v>0</v>
      </c>
      <c r="AB57" s="682">
        <f>IFERROR(IF(
OR(
AB$1+1-1=MONTH($U57),
AB$1+1-1=MONTH(T_Eq[[#This Row],[coupon date 1]]),
AB$1+1-1=MONTH(T_Eq[[#This Row],[coupon date 2]]),
AB$1+1-1=MONTH(T_Eq[[#This Row],[coupon date 3]])),
IF('CF USD'!$A$8="on",T_Eq[[#This Row],[Dividend in USD]],T_Eq[[#This Row],[Dividend in Loc.Curr]])
/T_Eq[[#This Row],[Dividends per annum]],0),
"")</f>
        <v>0</v>
      </c>
      <c r="AC57" s="682">
        <f>IFERROR(IF(
OR(
AC$1+1-1=MONTH($U57),
AC$1+1-1=MONTH(T_Eq[[#This Row],[coupon date 1]]),
AC$1+1-1=MONTH(T_Eq[[#This Row],[coupon date 2]]),
AC$1+1-1=MONTH(T_Eq[[#This Row],[coupon date 3]])),
IF('CF USD'!$A$8="on",T_Eq[[#This Row],[Dividend in USD]],T_Eq[[#This Row],[Dividend in Loc.Curr]])
/T_Eq[[#This Row],[Dividends per annum]],0),
"")</f>
        <v>0</v>
      </c>
      <c r="AD57" s="682">
        <f>IFERROR(IF(
OR(
AD$1+1-1=MONTH($U57),
AD$1+1-1=MONTH(T_Eq[[#This Row],[coupon date 1]]),
AD$1+1-1=MONTH(T_Eq[[#This Row],[coupon date 2]]),
AD$1+1-1=MONTH(T_Eq[[#This Row],[coupon date 3]])),
IF('CF USD'!$A$8="on",T_Eq[[#This Row],[Dividend in USD]],T_Eq[[#This Row],[Dividend in Loc.Curr]])
/T_Eq[[#This Row],[Dividends per annum]],0),
"")</f>
        <v>0</v>
      </c>
      <c r="AE57" s="682">
        <f>IFERROR(IF(
OR(
AE$1+1-1=MONTH($U57),
AE$1+1-1=MONTH(T_Eq[[#This Row],[coupon date 1]]),
AE$1+1-1=MONTH(T_Eq[[#This Row],[coupon date 2]]),
AE$1+1-1=MONTH(T_Eq[[#This Row],[coupon date 3]])),
IF('CF USD'!$A$8="on",T_Eq[[#This Row],[Dividend in USD]],T_Eq[[#This Row],[Dividend in Loc.Curr]])
/T_Eq[[#This Row],[Dividends per annum]],0),
"")</f>
        <v>0</v>
      </c>
      <c r="AF57" s="682">
        <f>IFERROR(IF(
OR(
AF$1+1-1=MONTH($U57),
AF$1+1-1=MONTH(T_Eq[[#This Row],[coupon date 1]]),
AF$1+1-1=MONTH(T_Eq[[#This Row],[coupon date 2]]),
AF$1+1-1=MONTH(T_Eq[[#This Row],[coupon date 3]])),
IF('CF USD'!$A$8="on",T_Eq[[#This Row],[Dividend in USD]],T_Eq[[#This Row],[Dividend in Loc.Curr]])
/T_Eq[[#This Row],[Dividends per annum]],0),
"")</f>
        <v>0</v>
      </c>
      <c r="AG57" s="682">
        <f>IFERROR(IF(
OR(
AG$1+1-1=MONTH($U57),
AG$1+1-1=MONTH(T_Eq[[#This Row],[coupon date 1]]),
AG$1+1-1=MONTH(T_Eq[[#This Row],[coupon date 2]]),
AG$1+1-1=MONTH(T_Eq[[#This Row],[coupon date 3]])),
IF('CF USD'!$A$8="on",T_Eq[[#This Row],[Dividend in USD]],T_Eq[[#This Row],[Dividend in Loc.Curr]])
/T_Eq[[#This Row],[Dividends per annum]],0),
"")</f>
        <v>0</v>
      </c>
      <c r="AH57" s="682">
        <f>IFERROR(IF(
OR(
AH$1+1-1=MONTH($U57),
AH$1+1-1=MONTH(T_Eq[[#This Row],[coupon date 1]]),
AH$1+1-1=MONTH(T_Eq[[#This Row],[coupon date 2]]),
AH$1+1-1=MONTH(T_Eq[[#This Row],[coupon date 3]])),
IF('CF USD'!$A$8="on",T_Eq[[#This Row],[Dividend in USD]],T_Eq[[#This Row],[Dividend in Loc.Curr]])
/T_Eq[[#This Row],[Dividends per annum]],0),
"")</f>
        <v>0</v>
      </c>
      <c r="AI57" s="682">
        <f>IFERROR(IF(
OR(
AI$1+1-1=MONTH($U57),
AI$1+1-1=MONTH(T_Eq[[#This Row],[coupon date 1]]),
AI$1+1-1=MONTH(T_Eq[[#This Row],[coupon date 2]]),
AI$1+1-1=MONTH(T_Eq[[#This Row],[coupon date 3]])),
IF('CF USD'!$A$8="on",T_Eq[[#This Row],[Dividend in USD]],T_Eq[[#This Row],[Dividend in Loc.Curr]])
/T_Eq[[#This Row],[Dividends per annum]],0),
"")</f>
        <v>0</v>
      </c>
      <c r="AJ57" s="682">
        <f>IFERROR(IF(
OR(
AJ$1+1-1=MONTH($U57),
AJ$1+1-1=MONTH(T_Eq[[#This Row],[coupon date 1]]),
AJ$1+1-1=MONTH(T_Eq[[#This Row],[coupon date 2]]),
AJ$1+1-1=MONTH(T_Eq[[#This Row],[coupon date 3]])),
IF('CF USD'!$A$8="on",T_Eq[[#This Row],[Dividend in USD]],T_Eq[[#This Row],[Dividend in Loc.Curr]])
/T_Eq[[#This Row],[Dividends per annum]],0),
"")</f>
        <v>0</v>
      </c>
    </row>
    <row r="58" spans="1:36" x14ac:dyDescent="0.25">
      <c r="A58" s="70" t="s">
        <v>51</v>
      </c>
      <c r="B58" s="70" t="s">
        <v>195</v>
      </c>
      <c r="C58" s="676" t="s">
        <v>2437</v>
      </c>
      <c r="D58" s="676" t="s">
        <v>2438</v>
      </c>
      <c r="E58" s="672" t="s">
        <v>18</v>
      </c>
      <c r="F58" s="672" t="s">
        <v>283</v>
      </c>
      <c r="G58" s="672"/>
      <c r="H58" s="70" t="s">
        <v>2475</v>
      </c>
      <c r="I58" s="684">
        <v>1750</v>
      </c>
      <c r="J58" s="295">
        <v>172.5</v>
      </c>
      <c r="K58" s="666">
        <f>ABS(T_Eq[[#This Row],[Quantity]]*T_Eq[[#This Row],[Market price]])</f>
        <v>301875</v>
      </c>
      <c r="L58" s="666">
        <f>ABS(INDEX('Tech list'!A:C,MATCH(T_Eq[[#This Row],[Risk CCY]],'Tech list'!A:A,0),3)*T_Eq[[#This Row],[Market value, CCY]])</f>
        <v>301875</v>
      </c>
      <c r="M58" s="677">
        <v>171.80737714285715</v>
      </c>
      <c r="N58" s="666">
        <f>ABS(T_Eq[[#This Row],[Cost price]]*T_Eq[[#This Row],[Quantity]])</f>
        <v>300662.91000000003</v>
      </c>
      <c r="O58" s="213">
        <f>IF(T_Eq[[#This Row],[Quantity]]&lt;0,N58/K58-1,K58/N58-1)</f>
        <v>4.0313918334655696E-3</v>
      </c>
      <c r="P58" s="669">
        <v>0.90149999999999997</v>
      </c>
      <c r="Q58" s="213">
        <f>T_Eq[[#This Row],[Dividend per share]]/T_Eq[[#This Row],[Market price]]</f>
        <v>5.226086956521739E-3</v>
      </c>
      <c r="R58" s="666">
        <f>T_Eq[[#This Row],[Dividend per share]]*T_Eq[[#This Row],[Quantity]]</f>
        <v>1577.625</v>
      </c>
      <c r="S58" s="666">
        <f>INDEX('Tech list'!A:C,MATCH(T_Eq[[#This Row],[Risk CCY]],'Tech list'!A:A,0),3)*T_Eq[[#This Row],[Dividend in Loc.Curr]]</f>
        <v>1577.625</v>
      </c>
      <c r="T58" s="666">
        <v>4</v>
      </c>
      <c r="U58" s="675">
        <v>46112</v>
      </c>
      <c r="V58" s="671">
        <f>EDATE(T_Eq[[#This Row],[Next coupon date]],12/$T58)</f>
        <v>46203</v>
      </c>
      <c r="W58" s="671">
        <f>EDATE(T_Eq[[#This Row],[coupon date 1]],12/$T58)</f>
        <v>46295</v>
      </c>
      <c r="X58" s="671">
        <f>EDATE(T_Eq[[#This Row],[coupon date 2]],12/$T58)</f>
        <v>46386</v>
      </c>
      <c r="Y58" s="682">
        <f>IFERROR(IF(
OR(
Y$1+1-1=MONTH($U58),
Y$1+1-1=MONTH(T_Eq[[#This Row],[coupon date 1]]),
Y$1+1-1=MONTH(T_Eq[[#This Row],[coupon date 2]]),
Y$1+1-1=MONTH(T_Eq[[#This Row],[coupon date 3]])),
IF('CF USD'!$A$8="on",T_Eq[[#This Row],[Dividend in USD]],T_Eq[[#This Row],[Dividend in Loc.Curr]])
/T_Eq[[#This Row],[Dividends per annum]],0),
"")</f>
        <v>0</v>
      </c>
      <c r="Z58" s="682">
        <f>IFERROR(IF(
OR(
Z$1+1-1=MONTH($U58),
Z$1+1-1=MONTH(T_Eq[[#This Row],[coupon date 1]]),
Z$1+1-1=MONTH(T_Eq[[#This Row],[coupon date 2]]),
Z$1+1-1=MONTH(T_Eq[[#This Row],[coupon date 3]])),
IF('CF USD'!$A$8="on",T_Eq[[#This Row],[Dividend in USD]],T_Eq[[#This Row],[Dividend in Loc.Curr]])
/T_Eq[[#This Row],[Dividends per annum]],0),
"")</f>
        <v>0</v>
      </c>
      <c r="AA58" s="682">
        <f>IFERROR(IF(
OR(
AA$1+1-1=MONTH($U58),
AA$1+1-1=MONTH(T_Eq[[#This Row],[coupon date 1]]),
AA$1+1-1=MONTH(T_Eq[[#This Row],[coupon date 2]]),
AA$1+1-1=MONTH(T_Eq[[#This Row],[coupon date 3]])),
IF('CF USD'!$A$8="on",T_Eq[[#This Row],[Dividend in USD]],T_Eq[[#This Row],[Dividend in Loc.Curr]])
/T_Eq[[#This Row],[Dividends per annum]],0),
"")</f>
        <v>394.40625</v>
      </c>
      <c r="AB58" s="682">
        <f>IFERROR(IF(
OR(
AB$1+1-1=MONTH($U58),
AB$1+1-1=MONTH(T_Eq[[#This Row],[coupon date 1]]),
AB$1+1-1=MONTH(T_Eq[[#This Row],[coupon date 2]]),
AB$1+1-1=MONTH(T_Eq[[#This Row],[coupon date 3]])),
IF('CF USD'!$A$8="on",T_Eq[[#This Row],[Dividend in USD]],T_Eq[[#This Row],[Dividend in Loc.Curr]])
/T_Eq[[#This Row],[Dividends per annum]],0),
"")</f>
        <v>0</v>
      </c>
      <c r="AC58" s="682">
        <f>IFERROR(IF(
OR(
AC$1+1-1=MONTH($U58),
AC$1+1-1=MONTH(T_Eq[[#This Row],[coupon date 1]]),
AC$1+1-1=MONTH(T_Eq[[#This Row],[coupon date 2]]),
AC$1+1-1=MONTH(T_Eq[[#This Row],[coupon date 3]])),
IF('CF USD'!$A$8="on",T_Eq[[#This Row],[Dividend in USD]],T_Eq[[#This Row],[Dividend in Loc.Curr]])
/T_Eq[[#This Row],[Dividends per annum]],0),
"")</f>
        <v>0</v>
      </c>
      <c r="AD58" s="682">
        <f>IFERROR(IF(
OR(
AD$1+1-1=MONTH($U58),
AD$1+1-1=MONTH(T_Eq[[#This Row],[coupon date 1]]),
AD$1+1-1=MONTH(T_Eq[[#This Row],[coupon date 2]]),
AD$1+1-1=MONTH(T_Eq[[#This Row],[coupon date 3]])),
IF('CF USD'!$A$8="on",T_Eq[[#This Row],[Dividend in USD]],T_Eq[[#This Row],[Dividend in Loc.Curr]])
/T_Eq[[#This Row],[Dividends per annum]],0),
"")</f>
        <v>394.40625</v>
      </c>
      <c r="AE58" s="682">
        <f>IFERROR(IF(
OR(
AE$1+1-1=MONTH($U58),
AE$1+1-1=MONTH(T_Eq[[#This Row],[coupon date 1]]),
AE$1+1-1=MONTH(T_Eq[[#This Row],[coupon date 2]]),
AE$1+1-1=MONTH(T_Eq[[#This Row],[coupon date 3]])),
IF('CF USD'!$A$8="on",T_Eq[[#This Row],[Dividend in USD]],T_Eq[[#This Row],[Dividend in Loc.Curr]])
/T_Eq[[#This Row],[Dividends per annum]],0),
"")</f>
        <v>0</v>
      </c>
      <c r="AF58" s="682">
        <f>IFERROR(IF(
OR(
AF$1+1-1=MONTH($U58),
AF$1+1-1=MONTH(T_Eq[[#This Row],[coupon date 1]]),
AF$1+1-1=MONTH(T_Eq[[#This Row],[coupon date 2]]),
AF$1+1-1=MONTH(T_Eq[[#This Row],[coupon date 3]])),
IF('CF USD'!$A$8="on",T_Eq[[#This Row],[Dividend in USD]],T_Eq[[#This Row],[Dividend in Loc.Curr]])
/T_Eq[[#This Row],[Dividends per annum]],0),
"")</f>
        <v>0</v>
      </c>
      <c r="AG58" s="682">
        <f>IFERROR(IF(
OR(
AG$1+1-1=MONTH($U58),
AG$1+1-1=MONTH(T_Eq[[#This Row],[coupon date 1]]),
AG$1+1-1=MONTH(T_Eq[[#This Row],[coupon date 2]]),
AG$1+1-1=MONTH(T_Eq[[#This Row],[coupon date 3]])),
IF('CF USD'!$A$8="on",T_Eq[[#This Row],[Dividend in USD]],T_Eq[[#This Row],[Dividend in Loc.Curr]])
/T_Eq[[#This Row],[Dividends per annum]],0),
"")</f>
        <v>394.40625</v>
      </c>
      <c r="AH58" s="682">
        <f>IFERROR(IF(
OR(
AH$1+1-1=MONTH($U58),
AH$1+1-1=MONTH(T_Eq[[#This Row],[coupon date 1]]),
AH$1+1-1=MONTH(T_Eq[[#This Row],[coupon date 2]]),
AH$1+1-1=MONTH(T_Eq[[#This Row],[coupon date 3]])),
IF('CF USD'!$A$8="on",T_Eq[[#This Row],[Dividend in USD]],T_Eq[[#This Row],[Dividend in Loc.Curr]])
/T_Eq[[#This Row],[Dividends per annum]],0),
"")</f>
        <v>0</v>
      </c>
      <c r="AI58" s="682">
        <f>IFERROR(IF(
OR(
AI$1+1-1=MONTH($U58),
AI$1+1-1=MONTH(T_Eq[[#This Row],[coupon date 1]]),
AI$1+1-1=MONTH(T_Eq[[#This Row],[coupon date 2]]),
AI$1+1-1=MONTH(T_Eq[[#This Row],[coupon date 3]])),
IF('CF USD'!$A$8="on",T_Eq[[#This Row],[Dividend in USD]],T_Eq[[#This Row],[Dividend in Loc.Curr]])
/T_Eq[[#This Row],[Dividends per annum]],0),
"")</f>
        <v>0</v>
      </c>
      <c r="AJ58" s="682">
        <f>IFERROR(IF(
OR(
AJ$1+1-1=MONTH($U58),
AJ$1+1-1=MONTH(T_Eq[[#This Row],[coupon date 1]]),
AJ$1+1-1=MONTH(T_Eq[[#This Row],[coupon date 2]]),
AJ$1+1-1=MONTH(T_Eq[[#This Row],[coupon date 3]])),
IF('CF USD'!$A$8="on",T_Eq[[#This Row],[Dividend in USD]],T_Eq[[#This Row],[Dividend in Loc.Curr]])
/T_Eq[[#This Row],[Dividends per annum]],0),
"")</f>
        <v>394.40625</v>
      </c>
    </row>
    <row r="59" spans="1:36" x14ac:dyDescent="0.25">
      <c r="A59" s="70" t="s">
        <v>51</v>
      </c>
      <c r="B59" s="70" t="s">
        <v>195</v>
      </c>
      <c r="C59" s="676" t="s">
        <v>2403</v>
      </c>
      <c r="D59" s="676" t="s">
        <v>2404</v>
      </c>
      <c r="E59" s="672" t="s">
        <v>21</v>
      </c>
      <c r="F59" s="672" t="s">
        <v>460</v>
      </c>
      <c r="G59" s="672"/>
      <c r="H59" s="70" t="s">
        <v>2475</v>
      </c>
      <c r="I59" s="684">
        <v>23400</v>
      </c>
      <c r="J59" s="295">
        <v>18.638000000000002</v>
      </c>
      <c r="K59" s="666">
        <f>ABS(T_Eq[[#This Row],[Quantity]]*T_Eq[[#This Row],[Market price]])</f>
        <v>436129.2</v>
      </c>
      <c r="L59" s="666">
        <f ca="1">ABS(INDEX('Tech list'!A:C,MATCH(T_Eq[[#This Row],[Risk CCY]],'Tech list'!A:A,0),3)*T_Eq[[#This Row],[Market value, CCY]])</f>
        <v>504645.09732</v>
      </c>
      <c r="M59" s="677">
        <v>17.301253418803419</v>
      </c>
      <c r="N59" s="666">
        <f>ABS(T_Eq[[#This Row],[Cost price]]*T_Eq[[#This Row],[Quantity]])</f>
        <v>404849.33</v>
      </c>
      <c r="O59" s="213">
        <f>IF(T_Eq[[#This Row],[Quantity]]&lt;0,N59/K59-1,K59/N59-1)</f>
        <v>7.7262990653831576E-2</v>
      </c>
      <c r="P59" s="669">
        <v>1.02</v>
      </c>
      <c r="Q59" s="213">
        <f>T_Eq[[#This Row],[Dividend per share]]/T_Eq[[#This Row],[Market price]]</f>
        <v>5.4726902028114602E-2</v>
      </c>
      <c r="R59" s="666">
        <f>T_Eq[[#This Row],[Dividend per share]]*T_Eq[[#This Row],[Quantity]]</f>
        <v>23868</v>
      </c>
      <c r="S59" s="666">
        <f ca="1">INDEX('Tech list'!A:C,MATCH(T_Eq[[#This Row],[Risk CCY]],'Tech list'!A:A,0),3)*T_Eq[[#This Row],[Dividend in Loc.Curr]]</f>
        <v>27617.662800000002</v>
      </c>
      <c r="T59" s="666">
        <v>4</v>
      </c>
      <c r="U59" s="675">
        <v>46107</v>
      </c>
      <c r="V59" s="671">
        <f>EDATE(T_Eq[[#This Row],[Next coupon date]],12/$T59)</f>
        <v>46199</v>
      </c>
      <c r="W59" s="671">
        <f>EDATE(T_Eq[[#This Row],[coupon date 1]],12/$T59)</f>
        <v>46291</v>
      </c>
      <c r="X59" s="671">
        <f>EDATE(T_Eq[[#This Row],[coupon date 2]],12/$T59)</f>
        <v>46382</v>
      </c>
      <c r="Y59" s="682">
        <f>IFERROR(IF(
OR(
Y$1+1-1=MONTH($U59),
Y$1+1-1=MONTH(T_Eq[[#This Row],[coupon date 1]]),
Y$1+1-1=MONTH(T_Eq[[#This Row],[coupon date 2]]),
Y$1+1-1=MONTH(T_Eq[[#This Row],[coupon date 3]])),
IF('CF USD'!$A$8="on",T_Eq[[#This Row],[Dividend in USD]],T_Eq[[#This Row],[Dividend in Loc.Curr]])
/T_Eq[[#This Row],[Dividends per annum]],0),
"")</f>
        <v>0</v>
      </c>
      <c r="Z59" s="682">
        <f>IFERROR(IF(
OR(
Z$1+1-1=MONTH($U59),
Z$1+1-1=MONTH(T_Eq[[#This Row],[coupon date 1]]),
Z$1+1-1=MONTH(T_Eq[[#This Row],[coupon date 2]]),
Z$1+1-1=MONTH(T_Eq[[#This Row],[coupon date 3]])),
IF('CF USD'!$A$8="on",T_Eq[[#This Row],[Dividend in USD]],T_Eq[[#This Row],[Dividend in Loc.Curr]])
/T_Eq[[#This Row],[Dividends per annum]],0),
"")</f>
        <v>0</v>
      </c>
      <c r="AA59" s="682">
        <f>IFERROR(IF(
OR(
AA$1+1-1=MONTH($U59),
AA$1+1-1=MONTH(T_Eq[[#This Row],[coupon date 1]]),
AA$1+1-1=MONTH(T_Eq[[#This Row],[coupon date 2]]),
AA$1+1-1=MONTH(T_Eq[[#This Row],[coupon date 3]])),
IF('CF USD'!$A$8="on",T_Eq[[#This Row],[Dividend in USD]],T_Eq[[#This Row],[Dividend in Loc.Curr]])
/T_Eq[[#This Row],[Dividends per annum]],0),
"")</f>
        <v>5967</v>
      </c>
      <c r="AB59" s="682">
        <f>IFERROR(IF(
OR(
AB$1+1-1=MONTH($U59),
AB$1+1-1=MONTH(T_Eq[[#This Row],[coupon date 1]]),
AB$1+1-1=MONTH(T_Eq[[#This Row],[coupon date 2]]),
AB$1+1-1=MONTH(T_Eq[[#This Row],[coupon date 3]])),
IF('CF USD'!$A$8="on",T_Eq[[#This Row],[Dividend in USD]],T_Eq[[#This Row],[Dividend in Loc.Curr]])
/T_Eq[[#This Row],[Dividends per annum]],0),
"")</f>
        <v>0</v>
      </c>
      <c r="AC59" s="682">
        <f>IFERROR(IF(
OR(
AC$1+1-1=MONTH($U59),
AC$1+1-1=MONTH(T_Eq[[#This Row],[coupon date 1]]),
AC$1+1-1=MONTH(T_Eq[[#This Row],[coupon date 2]]),
AC$1+1-1=MONTH(T_Eq[[#This Row],[coupon date 3]])),
IF('CF USD'!$A$8="on",T_Eq[[#This Row],[Dividend in USD]],T_Eq[[#This Row],[Dividend in Loc.Curr]])
/T_Eq[[#This Row],[Dividends per annum]],0),
"")</f>
        <v>0</v>
      </c>
      <c r="AD59" s="682">
        <f>IFERROR(IF(
OR(
AD$1+1-1=MONTH($U59),
AD$1+1-1=MONTH(T_Eq[[#This Row],[coupon date 1]]),
AD$1+1-1=MONTH(T_Eq[[#This Row],[coupon date 2]]),
AD$1+1-1=MONTH(T_Eq[[#This Row],[coupon date 3]])),
IF('CF USD'!$A$8="on",T_Eq[[#This Row],[Dividend in USD]],T_Eq[[#This Row],[Dividend in Loc.Curr]])
/T_Eq[[#This Row],[Dividends per annum]],0),
"")</f>
        <v>5967</v>
      </c>
      <c r="AE59" s="682">
        <f>IFERROR(IF(
OR(
AE$1+1-1=MONTH($U59),
AE$1+1-1=MONTH(T_Eq[[#This Row],[coupon date 1]]),
AE$1+1-1=MONTH(T_Eq[[#This Row],[coupon date 2]]),
AE$1+1-1=MONTH(T_Eq[[#This Row],[coupon date 3]])),
IF('CF USD'!$A$8="on",T_Eq[[#This Row],[Dividend in USD]],T_Eq[[#This Row],[Dividend in Loc.Curr]])
/T_Eq[[#This Row],[Dividends per annum]],0),
"")</f>
        <v>0</v>
      </c>
      <c r="AF59" s="682">
        <f>IFERROR(IF(
OR(
AF$1+1-1=MONTH($U59),
AF$1+1-1=MONTH(T_Eq[[#This Row],[coupon date 1]]),
AF$1+1-1=MONTH(T_Eq[[#This Row],[coupon date 2]]),
AF$1+1-1=MONTH(T_Eq[[#This Row],[coupon date 3]])),
IF('CF USD'!$A$8="on",T_Eq[[#This Row],[Dividend in USD]],T_Eq[[#This Row],[Dividend in Loc.Curr]])
/T_Eq[[#This Row],[Dividends per annum]],0),
"")</f>
        <v>0</v>
      </c>
      <c r="AG59" s="682">
        <f>IFERROR(IF(
OR(
AG$1+1-1=MONTH($U59),
AG$1+1-1=MONTH(T_Eq[[#This Row],[coupon date 1]]),
AG$1+1-1=MONTH(T_Eq[[#This Row],[coupon date 2]]),
AG$1+1-1=MONTH(T_Eq[[#This Row],[coupon date 3]])),
IF('CF USD'!$A$8="on",T_Eq[[#This Row],[Dividend in USD]],T_Eq[[#This Row],[Dividend in Loc.Curr]])
/T_Eq[[#This Row],[Dividends per annum]],0),
"")</f>
        <v>5967</v>
      </c>
      <c r="AH59" s="682">
        <f>IFERROR(IF(
OR(
AH$1+1-1=MONTH($U59),
AH$1+1-1=MONTH(T_Eq[[#This Row],[coupon date 1]]),
AH$1+1-1=MONTH(T_Eq[[#This Row],[coupon date 2]]),
AH$1+1-1=MONTH(T_Eq[[#This Row],[coupon date 3]])),
IF('CF USD'!$A$8="on",T_Eq[[#This Row],[Dividend in USD]],T_Eq[[#This Row],[Dividend in Loc.Curr]])
/T_Eq[[#This Row],[Dividends per annum]],0),
"")</f>
        <v>0</v>
      </c>
      <c r="AI59" s="682">
        <f>IFERROR(IF(
OR(
AI$1+1-1=MONTH($U59),
AI$1+1-1=MONTH(T_Eq[[#This Row],[coupon date 1]]),
AI$1+1-1=MONTH(T_Eq[[#This Row],[coupon date 2]]),
AI$1+1-1=MONTH(T_Eq[[#This Row],[coupon date 3]])),
IF('CF USD'!$A$8="on",T_Eq[[#This Row],[Dividend in USD]],T_Eq[[#This Row],[Dividend in Loc.Curr]])
/T_Eq[[#This Row],[Dividends per annum]],0),
"")</f>
        <v>0</v>
      </c>
      <c r="AJ59" s="682">
        <f>IFERROR(IF(
OR(
AJ$1+1-1=MONTH($U59),
AJ$1+1-1=MONTH(T_Eq[[#This Row],[coupon date 1]]),
AJ$1+1-1=MONTH(T_Eq[[#This Row],[coupon date 2]]),
AJ$1+1-1=MONTH(T_Eq[[#This Row],[coupon date 3]])),
IF('CF USD'!$A$8="on",T_Eq[[#This Row],[Dividend in USD]],T_Eq[[#This Row],[Dividend in Loc.Curr]])
/T_Eq[[#This Row],[Dividends per annum]],0),
"")</f>
        <v>5967</v>
      </c>
    </row>
    <row r="60" spans="1:36" x14ac:dyDescent="0.25">
      <c r="A60" s="70" t="s">
        <v>51</v>
      </c>
      <c r="B60" s="70" t="s">
        <v>195</v>
      </c>
      <c r="C60" s="676" t="s">
        <v>2405</v>
      </c>
      <c r="D60" s="676" t="s">
        <v>2406</v>
      </c>
      <c r="E60" s="672" t="s">
        <v>21</v>
      </c>
      <c r="F60" s="672" t="s">
        <v>340</v>
      </c>
      <c r="G60" s="672"/>
      <c r="H60" s="70" t="s">
        <v>2475</v>
      </c>
      <c r="I60" s="684">
        <v>7850</v>
      </c>
      <c r="J60" s="295">
        <v>55.85</v>
      </c>
      <c r="K60" s="666">
        <f>ABS(T_Eq[[#This Row],[Quantity]]*T_Eq[[#This Row],[Market price]])</f>
        <v>438422.5</v>
      </c>
      <c r="L60" s="666">
        <f ca="1">ABS(INDEX('Tech list'!A:C,MATCH(T_Eq[[#This Row],[Risk CCY]],'Tech list'!A:A,0),3)*T_Eq[[#This Row],[Market value, CCY]])</f>
        <v>507298.67475000001</v>
      </c>
      <c r="M60" s="677">
        <v>51.0180127388535</v>
      </c>
      <c r="N60" s="666">
        <f>ABS(T_Eq[[#This Row],[Cost price]]*T_Eq[[#This Row],[Quantity]])</f>
        <v>400491.39999999997</v>
      </c>
      <c r="O60" s="213">
        <f>IF(T_Eq[[#This Row],[Quantity]]&lt;0,N60/K60-1,K60/N60-1)</f>
        <v>9.4711397048725665E-2</v>
      </c>
      <c r="P60" s="669">
        <v>4.75</v>
      </c>
      <c r="Q60" s="213">
        <f>T_Eq[[#This Row],[Dividend per share]]/T_Eq[[#This Row],[Market price]]</f>
        <v>8.5049239033124432E-2</v>
      </c>
      <c r="R60" s="666">
        <f>T_Eq[[#This Row],[Dividend per share]]*T_Eq[[#This Row],[Quantity]]</f>
        <v>37287.5</v>
      </c>
      <c r="S60" s="666">
        <f ca="1">INDEX('Tech list'!A:C,MATCH(T_Eq[[#This Row],[Risk CCY]],'Tech list'!A:A,0),3)*T_Eq[[#This Row],[Dividend in Loc.Curr]]</f>
        <v>43145.366249999999</v>
      </c>
      <c r="T60" s="666">
        <v>1</v>
      </c>
      <c r="U60" s="675">
        <v>46183</v>
      </c>
      <c r="V60" s="671">
        <f>EDATE(T_Eq[[#This Row],[Next coupon date]],12/$T60)</f>
        <v>46548</v>
      </c>
      <c r="W60" s="671">
        <f>EDATE(T_Eq[[#This Row],[coupon date 1]],12/$T60)</f>
        <v>46914</v>
      </c>
      <c r="X60" s="671">
        <f>EDATE(T_Eq[[#This Row],[coupon date 2]],12/$T60)</f>
        <v>47279</v>
      </c>
      <c r="Y60" s="682">
        <f>IFERROR(IF(
OR(
Y$1+1-1=MONTH($U60),
Y$1+1-1=MONTH(T_Eq[[#This Row],[coupon date 1]]),
Y$1+1-1=MONTH(T_Eq[[#This Row],[coupon date 2]]),
Y$1+1-1=MONTH(T_Eq[[#This Row],[coupon date 3]])),
IF('CF USD'!$A$8="on",T_Eq[[#This Row],[Dividend in USD]],T_Eq[[#This Row],[Dividend in Loc.Curr]])
/T_Eq[[#This Row],[Dividends per annum]],0),
"")</f>
        <v>0</v>
      </c>
      <c r="Z60" s="682">
        <f>IFERROR(IF(
OR(
Z$1+1-1=MONTH($U60),
Z$1+1-1=MONTH(T_Eq[[#This Row],[coupon date 1]]),
Z$1+1-1=MONTH(T_Eq[[#This Row],[coupon date 2]]),
Z$1+1-1=MONTH(T_Eq[[#This Row],[coupon date 3]])),
IF('CF USD'!$A$8="on",T_Eq[[#This Row],[Dividend in USD]],T_Eq[[#This Row],[Dividend in Loc.Curr]])
/T_Eq[[#This Row],[Dividends per annum]],0),
"")</f>
        <v>0</v>
      </c>
      <c r="AA60" s="682">
        <f>IFERROR(IF(
OR(
AA$1+1-1=MONTH($U60),
AA$1+1-1=MONTH(T_Eq[[#This Row],[coupon date 1]]),
AA$1+1-1=MONTH(T_Eq[[#This Row],[coupon date 2]]),
AA$1+1-1=MONTH(T_Eq[[#This Row],[coupon date 3]])),
IF('CF USD'!$A$8="on",T_Eq[[#This Row],[Dividend in USD]],T_Eq[[#This Row],[Dividend in Loc.Curr]])
/T_Eq[[#This Row],[Dividends per annum]],0),
"")</f>
        <v>0</v>
      </c>
      <c r="AB60" s="682">
        <f>IFERROR(IF(
OR(
AB$1+1-1=MONTH($U60),
AB$1+1-1=MONTH(T_Eq[[#This Row],[coupon date 1]]),
AB$1+1-1=MONTH(T_Eq[[#This Row],[coupon date 2]]),
AB$1+1-1=MONTH(T_Eq[[#This Row],[coupon date 3]])),
IF('CF USD'!$A$8="on",T_Eq[[#This Row],[Dividend in USD]],T_Eq[[#This Row],[Dividend in Loc.Curr]])
/T_Eq[[#This Row],[Dividends per annum]],0),
"")</f>
        <v>0</v>
      </c>
      <c r="AC60" s="682">
        <f>IFERROR(IF(
OR(
AC$1+1-1=MONTH($U60),
AC$1+1-1=MONTH(T_Eq[[#This Row],[coupon date 1]]),
AC$1+1-1=MONTH(T_Eq[[#This Row],[coupon date 2]]),
AC$1+1-1=MONTH(T_Eq[[#This Row],[coupon date 3]])),
IF('CF USD'!$A$8="on",T_Eq[[#This Row],[Dividend in USD]],T_Eq[[#This Row],[Dividend in Loc.Curr]])
/T_Eq[[#This Row],[Dividends per annum]],0),
"")</f>
        <v>0</v>
      </c>
      <c r="AD60" s="682">
        <f>IFERROR(IF(
OR(
AD$1+1-1=MONTH($U60),
AD$1+1-1=MONTH(T_Eq[[#This Row],[coupon date 1]]),
AD$1+1-1=MONTH(T_Eq[[#This Row],[coupon date 2]]),
AD$1+1-1=MONTH(T_Eq[[#This Row],[coupon date 3]])),
IF('CF USD'!$A$8="on",T_Eq[[#This Row],[Dividend in USD]],T_Eq[[#This Row],[Dividend in Loc.Curr]])
/T_Eq[[#This Row],[Dividends per annum]],0),
"")</f>
        <v>37287.5</v>
      </c>
      <c r="AE60" s="682">
        <f>IFERROR(IF(
OR(
AE$1+1-1=MONTH($U60),
AE$1+1-1=MONTH(T_Eq[[#This Row],[coupon date 1]]),
AE$1+1-1=MONTH(T_Eq[[#This Row],[coupon date 2]]),
AE$1+1-1=MONTH(T_Eq[[#This Row],[coupon date 3]])),
IF('CF USD'!$A$8="on",T_Eq[[#This Row],[Dividend in USD]],T_Eq[[#This Row],[Dividend in Loc.Curr]])
/T_Eq[[#This Row],[Dividends per annum]],0),
"")</f>
        <v>0</v>
      </c>
      <c r="AF60" s="682">
        <f>IFERROR(IF(
OR(
AF$1+1-1=MONTH($U60),
AF$1+1-1=MONTH(T_Eq[[#This Row],[coupon date 1]]),
AF$1+1-1=MONTH(T_Eq[[#This Row],[coupon date 2]]),
AF$1+1-1=MONTH(T_Eq[[#This Row],[coupon date 3]])),
IF('CF USD'!$A$8="on",T_Eq[[#This Row],[Dividend in USD]],T_Eq[[#This Row],[Dividend in Loc.Curr]])
/T_Eq[[#This Row],[Dividends per annum]],0),
"")</f>
        <v>0</v>
      </c>
      <c r="AG60" s="682">
        <f>IFERROR(IF(
OR(
AG$1+1-1=MONTH($U60),
AG$1+1-1=MONTH(T_Eq[[#This Row],[coupon date 1]]),
AG$1+1-1=MONTH(T_Eq[[#This Row],[coupon date 2]]),
AG$1+1-1=MONTH(T_Eq[[#This Row],[coupon date 3]])),
IF('CF USD'!$A$8="on",T_Eq[[#This Row],[Dividend in USD]],T_Eq[[#This Row],[Dividend in Loc.Curr]])
/T_Eq[[#This Row],[Dividends per annum]],0),
"")</f>
        <v>0</v>
      </c>
      <c r="AH60" s="682">
        <f>IFERROR(IF(
OR(
AH$1+1-1=MONTH($U60),
AH$1+1-1=MONTH(T_Eq[[#This Row],[coupon date 1]]),
AH$1+1-1=MONTH(T_Eq[[#This Row],[coupon date 2]]),
AH$1+1-1=MONTH(T_Eq[[#This Row],[coupon date 3]])),
IF('CF USD'!$A$8="on",T_Eq[[#This Row],[Dividend in USD]],T_Eq[[#This Row],[Dividend in Loc.Curr]])
/T_Eq[[#This Row],[Dividends per annum]],0),
"")</f>
        <v>0</v>
      </c>
      <c r="AI60" s="682">
        <f>IFERROR(IF(
OR(
AI$1+1-1=MONTH($U60),
AI$1+1-1=MONTH(T_Eq[[#This Row],[coupon date 1]]),
AI$1+1-1=MONTH(T_Eq[[#This Row],[coupon date 2]]),
AI$1+1-1=MONTH(T_Eq[[#This Row],[coupon date 3]])),
IF('CF USD'!$A$8="on",T_Eq[[#This Row],[Dividend in USD]],T_Eq[[#This Row],[Dividend in Loc.Curr]])
/T_Eq[[#This Row],[Dividends per annum]],0),
"")</f>
        <v>0</v>
      </c>
      <c r="AJ60" s="682">
        <f>IFERROR(IF(
OR(
AJ$1+1-1=MONTH($U60),
AJ$1+1-1=MONTH(T_Eq[[#This Row],[coupon date 1]]),
AJ$1+1-1=MONTH(T_Eq[[#This Row],[coupon date 2]]),
AJ$1+1-1=MONTH(T_Eq[[#This Row],[coupon date 3]])),
IF('CF USD'!$A$8="on",T_Eq[[#This Row],[Dividend in USD]],T_Eq[[#This Row],[Dividend in Loc.Curr]])
/T_Eq[[#This Row],[Dividends per annum]],0),
"")</f>
        <v>0</v>
      </c>
    </row>
    <row r="61" spans="1:36" x14ac:dyDescent="0.25">
      <c r="A61" s="70" t="s">
        <v>51</v>
      </c>
      <c r="B61" s="70" t="s">
        <v>195</v>
      </c>
      <c r="C61" s="676" t="s">
        <v>2407</v>
      </c>
      <c r="D61" s="676" t="s">
        <v>2408</v>
      </c>
      <c r="E61" s="672" t="s">
        <v>21</v>
      </c>
      <c r="F61" s="672" t="s">
        <v>290</v>
      </c>
      <c r="G61" s="672"/>
      <c r="H61" s="70" t="s">
        <v>2475</v>
      </c>
      <c r="I61" s="684">
        <v>24913</v>
      </c>
      <c r="J61" s="295">
        <v>18.14</v>
      </c>
      <c r="K61" s="666">
        <f>ABS(T_Eq[[#This Row],[Quantity]]*T_Eq[[#This Row],[Market price]])</f>
        <v>451921.82</v>
      </c>
      <c r="L61" s="666">
        <f ca="1">ABS(INDEX('Tech list'!A:C,MATCH(T_Eq[[#This Row],[Risk CCY]],'Tech list'!A:A,0),3)*T_Eq[[#This Row],[Market value, CCY]])</f>
        <v>522918.737922</v>
      </c>
      <c r="M61" s="677">
        <v>16.307437081042025</v>
      </c>
      <c r="N61" s="666">
        <f>ABS(T_Eq[[#This Row],[Cost price]]*T_Eq[[#This Row],[Quantity]])</f>
        <v>406267.18</v>
      </c>
      <c r="O61" s="213">
        <f>IF(T_Eq[[#This Row],[Quantity]]&lt;0,N61/K61-1,K61/N61-1)</f>
        <v>0.11237590001732367</v>
      </c>
      <c r="P61" s="669">
        <v>0.78900000000000003</v>
      </c>
      <c r="Q61" s="213">
        <f>T_Eq[[#This Row],[Dividend per share]]/T_Eq[[#This Row],[Market price]]</f>
        <v>4.3495038588754135E-2</v>
      </c>
      <c r="R61" s="666">
        <f>T_Eq[[#This Row],[Dividend per share]]*T_Eq[[#This Row],[Quantity]]</f>
        <v>19656.357</v>
      </c>
      <c r="S61" s="666">
        <f ca="1">INDEX('Tech list'!A:C,MATCH(T_Eq[[#This Row],[Risk CCY]],'Tech list'!A:A,0),3)*T_Eq[[#This Row],[Dividend in Loc.Curr]]</f>
        <v>22744.370684699999</v>
      </c>
      <c r="T61" s="666">
        <v>2</v>
      </c>
      <c r="U61" s="675">
        <v>46036</v>
      </c>
      <c r="V61" s="671">
        <f>EDATE(T_Eq[[#This Row],[Next coupon date]],12/$T61)</f>
        <v>46217</v>
      </c>
      <c r="W61" s="671">
        <f>EDATE(T_Eq[[#This Row],[coupon date 1]],12/$T61)</f>
        <v>46401</v>
      </c>
      <c r="X61" s="671">
        <f>EDATE(T_Eq[[#This Row],[coupon date 2]],12/$T61)</f>
        <v>46582</v>
      </c>
      <c r="Y61" s="682">
        <f>IFERROR(IF(
OR(
Y$1+1-1=MONTH($U61),
Y$1+1-1=MONTH(T_Eq[[#This Row],[coupon date 1]]),
Y$1+1-1=MONTH(T_Eq[[#This Row],[coupon date 2]]),
Y$1+1-1=MONTH(T_Eq[[#This Row],[coupon date 3]])),
IF('CF USD'!$A$8="on",T_Eq[[#This Row],[Dividend in USD]],T_Eq[[#This Row],[Dividend in Loc.Curr]])
/T_Eq[[#This Row],[Dividends per annum]],0),
"")</f>
        <v>9828.1785</v>
      </c>
      <c r="Z61" s="682">
        <f>IFERROR(IF(
OR(
Z$1+1-1=MONTH($U61),
Z$1+1-1=MONTH(T_Eq[[#This Row],[coupon date 1]]),
Z$1+1-1=MONTH(T_Eq[[#This Row],[coupon date 2]]),
Z$1+1-1=MONTH(T_Eq[[#This Row],[coupon date 3]])),
IF('CF USD'!$A$8="on",T_Eq[[#This Row],[Dividend in USD]],T_Eq[[#This Row],[Dividend in Loc.Curr]])
/T_Eq[[#This Row],[Dividends per annum]],0),
"")</f>
        <v>0</v>
      </c>
      <c r="AA61" s="682">
        <f>IFERROR(IF(
OR(
AA$1+1-1=MONTH($U61),
AA$1+1-1=MONTH(T_Eq[[#This Row],[coupon date 1]]),
AA$1+1-1=MONTH(T_Eq[[#This Row],[coupon date 2]]),
AA$1+1-1=MONTH(T_Eq[[#This Row],[coupon date 3]])),
IF('CF USD'!$A$8="on",T_Eq[[#This Row],[Dividend in USD]],T_Eq[[#This Row],[Dividend in Loc.Curr]])
/T_Eq[[#This Row],[Dividends per annum]],0),
"")</f>
        <v>0</v>
      </c>
      <c r="AB61" s="682">
        <f>IFERROR(IF(
OR(
AB$1+1-1=MONTH($U61),
AB$1+1-1=MONTH(T_Eq[[#This Row],[coupon date 1]]),
AB$1+1-1=MONTH(T_Eq[[#This Row],[coupon date 2]]),
AB$1+1-1=MONTH(T_Eq[[#This Row],[coupon date 3]])),
IF('CF USD'!$A$8="on",T_Eq[[#This Row],[Dividend in USD]],T_Eq[[#This Row],[Dividend in Loc.Curr]])
/T_Eq[[#This Row],[Dividends per annum]],0),
"")</f>
        <v>0</v>
      </c>
      <c r="AC61" s="682">
        <f>IFERROR(IF(
OR(
AC$1+1-1=MONTH($U61),
AC$1+1-1=MONTH(T_Eq[[#This Row],[coupon date 1]]),
AC$1+1-1=MONTH(T_Eq[[#This Row],[coupon date 2]]),
AC$1+1-1=MONTH(T_Eq[[#This Row],[coupon date 3]])),
IF('CF USD'!$A$8="on",T_Eq[[#This Row],[Dividend in USD]],T_Eq[[#This Row],[Dividend in Loc.Curr]])
/T_Eq[[#This Row],[Dividends per annum]],0),
"")</f>
        <v>0</v>
      </c>
      <c r="AD61" s="682">
        <f>IFERROR(IF(
OR(
AD$1+1-1=MONTH($U61),
AD$1+1-1=MONTH(T_Eq[[#This Row],[coupon date 1]]),
AD$1+1-1=MONTH(T_Eq[[#This Row],[coupon date 2]]),
AD$1+1-1=MONTH(T_Eq[[#This Row],[coupon date 3]])),
IF('CF USD'!$A$8="on",T_Eq[[#This Row],[Dividend in USD]],T_Eq[[#This Row],[Dividend in Loc.Curr]])
/T_Eq[[#This Row],[Dividends per annum]],0),
"")</f>
        <v>0</v>
      </c>
      <c r="AE61" s="682">
        <f>IFERROR(IF(
OR(
AE$1+1-1=MONTH($U61),
AE$1+1-1=MONTH(T_Eq[[#This Row],[coupon date 1]]),
AE$1+1-1=MONTH(T_Eq[[#This Row],[coupon date 2]]),
AE$1+1-1=MONTH(T_Eq[[#This Row],[coupon date 3]])),
IF('CF USD'!$A$8="on",T_Eq[[#This Row],[Dividend in USD]],T_Eq[[#This Row],[Dividend in Loc.Curr]])
/T_Eq[[#This Row],[Dividends per annum]],0),
"")</f>
        <v>9828.1785</v>
      </c>
      <c r="AF61" s="682">
        <f>IFERROR(IF(
OR(
AF$1+1-1=MONTH($U61),
AF$1+1-1=MONTH(T_Eq[[#This Row],[coupon date 1]]),
AF$1+1-1=MONTH(T_Eq[[#This Row],[coupon date 2]]),
AF$1+1-1=MONTH(T_Eq[[#This Row],[coupon date 3]])),
IF('CF USD'!$A$8="on",T_Eq[[#This Row],[Dividend in USD]],T_Eq[[#This Row],[Dividend in Loc.Curr]])
/T_Eq[[#This Row],[Dividends per annum]],0),
"")</f>
        <v>0</v>
      </c>
      <c r="AG61" s="682">
        <f>IFERROR(IF(
OR(
AG$1+1-1=MONTH($U61),
AG$1+1-1=MONTH(T_Eq[[#This Row],[coupon date 1]]),
AG$1+1-1=MONTH(T_Eq[[#This Row],[coupon date 2]]),
AG$1+1-1=MONTH(T_Eq[[#This Row],[coupon date 3]])),
IF('CF USD'!$A$8="on",T_Eq[[#This Row],[Dividend in USD]],T_Eq[[#This Row],[Dividend in Loc.Curr]])
/T_Eq[[#This Row],[Dividends per annum]],0),
"")</f>
        <v>0</v>
      </c>
      <c r="AH61" s="682">
        <f>IFERROR(IF(
OR(
AH$1+1-1=MONTH($U61),
AH$1+1-1=MONTH(T_Eq[[#This Row],[coupon date 1]]),
AH$1+1-1=MONTH(T_Eq[[#This Row],[coupon date 2]]),
AH$1+1-1=MONTH(T_Eq[[#This Row],[coupon date 3]])),
IF('CF USD'!$A$8="on",T_Eq[[#This Row],[Dividend in USD]],T_Eq[[#This Row],[Dividend in Loc.Curr]])
/T_Eq[[#This Row],[Dividends per annum]],0),
"")</f>
        <v>0</v>
      </c>
      <c r="AI61" s="682">
        <f>IFERROR(IF(
OR(
AI$1+1-1=MONTH($U61),
AI$1+1-1=MONTH(T_Eq[[#This Row],[coupon date 1]]),
AI$1+1-1=MONTH(T_Eq[[#This Row],[coupon date 2]]),
AI$1+1-1=MONTH(T_Eq[[#This Row],[coupon date 3]])),
IF('CF USD'!$A$8="on",T_Eq[[#This Row],[Dividend in USD]],T_Eq[[#This Row],[Dividend in Loc.Curr]])
/T_Eq[[#This Row],[Dividends per annum]],0),
"")</f>
        <v>0</v>
      </c>
      <c r="AJ61" s="682">
        <f>IFERROR(IF(
OR(
AJ$1+1-1=MONTH($U61),
AJ$1+1-1=MONTH(T_Eq[[#This Row],[coupon date 1]]),
AJ$1+1-1=MONTH(T_Eq[[#This Row],[coupon date 2]]),
AJ$1+1-1=MONTH(T_Eq[[#This Row],[coupon date 3]])),
IF('CF USD'!$A$8="on",T_Eq[[#This Row],[Dividend in USD]],T_Eq[[#This Row],[Dividend in Loc.Curr]])
/T_Eq[[#This Row],[Dividends per annum]],0),
"")</f>
        <v>0</v>
      </c>
    </row>
    <row r="62" spans="1:36" x14ac:dyDescent="0.25">
      <c r="A62" s="70" t="s">
        <v>51</v>
      </c>
      <c r="B62" s="70" t="s">
        <v>195</v>
      </c>
      <c r="C62" s="676" t="s">
        <v>2409</v>
      </c>
      <c r="D62" s="676" t="s">
        <v>2410</v>
      </c>
      <c r="E62" s="672" t="s">
        <v>21</v>
      </c>
      <c r="F62" s="672" t="s">
        <v>294</v>
      </c>
      <c r="G62" s="672"/>
      <c r="H62" s="70" t="s">
        <v>2475</v>
      </c>
      <c r="I62" s="684">
        <v>12550</v>
      </c>
      <c r="J62" s="295">
        <v>33.725000000000001</v>
      </c>
      <c r="K62" s="666">
        <f>ABS(T_Eq[[#This Row],[Quantity]]*T_Eq[[#This Row],[Market price]])</f>
        <v>423248.75</v>
      </c>
      <c r="L62" s="666">
        <f ca="1">ABS(INDEX('Tech list'!A:C,MATCH(T_Eq[[#This Row],[Risk CCY]],'Tech list'!A:A,0),3)*T_Eq[[#This Row],[Market value, CCY]])</f>
        <v>489741.12862500001</v>
      </c>
      <c r="M62" s="677">
        <v>32.254486852589643</v>
      </c>
      <c r="N62" s="666">
        <f>ABS(T_Eq[[#This Row],[Cost price]]*T_Eq[[#This Row],[Quantity]])</f>
        <v>404793.81</v>
      </c>
      <c r="O62" s="213">
        <f>IF(T_Eq[[#This Row],[Quantity]]&lt;0,N62/K62-1,K62/N62-1)</f>
        <v>4.559096395273432E-2</v>
      </c>
      <c r="P62" s="669">
        <v>1.262</v>
      </c>
      <c r="Q62" s="213">
        <f>T_Eq[[#This Row],[Dividend per share]]/T_Eq[[#This Row],[Market price]]</f>
        <v>3.7420311341734618E-2</v>
      </c>
      <c r="R62" s="666">
        <f>T_Eq[[#This Row],[Dividend per share]]*T_Eq[[#This Row],[Quantity]]</f>
        <v>15838.1</v>
      </c>
      <c r="S62" s="666">
        <f ca="1">INDEX('Tech list'!A:C,MATCH(T_Eq[[#This Row],[Risk CCY]],'Tech list'!A:A,0),3)*T_Eq[[#This Row],[Dividend in Loc.Curr]]</f>
        <v>18326.265510000001</v>
      </c>
      <c r="T62" s="666">
        <v>4</v>
      </c>
      <c r="U62" s="675">
        <v>46105</v>
      </c>
      <c r="V62" s="671">
        <f>EDATE(T_Eq[[#This Row],[Next coupon date]],12/$T62)</f>
        <v>46197</v>
      </c>
      <c r="W62" s="671">
        <f>EDATE(T_Eq[[#This Row],[coupon date 1]],12/$T62)</f>
        <v>46289</v>
      </c>
      <c r="X62" s="671">
        <f>EDATE(T_Eq[[#This Row],[coupon date 2]],12/$T62)</f>
        <v>46380</v>
      </c>
      <c r="Y62" s="682">
        <f>IFERROR(IF(
OR(
Y$1+1-1=MONTH($U62),
Y$1+1-1=MONTH(T_Eq[[#This Row],[coupon date 1]]),
Y$1+1-1=MONTH(T_Eq[[#This Row],[coupon date 2]]),
Y$1+1-1=MONTH(T_Eq[[#This Row],[coupon date 3]])),
IF('CF USD'!$A$8="on",T_Eq[[#This Row],[Dividend in USD]],T_Eq[[#This Row],[Dividend in Loc.Curr]])
/T_Eq[[#This Row],[Dividends per annum]],0),
"")</f>
        <v>0</v>
      </c>
      <c r="Z62" s="682">
        <f>IFERROR(IF(
OR(
Z$1+1-1=MONTH($U62),
Z$1+1-1=MONTH(T_Eq[[#This Row],[coupon date 1]]),
Z$1+1-1=MONTH(T_Eq[[#This Row],[coupon date 2]]),
Z$1+1-1=MONTH(T_Eq[[#This Row],[coupon date 3]])),
IF('CF USD'!$A$8="on",T_Eq[[#This Row],[Dividend in USD]],T_Eq[[#This Row],[Dividend in Loc.Curr]])
/T_Eq[[#This Row],[Dividends per annum]],0),
"")</f>
        <v>0</v>
      </c>
      <c r="AA62" s="682">
        <f>IFERROR(IF(
OR(
AA$1+1-1=MONTH($U62),
AA$1+1-1=MONTH(T_Eq[[#This Row],[coupon date 1]]),
AA$1+1-1=MONTH(T_Eq[[#This Row],[coupon date 2]]),
AA$1+1-1=MONTH(T_Eq[[#This Row],[coupon date 3]])),
IF('CF USD'!$A$8="on",T_Eq[[#This Row],[Dividend in USD]],T_Eq[[#This Row],[Dividend in Loc.Curr]])
/T_Eq[[#This Row],[Dividends per annum]],0),
"")</f>
        <v>3959.5250000000001</v>
      </c>
      <c r="AB62" s="682">
        <f>IFERROR(IF(
OR(
AB$1+1-1=MONTH($U62),
AB$1+1-1=MONTH(T_Eq[[#This Row],[coupon date 1]]),
AB$1+1-1=MONTH(T_Eq[[#This Row],[coupon date 2]]),
AB$1+1-1=MONTH(T_Eq[[#This Row],[coupon date 3]])),
IF('CF USD'!$A$8="on",T_Eq[[#This Row],[Dividend in USD]],T_Eq[[#This Row],[Dividend in Loc.Curr]])
/T_Eq[[#This Row],[Dividends per annum]],0),
"")</f>
        <v>0</v>
      </c>
      <c r="AC62" s="682">
        <f>IFERROR(IF(
OR(
AC$1+1-1=MONTH($U62),
AC$1+1-1=MONTH(T_Eq[[#This Row],[coupon date 1]]),
AC$1+1-1=MONTH(T_Eq[[#This Row],[coupon date 2]]),
AC$1+1-1=MONTH(T_Eq[[#This Row],[coupon date 3]])),
IF('CF USD'!$A$8="on",T_Eq[[#This Row],[Dividend in USD]],T_Eq[[#This Row],[Dividend in Loc.Curr]])
/T_Eq[[#This Row],[Dividends per annum]],0),
"")</f>
        <v>0</v>
      </c>
      <c r="AD62" s="682">
        <f>IFERROR(IF(
OR(
AD$1+1-1=MONTH($U62),
AD$1+1-1=MONTH(T_Eq[[#This Row],[coupon date 1]]),
AD$1+1-1=MONTH(T_Eq[[#This Row],[coupon date 2]]),
AD$1+1-1=MONTH(T_Eq[[#This Row],[coupon date 3]])),
IF('CF USD'!$A$8="on",T_Eq[[#This Row],[Dividend in USD]],T_Eq[[#This Row],[Dividend in Loc.Curr]])
/T_Eq[[#This Row],[Dividends per annum]],0),
"")</f>
        <v>3959.5250000000001</v>
      </c>
      <c r="AE62" s="682">
        <f>IFERROR(IF(
OR(
AE$1+1-1=MONTH($U62),
AE$1+1-1=MONTH(T_Eq[[#This Row],[coupon date 1]]),
AE$1+1-1=MONTH(T_Eq[[#This Row],[coupon date 2]]),
AE$1+1-1=MONTH(T_Eq[[#This Row],[coupon date 3]])),
IF('CF USD'!$A$8="on",T_Eq[[#This Row],[Dividend in USD]],T_Eq[[#This Row],[Dividend in Loc.Curr]])
/T_Eq[[#This Row],[Dividends per annum]],0),
"")</f>
        <v>0</v>
      </c>
      <c r="AF62" s="682">
        <f>IFERROR(IF(
OR(
AF$1+1-1=MONTH($U62),
AF$1+1-1=MONTH(T_Eq[[#This Row],[coupon date 1]]),
AF$1+1-1=MONTH(T_Eq[[#This Row],[coupon date 2]]),
AF$1+1-1=MONTH(T_Eq[[#This Row],[coupon date 3]])),
IF('CF USD'!$A$8="on",T_Eq[[#This Row],[Dividend in USD]],T_Eq[[#This Row],[Dividend in Loc.Curr]])
/T_Eq[[#This Row],[Dividends per annum]],0),
"")</f>
        <v>0</v>
      </c>
      <c r="AG62" s="682">
        <f>IFERROR(IF(
OR(
AG$1+1-1=MONTH($U62),
AG$1+1-1=MONTH(T_Eq[[#This Row],[coupon date 1]]),
AG$1+1-1=MONTH(T_Eq[[#This Row],[coupon date 2]]),
AG$1+1-1=MONTH(T_Eq[[#This Row],[coupon date 3]])),
IF('CF USD'!$A$8="on",T_Eq[[#This Row],[Dividend in USD]],T_Eq[[#This Row],[Dividend in Loc.Curr]])
/T_Eq[[#This Row],[Dividends per annum]],0),
"")</f>
        <v>3959.5250000000001</v>
      </c>
      <c r="AH62" s="682">
        <f>IFERROR(IF(
OR(
AH$1+1-1=MONTH($U62),
AH$1+1-1=MONTH(T_Eq[[#This Row],[coupon date 1]]),
AH$1+1-1=MONTH(T_Eq[[#This Row],[coupon date 2]]),
AH$1+1-1=MONTH(T_Eq[[#This Row],[coupon date 3]])),
IF('CF USD'!$A$8="on",T_Eq[[#This Row],[Dividend in USD]],T_Eq[[#This Row],[Dividend in Loc.Curr]])
/T_Eq[[#This Row],[Dividends per annum]],0),
"")</f>
        <v>0</v>
      </c>
      <c r="AI62" s="682">
        <f>IFERROR(IF(
OR(
AI$1+1-1=MONTH($U62),
AI$1+1-1=MONTH(T_Eq[[#This Row],[coupon date 1]]),
AI$1+1-1=MONTH(T_Eq[[#This Row],[coupon date 2]]),
AI$1+1-1=MONTH(T_Eq[[#This Row],[coupon date 3]])),
IF('CF USD'!$A$8="on",T_Eq[[#This Row],[Dividend in USD]],T_Eq[[#This Row],[Dividend in Loc.Curr]])
/T_Eq[[#This Row],[Dividends per annum]],0),
"")</f>
        <v>0</v>
      </c>
      <c r="AJ62" s="682">
        <f>IFERROR(IF(
OR(
AJ$1+1-1=MONTH($U62),
AJ$1+1-1=MONTH(T_Eq[[#This Row],[coupon date 1]]),
AJ$1+1-1=MONTH(T_Eq[[#This Row],[coupon date 2]]),
AJ$1+1-1=MONTH(T_Eq[[#This Row],[coupon date 3]])),
IF('CF USD'!$A$8="on",T_Eq[[#This Row],[Dividend in USD]],T_Eq[[#This Row],[Dividend in Loc.Curr]])
/T_Eq[[#This Row],[Dividends per annum]],0),
"")</f>
        <v>3959.5250000000001</v>
      </c>
    </row>
    <row r="63" spans="1:36" x14ac:dyDescent="0.25">
      <c r="A63" s="70" t="s">
        <v>51</v>
      </c>
      <c r="B63" s="70" t="s">
        <v>195</v>
      </c>
      <c r="C63" s="676" t="s">
        <v>2411</v>
      </c>
      <c r="D63" s="676" t="s">
        <v>2412</v>
      </c>
      <c r="E63" s="672" t="s">
        <v>21</v>
      </c>
      <c r="F63" s="672" t="s">
        <v>302</v>
      </c>
      <c r="G63" s="672"/>
      <c r="H63" s="70" t="s">
        <v>2475</v>
      </c>
      <c r="I63" s="684">
        <v>6730</v>
      </c>
      <c r="J63" s="295">
        <v>66.53</v>
      </c>
      <c r="K63" s="666">
        <f>ABS(T_Eq[[#This Row],[Quantity]]*T_Eq[[#This Row],[Market price]])</f>
        <v>447746.9</v>
      </c>
      <c r="L63" s="666">
        <f ca="1">ABS(INDEX('Tech list'!A:C,MATCH(T_Eq[[#This Row],[Risk CCY]],'Tech list'!A:A,0),3)*T_Eq[[#This Row],[Market value, CCY]])</f>
        <v>518087.93799000001</v>
      </c>
      <c r="M63" s="677">
        <v>60.593699851411593</v>
      </c>
      <c r="N63" s="666">
        <f>ABS(T_Eq[[#This Row],[Cost price]]*T_Eq[[#This Row],[Quantity]])</f>
        <v>407795.60000000003</v>
      </c>
      <c r="O63" s="213">
        <f>IF(T_Eq[[#This Row],[Quantity]]&lt;0,N63/K63-1,K63/N63-1)</f>
        <v>9.7968933455878426E-2</v>
      </c>
      <c r="P63" s="669">
        <v>3.28</v>
      </c>
      <c r="Q63" s="213">
        <f>T_Eq[[#This Row],[Dividend per share]]/T_Eq[[#This Row],[Market price]]</f>
        <v>4.9301067187734852E-2</v>
      </c>
      <c r="R63" s="666">
        <f>T_Eq[[#This Row],[Dividend per share]]*T_Eq[[#This Row],[Quantity]]</f>
        <v>22074.399999999998</v>
      </c>
      <c r="S63" s="666">
        <f ca="1">INDEX('Tech list'!A:C,MATCH(T_Eq[[#This Row],[Risk CCY]],'Tech list'!A:A,0),3)*T_Eq[[#This Row],[Dividend in Loc.Curr]]</f>
        <v>25542.288239999998</v>
      </c>
      <c r="T63" s="666">
        <v>4</v>
      </c>
      <c r="U63" s="675">
        <v>46028</v>
      </c>
      <c r="V63" s="671">
        <f>EDATE(T_Eq[[#This Row],[Next coupon date]],12/$T63)</f>
        <v>46118</v>
      </c>
      <c r="W63" s="671">
        <f>EDATE(T_Eq[[#This Row],[coupon date 1]],12/$T63)</f>
        <v>46209</v>
      </c>
      <c r="X63" s="671">
        <f>EDATE(T_Eq[[#This Row],[coupon date 2]],12/$T63)</f>
        <v>46301</v>
      </c>
      <c r="Y63" s="682">
        <f>IFERROR(IF(
OR(
Y$1+1-1=MONTH($U63),
Y$1+1-1=MONTH(T_Eq[[#This Row],[coupon date 1]]),
Y$1+1-1=MONTH(T_Eq[[#This Row],[coupon date 2]]),
Y$1+1-1=MONTH(T_Eq[[#This Row],[coupon date 3]])),
IF('CF USD'!$A$8="on",T_Eq[[#This Row],[Dividend in USD]],T_Eq[[#This Row],[Dividend in Loc.Curr]])
/T_Eq[[#This Row],[Dividends per annum]],0),
"")</f>
        <v>5518.5999999999995</v>
      </c>
      <c r="Z63" s="682">
        <f>IFERROR(IF(
OR(
Z$1+1-1=MONTH($U63),
Z$1+1-1=MONTH(T_Eq[[#This Row],[coupon date 1]]),
Z$1+1-1=MONTH(T_Eq[[#This Row],[coupon date 2]]),
Z$1+1-1=MONTH(T_Eq[[#This Row],[coupon date 3]])),
IF('CF USD'!$A$8="on",T_Eq[[#This Row],[Dividend in USD]],T_Eq[[#This Row],[Dividend in Loc.Curr]])
/T_Eq[[#This Row],[Dividends per annum]],0),
"")</f>
        <v>0</v>
      </c>
      <c r="AA63" s="682">
        <f>IFERROR(IF(
OR(
AA$1+1-1=MONTH($U63),
AA$1+1-1=MONTH(T_Eq[[#This Row],[coupon date 1]]),
AA$1+1-1=MONTH(T_Eq[[#This Row],[coupon date 2]]),
AA$1+1-1=MONTH(T_Eq[[#This Row],[coupon date 3]])),
IF('CF USD'!$A$8="on",T_Eq[[#This Row],[Dividend in USD]],T_Eq[[#This Row],[Dividend in Loc.Curr]])
/T_Eq[[#This Row],[Dividends per annum]],0),
"")</f>
        <v>0</v>
      </c>
      <c r="AB63" s="682">
        <f>IFERROR(IF(
OR(
AB$1+1-1=MONTH($U63),
AB$1+1-1=MONTH(T_Eq[[#This Row],[coupon date 1]]),
AB$1+1-1=MONTH(T_Eq[[#This Row],[coupon date 2]]),
AB$1+1-1=MONTH(T_Eq[[#This Row],[coupon date 3]])),
IF('CF USD'!$A$8="on",T_Eq[[#This Row],[Dividend in USD]],T_Eq[[#This Row],[Dividend in Loc.Curr]])
/T_Eq[[#This Row],[Dividends per annum]],0),
"")</f>
        <v>5518.5999999999995</v>
      </c>
      <c r="AC63" s="682">
        <f>IFERROR(IF(
OR(
AC$1+1-1=MONTH($U63),
AC$1+1-1=MONTH(T_Eq[[#This Row],[coupon date 1]]),
AC$1+1-1=MONTH(T_Eq[[#This Row],[coupon date 2]]),
AC$1+1-1=MONTH(T_Eq[[#This Row],[coupon date 3]])),
IF('CF USD'!$A$8="on",T_Eq[[#This Row],[Dividend in USD]],T_Eq[[#This Row],[Dividend in Loc.Curr]])
/T_Eq[[#This Row],[Dividends per annum]],0),
"")</f>
        <v>0</v>
      </c>
      <c r="AD63" s="682">
        <f>IFERROR(IF(
OR(
AD$1+1-1=MONTH($U63),
AD$1+1-1=MONTH(T_Eq[[#This Row],[coupon date 1]]),
AD$1+1-1=MONTH(T_Eq[[#This Row],[coupon date 2]]),
AD$1+1-1=MONTH(T_Eq[[#This Row],[coupon date 3]])),
IF('CF USD'!$A$8="on",T_Eq[[#This Row],[Dividend in USD]],T_Eq[[#This Row],[Dividend in Loc.Curr]])
/T_Eq[[#This Row],[Dividends per annum]],0),
"")</f>
        <v>0</v>
      </c>
      <c r="AE63" s="682">
        <f>IFERROR(IF(
OR(
AE$1+1-1=MONTH($U63),
AE$1+1-1=MONTH(T_Eq[[#This Row],[coupon date 1]]),
AE$1+1-1=MONTH(T_Eq[[#This Row],[coupon date 2]]),
AE$1+1-1=MONTH(T_Eq[[#This Row],[coupon date 3]])),
IF('CF USD'!$A$8="on",T_Eq[[#This Row],[Dividend in USD]],T_Eq[[#This Row],[Dividend in Loc.Curr]])
/T_Eq[[#This Row],[Dividends per annum]],0),
"")</f>
        <v>5518.5999999999995</v>
      </c>
      <c r="AF63" s="682">
        <f>IFERROR(IF(
OR(
AF$1+1-1=MONTH($U63),
AF$1+1-1=MONTH(T_Eq[[#This Row],[coupon date 1]]),
AF$1+1-1=MONTH(T_Eq[[#This Row],[coupon date 2]]),
AF$1+1-1=MONTH(T_Eq[[#This Row],[coupon date 3]])),
IF('CF USD'!$A$8="on",T_Eq[[#This Row],[Dividend in USD]],T_Eq[[#This Row],[Dividend in Loc.Curr]])
/T_Eq[[#This Row],[Dividends per annum]],0),
"")</f>
        <v>0</v>
      </c>
      <c r="AG63" s="682">
        <f>IFERROR(IF(
OR(
AG$1+1-1=MONTH($U63),
AG$1+1-1=MONTH(T_Eq[[#This Row],[coupon date 1]]),
AG$1+1-1=MONTH(T_Eq[[#This Row],[coupon date 2]]),
AG$1+1-1=MONTH(T_Eq[[#This Row],[coupon date 3]])),
IF('CF USD'!$A$8="on",T_Eq[[#This Row],[Dividend in USD]],T_Eq[[#This Row],[Dividend in Loc.Curr]])
/T_Eq[[#This Row],[Dividends per annum]],0),
"")</f>
        <v>0</v>
      </c>
      <c r="AH63" s="682">
        <f>IFERROR(IF(
OR(
AH$1+1-1=MONTH($U63),
AH$1+1-1=MONTH(T_Eq[[#This Row],[coupon date 1]]),
AH$1+1-1=MONTH(T_Eq[[#This Row],[coupon date 2]]),
AH$1+1-1=MONTH(T_Eq[[#This Row],[coupon date 3]])),
IF('CF USD'!$A$8="on",T_Eq[[#This Row],[Dividend in USD]],T_Eq[[#This Row],[Dividend in Loc.Curr]])
/T_Eq[[#This Row],[Dividends per annum]],0),
"")</f>
        <v>5518.5999999999995</v>
      </c>
      <c r="AI63" s="682">
        <f>IFERROR(IF(
OR(
AI$1+1-1=MONTH($U63),
AI$1+1-1=MONTH(T_Eq[[#This Row],[coupon date 1]]),
AI$1+1-1=MONTH(T_Eq[[#This Row],[coupon date 2]]),
AI$1+1-1=MONTH(T_Eq[[#This Row],[coupon date 3]])),
IF('CF USD'!$A$8="on",T_Eq[[#This Row],[Dividend in USD]],T_Eq[[#This Row],[Dividend in Loc.Curr]])
/T_Eq[[#This Row],[Dividends per annum]],0),
"")</f>
        <v>0</v>
      </c>
      <c r="AJ63" s="682">
        <f>IFERROR(IF(
OR(
AJ$1+1-1=MONTH($U63),
AJ$1+1-1=MONTH(T_Eq[[#This Row],[coupon date 1]]),
AJ$1+1-1=MONTH(T_Eq[[#This Row],[coupon date 2]]),
AJ$1+1-1=MONTH(T_Eq[[#This Row],[coupon date 3]])),
IF('CF USD'!$A$8="on",T_Eq[[#This Row],[Dividend in USD]],T_Eq[[#This Row],[Dividend in Loc.Curr]])
/T_Eq[[#This Row],[Dividends per annum]],0),
"")</f>
        <v>0</v>
      </c>
    </row>
    <row r="64" spans="1:36" x14ac:dyDescent="0.25">
      <c r="A64" s="829" t="s">
        <v>51</v>
      </c>
      <c r="B64" s="829" t="s">
        <v>1191</v>
      </c>
      <c r="C64" s="830" t="s">
        <v>2487</v>
      </c>
      <c r="D64" s="828" t="s">
        <v>2488</v>
      </c>
      <c r="E64" s="672" t="s">
        <v>21</v>
      </c>
      <c r="F64" s="672" t="e">
        <v>#N/A</v>
      </c>
      <c r="G64" s="672"/>
      <c r="H64" s="70" t="s">
        <v>2475</v>
      </c>
      <c r="I64" s="684">
        <v>9205.4390000000003</v>
      </c>
      <c r="J64" s="295">
        <v>55.61</v>
      </c>
      <c r="K64" s="666">
        <f>ABS(T_Eq[[#This Row],[Quantity]]*T_Eq[[#This Row],[Market price]])</f>
        <v>511914.46279000002</v>
      </c>
      <c r="L64" s="666">
        <f ca="1">ABS(INDEX('Tech list'!A:C,MATCH(T_Eq[[#This Row],[Risk CCY]],'Tech list'!A:A,0),3)*T_Eq[[#This Row],[Market value, CCY]])</f>
        <v>592336.22489430907</v>
      </c>
      <c r="M64" s="677">
        <v>54.397190617416506</v>
      </c>
      <c r="N64" s="666">
        <f>ABS(T_Eq[[#This Row],[Cost price]]*T_Eq[[#This Row],[Quantity]])</f>
        <v>500750.02</v>
      </c>
      <c r="O64" s="213">
        <f>IF(T_Eq[[#This Row],[Quantity]]&lt;0,N64/K64-1,K64/N64-1)</f>
        <v>2.2295441525893578E-2</v>
      </c>
      <c r="P64" s="669">
        <v>0</v>
      </c>
      <c r="Q64" s="213">
        <f>T_Eq[[#This Row],[Dividend per share]]/T_Eq[[#This Row],[Market price]]</f>
        <v>0</v>
      </c>
      <c r="R64" s="666">
        <f>T_Eq[[#This Row],[Dividend per share]]*T_Eq[[#This Row],[Quantity]]</f>
        <v>0</v>
      </c>
      <c r="S64" s="666">
        <f ca="1">INDEX('Tech list'!A:C,MATCH(T_Eq[[#This Row],[Risk CCY]],'Tech list'!A:A,0),3)*T_Eq[[#This Row],[Dividend in Loc.Curr]]</f>
        <v>0</v>
      </c>
      <c r="T64" s="666">
        <v>1</v>
      </c>
      <c r="U64" s="675">
        <v>46023</v>
      </c>
      <c r="V64" s="671">
        <f>EDATE(T_Eq[[#This Row],[Next coupon date]],12/$T64)</f>
        <v>46388</v>
      </c>
      <c r="W64" s="671">
        <f>EDATE(T_Eq[[#This Row],[coupon date 1]],12/$T64)</f>
        <v>46753</v>
      </c>
      <c r="X64" s="671">
        <f>EDATE(T_Eq[[#This Row],[coupon date 2]],12/$T64)</f>
        <v>47119</v>
      </c>
      <c r="Y64" s="682">
        <f>IFERROR(IF(
OR(
Y$1+1-1=MONTH($U64),
Y$1+1-1=MONTH(T_Eq[[#This Row],[coupon date 1]]),
Y$1+1-1=MONTH(T_Eq[[#This Row],[coupon date 2]]),
Y$1+1-1=MONTH(T_Eq[[#This Row],[coupon date 3]])),
IF('CF USD'!$A$8="on",T_Eq[[#This Row],[Dividend in USD]],T_Eq[[#This Row],[Dividend in Loc.Curr]])
/T_Eq[[#This Row],[Dividends per annum]],0),
"")</f>
        <v>0</v>
      </c>
      <c r="Z64" s="682">
        <f>IFERROR(IF(
OR(
Z$1+1-1=MONTH($U64),
Z$1+1-1=MONTH(T_Eq[[#This Row],[coupon date 1]]),
Z$1+1-1=MONTH(T_Eq[[#This Row],[coupon date 2]]),
Z$1+1-1=MONTH(T_Eq[[#This Row],[coupon date 3]])),
IF('CF USD'!$A$8="on",T_Eq[[#This Row],[Dividend in USD]],T_Eq[[#This Row],[Dividend in Loc.Curr]])
/T_Eq[[#This Row],[Dividends per annum]],0),
"")</f>
        <v>0</v>
      </c>
      <c r="AA64" s="682">
        <f>IFERROR(IF(
OR(
AA$1+1-1=MONTH($U64),
AA$1+1-1=MONTH(T_Eq[[#This Row],[coupon date 1]]),
AA$1+1-1=MONTH(T_Eq[[#This Row],[coupon date 2]]),
AA$1+1-1=MONTH(T_Eq[[#This Row],[coupon date 3]])),
IF('CF USD'!$A$8="on",T_Eq[[#This Row],[Dividend in USD]],T_Eq[[#This Row],[Dividend in Loc.Curr]])
/T_Eq[[#This Row],[Dividends per annum]],0),
"")</f>
        <v>0</v>
      </c>
      <c r="AB64" s="682">
        <f>IFERROR(IF(
OR(
AB$1+1-1=MONTH($U64),
AB$1+1-1=MONTH(T_Eq[[#This Row],[coupon date 1]]),
AB$1+1-1=MONTH(T_Eq[[#This Row],[coupon date 2]]),
AB$1+1-1=MONTH(T_Eq[[#This Row],[coupon date 3]])),
IF('CF USD'!$A$8="on",T_Eq[[#This Row],[Dividend in USD]],T_Eq[[#This Row],[Dividend in Loc.Curr]])
/T_Eq[[#This Row],[Dividends per annum]],0),
"")</f>
        <v>0</v>
      </c>
      <c r="AC64" s="682">
        <f>IFERROR(IF(
OR(
AC$1+1-1=MONTH($U64),
AC$1+1-1=MONTH(T_Eq[[#This Row],[coupon date 1]]),
AC$1+1-1=MONTH(T_Eq[[#This Row],[coupon date 2]]),
AC$1+1-1=MONTH(T_Eq[[#This Row],[coupon date 3]])),
IF('CF USD'!$A$8="on",T_Eq[[#This Row],[Dividend in USD]],T_Eq[[#This Row],[Dividend in Loc.Curr]])
/T_Eq[[#This Row],[Dividends per annum]],0),
"")</f>
        <v>0</v>
      </c>
      <c r="AD64" s="682">
        <f>IFERROR(IF(
OR(
AD$1+1-1=MONTH($U64),
AD$1+1-1=MONTH(T_Eq[[#This Row],[coupon date 1]]),
AD$1+1-1=MONTH(T_Eq[[#This Row],[coupon date 2]]),
AD$1+1-1=MONTH(T_Eq[[#This Row],[coupon date 3]])),
IF('CF USD'!$A$8="on",T_Eq[[#This Row],[Dividend in USD]],T_Eq[[#This Row],[Dividend in Loc.Curr]])
/T_Eq[[#This Row],[Dividends per annum]],0),
"")</f>
        <v>0</v>
      </c>
      <c r="AE64" s="682">
        <f>IFERROR(IF(
OR(
AE$1+1-1=MONTH($U64),
AE$1+1-1=MONTH(T_Eq[[#This Row],[coupon date 1]]),
AE$1+1-1=MONTH(T_Eq[[#This Row],[coupon date 2]]),
AE$1+1-1=MONTH(T_Eq[[#This Row],[coupon date 3]])),
IF('CF USD'!$A$8="on",T_Eq[[#This Row],[Dividend in USD]],T_Eq[[#This Row],[Dividend in Loc.Curr]])
/T_Eq[[#This Row],[Dividends per annum]],0),
"")</f>
        <v>0</v>
      </c>
      <c r="AF64" s="682">
        <f>IFERROR(IF(
OR(
AF$1+1-1=MONTH($U64),
AF$1+1-1=MONTH(T_Eq[[#This Row],[coupon date 1]]),
AF$1+1-1=MONTH(T_Eq[[#This Row],[coupon date 2]]),
AF$1+1-1=MONTH(T_Eq[[#This Row],[coupon date 3]])),
IF('CF USD'!$A$8="on",T_Eq[[#This Row],[Dividend in USD]],T_Eq[[#This Row],[Dividend in Loc.Curr]])
/T_Eq[[#This Row],[Dividends per annum]],0),
"")</f>
        <v>0</v>
      </c>
      <c r="AG64" s="682">
        <f>IFERROR(IF(
OR(
AG$1+1-1=MONTH($U64),
AG$1+1-1=MONTH(T_Eq[[#This Row],[coupon date 1]]),
AG$1+1-1=MONTH(T_Eq[[#This Row],[coupon date 2]]),
AG$1+1-1=MONTH(T_Eq[[#This Row],[coupon date 3]])),
IF('CF USD'!$A$8="on",T_Eq[[#This Row],[Dividend in USD]],T_Eq[[#This Row],[Dividend in Loc.Curr]])
/T_Eq[[#This Row],[Dividends per annum]],0),
"")</f>
        <v>0</v>
      </c>
      <c r="AH64" s="682">
        <f>IFERROR(IF(
OR(
AH$1+1-1=MONTH($U64),
AH$1+1-1=MONTH(T_Eq[[#This Row],[coupon date 1]]),
AH$1+1-1=MONTH(T_Eq[[#This Row],[coupon date 2]]),
AH$1+1-1=MONTH(T_Eq[[#This Row],[coupon date 3]])),
IF('CF USD'!$A$8="on",T_Eq[[#This Row],[Dividend in USD]],T_Eq[[#This Row],[Dividend in Loc.Curr]])
/T_Eq[[#This Row],[Dividends per annum]],0),
"")</f>
        <v>0</v>
      </c>
      <c r="AI64" s="682">
        <f>IFERROR(IF(
OR(
AI$1+1-1=MONTH($U64),
AI$1+1-1=MONTH(T_Eq[[#This Row],[coupon date 1]]),
AI$1+1-1=MONTH(T_Eq[[#This Row],[coupon date 2]]),
AI$1+1-1=MONTH(T_Eq[[#This Row],[coupon date 3]])),
IF('CF USD'!$A$8="on",T_Eq[[#This Row],[Dividend in USD]],T_Eq[[#This Row],[Dividend in Loc.Curr]])
/T_Eq[[#This Row],[Dividends per annum]],0),
"")</f>
        <v>0</v>
      </c>
      <c r="AJ64" s="682">
        <f>IFERROR(IF(
OR(
AJ$1+1-1=MONTH($U64),
AJ$1+1-1=MONTH(T_Eq[[#This Row],[coupon date 1]]),
AJ$1+1-1=MONTH(T_Eq[[#This Row],[coupon date 2]]),
AJ$1+1-1=MONTH(T_Eq[[#This Row],[coupon date 3]])),
IF('CF USD'!$A$8="on",T_Eq[[#This Row],[Dividend in USD]],T_Eq[[#This Row],[Dividend in Loc.Curr]])
/T_Eq[[#This Row],[Dividends per annum]],0),
"")</f>
        <v>0</v>
      </c>
    </row>
    <row r="65" spans="1:36" x14ac:dyDescent="0.25">
      <c r="A65" s="829" t="s">
        <v>51</v>
      </c>
      <c r="B65" s="829" t="s">
        <v>1191</v>
      </c>
      <c r="C65" s="976" t="s">
        <v>2528</v>
      </c>
      <c r="D65" s="976" t="s">
        <v>2529</v>
      </c>
      <c r="E65" s="24" t="s">
        <v>18</v>
      </c>
      <c r="F65" s="672"/>
      <c r="G65" s="672"/>
      <c r="H65" s="418" t="s">
        <v>2476</v>
      </c>
      <c r="I65" s="684">
        <v>2086</v>
      </c>
      <c r="J65" s="295">
        <v>98.05</v>
      </c>
      <c r="K65" s="666">
        <f>ABS(T_Eq[[#This Row],[Quantity]]*T_Eq[[#This Row],[Market price]])</f>
        <v>204532.3</v>
      </c>
      <c r="L65" s="666">
        <f>ABS(INDEX('Tech list'!A:C,MATCH(T_Eq[[#This Row],[Risk CCY]],'Tech list'!A:A,0),3)*T_Eq[[#This Row],[Market value, CCY]])</f>
        <v>204532.3</v>
      </c>
      <c r="M65" s="677">
        <v>95.993475551294338</v>
      </c>
      <c r="N65" s="666">
        <f>ABS(T_Eq[[#This Row],[Cost price]]*T_Eq[[#This Row],[Quantity]])</f>
        <v>200242.38999999998</v>
      </c>
      <c r="O65" s="213">
        <f>IF(T_Eq[[#This Row],[Quantity]]&lt;0,N65/K65-1,K65/N65-1)</f>
        <v>2.142358568532865E-2</v>
      </c>
      <c r="P65" s="669">
        <f>0.323+0.259</f>
        <v>0.58200000000000007</v>
      </c>
      <c r="Q65" s="213">
        <f>T_Eq[[#This Row],[Dividend per share]]/T_Eq[[#This Row],[Market price]]</f>
        <v>5.93574706782254E-3</v>
      </c>
      <c r="R65" s="666">
        <f>T_Eq[[#This Row],[Dividend per share]]*T_Eq[[#This Row],[Quantity]]</f>
        <v>1214.0520000000001</v>
      </c>
      <c r="S65" s="666">
        <f>INDEX('Tech list'!A:C,MATCH(T_Eq[[#This Row],[Risk CCY]],'Tech list'!A:A,0),3)*T_Eq[[#This Row],[Dividend in Loc.Curr]]</f>
        <v>1214.0520000000001</v>
      </c>
      <c r="T65" s="666">
        <v>2</v>
      </c>
      <c r="U65" s="675">
        <v>46104</v>
      </c>
      <c r="V65" s="671">
        <f>EDATE(T_Eq[[#This Row],[Next coupon date]],12/$T65)</f>
        <v>46288</v>
      </c>
      <c r="W65" s="671">
        <f>EDATE(T_Eq[[#This Row],[coupon date 1]],12/$T65)</f>
        <v>46469</v>
      </c>
      <c r="X65" s="671">
        <f>EDATE(T_Eq[[#This Row],[coupon date 2]],12/$T65)</f>
        <v>46653</v>
      </c>
      <c r="Y65" s="682">
        <f>IFERROR(IF(
OR(
Y$1+1-1=MONTH($U65),
Y$1+1-1=MONTH(T_Eq[[#This Row],[coupon date 1]]),
Y$1+1-1=MONTH(T_Eq[[#This Row],[coupon date 2]]),
Y$1+1-1=MONTH(T_Eq[[#This Row],[coupon date 3]])),
IF('CF USD'!$A$8="on",T_Eq[[#This Row],[Dividend in USD]],T_Eq[[#This Row],[Dividend in Loc.Curr]])
/T_Eq[[#This Row],[Dividends per annum]],0),
"")</f>
        <v>0</v>
      </c>
      <c r="Z65" s="682">
        <f>IFERROR(IF(
OR(
Z$1+1-1=MONTH($U65),
Z$1+1-1=MONTH(T_Eq[[#This Row],[coupon date 1]]),
Z$1+1-1=MONTH(T_Eq[[#This Row],[coupon date 2]]),
Z$1+1-1=MONTH(T_Eq[[#This Row],[coupon date 3]])),
IF('CF USD'!$A$8="on",T_Eq[[#This Row],[Dividend in USD]],T_Eq[[#This Row],[Dividend in Loc.Curr]])
/T_Eq[[#This Row],[Dividends per annum]],0),
"")</f>
        <v>0</v>
      </c>
      <c r="AA65" s="682">
        <f>IFERROR(IF(
OR(
AA$1+1-1=MONTH($U65),
AA$1+1-1=MONTH(T_Eq[[#This Row],[coupon date 1]]),
AA$1+1-1=MONTH(T_Eq[[#This Row],[coupon date 2]]),
AA$1+1-1=MONTH(T_Eq[[#This Row],[coupon date 3]])),
IF('CF USD'!$A$8="on",T_Eq[[#This Row],[Dividend in USD]],T_Eq[[#This Row],[Dividend in Loc.Curr]])
/T_Eq[[#This Row],[Dividends per annum]],0),
"")</f>
        <v>607.02600000000007</v>
      </c>
      <c r="AB65" s="682">
        <f>IFERROR(IF(
OR(
AB$1+1-1=MONTH($U65),
AB$1+1-1=MONTH(T_Eq[[#This Row],[coupon date 1]]),
AB$1+1-1=MONTH(T_Eq[[#This Row],[coupon date 2]]),
AB$1+1-1=MONTH(T_Eq[[#This Row],[coupon date 3]])),
IF('CF USD'!$A$8="on",T_Eq[[#This Row],[Dividend in USD]],T_Eq[[#This Row],[Dividend in Loc.Curr]])
/T_Eq[[#This Row],[Dividends per annum]],0),
"")</f>
        <v>0</v>
      </c>
      <c r="AC65" s="682">
        <f>IFERROR(IF(
OR(
AC$1+1-1=MONTH($U65),
AC$1+1-1=MONTH(T_Eq[[#This Row],[coupon date 1]]),
AC$1+1-1=MONTH(T_Eq[[#This Row],[coupon date 2]]),
AC$1+1-1=MONTH(T_Eq[[#This Row],[coupon date 3]])),
IF('CF USD'!$A$8="on",T_Eq[[#This Row],[Dividend in USD]],T_Eq[[#This Row],[Dividend in Loc.Curr]])
/T_Eq[[#This Row],[Dividends per annum]],0),
"")</f>
        <v>0</v>
      </c>
      <c r="AD65" s="682">
        <f>IFERROR(IF(
OR(
AD$1+1-1=MONTH($U65),
AD$1+1-1=MONTH(T_Eq[[#This Row],[coupon date 1]]),
AD$1+1-1=MONTH(T_Eq[[#This Row],[coupon date 2]]),
AD$1+1-1=MONTH(T_Eq[[#This Row],[coupon date 3]])),
IF('CF USD'!$A$8="on",T_Eq[[#This Row],[Dividend in USD]],T_Eq[[#This Row],[Dividend in Loc.Curr]])
/T_Eq[[#This Row],[Dividends per annum]],0),
"")</f>
        <v>0</v>
      </c>
      <c r="AE65" s="682">
        <f>IFERROR(IF(
OR(
AE$1+1-1=MONTH($U65),
AE$1+1-1=MONTH(T_Eq[[#This Row],[coupon date 1]]),
AE$1+1-1=MONTH(T_Eq[[#This Row],[coupon date 2]]),
AE$1+1-1=MONTH(T_Eq[[#This Row],[coupon date 3]])),
IF('CF USD'!$A$8="on",T_Eq[[#This Row],[Dividend in USD]],T_Eq[[#This Row],[Dividend in Loc.Curr]])
/T_Eq[[#This Row],[Dividends per annum]],0),
"")</f>
        <v>0</v>
      </c>
      <c r="AF65" s="682">
        <f>IFERROR(IF(
OR(
AF$1+1-1=MONTH($U65),
AF$1+1-1=MONTH(T_Eq[[#This Row],[coupon date 1]]),
AF$1+1-1=MONTH(T_Eq[[#This Row],[coupon date 2]]),
AF$1+1-1=MONTH(T_Eq[[#This Row],[coupon date 3]])),
IF('CF USD'!$A$8="on",T_Eq[[#This Row],[Dividend in USD]],T_Eq[[#This Row],[Dividend in Loc.Curr]])
/T_Eq[[#This Row],[Dividends per annum]],0),
"")</f>
        <v>0</v>
      </c>
      <c r="AG65" s="682">
        <f>IFERROR(IF(
OR(
AG$1+1-1=MONTH($U65),
AG$1+1-1=MONTH(T_Eq[[#This Row],[coupon date 1]]),
AG$1+1-1=MONTH(T_Eq[[#This Row],[coupon date 2]]),
AG$1+1-1=MONTH(T_Eq[[#This Row],[coupon date 3]])),
IF('CF USD'!$A$8="on",T_Eq[[#This Row],[Dividend in USD]],T_Eq[[#This Row],[Dividend in Loc.Curr]])
/T_Eq[[#This Row],[Dividends per annum]],0),
"")</f>
        <v>607.02600000000007</v>
      </c>
      <c r="AH65" s="682">
        <f>IFERROR(IF(
OR(
AH$1+1-1=MONTH($U65),
AH$1+1-1=MONTH(T_Eq[[#This Row],[coupon date 1]]),
AH$1+1-1=MONTH(T_Eq[[#This Row],[coupon date 2]]),
AH$1+1-1=MONTH(T_Eq[[#This Row],[coupon date 3]])),
IF('CF USD'!$A$8="on",T_Eq[[#This Row],[Dividend in USD]],T_Eq[[#This Row],[Dividend in Loc.Curr]])
/T_Eq[[#This Row],[Dividends per annum]],0),
"")</f>
        <v>0</v>
      </c>
      <c r="AI65" s="682">
        <f>IFERROR(IF(
OR(
AI$1+1-1=MONTH($U65),
AI$1+1-1=MONTH(T_Eq[[#This Row],[coupon date 1]]),
AI$1+1-1=MONTH(T_Eq[[#This Row],[coupon date 2]]),
AI$1+1-1=MONTH(T_Eq[[#This Row],[coupon date 3]])),
IF('CF USD'!$A$8="on",T_Eq[[#This Row],[Dividend in USD]],T_Eq[[#This Row],[Dividend in Loc.Curr]])
/T_Eq[[#This Row],[Dividends per annum]],0),
"")</f>
        <v>0</v>
      </c>
      <c r="AJ65" s="682">
        <f>IFERROR(IF(
OR(
AJ$1+1-1=MONTH($U65),
AJ$1+1-1=MONTH(T_Eq[[#This Row],[coupon date 1]]),
AJ$1+1-1=MONTH(T_Eq[[#This Row],[coupon date 2]]),
AJ$1+1-1=MONTH(T_Eq[[#This Row],[coupon date 3]])),
IF('CF USD'!$A$8="on",T_Eq[[#This Row],[Dividend in USD]],T_Eq[[#This Row],[Dividend in Loc.Curr]])
/T_Eq[[#This Row],[Dividends per annum]],0),
"")</f>
        <v>0</v>
      </c>
    </row>
    <row r="66" spans="1:36" x14ac:dyDescent="0.25">
      <c r="A66" s="829" t="s">
        <v>51</v>
      </c>
      <c r="B66" s="829" t="s">
        <v>1191</v>
      </c>
      <c r="C66" s="976" t="s">
        <v>2516</v>
      </c>
      <c r="D66" s="812" t="s">
        <v>2517</v>
      </c>
      <c r="E66" s="24" t="s">
        <v>18</v>
      </c>
      <c r="F66" s="672"/>
      <c r="G66" s="672"/>
      <c r="H66" s="70" t="s">
        <v>2475</v>
      </c>
      <c r="I66" s="684">
        <v>8833.9220000000005</v>
      </c>
      <c r="J66" s="295">
        <v>33.9</v>
      </c>
      <c r="K66" s="666">
        <f>ABS(T_Eq[[#This Row],[Quantity]]*T_Eq[[#This Row],[Market price]])</f>
        <v>299469.9558</v>
      </c>
      <c r="L66" s="666">
        <f>ABS(INDEX('Tech list'!A:C,MATCH(T_Eq[[#This Row],[Risk CCY]],'Tech list'!A:A,0),3)*T_Eq[[#This Row],[Market value, CCY]])</f>
        <v>299469.9558</v>
      </c>
      <c r="M66" s="677">
        <v>34.010939874723817</v>
      </c>
      <c r="N66" s="666">
        <f>ABS(T_Eq[[#This Row],[Cost price]]*T_Eq[[#This Row],[Quantity]])</f>
        <v>300449.99</v>
      </c>
      <c r="O66" s="213">
        <f>IF(T_Eq[[#This Row],[Quantity]]&lt;0,N66/K66-1,K66/N66-1)</f>
        <v>-3.2618879434810344E-3</v>
      </c>
      <c r="P66" s="669">
        <f>0.6856</f>
        <v>0.68559999999999999</v>
      </c>
      <c r="Q66" s="213">
        <f>T_Eq[[#This Row],[Dividend per share]]/T_Eq[[#This Row],[Market price]]</f>
        <v>2.0224188790560472E-2</v>
      </c>
      <c r="R66" s="666">
        <f>T_Eq[[#This Row],[Dividend per share]]*T_Eq[[#This Row],[Quantity]]</f>
        <v>6056.5369232000003</v>
      </c>
      <c r="S66" s="666">
        <f>INDEX('Tech list'!A:C,MATCH(T_Eq[[#This Row],[Risk CCY]],'Tech list'!A:A,0),3)*T_Eq[[#This Row],[Dividend in Loc.Curr]]</f>
        <v>6056.5369232000003</v>
      </c>
      <c r="T66" s="666">
        <v>1</v>
      </c>
      <c r="U66" s="675">
        <v>46367</v>
      </c>
      <c r="V66" s="671">
        <f>EDATE(T_Eq[[#This Row],[Next coupon date]],12/$T66)</f>
        <v>46732</v>
      </c>
      <c r="W66" s="671">
        <f>EDATE(T_Eq[[#This Row],[coupon date 1]],12/$T66)</f>
        <v>47098</v>
      </c>
      <c r="X66" s="671">
        <f>EDATE(T_Eq[[#This Row],[coupon date 2]],12/$T66)</f>
        <v>47463</v>
      </c>
      <c r="Y66" s="682">
        <f>IFERROR(IF(
OR(
Y$1+1-1=MONTH($U66),
Y$1+1-1=MONTH(T_Eq[[#This Row],[coupon date 1]]),
Y$1+1-1=MONTH(T_Eq[[#This Row],[coupon date 2]]),
Y$1+1-1=MONTH(T_Eq[[#This Row],[coupon date 3]])),
IF('CF USD'!$A$8="on",T_Eq[[#This Row],[Dividend in USD]],T_Eq[[#This Row],[Dividend in Loc.Curr]])
/T_Eq[[#This Row],[Dividends per annum]],0),
"")</f>
        <v>0</v>
      </c>
      <c r="Z66" s="682">
        <f>IFERROR(IF(
OR(
Z$1+1-1=MONTH($U66),
Z$1+1-1=MONTH(T_Eq[[#This Row],[coupon date 1]]),
Z$1+1-1=MONTH(T_Eq[[#This Row],[coupon date 2]]),
Z$1+1-1=MONTH(T_Eq[[#This Row],[coupon date 3]])),
IF('CF USD'!$A$8="on",T_Eq[[#This Row],[Dividend in USD]],T_Eq[[#This Row],[Dividend in Loc.Curr]])
/T_Eq[[#This Row],[Dividends per annum]],0),
"")</f>
        <v>0</v>
      </c>
      <c r="AA66" s="682">
        <f>IFERROR(IF(
OR(
AA$1+1-1=MONTH($U66),
AA$1+1-1=MONTH(T_Eq[[#This Row],[coupon date 1]]),
AA$1+1-1=MONTH(T_Eq[[#This Row],[coupon date 2]]),
AA$1+1-1=MONTH(T_Eq[[#This Row],[coupon date 3]])),
IF('CF USD'!$A$8="on",T_Eq[[#This Row],[Dividend in USD]],T_Eq[[#This Row],[Dividend in Loc.Curr]])
/T_Eq[[#This Row],[Dividends per annum]],0),
"")</f>
        <v>0</v>
      </c>
      <c r="AB66" s="682">
        <f>IFERROR(IF(
OR(
AB$1+1-1=MONTH($U66),
AB$1+1-1=MONTH(T_Eq[[#This Row],[coupon date 1]]),
AB$1+1-1=MONTH(T_Eq[[#This Row],[coupon date 2]]),
AB$1+1-1=MONTH(T_Eq[[#This Row],[coupon date 3]])),
IF('CF USD'!$A$8="on",T_Eq[[#This Row],[Dividend in USD]],T_Eq[[#This Row],[Dividend in Loc.Curr]])
/T_Eq[[#This Row],[Dividends per annum]],0),
"")</f>
        <v>0</v>
      </c>
      <c r="AC66" s="682">
        <f>IFERROR(IF(
OR(
AC$1+1-1=MONTH($U66),
AC$1+1-1=MONTH(T_Eq[[#This Row],[coupon date 1]]),
AC$1+1-1=MONTH(T_Eq[[#This Row],[coupon date 2]]),
AC$1+1-1=MONTH(T_Eq[[#This Row],[coupon date 3]])),
IF('CF USD'!$A$8="on",T_Eq[[#This Row],[Dividend in USD]],T_Eq[[#This Row],[Dividend in Loc.Curr]])
/T_Eq[[#This Row],[Dividends per annum]],0),
"")</f>
        <v>0</v>
      </c>
      <c r="AD66" s="682">
        <f>IFERROR(IF(
OR(
AD$1+1-1=MONTH($U66),
AD$1+1-1=MONTH(T_Eq[[#This Row],[coupon date 1]]),
AD$1+1-1=MONTH(T_Eq[[#This Row],[coupon date 2]]),
AD$1+1-1=MONTH(T_Eq[[#This Row],[coupon date 3]])),
IF('CF USD'!$A$8="on",T_Eq[[#This Row],[Dividend in USD]],T_Eq[[#This Row],[Dividend in Loc.Curr]])
/T_Eq[[#This Row],[Dividends per annum]],0),
"")</f>
        <v>0</v>
      </c>
      <c r="AE66" s="682">
        <f>IFERROR(IF(
OR(
AE$1+1-1=MONTH($U66),
AE$1+1-1=MONTH(T_Eq[[#This Row],[coupon date 1]]),
AE$1+1-1=MONTH(T_Eq[[#This Row],[coupon date 2]]),
AE$1+1-1=MONTH(T_Eq[[#This Row],[coupon date 3]])),
IF('CF USD'!$A$8="on",T_Eq[[#This Row],[Dividend in USD]],T_Eq[[#This Row],[Dividend in Loc.Curr]])
/T_Eq[[#This Row],[Dividends per annum]],0),
"")</f>
        <v>0</v>
      </c>
      <c r="AF66" s="682">
        <f>IFERROR(IF(
OR(
AF$1+1-1=MONTH($U66),
AF$1+1-1=MONTH(T_Eq[[#This Row],[coupon date 1]]),
AF$1+1-1=MONTH(T_Eq[[#This Row],[coupon date 2]]),
AF$1+1-1=MONTH(T_Eq[[#This Row],[coupon date 3]])),
IF('CF USD'!$A$8="on",T_Eq[[#This Row],[Dividend in USD]],T_Eq[[#This Row],[Dividend in Loc.Curr]])
/T_Eq[[#This Row],[Dividends per annum]],0),
"")</f>
        <v>0</v>
      </c>
      <c r="AG66" s="682">
        <f>IFERROR(IF(
OR(
AG$1+1-1=MONTH($U66),
AG$1+1-1=MONTH(T_Eq[[#This Row],[coupon date 1]]),
AG$1+1-1=MONTH(T_Eq[[#This Row],[coupon date 2]]),
AG$1+1-1=MONTH(T_Eq[[#This Row],[coupon date 3]])),
IF('CF USD'!$A$8="on",T_Eq[[#This Row],[Dividend in USD]],T_Eq[[#This Row],[Dividend in Loc.Curr]])
/T_Eq[[#This Row],[Dividends per annum]],0),
"")</f>
        <v>0</v>
      </c>
      <c r="AH66" s="682">
        <f>IFERROR(IF(
OR(
AH$1+1-1=MONTH($U66),
AH$1+1-1=MONTH(T_Eq[[#This Row],[coupon date 1]]),
AH$1+1-1=MONTH(T_Eq[[#This Row],[coupon date 2]]),
AH$1+1-1=MONTH(T_Eq[[#This Row],[coupon date 3]])),
IF('CF USD'!$A$8="on",T_Eq[[#This Row],[Dividend in USD]],T_Eq[[#This Row],[Dividend in Loc.Curr]])
/T_Eq[[#This Row],[Dividends per annum]],0),
"")</f>
        <v>0</v>
      </c>
      <c r="AI66" s="682">
        <f>IFERROR(IF(
OR(
AI$1+1-1=MONTH($U66),
AI$1+1-1=MONTH(T_Eq[[#This Row],[coupon date 1]]),
AI$1+1-1=MONTH(T_Eq[[#This Row],[coupon date 2]]),
AI$1+1-1=MONTH(T_Eq[[#This Row],[coupon date 3]])),
IF('CF USD'!$A$8="on",T_Eq[[#This Row],[Dividend in USD]],T_Eq[[#This Row],[Dividend in Loc.Curr]])
/T_Eq[[#This Row],[Dividends per annum]],0),
"")</f>
        <v>0</v>
      </c>
      <c r="AJ66" s="682">
        <f>IFERROR(IF(
OR(
AJ$1+1-1=MONTH($U66),
AJ$1+1-1=MONTH(T_Eq[[#This Row],[coupon date 1]]),
AJ$1+1-1=MONTH(T_Eq[[#This Row],[coupon date 2]]),
AJ$1+1-1=MONTH(T_Eq[[#This Row],[coupon date 3]])),
IF('CF USD'!$A$8="on",T_Eq[[#This Row],[Dividend in USD]],T_Eq[[#This Row],[Dividend in Loc.Curr]])
/T_Eq[[#This Row],[Dividends per annum]],0),
"")</f>
        <v>6056.5369232000003</v>
      </c>
    </row>
    <row r="67" spans="1:36" x14ac:dyDescent="0.25">
      <c r="A67" s="829" t="s">
        <v>51</v>
      </c>
      <c r="B67" s="829" t="s">
        <v>1191</v>
      </c>
      <c r="C67" s="976" t="s">
        <v>2520</v>
      </c>
      <c r="D67" s="976" t="s">
        <v>2521</v>
      </c>
      <c r="E67" s="24" t="s">
        <v>24</v>
      </c>
      <c r="F67" s="672"/>
      <c r="G67" s="672"/>
      <c r="H67" s="70" t="s">
        <v>2475</v>
      </c>
      <c r="I67" s="684">
        <v>625</v>
      </c>
      <c r="J67" s="295">
        <v>319.39999999999998</v>
      </c>
      <c r="K67" s="666">
        <f>ABS(T_Eq[[#This Row],[Quantity]]*T_Eq[[#This Row],[Market price]])</f>
        <v>199625</v>
      </c>
      <c r="L67" s="666">
        <f ca="1">ABS(INDEX('Tech list'!A:C,MATCH(T_Eq[[#This Row],[Risk CCY]],'Tech list'!A:A,0),3)*T_Eq[[#This Row],[Market value, CCY]])</f>
        <v>256158.8</v>
      </c>
      <c r="M67" s="677">
        <v>317.85884800000002</v>
      </c>
      <c r="N67" s="666">
        <f>ABS(T_Eq[[#This Row],[Cost price]]*T_Eq[[#This Row],[Quantity]])</f>
        <v>198661.78000000003</v>
      </c>
      <c r="O67" s="213">
        <f>IF(T_Eq[[#This Row],[Quantity]]&lt;0,N67/K67-1,K67/N67-1)</f>
        <v>4.8485420799107004E-3</v>
      </c>
      <c r="P67" s="669">
        <v>4.42</v>
      </c>
      <c r="Q67" s="213">
        <f>T_Eq[[#This Row],[Dividend per share]]/T_Eq[[#This Row],[Market price]]</f>
        <v>1.3838447088290545E-2</v>
      </c>
      <c r="R67" s="666">
        <f>T_Eq[[#This Row],[Dividend per share]]*T_Eq[[#This Row],[Quantity]]</f>
        <v>2762.5</v>
      </c>
      <c r="S67" s="666">
        <f ca="1">INDEX('Tech list'!A:C,MATCH(T_Eq[[#This Row],[Risk CCY]],'Tech list'!A:A,0),3)*T_Eq[[#This Row],[Dividend in Loc.Curr]]</f>
        <v>3544.8399999999997</v>
      </c>
      <c r="T67" s="666">
        <v>1</v>
      </c>
      <c r="U67" s="675">
        <v>46179</v>
      </c>
      <c r="V67" s="671">
        <f>EDATE(T_Eq[[#This Row],[Next coupon date]],12/$T67)</f>
        <v>46544</v>
      </c>
      <c r="W67" s="671">
        <f>EDATE(T_Eq[[#This Row],[coupon date 1]],12/$T67)</f>
        <v>46910</v>
      </c>
      <c r="X67" s="671">
        <f>EDATE(T_Eq[[#This Row],[coupon date 2]],12/$T67)</f>
        <v>47275</v>
      </c>
      <c r="Y67" s="682">
        <f>IFERROR(IF(
OR(
Y$1+1-1=MONTH($U67),
Y$1+1-1=MONTH(T_Eq[[#This Row],[coupon date 1]]),
Y$1+1-1=MONTH(T_Eq[[#This Row],[coupon date 2]]),
Y$1+1-1=MONTH(T_Eq[[#This Row],[coupon date 3]])),
IF('CF USD'!$A$8="on",T_Eq[[#This Row],[Dividend in USD]],T_Eq[[#This Row],[Dividend in Loc.Curr]])
/T_Eq[[#This Row],[Dividends per annum]],0),
"")</f>
        <v>0</v>
      </c>
      <c r="Z67" s="682">
        <f>IFERROR(IF(
OR(
Z$1+1-1=MONTH($U67),
Z$1+1-1=MONTH(T_Eq[[#This Row],[coupon date 1]]),
Z$1+1-1=MONTH(T_Eq[[#This Row],[coupon date 2]]),
Z$1+1-1=MONTH(T_Eq[[#This Row],[coupon date 3]])),
IF('CF USD'!$A$8="on",T_Eq[[#This Row],[Dividend in USD]],T_Eq[[#This Row],[Dividend in Loc.Curr]])
/T_Eq[[#This Row],[Dividends per annum]],0),
"")</f>
        <v>0</v>
      </c>
      <c r="AA67" s="682">
        <f>IFERROR(IF(
OR(
AA$1+1-1=MONTH($U67),
AA$1+1-1=MONTH(T_Eq[[#This Row],[coupon date 1]]),
AA$1+1-1=MONTH(T_Eq[[#This Row],[coupon date 2]]),
AA$1+1-1=MONTH(T_Eq[[#This Row],[coupon date 3]])),
IF('CF USD'!$A$8="on",T_Eq[[#This Row],[Dividend in USD]],T_Eq[[#This Row],[Dividend in Loc.Curr]])
/T_Eq[[#This Row],[Dividends per annum]],0),
"")</f>
        <v>0</v>
      </c>
      <c r="AB67" s="682">
        <f>IFERROR(IF(
OR(
AB$1+1-1=MONTH($U67),
AB$1+1-1=MONTH(T_Eq[[#This Row],[coupon date 1]]),
AB$1+1-1=MONTH(T_Eq[[#This Row],[coupon date 2]]),
AB$1+1-1=MONTH(T_Eq[[#This Row],[coupon date 3]])),
IF('CF USD'!$A$8="on",T_Eq[[#This Row],[Dividend in USD]],T_Eq[[#This Row],[Dividend in Loc.Curr]])
/T_Eq[[#This Row],[Dividends per annum]],0),
"")</f>
        <v>0</v>
      </c>
      <c r="AC67" s="682">
        <f>IFERROR(IF(
OR(
AC$1+1-1=MONTH($U67),
AC$1+1-1=MONTH(T_Eq[[#This Row],[coupon date 1]]),
AC$1+1-1=MONTH(T_Eq[[#This Row],[coupon date 2]]),
AC$1+1-1=MONTH(T_Eq[[#This Row],[coupon date 3]])),
IF('CF USD'!$A$8="on",T_Eq[[#This Row],[Dividend in USD]],T_Eq[[#This Row],[Dividend in Loc.Curr]])
/T_Eq[[#This Row],[Dividends per annum]],0),
"")</f>
        <v>0</v>
      </c>
      <c r="AD67" s="682">
        <f>IFERROR(IF(
OR(
AD$1+1-1=MONTH($U67),
AD$1+1-1=MONTH(T_Eq[[#This Row],[coupon date 1]]),
AD$1+1-1=MONTH(T_Eq[[#This Row],[coupon date 2]]),
AD$1+1-1=MONTH(T_Eq[[#This Row],[coupon date 3]])),
IF('CF USD'!$A$8="on",T_Eq[[#This Row],[Dividend in USD]],T_Eq[[#This Row],[Dividend in Loc.Curr]])
/T_Eq[[#This Row],[Dividends per annum]],0),
"")</f>
        <v>2762.5</v>
      </c>
      <c r="AE67" s="682">
        <f>IFERROR(IF(
OR(
AE$1+1-1=MONTH($U67),
AE$1+1-1=MONTH(T_Eq[[#This Row],[coupon date 1]]),
AE$1+1-1=MONTH(T_Eq[[#This Row],[coupon date 2]]),
AE$1+1-1=MONTH(T_Eq[[#This Row],[coupon date 3]])),
IF('CF USD'!$A$8="on",T_Eq[[#This Row],[Dividend in USD]],T_Eq[[#This Row],[Dividend in Loc.Curr]])
/T_Eq[[#This Row],[Dividends per annum]],0),
"")</f>
        <v>0</v>
      </c>
      <c r="AF67" s="682">
        <f>IFERROR(IF(
OR(
AF$1+1-1=MONTH($U67),
AF$1+1-1=MONTH(T_Eq[[#This Row],[coupon date 1]]),
AF$1+1-1=MONTH(T_Eq[[#This Row],[coupon date 2]]),
AF$1+1-1=MONTH(T_Eq[[#This Row],[coupon date 3]])),
IF('CF USD'!$A$8="on",T_Eq[[#This Row],[Dividend in USD]],T_Eq[[#This Row],[Dividend in Loc.Curr]])
/T_Eq[[#This Row],[Dividends per annum]],0),
"")</f>
        <v>0</v>
      </c>
      <c r="AG67" s="682">
        <f>IFERROR(IF(
OR(
AG$1+1-1=MONTH($U67),
AG$1+1-1=MONTH(T_Eq[[#This Row],[coupon date 1]]),
AG$1+1-1=MONTH(T_Eq[[#This Row],[coupon date 2]]),
AG$1+1-1=MONTH(T_Eq[[#This Row],[coupon date 3]])),
IF('CF USD'!$A$8="on",T_Eq[[#This Row],[Dividend in USD]],T_Eq[[#This Row],[Dividend in Loc.Curr]])
/T_Eq[[#This Row],[Dividends per annum]],0),
"")</f>
        <v>0</v>
      </c>
      <c r="AH67" s="682">
        <f>IFERROR(IF(
OR(
AH$1+1-1=MONTH($U67),
AH$1+1-1=MONTH(T_Eq[[#This Row],[coupon date 1]]),
AH$1+1-1=MONTH(T_Eq[[#This Row],[coupon date 2]]),
AH$1+1-1=MONTH(T_Eq[[#This Row],[coupon date 3]])),
IF('CF USD'!$A$8="on",T_Eq[[#This Row],[Dividend in USD]],T_Eq[[#This Row],[Dividend in Loc.Curr]])
/T_Eq[[#This Row],[Dividends per annum]],0),
"")</f>
        <v>0</v>
      </c>
      <c r="AI67" s="682">
        <f>IFERROR(IF(
OR(
AI$1+1-1=MONTH($U67),
AI$1+1-1=MONTH(T_Eq[[#This Row],[coupon date 1]]),
AI$1+1-1=MONTH(T_Eq[[#This Row],[coupon date 2]]),
AI$1+1-1=MONTH(T_Eq[[#This Row],[coupon date 3]])),
IF('CF USD'!$A$8="on",T_Eq[[#This Row],[Dividend in USD]],T_Eq[[#This Row],[Dividend in Loc.Curr]])
/T_Eq[[#This Row],[Dividends per annum]],0),
"")</f>
        <v>0</v>
      </c>
      <c r="AJ67" s="682">
        <f>IFERROR(IF(
OR(
AJ$1+1-1=MONTH($U67),
AJ$1+1-1=MONTH(T_Eq[[#This Row],[coupon date 1]]),
AJ$1+1-1=MONTH(T_Eq[[#This Row],[coupon date 2]]),
AJ$1+1-1=MONTH(T_Eq[[#This Row],[coupon date 3]])),
IF('CF USD'!$A$8="on",T_Eq[[#This Row],[Dividend in USD]],T_Eq[[#This Row],[Dividend in Loc.Curr]])
/T_Eq[[#This Row],[Dividends per annum]],0),
"")</f>
        <v>0</v>
      </c>
    </row>
    <row r="68" spans="1:36" s="1022" customFormat="1" x14ac:dyDescent="0.25">
      <c r="A68" s="1011" t="s">
        <v>51</v>
      </c>
      <c r="B68" s="1011" t="s">
        <v>1191</v>
      </c>
      <c r="C68" s="1012" t="s">
        <v>2522</v>
      </c>
      <c r="D68" s="1012" t="s">
        <v>2523</v>
      </c>
      <c r="E68" s="1012" t="s">
        <v>24</v>
      </c>
      <c r="F68" s="1013"/>
      <c r="G68" s="1013"/>
      <c r="H68" s="70" t="s">
        <v>2475</v>
      </c>
      <c r="I68" s="1014">
        <v>2140</v>
      </c>
      <c r="J68" s="1015">
        <v>140.62</v>
      </c>
      <c r="K68" s="1016">
        <f>ABS(T_Eq[[#This Row],[Quantity]]*T_Eq[[#This Row],[Market price]])</f>
        <v>300926.8</v>
      </c>
      <c r="L68" s="1016">
        <f ca="1">ABS(INDEX('Tech list'!A:C,MATCH(T_Eq[[#This Row],[Risk CCY]],'Tech list'!A:A,0),3)*T_Eq[[#This Row],[Market value, CCY]])</f>
        <v>386149.26975999994</v>
      </c>
      <c r="M68" s="1017">
        <v>140.39432710280374</v>
      </c>
      <c r="N68" s="1016">
        <f>ABS(T_Eq[[#This Row],[Cost price]]*T_Eq[[#This Row],[Quantity]])</f>
        <v>300443.86</v>
      </c>
      <c r="O68" s="1018">
        <f>IF(T_Eq[[#This Row],[Quantity]]&lt;0,N68/K68-1,K68/N68-1)</f>
        <v>1.6074217659165502E-3</v>
      </c>
      <c r="P68" s="1019">
        <f>SUM(AA74:AA77)</f>
        <v>0</v>
      </c>
      <c r="Q68" s="1018">
        <f>T_Eq[[#This Row],[Dividend per share]]/T_Eq[[#This Row],[Market price]]</f>
        <v>0</v>
      </c>
      <c r="R68" s="1016">
        <f>T_Eq[[#This Row],[Dividend per share]]*T_Eq[[#This Row],[Quantity]]</f>
        <v>0</v>
      </c>
      <c r="S68" s="1016">
        <f ca="1">INDEX('Tech list'!A:C,MATCH(T_Eq[[#This Row],[Risk CCY]],'Tech list'!A:A,0),3)*T_Eq[[#This Row],[Dividend in Loc.Curr]]</f>
        <v>0</v>
      </c>
      <c r="T68" s="1016">
        <v>2</v>
      </c>
      <c r="U68" s="1020">
        <v>46108</v>
      </c>
      <c r="V68" s="1020">
        <f>EDATE(T_Eq[[#This Row],[Next coupon date]],12/$T68)</f>
        <v>46292</v>
      </c>
      <c r="W68" s="1020">
        <f>EDATE(T_Eq[[#This Row],[coupon date 1]],12/$T68)</f>
        <v>46473</v>
      </c>
      <c r="X68" s="1020">
        <f>EDATE(T_Eq[[#This Row],[coupon date 2]],12/$T68)</f>
        <v>46657</v>
      </c>
      <c r="Y68" s="1021">
        <f>IFERROR(IF(
OR(
Y$1+1-1=MONTH($U68),
Y$1+1-1=MONTH(T_Eq[[#This Row],[coupon date 1]]),
Y$1+1-1=MONTH(T_Eq[[#This Row],[coupon date 2]]),
Y$1+1-1=MONTH(T_Eq[[#This Row],[coupon date 3]])),
IF('CF USD'!$A$8="on",T_Eq[[#This Row],[Dividend in USD]],T_Eq[[#This Row],[Dividend in Loc.Curr]])
/T_Eq[[#This Row],[Dividends per annum]],0),
"")</f>
        <v>0</v>
      </c>
      <c r="Z68" s="1021">
        <f>IFERROR(IF(
OR(
Z$1+1-1=MONTH($U68),
Z$1+1-1=MONTH(T_Eq[[#This Row],[coupon date 1]]),
Z$1+1-1=MONTH(T_Eq[[#This Row],[coupon date 2]]),
Z$1+1-1=MONTH(T_Eq[[#This Row],[coupon date 3]])),
IF('CF USD'!$A$8="on",T_Eq[[#This Row],[Dividend in USD]],T_Eq[[#This Row],[Dividend in Loc.Curr]])
/T_Eq[[#This Row],[Dividends per annum]],0),
"")</f>
        <v>0</v>
      </c>
      <c r="AA68" s="1021">
        <f>IFERROR(IF(
OR(
AA$1+1-1=MONTH($U68),
AA$1+1-1=MONTH(T_Eq[[#This Row],[coupon date 1]]),
AA$1+1-1=MONTH(T_Eq[[#This Row],[coupon date 2]]),
AA$1+1-1=MONTH(T_Eq[[#This Row],[coupon date 3]])),
IF('CF USD'!$A$8="on",T_Eq[[#This Row],[Dividend in USD]],T_Eq[[#This Row],[Dividend in Loc.Curr]])
/T_Eq[[#This Row],[Dividends per annum]],0),
"")</f>
        <v>0</v>
      </c>
      <c r="AB68" s="1021">
        <f>IFERROR(IF(
OR(
AB$1+1-1=MONTH($U68),
AB$1+1-1=MONTH(T_Eq[[#This Row],[coupon date 1]]),
AB$1+1-1=MONTH(T_Eq[[#This Row],[coupon date 2]]),
AB$1+1-1=MONTH(T_Eq[[#This Row],[coupon date 3]])),
IF('CF USD'!$A$8="on",T_Eq[[#This Row],[Dividend in USD]],T_Eq[[#This Row],[Dividend in Loc.Curr]])
/T_Eq[[#This Row],[Dividends per annum]],0),
"")</f>
        <v>0</v>
      </c>
      <c r="AC68" s="1021">
        <f>IFERROR(IF(
OR(
AC$1+1-1=MONTH($U68),
AC$1+1-1=MONTH(T_Eq[[#This Row],[coupon date 1]]),
AC$1+1-1=MONTH(T_Eq[[#This Row],[coupon date 2]]),
AC$1+1-1=MONTH(T_Eq[[#This Row],[coupon date 3]])),
IF('CF USD'!$A$8="on",T_Eq[[#This Row],[Dividend in USD]],T_Eq[[#This Row],[Dividend in Loc.Curr]])
/T_Eq[[#This Row],[Dividends per annum]],0),
"")</f>
        <v>0</v>
      </c>
      <c r="AD68" s="1021">
        <f>IFERROR(IF(
OR(
AD$1+1-1=MONTH($U68),
AD$1+1-1=MONTH(T_Eq[[#This Row],[coupon date 1]]),
AD$1+1-1=MONTH(T_Eq[[#This Row],[coupon date 2]]),
AD$1+1-1=MONTH(T_Eq[[#This Row],[coupon date 3]])),
IF('CF USD'!$A$8="on",T_Eq[[#This Row],[Dividend in USD]],T_Eq[[#This Row],[Dividend in Loc.Curr]])
/T_Eq[[#This Row],[Dividends per annum]],0),
"")</f>
        <v>0</v>
      </c>
      <c r="AE68" s="1021">
        <f>IFERROR(IF(
OR(
AE$1+1-1=MONTH($U68),
AE$1+1-1=MONTH(T_Eq[[#This Row],[coupon date 1]]),
AE$1+1-1=MONTH(T_Eq[[#This Row],[coupon date 2]]),
AE$1+1-1=MONTH(T_Eq[[#This Row],[coupon date 3]])),
IF('CF USD'!$A$8="on",T_Eq[[#This Row],[Dividend in USD]],T_Eq[[#This Row],[Dividend in Loc.Curr]])
/T_Eq[[#This Row],[Dividends per annum]],0),
"")</f>
        <v>0</v>
      </c>
      <c r="AF68" s="1021">
        <f>IFERROR(IF(
OR(
AF$1+1-1=MONTH($U68),
AF$1+1-1=MONTH(T_Eq[[#This Row],[coupon date 1]]),
AF$1+1-1=MONTH(T_Eq[[#This Row],[coupon date 2]]),
AF$1+1-1=MONTH(T_Eq[[#This Row],[coupon date 3]])),
IF('CF USD'!$A$8="on",T_Eq[[#This Row],[Dividend in USD]],T_Eq[[#This Row],[Dividend in Loc.Curr]])
/T_Eq[[#This Row],[Dividends per annum]],0),
"")</f>
        <v>0</v>
      </c>
      <c r="AG68" s="1021">
        <f>IFERROR(IF(
OR(
AG$1+1-1=MONTH($U68),
AG$1+1-1=MONTH(T_Eq[[#This Row],[coupon date 1]]),
AG$1+1-1=MONTH(T_Eq[[#This Row],[coupon date 2]]),
AG$1+1-1=MONTH(T_Eq[[#This Row],[coupon date 3]])),
IF('CF USD'!$A$8="on",T_Eq[[#This Row],[Dividend in USD]],T_Eq[[#This Row],[Dividend in Loc.Curr]])
/T_Eq[[#This Row],[Dividends per annum]],0),
"")</f>
        <v>0</v>
      </c>
      <c r="AH68" s="1021">
        <f>IFERROR(IF(
OR(
AH$1+1-1=MONTH($U68),
AH$1+1-1=MONTH(T_Eq[[#This Row],[coupon date 1]]),
AH$1+1-1=MONTH(T_Eq[[#This Row],[coupon date 2]]),
AH$1+1-1=MONTH(T_Eq[[#This Row],[coupon date 3]])),
IF('CF USD'!$A$8="on",T_Eq[[#This Row],[Dividend in USD]],T_Eq[[#This Row],[Dividend in Loc.Curr]])
/T_Eq[[#This Row],[Dividends per annum]],0),
"")</f>
        <v>0</v>
      </c>
      <c r="AI68" s="1021">
        <f>IFERROR(IF(
OR(
AI$1+1-1=MONTH($U68),
AI$1+1-1=MONTH(T_Eq[[#This Row],[coupon date 1]]),
AI$1+1-1=MONTH(T_Eq[[#This Row],[coupon date 2]]),
AI$1+1-1=MONTH(T_Eq[[#This Row],[coupon date 3]])),
IF('CF USD'!$A$8="on",T_Eq[[#This Row],[Dividend in USD]],T_Eq[[#This Row],[Dividend in Loc.Curr]])
/T_Eq[[#This Row],[Dividends per annum]],0),
"")</f>
        <v>0</v>
      </c>
      <c r="AJ68" s="1021">
        <f>IFERROR(IF(
OR(
AJ$1+1-1=MONTH($U68),
AJ$1+1-1=MONTH(T_Eq[[#This Row],[coupon date 1]]),
AJ$1+1-1=MONTH(T_Eq[[#This Row],[coupon date 2]]),
AJ$1+1-1=MONTH(T_Eq[[#This Row],[coupon date 3]])),
IF('CF USD'!$A$8="on",T_Eq[[#This Row],[Dividend in USD]],T_Eq[[#This Row],[Dividend in Loc.Curr]])
/T_Eq[[#This Row],[Dividends per annum]],0),
"")</f>
        <v>0</v>
      </c>
    </row>
    <row r="69" spans="1:36" s="1010" customFormat="1" x14ac:dyDescent="0.25">
      <c r="A69" s="1010" t="s">
        <v>51</v>
      </c>
      <c r="B69" s="1010" t="s">
        <v>195</v>
      </c>
      <c r="C69" s="1000" t="s">
        <v>2524</v>
      </c>
      <c r="D69" s="1000" t="s">
        <v>2525</v>
      </c>
      <c r="E69" s="1000" t="s">
        <v>18</v>
      </c>
      <c r="F69" s="1001"/>
      <c r="G69" s="1001"/>
      <c r="H69" s="70" t="s">
        <v>2475</v>
      </c>
      <c r="I69" s="1002">
        <v>8950</v>
      </c>
      <c r="J69" s="1003">
        <v>11.32</v>
      </c>
      <c r="K69" s="1004">
        <f>ABS(T_Eq[[#This Row],[Quantity]]*T_Eq[[#This Row],[Market price]])</f>
        <v>101314</v>
      </c>
      <c r="L69" s="1004">
        <f>ABS(INDEX('Tech list'!A:C,MATCH(T_Eq[[#This Row],[Risk CCY]],'Tech list'!A:A,0),3)*T_Eq[[#This Row],[Market value, CCY]])</f>
        <v>101314</v>
      </c>
      <c r="M69" s="1005">
        <v>11.326965363128492</v>
      </c>
      <c r="N69" s="1004">
        <f>ABS(T_Eq[[#This Row],[Cost price]]*T_Eq[[#This Row],[Quantity]])</f>
        <v>101376.34000000001</v>
      </c>
      <c r="O69" s="1006">
        <f>IF(T_Eq[[#This Row],[Quantity]]&lt;0,N69/K69-1,K69/N69-1)</f>
        <v>-6.1493638456477928E-4</v>
      </c>
      <c r="P69" s="1007">
        <v>1.44</v>
      </c>
      <c r="Q69" s="1006">
        <f>T_Eq[[#This Row],[Dividend per share]]/T_Eq[[#This Row],[Market price]]</f>
        <v>0.12720848056537101</v>
      </c>
      <c r="R69" s="1004">
        <f>T_Eq[[#This Row],[Dividend per share]]*T_Eq[[#This Row],[Quantity]]</f>
        <v>12888</v>
      </c>
      <c r="S69" s="1004">
        <f>INDEX('Tech list'!A:C,MATCH(T_Eq[[#This Row],[Risk CCY]],'Tech list'!A:A,0),3)*T_Eq[[#This Row],[Dividend in Loc.Curr]]</f>
        <v>12888</v>
      </c>
      <c r="T69" s="1004">
        <v>12</v>
      </c>
      <c r="U69" s="1008">
        <v>46063</v>
      </c>
      <c r="V69" s="1008">
        <f>EDATE(T_Eq[[#This Row],[Next coupon date]],12/$T69)</f>
        <v>46091</v>
      </c>
      <c r="W69" s="1008">
        <f>EDATE(T_Eq[[#This Row],[coupon date 1]],12/$T69)</f>
        <v>46122</v>
      </c>
      <c r="X69" s="1008">
        <f>EDATE(T_Eq[[#This Row],[coupon date 2]],12/$T69)</f>
        <v>46152</v>
      </c>
      <c r="Y69" s="1009">
        <f>IFERROR(IF(
OR(
Y$1+1-1=MONTH($U69),
Y$1+1-1=MONTH(T_Eq[[#This Row],[coupon date 1]]),
Y$1+1-1=MONTH(T_Eq[[#This Row],[coupon date 2]]),
Y$1+1-1=MONTH(T_Eq[[#This Row],[coupon date 3]])),
IF('CF USD'!$A$8="on",T_Eq[[#This Row],[Dividend in USD]],T_Eq[[#This Row],[Dividend in Loc.Curr]])
/T_Eq[[#This Row],[Dividends per annum]],0),
"")</f>
        <v>0</v>
      </c>
      <c r="Z69" s="1009">
        <f>IFERROR(IF(
OR(
Z$1+1-1=MONTH($U69),
Z$1+1-1=MONTH(T_Eq[[#This Row],[coupon date 1]]),
Z$1+1-1=MONTH(T_Eq[[#This Row],[coupon date 2]]),
Z$1+1-1=MONTH(T_Eq[[#This Row],[coupon date 3]])),
IF('CF USD'!$A$8="on",T_Eq[[#This Row],[Dividend in USD]],T_Eq[[#This Row],[Dividend in Loc.Curr]])
/T_Eq[[#This Row],[Dividends per annum]],0),
"")</f>
        <v>1074</v>
      </c>
      <c r="AA69" s="1009">
        <f>IFERROR(IF(
OR(
AA$1+1-1=MONTH($U69),
AA$1+1-1=MONTH(T_Eq[[#This Row],[coupon date 1]]),
AA$1+1-1=MONTH(T_Eq[[#This Row],[coupon date 2]]),
AA$1+1-1=MONTH(T_Eq[[#This Row],[coupon date 3]])),
IF('CF USD'!$A$8="on",T_Eq[[#This Row],[Dividend in USD]],T_Eq[[#This Row],[Dividend in Loc.Curr]])
/T_Eq[[#This Row],[Dividends per annum]],0),
"")</f>
        <v>1074</v>
      </c>
      <c r="AB69" s="1009">
        <f>IFERROR(IF(
OR(
AB$1+1-1=MONTH($U69),
AB$1+1-1=MONTH(T_Eq[[#This Row],[coupon date 1]]),
AB$1+1-1=MONTH(T_Eq[[#This Row],[coupon date 2]]),
AB$1+1-1=MONTH(T_Eq[[#This Row],[coupon date 3]])),
IF('CF USD'!$A$8="on",T_Eq[[#This Row],[Dividend in USD]],T_Eq[[#This Row],[Dividend in Loc.Curr]])
/T_Eq[[#This Row],[Dividends per annum]],0),
"")</f>
        <v>1074</v>
      </c>
      <c r="AC69" s="1009">
        <f>IFERROR(IF(
OR(
AC$1+1-1=MONTH($U69),
AC$1+1-1=MONTH(T_Eq[[#This Row],[coupon date 1]]),
AC$1+1-1=MONTH(T_Eq[[#This Row],[coupon date 2]]),
AC$1+1-1=MONTH(T_Eq[[#This Row],[coupon date 3]])),
IF('CF USD'!$A$8="on",T_Eq[[#This Row],[Dividend in USD]],T_Eq[[#This Row],[Dividend in Loc.Curr]])
/T_Eq[[#This Row],[Dividends per annum]],0),
"")</f>
        <v>1074</v>
      </c>
      <c r="AD69" s="1009">
        <f>IFERROR(IF(
OR(
AD$1+1-1=MONTH($U69),
AD$1+1-1=MONTH(T_Eq[[#This Row],[coupon date 1]]),
AD$1+1-1=MONTH(T_Eq[[#This Row],[coupon date 2]]),
AD$1+1-1=MONTH(T_Eq[[#This Row],[coupon date 3]])),
IF('CF USD'!$A$8="on",T_Eq[[#This Row],[Dividend in USD]],T_Eq[[#This Row],[Dividend in Loc.Curr]])
/T_Eq[[#This Row],[Dividends per annum]],0),
"")</f>
        <v>0</v>
      </c>
      <c r="AE69" s="1009">
        <f>IFERROR(IF(
OR(
AE$1+1-1=MONTH($U69),
AE$1+1-1=MONTH(T_Eq[[#This Row],[coupon date 1]]),
AE$1+1-1=MONTH(T_Eq[[#This Row],[coupon date 2]]),
AE$1+1-1=MONTH(T_Eq[[#This Row],[coupon date 3]])),
IF('CF USD'!$A$8="on",T_Eq[[#This Row],[Dividend in USD]],T_Eq[[#This Row],[Dividend in Loc.Curr]])
/T_Eq[[#This Row],[Dividends per annum]],0),
"")</f>
        <v>0</v>
      </c>
      <c r="AF69" s="1009">
        <f>IFERROR(IF(
OR(
AF$1+1-1=MONTH($U69),
AF$1+1-1=MONTH(T_Eq[[#This Row],[coupon date 1]]),
AF$1+1-1=MONTH(T_Eq[[#This Row],[coupon date 2]]),
AF$1+1-1=MONTH(T_Eq[[#This Row],[coupon date 3]])),
IF('CF USD'!$A$8="on",T_Eq[[#This Row],[Dividend in USD]],T_Eq[[#This Row],[Dividend in Loc.Curr]])
/T_Eq[[#This Row],[Dividends per annum]],0),
"")</f>
        <v>0</v>
      </c>
      <c r="AG69" s="1009">
        <f>IFERROR(IF(
OR(
AG$1+1-1=MONTH($U69),
AG$1+1-1=MONTH(T_Eq[[#This Row],[coupon date 1]]),
AG$1+1-1=MONTH(T_Eq[[#This Row],[coupon date 2]]),
AG$1+1-1=MONTH(T_Eq[[#This Row],[coupon date 3]])),
IF('CF USD'!$A$8="on",T_Eq[[#This Row],[Dividend in USD]],T_Eq[[#This Row],[Dividend in Loc.Curr]])
/T_Eq[[#This Row],[Dividends per annum]],0),
"")</f>
        <v>0</v>
      </c>
      <c r="AH69" s="1009">
        <f>IFERROR(IF(
OR(
AH$1+1-1=MONTH($U69),
AH$1+1-1=MONTH(T_Eq[[#This Row],[coupon date 1]]),
AH$1+1-1=MONTH(T_Eq[[#This Row],[coupon date 2]]),
AH$1+1-1=MONTH(T_Eq[[#This Row],[coupon date 3]])),
IF('CF USD'!$A$8="on",T_Eq[[#This Row],[Dividend in USD]],T_Eq[[#This Row],[Dividend in Loc.Curr]])
/T_Eq[[#This Row],[Dividends per annum]],0),
"")</f>
        <v>0</v>
      </c>
      <c r="AI69" s="1009">
        <f>IFERROR(IF(
OR(
AI$1+1-1=MONTH($U69),
AI$1+1-1=MONTH(T_Eq[[#This Row],[coupon date 1]]),
AI$1+1-1=MONTH(T_Eq[[#This Row],[coupon date 2]]),
AI$1+1-1=MONTH(T_Eq[[#This Row],[coupon date 3]])),
IF('CF USD'!$A$8="on",T_Eq[[#This Row],[Dividend in USD]],T_Eq[[#This Row],[Dividend in Loc.Curr]])
/T_Eq[[#This Row],[Dividends per annum]],0),
"")</f>
        <v>0</v>
      </c>
      <c r="AJ69" s="1009">
        <f>IFERROR(IF(
OR(
AJ$1+1-1=MONTH($U69),
AJ$1+1-1=MONTH(T_Eq[[#This Row],[coupon date 1]]),
AJ$1+1-1=MONTH(T_Eq[[#This Row],[coupon date 2]]),
AJ$1+1-1=MONTH(T_Eq[[#This Row],[coupon date 3]])),
IF('CF USD'!$A$8="on",T_Eq[[#This Row],[Dividend in USD]],T_Eq[[#This Row],[Dividend in Loc.Curr]])
/T_Eq[[#This Row],[Dividends per annum]],0),
"")</f>
        <v>0</v>
      </c>
    </row>
    <row r="70" spans="1:36" x14ac:dyDescent="0.25">
      <c r="A70" s="70" t="s">
        <v>51</v>
      </c>
      <c r="B70" s="70" t="s">
        <v>195</v>
      </c>
      <c r="C70" s="998" t="s">
        <v>2526</v>
      </c>
      <c r="D70" s="998" t="s">
        <v>2527</v>
      </c>
      <c r="E70" s="999" t="s">
        <v>18</v>
      </c>
      <c r="F70" s="672"/>
      <c r="G70" s="672"/>
      <c r="H70" s="70" t="s">
        <v>2475</v>
      </c>
      <c r="I70" s="684">
        <v>4400</v>
      </c>
      <c r="J70" s="295">
        <v>22.98</v>
      </c>
      <c r="K70" s="666">
        <f>ABS(T_Eq[[#This Row],[Quantity]]*T_Eq[[#This Row],[Market price]])</f>
        <v>101112</v>
      </c>
      <c r="L70" s="666">
        <f>ABS(INDEX('Tech list'!A:C,MATCH(T_Eq[[#This Row],[Risk CCY]],'Tech list'!A:A,0),3)*T_Eq[[#This Row],[Market value, CCY]])</f>
        <v>101112</v>
      </c>
      <c r="M70" s="677">
        <v>23.019477272727272</v>
      </c>
      <c r="N70" s="666">
        <f>ABS(T_Eq[[#This Row],[Cost price]]*T_Eq[[#This Row],[Quantity]])</f>
        <v>101285.7</v>
      </c>
      <c r="O70" s="213">
        <f>IF(T_Eq[[#This Row],[Quantity]]&lt;0,N70/K70-1,K70/N70-1)</f>
        <v>-1.7149508765798016E-3</v>
      </c>
      <c r="P70" s="669">
        <v>2.8</v>
      </c>
      <c r="Q70" s="213">
        <f>T_Eq[[#This Row],[Dividend per share]]/T_Eq[[#This Row],[Market price]]</f>
        <v>0.12184508268059181</v>
      </c>
      <c r="R70" s="666">
        <f>T_Eq[[#This Row],[Dividend per share]]*T_Eq[[#This Row],[Quantity]]</f>
        <v>12320</v>
      </c>
      <c r="S70" s="666">
        <f>INDEX('Tech list'!A:C,MATCH(T_Eq[[#This Row],[Risk CCY]],'Tech list'!A:A,0),3)*T_Eq[[#This Row],[Dividend in Loc.Curr]]</f>
        <v>12320</v>
      </c>
      <c r="T70" s="666">
        <v>4</v>
      </c>
      <c r="U70" s="675">
        <v>46052</v>
      </c>
      <c r="V70" s="1020">
        <f>EDATE(T_Eq[[#This Row],[Next coupon date]],12/$T70)</f>
        <v>46142</v>
      </c>
      <c r="W70" s="1020">
        <f>EDATE(T_Eq[[#This Row],[coupon date 1]],12/$T70)</f>
        <v>46233</v>
      </c>
      <c r="X70" s="1020">
        <f>EDATE(T_Eq[[#This Row],[coupon date 2]],12/$T70)</f>
        <v>46325</v>
      </c>
      <c r="Y70" s="1021">
        <f>IFERROR(IF(
OR(
Y$1+1-1=MONTH($U70),
Y$1+1-1=MONTH(T_Eq[[#This Row],[coupon date 1]]),
Y$1+1-1=MONTH(T_Eq[[#This Row],[coupon date 2]]),
Y$1+1-1=MONTH(T_Eq[[#This Row],[coupon date 3]])),
IF('CF USD'!$A$8="on",T_Eq[[#This Row],[Dividend in USD]],T_Eq[[#This Row],[Dividend in Loc.Curr]])
/T_Eq[[#This Row],[Dividends per annum]],0),
"")</f>
        <v>3080</v>
      </c>
      <c r="Z70" s="1021">
        <f>IFERROR(IF(
OR(
Z$1+1-1=MONTH($U70),
Z$1+1-1=MONTH(T_Eq[[#This Row],[coupon date 1]]),
Z$1+1-1=MONTH(T_Eq[[#This Row],[coupon date 2]]),
Z$1+1-1=MONTH(T_Eq[[#This Row],[coupon date 3]])),
IF('CF USD'!$A$8="on",T_Eq[[#This Row],[Dividend in USD]],T_Eq[[#This Row],[Dividend in Loc.Curr]])
/T_Eq[[#This Row],[Dividends per annum]],0),
"")</f>
        <v>0</v>
      </c>
      <c r="AA70" s="1021">
        <f>IFERROR(IF(
OR(
AA$1+1-1=MONTH($U70),
AA$1+1-1=MONTH(T_Eq[[#This Row],[coupon date 1]]),
AA$1+1-1=MONTH(T_Eq[[#This Row],[coupon date 2]]),
AA$1+1-1=MONTH(T_Eq[[#This Row],[coupon date 3]])),
IF('CF USD'!$A$8="on",T_Eq[[#This Row],[Dividend in USD]],T_Eq[[#This Row],[Dividend in Loc.Curr]])
/T_Eq[[#This Row],[Dividends per annum]],0),
"")</f>
        <v>0</v>
      </c>
      <c r="AB70" s="1021">
        <f>IFERROR(IF(
OR(
AB$1+1-1=MONTH($U70),
AB$1+1-1=MONTH(T_Eq[[#This Row],[coupon date 1]]),
AB$1+1-1=MONTH(T_Eq[[#This Row],[coupon date 2]]),
AB$1+1-1=MONTH(T_Eq[[#This Row],[coupon date 3]])),
IF('CF USD'!$A$8="on",T_Eq[[#This Row],[Dividend in USD]],T_Eq[[#This Row],[Dividend in Loc.Curr]])
/T_Eq[[#This Row],[Dividends per annum]],0),
"")</f>
        <v>3080</v>
      </c>
      <c r="AC70" s="1021">
        <f>IFERROR(IF(
OR(
AC$1+1-1=MONTH($U70),
AC$1+1-1=MONTH(T_Eq[[#This Row],[coupon date 1]]),
AC$1+1-1=MONTH(T_Eq[[#This Row],[coupon date 2]]),
AC$1+1-1=MONTH(T_Eq[[#This Row],[coupon date 3]])),
IF('CF USD'!$A$8="on",T_Eq[[#This Row],[Dividend in USD]],T_Eq[[#This Row],[Dividend in Loc.Curr]])
/T_Eq[[#This Row],[Dividends per annum]],0),
"")</f>
        <v>0</v>
      </c>
      <c r="AD70" s="1021">
        <f>IFERROR(IF(
OR(
AD$1+1-1=MONTH($U70),
AD$1+1-1=MONTH(T_Eq[[#This Row],[coupon date 1]]),
AD$1+1-1=MONTH(T_Eq[[#This Row],[coupon date 2]]),
AD$1+1-1=MONTH(T_Eq[[#This Row],[coupon date 3]])),
IF('CF USD'!$A$8="on",T_Eq[[#This Row],[Dividend in USD]],T_Eq[[#This Row],[Dividend in Loc.Curr]])
/T_Eq[[#This Row],[Dividends per annum]],0),
"")</f>
        <v>0</v>
      </c>
      <c r="AE70" s="1021">
        <f>IFERROR(IF(
OR(
AE$1+1-1=MONTH($U70),
AE$1+1-1=MONTH(T_Eq[[#This Row],[coupon date 1]]),
AE$1+1-1=MONTH(T_Eq[[#This Row],[coupon date 2]]),
AE$1+1-1=MONTH(T_Eq[[#This Row],[coupon date 3]])),
IF('CF USD'!$A$8="on",T_Eq[[#This Row],[Dividend in USD]],T_Eq[[#This Row],[Dividend in Loc.Curr]])
/T_Eq[[#This Row],[Dividends per annum]],0),
"")</f>
        <v>3080</v>
      </c>
      <c r="AF70" s="1021">
        <f>IFERROR(IF(
OR(
AF$1+1-1=MONTH($U70),
AF$1+1-1=MONTH(T_Eq[[#This Row],[coupon date 1]]),
AF$1+1-1=MONTH(T_Eq[[#This Row],[coupon date 2]]),
AF$1+1-1=MONTH(T_Eq[[#This Row],[coupon date 3]])),
IF('CF USD'!$A$8="on",T_Eq[[#This Row],[Dividend in USD]],T_Eq[[#This Row],[Dividend in Loc.Curr]])
/T_Eq[[#This Row],[Dividends per annum]],0),
"")</f>
        <v>0</v>
      </c>
      <c r="AG70" s="1021">
        <f>IFERROR(IF(
OR(
AG$1+1-1=MONTH($U70),
AG$1+1-1=MONTH(T_Eq[[#This Row],[coupon date 1]]),
AG$1+1-1=MONTH(T_Eq[[#This Row],[coupon date 2]]),
AG$1+1-1=MONTH(T_Eq[[#This Row],[coupon date 3]])),
IF('CF USD'!$A$8="on",T_Eq[[#This Row],[Dividend in USD]],T_Eq[[#This Row],[Dividend in Loc.Curr]])
/T_Eq[[#This Row],[Dividends per annum]],0),
"")</f>
        <v>0</v>
      </c>
      <c r="AH70" s="1021">
        <f>IFERROR(IF(
OR(
AH$1+1-1=MONTH($U70),
AH$1+1-1=MONTH(T_Eq[[#This Row],[coupon date 1]]),
AH$1+1-1=MONTH(T_Eq[[#This Row],[coupon date 2]]),
AH$1+1-1=MONTH(T_Eq[[#This Row],[coupon date 3]])),
IF('CF USD'!$A$8="on",T_Eq[[#This Row],[Dividend in USD]],T_Eq[[#This Row],[Dividend in Loc.Curr]])
/T_Eq[[#This Row],[Dividends per annum]],0),
"")</f>
        <v>3080</v>
      </c>
      <c r="AI70" s="1021">
        <f>IFERROR(IF(
OR(
AI$1+1-1=MONTH($U70),
AI$1+1-1=MONTH(T_Eq[[#This Row],[coupon date 1]]),
AI$1+1-1=MONTH(T_Eq[[#This Row],[coupon date 2]]),
AI$1+1-1=MONTH(T_Eq[[#This Row],[coupon date 3]])),
IF('CF USD'!$A$8="on",T_Eq[[#This Row],[Dividend in USD]],T_Eq[[#This Row],[Dividend in Loc.Curr]])
/T_Eq[[#This Row],[Dividends per annum]],0),
"")</f>
        <v>0</v>
      </c>
      <c r="AJ70" s="1021">
        <f>IFERROR(IF(
OR(
AJ$1+1-1=MONTH($U70),
AJ$1+1-1=MONTH(T_Eq[[#This Row],[coupon date 1]]),
AJ$1+1-1=MONTH(T_Eq[[#This Row],[coupon date 2]]),
AJ$1+1-1=MONTH(T_Eq[[#This Row],[coupon date 3]])),
IF('CF USD'!$A$8="on",T_Eq[[#This Row],[Dividend in USD]],T_Eq[[#This Row],[Dividend in Loc.Curr]])
/T_Eq[[#This Row],[Dividends per annum]],0),
"")</f>
        <v>0</v>
      </c>
    </row>
    <row r="71" spans="1:36" x14ac:dyDescent="0.25">
      <c r="A71" s="829" t="s">
        <v>51</v>
      </c>
      <c r="B71" s="829" t="s">
        <v>1191</v>
      </c>
      <c r="C71" s="998" t="s">
        <v>2530</v>
      </c>
      <c r="D71" s="998" t="s">
        <v>2531</v>
      </c>
      <c r="E71" s="999" t="s">
        <v>18</v>
      </c>
      <c r="F71" s="672"/>
      <c r="G71" s="672"/>
      <c r="H71" s="70" t="s">
        <v>2475</v>
      </c>
      <c r="I71" s="684">
        <v>260</v>
      </c>
      <c r="J71" s="295">
        <v>391.69</v>
      </c>
      <c r="K71" s="666">
        <f>ABS(T_Eq[[#This Row],[Quantity]]*T_Eq[[#This Row],[Market price]])</f>
        <v>101839.4</v>
      </c>
      <c r="L71" s="666">
        <f>ABS(INDEX('Tech list'!A:C,MATCH(T_Eq[[#This Row],[Risk CCY]],'Tech list'!A:A,0),3)*T_Eq[[#This Row],[Market value, CCY]])</f>
        <v>101839.4</v>
      </c>
      <c r="M71" s="677">
        <v>380.84042307692306</v>
      </c>
      <c r="N71" s="666">
        <f>ABS(T_Eq[[#This Row],[Cost price]]*T_Eq[[#This Row],[Quantity]])</f>
        <v>99018.51</v>
      </c>
      <c r="O71" s="213">
        <f>IF(T_Eq[[#This Row],[Quantity]]&lt;0,N71/K71-1,K71/N71-1)</f>
        <v>2.8488511895402135E-2</v>
      </c>
      <c r="P71" s="669">
        <v>4.8689999999999998</v>
      </c>
      <c r="Q71" s="213">
        <f>T_Eq[[#This Row],[Dividend per share]]/T_Eq[[#This Row],[Market price]]</f>
        <v>1.2430748806454082E-2</v>
      </c>
      <c r="R71" s="666">
        <f>T_Eq[[#This Row],[Dividend per share]]*T_Eq[[#This Row],[Quantity]]</f>
        <v>1265.94</v>
      </c>
      <c r="S71" s="666">
        <f>INDEX('Tech list'!A:C,MATCH(T_Eq[[#This Row],[Risk CCY]],'Tech list'!A:A,0),3)*T_Eq[[#This Row],[Dividend in Loc.Curr]]</f>
        <v>1265.94</v>
      </c>
      <c r="T71" s="666">
        <v>1</v>
      </c>
      <c r="U71" s="675">
        <v>46382</v>
      </c>
      <c r="V71" s="1020">
        <f>EDATE(T_Eq[[#This Row],[Next coupon date]],12/$T71)</f>
        <v>46747</v>
      </c>
      <c r="W71" s="1020">
        <f>EDATE(T_Eq[[#This Row],[coupon date 1]],12/$T71)</f>
        <v>47113</v>
      </c>
      <c r="X71" s="1020">
        <f>EDATE(T_Eq[[#This Row],[coupon date 2]],12/$T71)</f>
        <v>47478</v>
      </c>
      <c r="Y71" s="1021">
        <f>IFERROR(IF(
OR(
Y$1+1-1=MONTH($U71),
Y$1+1-1=MONTH(T_Eq[[#This Row],[coupon date 1]]),
Y$1+1-1=MONTH(T_Eq[[#This Row],[coupon date 2]]),
Y$1+1-1=MONTH(T_Eq[[#This Row],[coupon date 3]])),
IF('CF USD'!$A$8="on",T_Eq[[#This Row],[Dividend in USD]],T_Eq[[#This Row],[Dividend in Loc.Curr]])
/T_Eq[[#This Row],[Dividends per annum]],0),
"")</f>
        <v>0</v>
      </c>
      <c r="Z71" s="1021">
        <f>IFERROR(IF(
OR(
Z$1+1-1=MONTH($U71),
Z$1+1-1=MONTH(T_Eq[[#This Row],[coupon date 1]]),
Z$1+1-1=MONTH(T_Eq[[#This Row],[coupon date 2]]),
Z$1+1-1=MONTH(T_Eq[[#This Row],[coupon date 3]])),
IF('CF USD'!$A$8="on",T_Eq[[#This Row],[Dividend in USD]],T_Eq[[#This Row],[Dividend in Loc.Curr]])
/T_Eq[[#This Row],[Dividends per annum]],0),
"")</f>
        <v>0</v>
      </c>
      <c r="AA71" s="1021">
        <f>IFERROR(IF(
OR(
AA$1+1-1=MONTH($U71),
AA$1+1-1=MONTH(T_Eq[[#This Row],[coupon date 1]]),
AA$1+1-1=MONTH(T_Eq[[#This Row],[coupon date 2]]),
AA$1+1-1=MONTH(T_Eq[[#This Row],[coupon date 3]])),
IF('CF USD'!$A$8="on",T_Eq[[#This Row],[Dividend in USD]],T_Eq[[#This Row],[Dividend in Loc.Curr]])
/T_Eq[[#This Row],[Dividends per annum]],0),
"")</f>
        <v>0</v>
      </c>
      <c r="AB71" s="1021">
        <f>IFERROR(IF(
OR(
AB$1+1-1=MONTH($U71),
AB$1+1-1=MONTH(T_Eq[[#This Row],[coupon date 1]]),
AB$1+1-1=MONTH(T_Eq[[#This Row],[coupon date 2]]),
AB$1+1-1=MONTH(T_Eq[[#This Row],[coupon date 3]])),
IF('CF USD'!$A$8="on",T_Eq[[#This Row],[Dividend in USD]],T_Eq[[#This Row],[Dividend in Loc.Curr]])
/T_Eq[[#This Row],[Dividends per annum]],0),
"")</f>
        <v>0</v>
      </c>
      <c r="AC71" s="1021">
        <f>IFERROR(IF(
OR(
AC$1+1-1=MONTH($U71),
AC$1+1-1=MONTH(T_Eq[[#This Row],[coupon date 1]]),
AC$1+1-1=MONTH(T_Eq[[#This Row],[coupon date 2]]),
AC$1+1-1=MONTH(T_Eq[[#This Row],[coupon date 3]])),
IF('CF USD'!$A$8="on",T_Eq[[#This Row],[Dividend in USD]],T_Eq[[#This Row],[Dividend in Loc.Curr]])
/T_Eq[[#This Row],[Dividends per annum]],0),
"")</f>
        <v>0</v>
      </c>
      <c r="AD71" s="1021">
        <f>IFERROR(IF(
OR(
AD$1+1-1=MONTH($U71),
AD$1+1-1=MONTH(T_Eq[[#This Row],[coupon date 1]]),
AD$1+1-1=MONTH(T_Eq[[#This Row],[coupon date 2]]),
AD$1+1-1=MONTH(T_Eq[[#This Row],[coupon date 3]])),
IF('CF USD'!$A$8="on",T_Eq[[#This Row],[Dividend in USD]],T_Eq[[#This Row],[Dividend in Loc.Curr]])
/T_Eq[[#This Row],[Dividends per annum]],0),
"")</f>
        <v>0</v>
      </c>
      <c r="AE71" s="1021">
        <f>IFERROR(IF(
OR(
AE$1+1-1=MONTH($U71),
AE$1+1-1=MONTH(T_Eq[[#This Row],[coupon date 1]]),
AE$1+1-1=MONTH(T_Eq[[#This Row],[coupon date 2]]),
AE$1+1-1=MONTH(T_Eq[[#This Row],[coupon date 3]])),
IF('CF USD'!$A$8="on",T_Eq[[#This Row],[Dividend in USD]],T_Eq[[#This Row],[Dividend in Loc.Curr]])
/T_Eq[[#This Row],[Dividends per annum]],0),
"")</f>
        <v>0</v>
      </c>
      <c r="AF71" s="1021">
        <f>IFERROR(IF(
OR(
AF$1+1-1=MONTH($U71),
AF$1+1-1=MONTH(T_Eq[[#This Row],[coupon date 1]]),
AF$1+1-1=MONTH(T_Eq[[#This Row],[coupon date 2]]),
AF$1+1-1=MONTH(T_Eq[[#This Row],[coupon date 3]])),
IF('CF USD'!$A$8="on",T_Eq[[#This Row],[Dividend in USD]],T_Eq[[#This Row],[Dividend in Loc.Curr]])
/T_Eq[[#This Row],[Dividends per annum]],0),
"")</f>
        <v>0</v>
      </c>
      <c r="AG71" s="1021">
        <f>IFERROR(IF(
OR(
AG$1+1-1=MONTH($U71),
AG$1+1-1=MONTH(T_Eq[[#This Row],[coupon date 1]]),
AG$1+1-1=MONTH(T_Eq[[#This Row],[coupon date 2]]),
AG$1+1-1=MONTH(T_Eq[[#This Row],[coupon date 3]])),
IF('CF USD'!$A$8="on",T_Eq[[#This Row],[Dividend in USD]],T_Eq[[#This Row],[Dividend in Loc.Curr]])
/T_Eq[[#This Row],[Dividends per annum]],0),
"")</f>
        <v>0</v>
      </c>
      <c r="AH71" s="1021">
        <f>IFERROR(IF(
OR(
AH$1+1-1=MONTH($U71),
AH$1+1-1=MONTH(T_Eq[[#This Row],[coupon date 1]]),
AH$1+1-1=MONTH(T_Eq[[#This Row],[coupon date 2]]),
AH$1+1-1=MONTH(T_Eq[[#This Row],[coupon date 3]])),
IF('CF USD'!$A$8="on",T_Eq[[#This Row],[Dividend in USD]],T_Eq[[#This Row],[Dividend in Loc.Curr]])
/T_Eq[[#This Row],[Dividends per annum]],0),
"")</f>
        <v>0</v>
      </c>
      <c r="AI71" s="1021">
        <f>IFERROR(IF(
OR(
AI$1+1-1=MONTH($U71),
AI$1+1-1=MONTH(T_Eq[[#This Row],[coupon date 1]]),
AI$1+1-1=MONTH(T_Eq[[#This Row],[coupon date 2]]),
AI$1+1-1=MONTH(T_Eq[[#This Row],[coupon date 3]])),
IF('CF USD'!$A$8="on",T_Eq[[#This Row],[Dividend in USD]],T_Eq[[#This Row],[Dividend in Loc.Curr]])
/T_Eq[[#This Row],[Dividends per annum]],0),
"")</f>
        <v>0</v>
      </c>
      <c r="AJ71" s="1021">
        <f>IFERROR(IF(
OR(
AJ$1+1-1=MONTH($U71),
AJ$1+1-1=MONTH(T_Eq[[#This Row],[coupon date 1]]),
AJ$1+1-1=MONTH(T_Eq[[#This Row],[coupon date 2]]),
AJ$1+1-1=MONTH(T_Eq[[#This Row],[coupon date 3]])),
IF('CF USD'!$A$8="on",T_Eq[[#This Row],[Dividend in USD]],T_Eq[[#This Row],[Dividend in Loc.Curr]])
/T_Eq[[#This Row],[Dividends per annum]],0),
"")</f>
        <v>1265.94</v>
      </c>
    </row>
    <row r="72" spans="1:36" x14ac:dyDescent="0.25">
      <c r="A72" s="829" t="s">
        <v>51</v>
      </c>
      <c r="B72" s="829" t="s">
        <v>1191</v>
      </c>
      <c r="C72" s="998" t="s">
        <v>2532</v>
      </c>
      <c r="D72" s="998" t="s">
        <v>2533</v>
      </c>
      <c r="E72" s="999" t="s">
        <v>18</v>
      </c>
      <c r="F72" s="672"/>
      <c r="G72" s="672"/>
      <c r="H72" s="70" t="s">
        <v>2475</v>
      </c>
      <c r="I72" s="684">
        <v>4000</v>
      </c>
      <c r="J72" s="295">
        <v>24.565000000000001</v>
      </c>
      <c r="K72" s="666">
        <f>ABS(T_Eq[[#This Row],[Quantity]]*T_Eq[[#This Row],[Market price]])</f>
        <v>98260</v>
      </c>
      <c r="L72" s="666">
        <f>ABS(INDEX('Tech list'!A:C,MATCH(T_Eq[[#This Row],[Risk CCY]],'Tech list'!A:A,0),3)*T_Eq[[#This Row],[Market value, CCY]])</f>
        <v>98260</v>
      </c>
      <c r="M72" s="677">
        <v>24.8058525</v>
      </c>
      <c r="N72" s="666">
        <f>ABS(T_Eq[[#This Row],[Cost price]]*T_Eq[[#This Row],[Quantity]])</f>
        <v>99223.41</v>
      </c>
      <c r="O72" s="213">
        <f>IF(T_Eq[[#This Row],[Quantity]]&lt;0,N72/K72-1,K72/N72-1)</f>
        <v>-9.7095030295774043E-3</v>
      </c>
      <c r="P72" s="669">
        <v>0</v>
      </c>
      <c r="Q72" s="213">
        <f>T_Eq[[#This Row],[Dividend per share]]/T_Eq[[#This Row],[Market price]]</f>
        <v>0</v>
      </c>
      <c r="R72" s="666">
        <f>T_Eq[[#This Row],[Dividend per share]]*T_Eq[[#This Row],[Quantity]]</f>
        <v>0</v>
      </c>
      <c r="S72" s="666">
        <f>INDEX('Tech list'!A:C,MATCH(T_Eq[[#This Row],[Risk CCY]],'Tech list'!A:A,0),3)*T_Eq[[#This Row],[Dividend in Loc.Curr]]</f>
        <v>0</v>
      </c>
      <c r="T72" s="666">
        <v>1</v>
      </c>
      <c r="U72" s="675">
        <v>46023</v>
      </c>
      <c r="V72" s="1020">
        <f>EDATE(T_Eq[[#This Row],[Next coupon date]],12/$T72)</f>
        <v>46388</v>
      </c>
      <c r="W72" s="1020">
        <f>EDATE(T_Eq[[#This Row],[coupon date 1]],12/$T72)</f>
        <v>46753</v>
      </c>
      <c r="X72" s="1020">
        <f>EDATE(T_Eq[[#This Row],[coupon date 2]],12/$T72)</f>
        <v>47119</v>
      </c>
      <c r="Y72" s="1021">
        <f>IFERROR(IF(
OR(
Y$1+1-1=MONTH($U72),
Y$1+1-1=MONTH(T_Eq[[#This Row],[coupon date 1]]),
Y$1+1-1=MONTH(T_Eq[[#This Row],[coupon date 2]]),
Y$1+1-1=MONTH(T_Eq[[#This Row],[coupon date 3]])),
IF('CF USD'!$A$8="on",T_Eq[[#This Row],[Dividend in USD]],T_Eq[[#This Row],[Dividend in Loc.Curr]])
/T_Eq[[#This Row],[Dividends per annum]],0),
"")</f>
        <v>0</v>
      </c>
      <c r="Z72" s="1021">
        <f>IFERROR(IF(
OR(
Z$1+1-1=MONTH($U72),
Z$1+1-1=MONTH(T_Eq[[#This Row],[coupon date 1]]),
Z$1+1-1=MONTH(T_Eq[[#This Row],[coupon date 2]]),
Z$1+1-1=MONTH(T_Eq[[#This Row],[coupon date 3]])),
IF('CF USD'!$A$8="on",T_Eq[[#This Row],[Dividend in USD]],T_Eq[[#This Row],[Dividend in Loc.Curr]])
/T_Eq[[#This Row],[Dividends per annum]],0),
"")</f>
        <v>0</v>
      </c>
      <c r="AA72" s="1021">
        <f>IFERROR(IF(
OR(
AA$1+1-1=MONTH($U72),
AA$1+1-1=MONTH(T_Eq[[#This Row],[coupon date 1]]),
AA$1+1-1=MONTH(T_Eq[[#This Row],[coupon date 2]]),
AA$1+1-1=MONTH(T_Eq[[#This Row],[coupon date 3]])),
IF('CF USD'!$A$8="on",T_Eq[[#This Row],[Dividend in USD]],T_Eq[[#This Row],[Dividend in Loc.Curr]])
/T_Eq[[#This Row],[Dividends per annum]],0),
"")</f>
        <v>0</v>
      </c>
      <c r="AB72" s="1021">
        <f>IFERROR(IF(
OR(
AB$1+1-1=MONTH($U72),
AB$1+1-1=MONTH(T_Eq[[#This Row],[coupon date 1]]),
AB$1+1-1=MONTH(T_Eq[[#This Row],[coupon date 2]]),
AB$1+1-1=MONTH(T_Eq[[#This Row],[coupon date 3]])),
IF('CF USD'!$A$8="on",T_Eq[[#This Row],[Dividend in USD]],T_Eq[[#This Row],[Dividend in Loc.Curr]])
/T_Eq[[#This Row],[Dividends per annum]],0),
"")</f>
        <v>0</v>
      </c>
      <c r="AC72" s="1021">
        <f>IFERROR(IF(
OR(
AC$1+1-1=MONTH($U72),
AC$1+1-1=MONTH(T_Eq[[#This Row],[coupon date 1]]),
AC$1+1-1=MONTH(T_Eq[[#This Row],[coupon date 2]]),
AC$1+1-1=MONTH(T_Eq[[#This Row],[coupon date 3]])),
IF('CF USD'!$A$8="on",T_Eq[[#This Row],[Dividend in USD]],T_Eq[[#This Row],[Dividend in Loc.Curr]])
/T_Eq[[#This Row],[Dividends per annum]],0),
"")</f>
        <v>0</v>
      </c>
      <c r="AD72" s="1021">
        <f>IFERROR(IF(
OR(
AD$1+1-1=MONTH($U72),
AD$1+1-1=MONTH(T_Eq[[#This Row],[coupon date 1]]),
AD$1+1-1=MONTH(T_Eq[[#This Row],[coupon date 2]]),
AD$1+1-1=MONTH(T_Eq[[#This Row],[coupon date 3]])),
IF('CF USD'!$A$8="on",T_Eq[[#This Row],[Dividend in USD]],T_Eq[[#This Row],[Dividend in Loc.Curr]])
/T_Eq[[#This Row],[Dividends per annum]],0),
"")</f>
        <v>0</v>
      </c>
      <c r="AE72" s="1021">
        <f>IFERROR(IF(
OR(
AE$1+1-1=MONTH($U72),
AE$1+1-1=MONTH(T_Eq[[#This Row],[coupon date 1]]),
AE$1+1-1=MONTH(T_Eq[[#This Row],[coupon date 2]]),
AE$1+1-1=MONTH(T_Eq[[#This Row],[coupon date 3]])),
IF('CF USD'!$A$8="on",T_Eq[[#This Row],[Dividend in USD]],T_Eq[[#This Row],[Dividend in Loc.Curr]])
/T_Eq[[#This Row],[Dividends per annum]],0),
"")</f>
        <v>0</v>
      </c>
      <c r="AF72" s="1021">
        <f>IFERROR(IF(
OR(
AF$1+1-1=MONTH($U72),
AF$1+1-1=MONTH(T_Eq[[#This Row],[coupon date 1]]),
AF$1+1-1=MONTH(T_Eq[[#This Row],[coupon date 2]]),
AF$1+1-1=MONTH(T_Eq[[#This Row],[coupon date 3]])),
IF('CF USD'!$A$8="on",T_Eq[[#This Row],[Dividend in USD]],T_Eq[[#This Row],[Dividend in Loc.Curr]])
/T_Eq[[#This Row],[Dividends per annum]],0),
"")</f>
        <v>0</v>
      </c>
      <c r="AG72" s="1021">
        <f>IFERROR(IF(
OR(
AG$1+1-1=MONTH($U72),
AG$1+1-1=MONTH(T_Eq[[#This Row],[coupon date 1]]),
AG$1+1-1=MONTH(T_Eq[[#This Row],[coupon date 2]]),
AG$1+1-1=MONTH(T_Eq[[#This Row],[coupon date 3]])),
IF('CF USD'!$A$8="on",T_Eq[[#This Row],[Dividend in USD]],T_Eq[[#This Row],[Dividend in Loc.Curr]])
/T_Eq[[#This Row],[Dividends per annum]],0),
"")</f>
        <v>0</v>
      </c>
      <c r="AH72" s="1021">
        <f>IFERROR(IF(
OR(
AH$1+1-1=MONTH($U72),
AH$1+1-1=MONTH(T_Eq[[#This Row],[coupon date 1]]),
AH$1+1-1=MONTH(T_Eq[[#This Row],[coupon date 2]]),
AH$1+1-1=MONTH(T_Eq[[#This Row],[coupon date 3]])),
IF('CF USD'!$A$8="on",T_Eq[[#This Row],[Dividend in USD]],T_Eq[[#This Row],[Dividend in Loc.Curr]])
/T_Eq[[#This Row],[Dividends per annum]],0),
"")</f>
        <v>0</v>
      </c>
      <c r="AI72" s="1021">
        <f>IFERROR(IF(
OR(
AI$1+1-1=MONTH($U72),
AI$1+1-1=MONTH(T_Eq[[#This Row],[coupon date 1]]),
AI$1+1-1=MONTH(T_Eq[[#This Row],[coupon date 2]]),
AI$1+1-1=MONTH(T_Eq[[#This Row],[coupon date 3]])),
IF('CF USD'!$A$8="on",T_Eq[[#This Row],[Dividend in USD]],T_Eq[[#This Row],[Dividend in Loc.Curr]])
/T_Eq[[#This Row],[Dividends per annum]],0),
"")</f>
        <v>0</v>
      </c>
      <c r="AJ72" s="1021">
        <f>IFERROR(IF(
OR(
AJ$1+1-1=MONTH($U72),
AJ$1+1-1=MONTH(T_Eq[[#This Row],[coupon date 1]]),
AJ$1+1-1=MONTH(T_Eq[[#This Row],[coupon date 2]]),
AJ$1+1-1=MONTH(T_Eq[[#This Row],[coupon date 3]])),
IF('CF USD'!$A$8="on",T_Eq[[#This Row],[Dividend in USD]],T_Eq[[#This Row],[Dividend in Loc.Curr]])
/T_Eq[[#This Row],[Dividends per annum]],0),
"")</f>
        <v>0</v>
      </c>
    </row>
    <row r="75" spans="1:36" x14ac:dyDescent="0.25">
      <c r="I75" t="s">
        <v>195</v>
      </c>
      <c r="J75" t="s">
        <v>1191</v>
      </c>
      <c r="K75" t="s">
        <v>2369</v>
      </c>
    </row>
    <row r="76" spans="1:36" x14ac:dyDescent="0.25">
      <c r="H76" s="418" t="s">
        <v>2476</v>
      </c>
      <c r="I76" s="814">
        <f>SUMIFS($L$2:$L$72,$H$2:$H$72,$H76,$B$2:$B$72,I$75)</f>
        <v>1390984.5</v>
      </c>
      <c r="J76" s="814" t="e">
        <f>SUMIFS($L$2:$L$72,$H$2:$H$72,$H76,$B$2:$B$72,J$75)</f>
        <v>#N/A</v>
      </c>
      <c r="K76" s="814">
        <f t="shared" ref="J76:K77" si="0">SUMIFS($L$2:$L$72,$H$2:$H$72,$H76,$B$2:$B$72,K$75)</f>
        <v>0</v>
      </c>
    </row>
    <row r="77" spans="1:36" x14ac:dyDescent="0.25">
      <c r="H77" s="70" t="s">
        <v>2475</v>
      </c>
      <c r="I77" s="814" t="e">
        <f ca="1">SUMIFS($L$2:$L$72,$H$2:$H$72,$H77,$B$2:$B$72,I$75)</f>
        <v>#N/A</v>
      </c>
      <c r="J77" s="814">
        <f t="shared" ca="1" si="0"/>
        <v>11361504.502373658</v>
      </c>
      <c r="K77" s="814">
        <f t="shared" si="0"/>
        <v>309206</v>
      </c>
    </row>
    <row r="80" spans="1:36" s="22" customFormat="1" x14ac:dyDescent="0.2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 s="7"/>
      <c r="Q80"/>
      <c r="R80"/>
      <c r="S80"/>
      <c r="T80"/>
      <c r="U80" s="17"/>
      <c r="V80" s="17"/>
      <c r="W80" s="17"/>
      <c r="X80" s="17"/>
      <c r="Y80"/>
      <c r="Z80"/>
      <c r="AA80"/>
      <c r="AB80"/>
      <c r="AC80"/>
      <c r="AD80"/>
      <c r="AE80"/>
      <c r="AF80"/>
      <c r="AG80"/>
      <c r="AH80"/>
      <c r="AI80"/>
      <c r="AJ80"/>
    </row>
    <row r="81" spans="1:36" s="22" customFormat="1" x14ac:dyDescent="0.2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 s="7"/>
      <c r="Q81"/>
      <c r="R81"/>
      <c r="S81"/>
      <c r="T81"/>
      <c r="U81" s="17"/>
      <c r="V81" s="17"/>
      <c r="W81" s="17"/>
      <c r="X81" s="17"/>
      <c r="Y81"/>
      <c r="Z81"/>
      <c r="AA81"/>
      <c r="AB81"/>
      <c r="AC81"/>
      <c r="AD81"/>
      <c r="AE81"/>
      <c r="AF81"/>
      <c r="AG81"/>
      <c r="AH81"/>
      <c r="AI81"/>
      <c r="AJ81"/>
    </row>
    <row r="82" spans="1:36" s="22" customFormat="1" x14ac:dyDescent="0.25">
      <c r="A82" s="656" t="s">
        <v>232</v>
      </c>
      <c r="B82" s="960" t="s">
        <v>375</v>
      </c>
      <c r="C82" s="960" t="s">
        <v>228</v>
      </c>
      <c r="D82" s="960" t="s">
        <v>230</v>
      </c>
      <c r="E82" s="960" t="s">
        <v>232</v>
      </c>
      <c r="F82" s="960" t="s">
        <v>231</v>
      </c>
      <c r="G82" s="960" t="s">
        <v>482</v>
      </c>
      <c r="H82" s="960" t="s">
        <v>236</v>
      </c>
      <c r="I82" s="960" t="s">
        <v>483</v>
      </c>
      <c r="J82" s="960" t="s">
        <v>240</v>
      </c>
      <c r="K82" s="960" t="s">
        <v>376</v>
      </c>
      <c r="L82" s="960" t="s">
        <v>243</v>
      </c>
      <c r="M82" s="960" t="s">
        <v>376</v>
      </c>
      <c r="N82" s="960" t="s">
        <v>484</v>
      </c>
      <c r="O82" s="960" t="s">
        <v>485</v>
      </c>
      <c r="P82" s="960" t="s">
        <v>486</v>
      </c>
      <c r="Q82" s="960" t="s">
        <v>487</v>
      </c>
      <c r="R82" s="960" t="s">
        <v>246</v>
      </c>
      <c r="S82" s="960" t="s">
        <v>488</v>
      </c>
    </row>
    <row r="83" spans="1:36" s="22" customFormat="1" x14ac:dyDescent="0.25">
      <c r="A83" s="656" t="e">
        <v>#N/A</v>
      </c>
      <c r="B83" s="960" t="s">
        <v>20</v>
      </c>
      <c r="C83" s="960" t="s">
        <v>2524</v>
      </c>
      <c r="D83" s="960" t="s">
        <v>2525</v>
      </c>
      <c r="E83" s="964">
        <v>8950</v>
      </c>
      <c r="F83" s="960" t="s">
        <v>18</v>
      </c>
      <c r="G83" s="960" t="s">
        <v>18</v>
      </c>
      <c r="H83" s="960" t="s">
        <v>257</v>
      </c>
      <c r="I83" s="960" t="s">
        <v>257</v>
      </c>
      <c r="J83" s="961">
        <v>11.326965363128492</v>
      </c>
      <c r="K83" s="960" t="s">
        <v>459</v>
      </c>
      <c r="L83" s="961">
        <v>11.32</v>
      </c>
      <c r="M83" s="960" t="s">
        <v>459</v>
      </c>
      <c r="N83" s="961">
        <v>101314</v>
      </c>
      <c r="O83" s="961">
        <v>0</v>
      </c>
      <c r="P83" s="962">
        <v>-6.1493638456468246E-4</v>
      </c>
      <c r="Q83" s="961">
        <v>-62.34</v>
      </c>
      <c r="R83" s="961">
        <v>101314</v>
      </c>
      <c r="S83" s="962">
        <v>2.4312661082613431E-3</v>
      </c>
    </row>
    <row r="84" spans="1:36" s="22" customFormat="1" x14ac:dyDescent="0.25">
      <c r="A84" s="656" t="e">
        <v>#N/A</v>
      </c>
      <c r="B84" s="960" t="s">
        <v>20</v>
      </c>
      <c r="C84" s="960" t="s">
        <v>2339</v>
      </c>
      <c r="D84" s="960" t="s">
        <v>2340</v>
      </c>
      <c r="E84" s="964">
        <v>6520</v>
      </c>
      <c r="F84" s="960" t="s">
        <v>21</v>
      </c>
      <c r="G84" s="960" t="s">
        <v>21</v>
      </c>
      <c r="H84" s="960" t="s">
        <v>257</v>
      </c>
      <c r="I84" s="960" t="s">
        <v>257</v>
      </c>
      <c r="J84" s="961">
        <v>76.359315950920248</v>
      </c>
      <c r="K84" s="963">
        <v>1.1696</v>
      </c>
      <c r="L84" s="961">
        <v>77.930000000000007</v>
      </c>
      <c r="M84" s="963">
        <v>1.1762999999999999</v>
      </c>
      <c r="N84" s="961">
        <v>508103.6</v>
      </c>
      <c r="O84" s="961">
        <v>0</v>
      </c>
      <c r="P84" s="962">
        <v>2.6378088912059918E-2</v>
      </c>
      <c r="Q84" s="961">
        <v>15359.91</v>
      </c>
      <c r="R84" s="961">
        <v>597657.97</v>
      </c>
      <c r="S84" s="962">
        <v>1.4342199170828063E-2</v>
      </c>
    </row>
    <row r="85" spans="1:36" s="22" customFormat="1" x14ac:dyDescent="0.25">
      <c r="A85" s="656" t="e">
        <v>#N/A</v>
      </c>
      <c r="B85" s="960" t="s">
        <v>20</v>
      </c>
      <c r="C85" s="960" t="s">
        <v>2526</v>
      </c>
      <c r="D85" s="960" t="s">
        <v>2527</v>
      </c>
      <c r="E85" s="964">
        <v>4400</v>
      </c>
      <c r="F85" s="960" t="s">
        <v>18</v>
      </c>
      <c r="G85" s="960" t="s">
        <v>18</v>
      </c>
      <c r="H85" s="960" t="s">
        <v>257</v>
      </c>
      <c r="I85" s="960" t="s">
        <v>257</v>
      </c>
      <c r="J85" s="961">
        <v>23.019477272727272</v>
      </c>
      <c r="K85" s="960" t="s">
        <v>459</v>
      </c>
      <c r="L85" s="961">
        <v>22.98</v>
      </c>
      <c r="M85" s="960" t="s">
        <v>459</v>
      </c>
      <c r="N85" s="961">
        <v>101112</v>
      </c>
      <c r="O85" s="961">
        <v>0</v>
      </c>
      <c r="P85" s="962">
        <v>-1.7149508765798133E-3</v>
      </c>
      <c r="Q85" s="961">
        <v>-173.7</v>
      </c>
      <c r="R85" s="961">
        <v>101112</v>
      </c>
      <c r="S85" s="962">
        <v>2.4264186463718823E-3</v>
      </c>
    </row>
    <row r="86" spans="1:36" s="22" customFormat="1" x14ac:dyDescent="0.25">
      <c r="A86" s="656" t="e">
        <v>#N/A</v>
      </c>
      <c r="B86" s="960" t="s">
        <v>20</v>
      </c>
      <c r="C86" s="960" t="s">
        <v>2420</v>
      </c>
      <c r="D86" s="960" t="s">
        <v>1500</v>
      </c>
      <c r="E86" s="964">
        <v>3475</v>
      </c>
      <c r="F86" s="960" t="s">
        <v>18</v>
      </c>
      <c r="G86" s="960" t="s">
        <v>18</v>
      </c>
      <c r="H86" s="960" t="s">
        <v>257</v>
      </c>
      <c r="I86" s="960" t="s">
        <v>257</v>
      </c>
      <c r="J86" s="961">
        <v>57.704195683453236</v>
      </c>
      <c r="K86" s="960" t="s">
        <v>459</v>
      </c>
      <c r="L86" s="961">
        <v>62.56</v>
      </c>
      <c r="M86" s="960" t="s">
        <v>459</v>
      </c>
      <c r="N86" s="961">
        <v>217396</v>
      </c>
      <c r="O86" s="961">
        <v>0</v>
      </c>
      <c r="P86" s="962">
        <v>8.4149935009650803E-2</v>
      </c>
      <c r="Q86" s="961">
        <v>16873.919999999998</v>
      </c>
      <c r="R86" s="961">
        <v>217396</v>
      </c>
      <c r="S86" s="962">
        <v>5.2169248758471972E-3</v>
      </c>
    </row>
    <row r="87" spans="1:36" s="22" customFormat="1" x14ac:dyDescent="0.25">
      <c r="A87" s="220" t="e">
        <v>#N/A</v>
      </c>
      <c r="B87" s="960" t="s">
        <v>20</v>
      </c>
      <c r="C87" s="960" t="s">
        <v>2421</v>
      </c>
      <c r="D87" s="960" t="s">
        <v>2422</v>
      </c>
      <c r="E87" s="964">
        <v>8300</v>
      </c>
      <c r="F87" s="960" t="s">
        <v>18</v>
      </c>
      <c r="G87" s="960" t="s">
        <v>18</v>
      </c>
      <c r="H87" s="960" t="s">
        <v>257</v>
      </c>
      <c r="I87" s="960" t="s">
        <v>257</v>
      </c>
      <c r="J87" s="961">
        <v>33.959810843373496</v>
      </c>
      <c r="K87" s="960" t="s">
        <v>459</v>
      </c>
      <c r="L87" s="961">
        <v>19.96</v>
      </c>
      <c r="M87" s="960" t="s">
        <v>459</v>
      </c>
      <c r="N87" s="961">
        <v>165668</v>
      </c>
      <c r="O87" s="961">
        <v>0</v>
      </c>
      <c r="P87" s="962">
        <v>-0.41224643175847508</v>
      </c>
      <c r="Q87" s="961">
        <v>-116198.43</v>
      </c>
      <c r="R87" s="961">
        <v>165668</v>
      </c>
      <c r="S87" s="962">
        <v>3.9755906747679509E-3</v>
      </c>
    </row>
    <row r="88" spans="1:36" s="22" customFormat="1" x14ac:dyDescent="0.25">
      <c r="A88" s="220" t="e">
        <v>#N/A</v>
      </c>
      <c r="B88" s="960" t="s">
        <v>20</v>
      </c>
      <c r="C88" s="960" t="s">
        <v>556</v>
      </c>
      <c r="D88" s="960" t="s">
        <v>557</v>
      </c>
      <c r="E88" s="964">
        <v>5075</v>
      </c>
      <c r="F88" s="960" t="s">
        <v>23</v>
      </c>
      <c r="G88" s="960" t="s">
        <v>18</v>
      </c>
      <c r="H88" s="960" t="s">
        <v>257</v>
      </c>
      <c r="I88" s="960" t="s">
        <v>257</v>
      </c>
      <c r="J88" s="961">
        <v>47.129972413793105</v>
      </c>
      <c r="K88" s="960" t="s">
        <v>459</v>
      </c>
      <c r="L88" s="961">
        <v>119.03</v>
      </c>
      <c r="M88" s="960" t="s">
        <v>459</v>
      </c>
      <c r="N88" s="961">
        <v>604077.25</v>
      </c>
      <c r="O88" s="961">
        <v>0</v>
      </c>
      <c r="P88" s="962">
        <v>1.5255690573068224</v>
      </c>
      <c r="Q88" s="961">
        <v>364892.64</v>
      </c>
      <c r="R88" s="961">
        <v>604077.25</v>
      </c>
      <c r="S88" s="962">
        <v>1.4496244790421008E-2</v>
      </c>
    </row>
    <row r="89" spans="1:36" s="22" customFormat="1" x14ac:dyDescent="0.25">
      <c r="A89" s="220" t="e">
        <v>#N/A</v>
      </c>
      <c r="B89" s="960" t="s">
        <v>20</v>
      </c>
      <c r="C89" s="960" t="s">
        <v>2341</v>
      </c>
      <c r="D89" s="960" t="s">
        <v>1622</v>
      </c>
      <c r="E89" s="964">
        <v>6680</v>
      </c>
      <c r="F89" s="960" t="s">
        <v>18</v>
      </c>
      <c r="G89" s="960" t="s">
        <v>18</v>
      </c>
      <c r="H89" s="960" t="s">
        <v>257</v>
      </c>
      <c r="I89" s="960" t="s">
        <v>257</v>
      </c>
      <c r="J89" s="961">
        <v>73.560729041916161</v>
      </c>
      <c r="K89" s="960" t="s">
        <v>459</v>
      </c>
      <c r="L89" s="961">
        <v>61.92</v>
      </c>
      <c r="M89" s="960" t="s">
        <v>459</v>
      </c>
      <c r="N89" s="961">
        <v>413625.59999999998</v>
      </c>
      <c r="O89" s="961">
        <v>0</v>
      </c>
      <c r="P89" s="962">
        <v>-0.15824651541018686</v>
      </c>
      <c r="Q89" s="961">
        <v>-77760.070000000007</v>
      </c>
      <c r="R89" s="961">
        <v>413625.59999999998</v>
      </c>
      <c r="S89" s="962">
        <v>9.9259125371544202E-3</v>
      </c>
    </row>
    <row r="90" spans="1:36" s="22" customFormat="1" x14ac:dyDescent="0.25">
      <c r="A90" s="220" t="e">
        <v>#N/A</v>
      </c>
      <c r="B90" s="960" t="s">
        <v>20</v>
      </c>
      <c r="C90" s="960" t="s">
        <v>2256</v>
      </c>
      <c r="D90" s="960" t="s">
        <v>2257</v>
      </c>
      <c r="E90" s="964">
        <v>24575</v>
      </c>
      <c r="F90" s="960" t="s">
        <v>18</v>
      </c>
      <c r="G90" s="960" t="s">
        <v>18</v>
      </c>
      <c r="H90" s="960" t="s">
        <v>257</v>
      </c>
      <c r="I90" s="960" t="s">
        <v>257</v>
      </c>
      <c r="J90" s="961">
        <v>24.41001912512716</v>
      </c>
      <c r="K90" s="960" t="s">
        <v>459</v>
      </c>
      <c r="L90" s="961">
        <v>26.21</v>
      </c>
      <c r="M90" s="960" t="s">
        <v>459</v>
      </c>
      <c r="N90" s="961">
        <v>644110.75</v>
      </c>
      <c r="O90" s="961">
        <v>0</v>
      </c>
      <c r="P90" s="962">
        <v>7.3739429110892235E-2</v>
      </c>
      <c r="Q90" s="961">
        <v>44234.53</v>
      </c>
      <c r="R90" s="961">
        <v>644110.75</v>
      </c>
      <c r="S90" s="962">
        <v>1.5456942144637413E-2</v>
      </c>
    </row>
    <row r="91" spans="1:36" s="22" customFormat="1" x14ac:dyDescent="0.25">
      <c r="A91" s="220" t="e">
        <v>#N/A</v>
      </c>
      <c r="B91" s="960" t="s">
        <v>20</v>
      </c>
      <c r="C91" s="960" t="s">
        <v>2342</v>
      </c>
      <c r="D91" s="960" t="s">
        <v>2287</v>
      </c>
      <c r="E91" s="964">
        <v>4310</v>
      </c>
      <c r="F91" s="960" t="s">
        <v>18</v>
      </c>
      <c r="G91" s="960" t="s">
        <v>18</v>
      </c>
      <c r="H91" s="960" t="s">
        <v>257</v>
      </c>
      <c r="I91" s="960" t="s">
        <v>257</v>
      </c>
      <c r="J91" s="961">
        <v>116.92151044083526</v>
      </c>
      <c r="K91" s="960" t="s">
        <v>459</v>
      </c>
      <c r="L91" s="961">
        <v>116.82</v>
      </c>
      <c r="M91" s="960" t="s">
        <v>459</v>
      </c>
      <c r="N91" s="961">
        <v>503494.2</v>
      </c>
      <c r="O91" s="961">
        <v>0</v>
      </c>
      <c r="P91" s="962">
        <v>-8.681930335362305E-4</v>
      </c>
      <c r="Q91" s="961">
        <v>-437.51</v>
      </c>
      <c r="R91" s="961">
        <v>503494.2</v>
      </c>
      <c r="S91" s="962">
        <v>1.2082519534972049E-2</v>
      </c>
    </row>
    <row r="92" spans="1:36" s="22" customFormat="1" x14ac:dyDescent="0.25">
      <c r="A92" s="220" t="e">
        <v>#N/A</v>
      </c>
      <c r="B92" s="960" t="s">
        <v>20</v>
      </c>
      <c r="C92" s="960" t="s">
        <v>2423</v>
      </c>
      <c r="D92" s="960" t="s">
        <v>2424</v>
      </c>
      <c r="E92" s="964">
        <v>15150</v>
      </c>
      <c r="F92" s="960" t="s">
        <v>1335</v>
      </c>
      <c r="G92" s="960" t="s">
        <v>18</v>
      </c>
      <c r="H92" s="960" t="s">
        <v>257</v>
      </c>
      <c r="I92" s="960" t="s">
        <v>257</v>
      </c>
      <c r="J92" s="961">
        <v>26.409522772277228</v>
      </c>
      <c r="K92" s="960" t="s">
        <v>459</v>
      </c>
      <c r="L92" s="961">
        <v>28.85</v>
      </c>
      <c r="M92" s="960" t="s">
        <v>459</v>
      </c>
      <c r="N92" s="961">
        <v>437077.5</v>
      </c>
      <c r="O92" s="961">
        <v>0</v>
      </c>
      <c r="P92" s="962">
        <v>9.2408986287499509E-2</v>
      </c>
      <c r="Q92" s="961">
        <v>36973.230000000003</v>
      </c>
      <c r="R92" s="961">
        <v>437077.5</v>
      </c>
      <c r="S92" s="962">
        <v>1.0488695663319947E-2</v>
      </c>
    </row>
    <row r="93" spans="1:36" s="22" customFormat="1" x14ac:dyDescent="0.25">
      <c r="A93" s="220" t="e">
        <v>#N/A</v>
      </c>
      <c r="B93" s="960" t="s">
        <v>20</v>
      </c>
      <c r="C93" s="960" t="s">
        <v>2425</v>
      </c>
      <c r="D93" s="960" t="s">
        <v>2426</v>
      </c>
      <c r="E93" s="964">
        <v>5800</v>
      </c>
      <c r="F93" s="960" t="s">
        <v>18</v>
      </c>
      <c r="G93" s="960" t="s">
        <v>18</v>
      </c>
      <c r="H93" s="960" t="s">
        <v>257</v>
      </c>
      <c r="I93" s="960" t="s">
        <v>257</v>
      </c>
      <c r="J93" s="961">
        <v>34.959949999999999</v>
      </c>
      <c r="K93" s="960" t="s">
        <v>459</v>
      </c>
      <c r="L93" s="961">
        <v>35.369999999999997</v>
      </c>
      <c r="M93" s="960" t="s">
        <v>459</v>
      </c>
      <c r="N93" s="961">
        <v>205146</v>
      </c>
      <c r="O93" s="961">
        <v>0</v>
      </c>
      <c r="P93" s="962">
        <v>1.1729135768214771E-2</v>
      </c>
      <c r="Q93" s="961">
        <v>2378.29</v>
      </c>
      <c r="R93" s="961">
        <v>205146</v>
      </c>
      <c r="S93" s="962">
        <v>4.9229575087883356E-3</v>
      </c>
    </row>
    <row r="94" spans="1:36" s="22" customFormat="1" x14ac:dyDescent="0.25">
      <c r="A94" s="220" t="e">
        <v>#N/A</v>
      </c>
      <c r="B94" s="960" t="s">
        <v>20</v>
      </c>
      <c r="C94" s="960" t="s">
        <v>2258</v>
      </c>
      <c r="D94" s="960" t="s">
        <v>2259</v>
      </c>
      <c r="E94" s="964">
        <v>54050</v>
      </c>
      <c r="F94" s="960" t="s">
        <v>18</v>
      </c>
      <c r="G94" s="960" t="s">
        <v>18</v>
      </c>
      <c r="H94" s="960" t="s">
        <v>257</v>
      </c>
      <c r="I94" s="960" t="s">
        <v>257</v>
      </c>
      <c r="J94" s="961">
        <v>18.478832932469935</v>
      </c>
      <c r="K94" s="960" t="s">
        <v>459</v>
      </c>
      <c r="L94" s="961">
        <v>19.36</v>
      </c>
      <c r="M94" s="960" t="s">
        <v>459</v>
      </c>
      <c r="N94" s="961">
        <v>1046408</v>
      </c>
      <c r="O94" s="961">
        <v>0</v>
      </c>
      <c r="P94" s="962">
        <v>4.768521208835267E-2</v>
      </c>
      <c r="Q94" s="961">
        <v>47627.08</v>
      </c>
      <c r="R94" s="961">
        <v>1046408</v>
      </c>
      <c r="S94" s="962">
        <v>2.5111004459537036E-2</v>
      </c>
    </row>
    <row r="95" spans="1:36" s="22" customFormat="1" x14ac:dyDescent="0.25">
      <c r="A95" s="220" t="e">
        <v>#N/A</v>
      </c>
      <c r="B95" s="960" t="s">
        <v>20</v>
      </c>
      <c r="C95" s="960" t="s">
        <v>2528</v>
      </c>
      <c r="D95" s="960" t="s">
        <v>2529</v>
      </c>
      <c r="E95" s="964">
        <v>2086</v>
      </c>
      <c r="F95" s="960" t="s">
        <v>18</v>
      </c>
      <c r="G95" s="960" t="s">
        <v>18</v>
      </c>
      <c r="H95" s="960" t="s">
        <v>257</v>
      </c>
      <c r="I95" s="960" t="s">
        <v>257</v>
      </c>
      <c r="J95" s="961">
        <v>95.993475551294338</v>
      </c>
      <c r="K95" s="960" t="s">
        <v>459</v>
      </c>
      <c r="L95" s="961">
        <v>98.05</v>
      </c>
      <c r="M95" s="960" t="s">
        <v>459</v>
      </c>
      <c r="N95" s="961">
        <v>204532.3</v>
      </c>
      <c r="O95" s="961">
        <v>0</v>
      </c>
      <c r="P95" s="962">
        <v>2.1423585685328667E-2</v>
      </c>
      <c r="Q95" s="961">
        <v>4289.91</v>
      </c>
      <c r="R95" s="961">
        <v>204532.3</v>
      </c>
      <c r="S95" s="962">
        <v>4.9082303436320885E-3</v>
      </c>
    </row>
    <row r="96" spans="1:36" s="22" customFormat="1" x14ac:dyDescent="0.25">
      <c r="A96" s="220" t="e">
        <v>#N/A</v>
      </c>
      <c r="B96" s="960" t="s">
        <v>20</v>
      </c>
      <c r="C96" s="960" t="s">
        <v>2427</v>
      </c>
      <c r="D96" s="960" t="s">
        <v>1875</v>
      </c>
      <c r="E96" s="964">
        <v>1350</v>
      </c>
      <c r="F96" s="960" t="s">
        <v>18</v>
      </c>
      <c r="G96" s="960" t="s">
        <v>18</v>
      </c>
      <c r="H96" s="960" t="s">
        <v>257</v>
      </c>
      <c r="I96" s="960" t="s">
        <v>257</v>
      </c>
      <c r="J96" s="961">
        <v>75.42296296296297</v>
      </c>
      <c r="K96" s="960" t="s">
        <v>459</v>
      </c>
      <c r="L96" s="961">
        <v>77.16</v>
      </c>
      <c r="M96" s="960" t="s">
        <v>459</v>
      </c>
      <c r="N96" s="961">
        <v>104166</v>
      </c>
      <c r="O96" s="961">
        <v>0</v>
      </c>
      <c r="P96" s="962">
        <v>2.3030612545545615E-2</v>
      </c>
      <c r="Q96" s="961">
        <v>2345</v>
      </c>
      <c r="R96" s="961">
        <v>104166</v>
      </c>
      <c r="S96" s="962">
        <v>2.4997065107798628E-3</v>
      </c>
    </row>
    <row r="97" spans="1:36" s="22" customFormat="1" x14ac:dyDescent="0.25">
      <c r="A97" s="220" t="e">
        <v>#N/A</v>
      </c>
      <c r="B97" s="960" t="s">
        <v>20</v>
      </c>
      <c r="C97" s="960" t="s">
        <v>2487</v>
      </c>
      <c r="D97" s="960" t="s">
        <v>2488</v>
      </c>
      <c r="E97" s="965">
        <v>9205.4390000000003</v>
      </c>
      <c r="F97" s="960" t="s">
        <v>21</v>
      </c>
      <c r="G97" s="960" t="s">
        <v>21</v>
      </c>
      <c r="H97" s="960" t="s">
        <v>257</v>
      </c>
      <c r="I97" s="960" t="s">
        <v>257</v>
      </c>
      <c r="J97" s="961">
        <v>54.397190617416506</v>
      </c>
      <c r="K97" s="963">
        <v>1.1820999999999999</v>
      </c>
      <c r="L97" s="961">
        <v>55.61</v>
      </c>
      <c r="M97" s="963">
        <v>1.1762999999999999</v>
      </c>
      <c r="N97" s="961">
        <v>511914.46</v>
      </c>
      <c r="O97" s="961">
        <v>0</v>
      </c>
      <c r="P97" s="962">
        <v>1.7199567821463872E-2</v>
      </c>
      <c r="Q97" s="961">
        <v>10181.44</v>
      </c>
      <c r="R97" s="961">
        <v>602140.5</v>
      </c>
      <c r="S97" s="962">
        <v>1.4449767949755603E-2</v>
      </c>
    </row>
    <row r="98" spans="1:36" s="22" customFormat="1" x14ac:dyDescent="0.25">
      <c r="A98" s="220" t="e">
        <v>#N/A</v>
      </c>
      <c r="B98" s="960" t="s">
        <v>20</v>
      </c>
      <c r="C98" s="960" t="s">
        <v>2428</v>
      </c>
      <c r="D98" s="960" t="s">
        <v>1945</v>
      </c>
      <c r="E98" s="964">
        <v>1650</v>
      </c>
      <c r="F98" s="960" t="s">
        <v>18</v>
      </c>
      <c r="G98" s="960" t="s">
        <v>18</v>
      </c>
      <c r="H98" s="960" t="s">
        <v>257</v>
      </c>
      <c r="I98" s="960" t="s">
        <v>257</v>
      </c>
      <c r="J98" s="961">
        <v>61.542175757575755</v>
      </c>
      <c r="K98" s="960" t="s">
        <v>459</v>
      </c>
      <c r="L98" s="961">
        <v>68.09</v>
      </c>
      <c r="M98" s="960" t="s">
        <v>459</v>
      </c>
      <c r="N98" s="961">
        <v>112348.5</v>
      </c>
      <c r="O98" s="961">
        <v>0</v>
      </c>
      <c r="P98" s="962">
        <v>0.10639572231272981</v>
      </c>
      <c r="Q98" s="961">
        <v>10803.91</v>
      </c>
      <c r="R98" s="961">
        <v>112348.5</v>
      </c>
      <c r="S98" s="962">
        <v>2.6960647133071388E-3</v>
      </c>
    </row>
    <row r="99" spans="1:36" s="22" customFormat="1" x14ac:dyDescent="0.25">
      <c r="A99" s="220" t="e">
        <v>#N/A</v>
      </c>
      <c r="B99" s="960" t="s">
        <v>20</v>
      </c>
      <c r="C99" s="960" t="s">
        <v>2429</v>
      </c>
      <c r="D99" s="960" t="s">
        <v>2430</v>
      </c>
      <c r="E99" s="964">
        <v>13700</v>
      </c>
      <c r="F99" s="960" t="s">
        <v>18</v>
      </c>
      <c r="G99" s="960" t="s">
        <v>18</v>
      </c>
      <c r="H99" s="960" t="s">
        <v>257</v>
      </c>
      <c r="I99" s="960" t="s">
        <v>257</v>
      </c>
      <c r="J99" s="961">
        <v>36.4746299270073</v>
      </c>
      <c r="K99" s="960" t="s">
        <v>459</v>
      </c>
      <c r="L99" s="961">
        <v>37.7789</v>
      </c>
      <c r="M99" s="960" t="s">
        <v>459</v>
      </c>
      <c r="N99" s="961">
        <v>517570.93</v>
      </c>
      <c r="O99" s="961">
        <v>0</v>
      </c>
      <c r="P99" s="962">
        <v>3.5758281183463525E-2</v>
      </c>
      <c r="Q99" s="961">
        <v>17868.5</v>
      </c>
      <c r="R99" s="961">
        <v>517570.93</v>
      </c>
      <c r="S99" s="962">
        <v>1.2420323555780089E-2</v>
      </c>
    </row>
    <row r="100" spans="1:36" s="22" customFormat="1" ht="14.25" customHeight="1" x14ac:dyDescent="0.25">
      <c r="A100" s="220" t="e">
        <v>#N/A</v>
      </c>
      <c r="B100" s="960" t="s">
        <v>20</v>
      </c>
      <c r="C100" s="960" t="s">
        <v>2262</v>
      </c>
      <c r="D100" s="960" t="s">
        <v>2263</v>
      </c>
      <c r="E100" s="964">
        <v>48700</v>
      </c>
      <c r="F100" s="960" t="s">
        <v>18</v>
      </c>
      <c r="G100" s="960" t="s">
        <v>18</v>
      </c>
      <c r="H100" s="960" t="s">
        <v>257</v>
      </c>
      <c r="I100" s="960" t="s">
        <v>257</v>
      </c>
      <c r="J100" s="961">
        <v>12.257578439425052</v>
      </c>
      <c r="K100" s="960" t="s">
        <v>459</v>
      </c>
      <c r="L100" s="961">
        <v>15.76</v>
      </c>
      <c r="M100" s="960" t="s">
        <v>459</v>
      </c>
      <c r="N100" s="961">
        <v>767512</v>
      </c>
      <c r="O100" s="961">
        <v>0</v>
      </c>
      <c r="P100" s="962">
        <v>0.28573519458866559</v>
      </c>
      <c r="Q100" s="961">
        <v>170567.93</v>
      </c>
      <c r="R100" s="961">
        <v>767512</v>
      </c>
      <c r="S100" s="962">
        <v>1.8418243414373925E-2</v>
      </c>
    </row>
    <row r="101" spans="1:36" s="22" customFormat="1" x14ac:dyDescent="0.25">
      <c r="A101" s="220" t="e">
        <v>#N/A</v>
      </c>
      <c r="B101" s="960" t="s">
        <v>20</v>
      </c>
      <c r="C101" s="960" t="s">
        <v>1071</v>
      </c>
      <c r="D101" s="960" t="s">
        <v>257</v>
      </c>
      <c r="E101" s="964">
        <v>-50</v>
      </c>
      <c r="F101" s="960" t="s">
        <v>18</v>
      </c>
      <c r="G101" s="960" t="s">
        <v>18</v>
      </c>
      <c r="H101" s="960" t="s">
        <v>1072</v>
      </c>
      <c r="I101" s="960" t="s">
        <v>257</v>
      </c>
      <c r="J101" s="961">
        <v>13.599081999999999</v>
      </c>
      <c r="K101" s="960" t="s">
        <v>459</v>
      </c>
      <c r="L101" s="961">
        <v>30.3</v>
      </c>
      <c r="M101" s="960" t="s">
        <v>459</v>
      </c>
      <c r="N101" s="961">
        <v>-151500</v>
      </c>
      <c r="O101" s="961">
        <v>0</v>
      </c>
      <c r="P101" s="962">
        <v>-1.2280915726517423</v>
      </c>
      <c r="Q101" s="961">
        <v>-83504.59</v>
      </c>
      <c r="R101" s="961">
        <v>-151500</v>
      </c>
      <c r="S101" s="962">
        <v>-3.6355964170953024E-3</v>
      </c>
    </row>
    <row r="102" spans="1:36" s="22" customFormat="1" x14ac:dyDescent="0.25">
      <c r="A102" s="220" t="e">
        <v>#N/A</v>
      </c>
      <c r="B102" s="960" t="s">
        <v>20</v>
      </c>
      <c r="C102" s="960" t="s">
        <v>963</v>
      </c>
      <c r="D102" s="960" t="s">
        <v>257</v>
      </c>
      <c r="E102" s="964">
        <v>-12</v>
      </c>
      <c r="F102" s="960" t="s">
        <v>18</v>
      </c>
      <c r="G102" s="960" t="s">
        <v>18</v>
      </c>
      <c r="H102" s="960" t="s">
        <v>964</v>
      </c>
      <c r="I102" s="960" t="s">
        <v>257</v>
      </c>
      <c r="J102" s="961">
        <v>30.784541666666666</v>
      </c>
      <c r="K102" s="960" t="s">
        <v>459</v>
      </c>
      <c r="L102" s="961">
        <v>95.22</v>
      </c>
      <c r="M102" s="960" t="s">
        <v>459</v>
      </c>
      <c r="N102" s="961">
        <v>-114264</v>
      </c>
      <c r="O102" s="961">
        <v>0</v>
      </c>
      <c r="P102" s="962">
        <v>-2.0931108551505151</v>
      </c>
      <c r="Q102" s="961">
        <v>-77322.55</v>
      </c>
      <c r="R102" s="961">
        <v>-114264</v>
      </c>
      <c r="S102" s="962">
        <v>-2.7420316105807104E-3</v>
      </c>
    </row>
    <row r="103" spans="1:36" s="22" customFormat="1" x14ac:dyDescent="0.25">
      <c r="A103" s="220" t="e">
        <v>#N/A</v>
      </c>
      <c r="B103" s="960" t="s">
        <v>20</v>
      </c>
      <c r="C103" s="960" t="s">
        <v>2431</v>
      </c>
      <c r="D103" s="960" t="s">
        <v>257</v>
      </c>
      <c r="E103" s="964">
        <v>-36</v>
      </c>
      <c r="F103" s="960" t="s">
        <v>18</v>
      </c>
      <c r="G103" s="960" t="s">
        <v>18</v>
      </c>
      <c r="H103" s="960" t="s">
        <v>2432</v>
      </c>
      <c r="I103" s="960" t="s">
        <v>257</v>
      </c>
      <c r="J103" s="961">
        <v>5.429783333333333</v>
      </c>
      <c r="K103" s="960" t="s">
        <v>459</v>
      </c>
      <c r="L103" s="961">
        <v>7.53</v>
      </c>
      <c r="M103" s="960" t="s">
        <v>459</v>
      </c>
      <c r="N103" s="961">
        <v>-27108</v>
      </c>
      <c r="O103" s="961">
        <v>0</v>
      </c>
      <c r="P103" s="962">
        <v>-0.38679566710765007</v>
      </c>
      <c r="Q103" s="961">
        <v>-7560.78</v>
      </c>
      <c r="R103" s="961">
        <v>-27108</v>
      </c>
      <c r="S103" s="962">
        <v>-6.5051978663115161E-4</v>
      </c>
    </row>
    <row r="104" spans="1:36" s="22" customFormat="1" x14ac:dyDescent="0.25">
      <c r="A104" s="220" t="e">
        <v>#N/A</v>
      </c>
      <c r="B104" s="960" t="s">
        <v>20</v>
      </c>
      <c r="C104" s="960" t="s">
        <v>989</v>
      </c>
      <c r="D104" s="960" t="s">
        <v>257</v>
      </c>
      <c r="E104" s="964">
        <v>-84</v>
      </c>
      <c r="F104" s="960" t="s">
        <v>18</v>
      </c>
      <c r="G104" s="960" t="s">
        <v>18</v>
      </c>
      <c r="H104" s="960" t="s">
        <v>964</v>
      </c>
      <c r="I104" s="960" t="s">
        <v>257</v>
      </c>
      <c r="J104" s="961">
        <v>8.5593500000000002</v>
      </c>
      <c r="K104" s="960" t="s">
        <v>459</v>
      </c>
      <c r="L104" s="961">
        <v>4.0999999999999996</v>
      </c>
      <c r="M104" s="960" t="s">
        <v>459</v>
      </c>
      <c r="N104" s="961">
        <v>-34440</v>
      </c>
      <c r="O104" s="961">
        <v>0</v>
      </c>
      <c r="P104" s="962">
        <v>0.5209916640866421</v>
      </c>
      <c r="Q104" s="961">
        <v>37458.54</v>
      </c>
      <c r="R104" s="961">
        <v>-34440</v>
      </c>
      <c r="S104" s="962">
        <v>-8.2646825481691227E-4</v>
      </c>
    </row>
    <row r="105" spans="1:36" x14ac:dyDescent="0.25">
      <c r="A105" s="220" t="e">
        <v>#N/A</v>
      </c>
      <c r="B105" s="960" t="s">
        <v>20</v>
      </c>
      <c r="C105" s="960" t="s">
        <v>1210</v>
      </c>
      <c r="D105" s="960" t="s">
        <v>257</v>
      </c>
      <c r="E105" s="964">
        <v>-18</v>
      </c>
      <c r="F105" s="960" t="s">
        <v>18</v>
      </c>
      <c r="G105" s="960" t="s">
        <v>18</v>
      </c>
      <c r="H105" s="960" t="s">
        <v>964</v>
      </c>
      <c r="I105" s="960" t="s">
        <v>257</v>
      </c>
      <c r="J105" s="961">
        <v>20.900849999999998</v>
      </c>
      <c r="K105" s="960" t="s">
        <v>459</v>
      </c>
      <c r="L105" s="961">
        <v>46.25</v>
      </c>
      <c r="M105" s="960" t="s">
        <v>459</v>
      </c>
      <c r="N105" s="961">
        <v>-83250</v>
      </c>
      <c r="O105" s="961">
        <v>0</v>
      </c>
      <c r="P105" s="962">
        <v>-1.2128286648629123</v>
      </c>
      <c r="Q105" s="961">
        <v>-45628.47</v>
      </c>
      <c r="R105" s="961">
        <v>-83250</v>
      </c>
      <c r="S105" s="962">
        <v>-1.9977782291959335E-3</v>
      </c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</row>
    <row r="106" spans="1:36" x14ac:dyDescent="0.25">
      <c r="A106" s="220" t="e">
        <v>#N/A</v>
      </c>
      <c r="B106" s="960" t="s">
        <v>20</v>
      </c>
      <c r="C106" s="960" t="s">
        <v>2433</v>
      </c>
      <c r="D106" s="960" t="s">
        <v>2434</v>
      </c>
      <c r="E106" s="964">
        <v>4300</v>
      </c>
      <c r="F106" s="960" t="s">
        <v>18</v>
      </c>
      <c r="G106" s="960" t="s">
        <v>18</v>
      </c>
      <c r="H106" s="960" t="s">
        <v>257</v>
      </c>
      <c r="I106" s="960" t="s">
        <v>257</v>
      </c>
      <c r="J106" s="961">
        <v>46.71997441860465</v>
      </c>
      <c r="K106" s="960" t="s">
        <v>459</v>
      </c>
      <c r="L106" s="961">
        <v>51.54</v>
      </c>
      <c r="M106" s="960" t="s">
        <v>459</v>
      </c>
      <c r="N106" s="961">
        <v>221622</v>
      </c>
      <c r="O106" s="961">
        <v>0</v>
      </c>
      <c r="P106" s="962">
        <v>0.1031684122557211</v>
      </c>
      <c r="Q106" s="961">
        <v>20726.11</v>
      </c>
      <c r="R106" s="961">
        <v>221622</v>
      </c>
      <c r="S106" s="962">
        <v>5.3183376181484823E-3</v>
      </c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</row>
    <row r="107" spans="1:36" x14ac:dyDescent="0.25">
      <c r="A107" s="220" t="e">
        <v>#N/A</v>
      </c>
      <c r="B107" s="960" t="s">
        <v>20</v>
      </c>
      <c r="C107" s="960" t="s">
        <v>1185</v>
      </c>
      <c r="D107" s="960" t="s">
        <v>1186</v>
      </c>
      <c r="E107" s="964">
        <v>2700</v>
      </c>
      <c r="F107" s="960" t="s">
        <v>18</v>
      </c>
      <c r="G107" s="960" t="s">
        <v>18</v>
      </c>
      <c r="H107" s="960" t="s">
        <v>257</v>
      </c>
      <c r="I107" s="960" t="s">
        <v>257</v>
      </c>
      <c r="J107" s="961">
        <v>111.05633703703704</v>
      </c>
      <c r="K107" s="960" t="s">
        <v>459</v>
      </c>
      <c r="L107" s="961">
        <v>126.74</v>
      </c>
      <c r="M107" s="960" t="s">
        <v>459</v>
      </c>
      <c r="N107" s="961">
        <v>342198</v>
      </c>
      <c r="O107" s="961">
        <v>0</v>
      </c>
      <c r="P107" s="962">
        <v>0.14122258469350107</v>
      </c>
      <c r="Q107" s="961">
        <v>42345.89</v>
      </c>
      <c r="R107" s="961">
        <v>342198</v>
      </c>
      <c r="S107" s="962">
        <v>8.2118404141067868E-3</v>
      </c>
      <c r="U107"/>
      <c r="V107"/>
      <c r="W107"/>
      <c r="X107"/>
    </row>
    <row r="108" spans="1:36" x14ac:dyDescent="0.25">
      <c r="A108" s="220" t="e">
        <v>#N/A</v>
      </c>
      <c r="B108" s="960" t="s">
        <v>20</v>
      </c>
      <c r="C108" s="960" t="s">
        <v>2435</v>
      </c>
      <c r="D108" s="960" t="s">
        <v>2436</v>
      </c>
      <c r="E108" s="965">
        <v>1860.5530000000001</v>
      </c>
      <c r="F108" s="960" t="s">
        <v>21</v>
      </c>
      <c r="G108" s="960" t="s">
        <v>21</v>
      </c>
      <c r="H108" s="960" t="s">
        <v>257</v>
      </c>
      <c r="I108" s="960" t="s">
        <v>257</v>
      </c>
      <c r="J108" s="961">
        <v>554.4286940495648</v>
      </c>
      <c r="K108" s="963">
        <v>1.1806000000000001</v>
      </c>
      <c r="L108" s="961">
        <v>569.69000000000005</v>
      </c>
      <c r="M108" s="963">
        <v>1.1762999999999999</v>
      </c>
      <c r="N108" s="961">
        <v>1059938.44</v>
      </c>
      <c r="O108" s="961">
        <v>0</v>
      </c>
      <c r="P108" s="962">
        <v>2.3731997434632536E-2</v>
      </c>
      <c r="Q108" s="961">
        <v>28902.080000000002</v>
      </c>
      <c r="R108" s="961">
        <v>1246754.8999999999</v>
      </c>
      <c r="S108" s="962">
        <v>2.9918796352712947E-2</v>
      </c>
      <c r="U108"/>
      <c r="V108"/>
      <c r="W108"/>
      <c r="X108"/>
    </row>
    <row r="109" spans="1:36" x14ac:dyDescent="0.25">
      <c r="A109" s="220" t="e">
        <v>#N/A</v>
      </c>
      <c r="B109" s="960" t="s">
        <v>20</v>
      </c>
      <c r="C109" s="960" t="s">
        <v>2347</v>
      </c>
      <c r="D109" s="960" t="s">
        <v>2348</v>
      </c>
      <c r="E109" s="964">
        <v>2730</v>
      </c>
      <c r="F109" s="960" t="s">
        <v>18</v>
      </c>
      <c r="G109" s="960" t="s">
        <v>18</v>
      </c>
      <c r="H109" s="960" t="s">
        <v>257</v>
      </c>
      <c r="I109" s="960" t="s">
        <v>257</v>
      </c>
      <c r="J109" s="961">
        <v>186.48972161172162</v>
      </c>
      <c r="K109" s="960" t="s">
        <v>459</v>
      </c>
      <c r="L109" s="961">
        <v>211.41</v>
      </c>
      <c r="M109" s="960" t="s">
        <v>459</v>
      </c>
      <c r="N109" s="961">
        <v>577149.30000000005</v>
      </c>
      <c r="O109" s="961">
        <v>0</v>
      </c>
      <c r="P109" s="962">
        <v>0.13362816016296766</v>
      </c>
      <c r="Q109" s="961">
        <v>68032.36</v>
      </c>
      <c r="R109" s="961">
        <v>577149.30000000005</v>
      </c>
      <c r="S109" s="962">
        <v>1.3850045724152224E-2</v>
      </c>
      <c r="U109"/>
      <c r="V109"/>
      <c r="W109"/>
      <c r="X109"/>
    </row>
    <row r="110" spans="1:36" x14ac:dyDescent="0.25">
      <c r="A110" s="220" t="e">
        <v>#N/A</v>
      </c>
      <c r="B110" s="960" t="s">
        <v>20</v>
      </c>
      <c r="C110" s="960" t="s">
        <v>2530</v>
      </c>
      <c r="D110" s="960" t="s">
        <v>2531</v>
      </c>
      <c r="E110" s="964">
        <v>260</v>
      </c>
      <c r="F110" s="960" t="s">
        <v>18</v>
      </c>
      <c r="G110" s="960" t="s">
        <v>18</v>
      </c>
      <c r="H110" s="960" t="s">
        <v>257</v>
      </c>
      <c r="I110" s="960" t="s">
        <v>257</v>
      </c>
      <c r="J110" s="961">
        <v>380.84042307692306</v>
      </c>
      <c r="K110" s="960" t="s">
        <v>459</v>
      </c>
      <c r="L110" s="961">
        <v>391.69</v>
      </c>
      <c r="M110" s="960" t="s">
        <v>459</v>
      </c>
      <c r="N110" s="961">
        <v>101839.4</v>
      </c>
      <c r="O110" s="961">
        <v>0</v>
      </c>
      <c r="P110" s="962">
        <v>2.8488511895402184E-2</v>
      </c>
      <c r="Q110" s="961">
        <v>2820.89</v>
      </c>
      <c r="R110" s="961">
        <v>101839.4</v>
      </c>
      <c r="S110" s="962">
        <v>2.4438743086411573E-3</v>
      </c>
      <c r="U110"/>
      <c r="V110"/>
      <c r="W110"/>
      <c r="X110"/>
    </row>
    <row r="111" spans="1:36" x14ac:dyDescent="0.25">
      <c r="A111" s="220" t="e">
        <v>#N/A</v>
      </c>
      <c r="B111" s="960" t="s">
        <v>20</v>
      </c>
      <c r="C111" s="960" t="s">
        <v>2532</v>
      </c>
      <c r="D111" s="960" t="s">
        <v>2533</v>
      </c>
      <c r="E111" s="964">
        <v>4000</v>
      </c>
      <c r="F111" s="960" t="s">
        <v>18</v>
      </c>
      <c r="G111" s="960" t="s">
        <v>18</v>
      </c>
      <c r="H111" s="960" t="s">
        <v>257</v>
      </c>
      <c r="I111" s="960" t="s">
        <v>257</v>
      </c>
      <c r="J111" s="961">
        <v>24.8058525</v>
      </c>
      <c r="K111" s="960" t="s">
        <v>459</v>
      </c>
      <c r="L111" s="961">
        <v>24.565000000000001</v>
      </c>
      <c r="M111" s="960" t="s">
        <v>459</v>
      </c>
      <c r="N111" s="961">
        <v>98260</v>
      </c>
      <c r="O111" s="961">
        <v>0</v>
      </c>
      <c r="P111" s="962">
        <v>-9.7095030295773956E-3</v>
      </c>
      <c r="Q111" s="961">
        <v>-963.41</v>
      </c>
      <c r="R111" s="961">
        <v>98260</v>
      </c>
      <c r="S111" s="962">
        <v>2.3579782438533621E-3</v>
      </c>
      <c r="U111"/>
      <c r="V111"/>
      <c r="W111"/>
      <c r="X111"/>
    </row>
    <row r="112" spans="1:36" x14ac:dyDescent="0.25">
      <c r="A112" s="220" t="e">
        <v>#N/A</v>
      </c>
      <c r="B112" s="960" t="s">
        <v>20</v>
      </c>
      <c r="C112" s="960" t="s">
        <v>2437</v>
      </c>
      <c r="D112" s="960" t="s">
        <v>2438</v>
      </c>
      <c r="E112" s="964">
        <v>1750</v>
      </c>
      <c r="F112" s="960" t="s">
        <v>18</v>
      </c>
      <c r="G112" s="960" t="s">
        <v>18</v>
      </c>
      <c r="H112" s="960" t="s">
        <v>257</v>
      </c>
      <c r="I112" s="960" t="s">
        <v>257</v>
      </c>
      <c r="J112" s="961">
        <v>171.80737714285715</v>
      </c>
      <c r="K112" s="960" t="s">
        <v>459</v>
      </c>
      <c r="L112" s="961">
        <v>172.5</v>
      </c>
      <c r="M112" s="960" t="s">
        <v>459</v>
      </c>
      <c r="N112" s="961">
        <v>301875</v>
      </c>
      <c r="O112" s="961">
        <v>0</v>
      </c>
      <c r="P112" s="962">
        <v>4.0313918334655913E-3</v>
      </c>
      <c r="Q112" s="961">
        <v>1212.0899999999999</v>
      </c>
      <c r="R112" s="961">
        <v>301875</v>
      </c>
      <c r="S112" s="962">
        <v>7.2441958310933618E-3</v>
      </c>
      <c r="U112"/>
      <c r="V112"/>
      <c r="W112"/>
      <c r="X112"/>
    </row>
    <row r="113" spans="1:36" x14ac:dyDescent="0.25">
      <c r="A113" s="220" t="e">
        <v>#N/A</v>
      </c>
      <c r="B113" s="960" t="s">
        <v>20</v>
      </c>
      <c r="C113" s="960" t="s">
        <v>2349</v>
      </c>
      <c r="D113" s="960" t="s">
        <v>2350</v>
      </c>
      <c r="E113" s="964">
        <v>57900</v>
      </c>
      <c r="F113" s="960" t="s">
        <v>18</v>
      </c>
      <c r="G113" s="960" t="s">
        <v>18</v>
      </c>
      <c r="H113" s="960" t="s">
        <v>257</v>
      </c>
      <c r="I113" s="960" t="s">
        <v>257</v>
      </c>
      <c r="J113" s="961">
        <v>17.300523316062176</v>
      </c>
      <c r="K113" s="960" t="s">
        <v>459</v>
      </c>
      <c r="L113" s="961">
        <v>18.0975</v>
      </c>
      <c r="M113" s="960" t="s">
        <v>459</v>
      </c>
      <c r="N113" s="961">
        <v>1047845.25</v>
      </c>
      <c r="O113" s="961">
        <v>0</v>
      </c>
      <c r="P113" s="962">
        <v>4.6066622921047344E-2</v>
      </c>
      <c r="Q113" s="961">
        <v>46144.95</v>
      </c>
      <c r="R113" s="961">
        <v>1047845.25</v>
      </c>
      <c r="S113" s="962">
        <v>2.514549463082727E-2</v>
      </c>
      <c r="U113"/>
      <c r="V113"/>
      <c r="W113"/>
      <c r="X113"/>
    </row>
    <row r="114" spans="1:36" s="22" customFormat="1" x14ac:dyDescent="0.25">
      <c r="A114" s="220" t="e">
        <v>#N/A</v>
      </c>
      <c r="B114" s="960" t="s">
        <v>20</v>
      </c>
      <c r="C114" s="960" t="s">
        <v>1187</v>
      </c>
      <c r="D114" s="960" t="s">
        <v>1188</v>
      </c>
      <c r="E114" s="964">
        <v>9735</v>
      </c>
      <c r="F114" s="960" t="s">
        <v>21</v>
      </c>
      <c r="G114" s="960" t="s">
        <v>21</v>
      </c>
      <c r="H114" s="960" t="s">
        <v>257</v>
      </c>
      <c r="I114" s="960" t="s">
        <v>257</v>
      </c>
      <c r="J114" s="961">
        <v>30.737857216230097</v>
      </c>
      <c r="K114" s="963">
        <v>1.1657</v>
      </c>
      <c r="L114" s="961">
        <v>35.14</v>
      </c>
      <c r="M114" s="963">
        <v>1.1762999999999999</v>
      </c>
      <c r="N114" s="961">
        <v>342087.9</v>
      </c>
      <c r="O114" s="961">
        <v>0</v>
      </c>
      <c r="P114" s="962">
        <v>0.15359542416849684</v>
      </c>
      <c r="Q114" s="961">
        <v>53575.09</v>
      </c>
      <c r="R114" s="961">
        <v>402381.64</v>
      </c>
      <c r="S114" s="962">
        <v>9.6560874500919592E-3</v>
      </c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</row>
    <row r="115" spans="1:36" s="22" customFormat="1" x14ac:dyDescent="0.2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 s="7"/>
      <c r="Q115"/>
      <c r="R115"/>
      <c r="S115"/>
      <c r="T115"/>
      <c r="U115" s="17"/>
      <c r="V115" s="17"/>
      <c r="W115" s="17"/>
      <c r="X115" s="17"/>
      <c r="Y115"/>
      <c r="Z115"/>
      <c r="AA115"/>
      <c r="AB115"/>
      <c r="AC115"/>
      <c r="AD115"/>
      <c r="AE115"/>
      <c r="AF115"/>
      <c r="AG115"/>
      <c r="AH115"/>
      <c r="AI115"/>
      <c r="AJ115"/>
    </row>
    <row r="116" spans="1:36" s="22" customFormat="1" x14ac:dyDescent="0.25">
      <c r="A116" s="656" t="s">
        <v>232</v>
      </c>
      <c r="B116" s="960" t="s">
        <v>375</v>
      </c>
      <c r="C116" s="960" t="s">
        <v>228</v>
      </c>
      <c r="D116" s="960" t="s">
        <v>230</v>
      </c>
      <c r="E116" s="960" t="s">
        <v>232</v>
      </c>
      <c r="F116" s="960" t="s">
        <v>231</v>
      </c>
      <c r="G116" s="960" t="s">
        <v>482</v>
      </c>
      <c r="H116" s="960" t="s">
        <v>236</v>
      </c>
      <c r="I116" s="960" t="s">
        <v>483</v>
      </c>
      <c r="J116" s="960" t="s">
        <v>240</v>
      </c>
      <c r="K116" s="960" t="s">
        <v>376</v>
      </c>
      <c r="L116" s="960" t="s">
        <v>243</v>
      </c>
      <c r="M116" s="960" t="s">
        <v>376</v>
      </c>
      <c r="N116" s="960" t="s">
        <v>484</v>
      </c>
      <c r="O116" s="960" t="s">
        <v>485</v>
      </c>
      <c r="P116" s="960" t="s">
        <v>486</v>
      </c>
      <c r="Q116" s="960" t="s">
        <v>487</v>
      </c>
      <c r="R116" s="960" t="s">
        <v>246</v>
      </c>
      <c r="S116" s="960" t="s">
        <v>488</v>
      </c>
    </row>
    <row r="117" spans="1:36" s="22" customFormat="1" x14ac:dyDescent="0.25">
      <c r="A117" s="656" t="e">
        <v>#N/A</v>
      </c>
      <c r="B117" s="960" t="s">
        <v>20</v>
      </c>
      <c r="C117" s="960" t="s">
        <v>861</v>
      </c>
      <c r="D117" s="960" t="s">
        <v>862</v>
      </c>
      <c r="E117" s="964">
        <v>6500</v>
      </c>
      <c r="F117" s="960" t="s">
        <v>2266</v>
      </c>
      <c r="G117" s="960" t="s">
        <v>19</v>
      </c>
      <c r="H117" s="960" t="s">
        <v>257</v>
      </c>
      <c r="I117" s="960" t="s">
        <v>257</v>
      </c>
      <c r="J117" s="961">
        <v>19.22484153846154</v>
      </c>
      <c r="K117" s="963">
        <v>1.3509</v>
      </c>
      <c r="L117" s="961">
        <v>27.48</v>
      </c>
      <c r="M117" s="963">
        <v>1.3454999999999999</v>
      </c>
      <c r="N117" s="961">
        <v>178620</v>
      </c>
      <c r="O117" s="961">
        <v>0</v>
      </c>
      <c r="P117" s="962">
        <v>0.42364372017793306</v>
      </c>
      <c r="Q117" s="961">
        <v>71515.11</v>
      </c>
      <c r="R117" s="961">
        <v>240324.67</v>
      </c>
      <c r="S117" s="962">
        <v>1.3536670381507004E-2</v>
      </c>
    </row>
    <row r="118" spans="1:36" s="22" customFormat="1" x14ac:dyDescent="0.25">
      <c r="A118" s="220" t="e">
        <v>#N/A</v>
      </c>
      <c r="B118" s="960" t="s">
        <v>20</v>
      </c>
      <c r="C118" s="960" t="s">
        <v>1083</v>
      </c>
      <c r="D118" s="960" t="s">
        <v>1084</v>
      </c>
      <c r="E118" s="964">
        <v>3250</v>
      </c>
      <c r="F118" s="960" t="s">
        <v>18</v>
      </c>
      <c r="G118" s="960" t="s">
        <v>18</v>
      </c>
      <c r="H118" s="960" t="s">
        <v>257</v>
      </c>
      <c r="I118" s="960" t="s">
        <v>257</v>
      </c>
      <c r="J118" s="961">
        <v>46.235852307692305</v>
      </c>
      <c r="K118" s="960" t="s">
        <v>459</v>
      </c>
      <c r="L118" s="961">
        <v>60.3</v>
      </c>
      <c r="M118" s="960" t="s">
        <v>459</v>
      </c>
      <c r="N118" s="961">
        <v>195975</v>
      </c>
      <c r="O118" s="961">
        <v>0</v>
      </c>
      <c r="P118" s="962">
        <v>0.30418272812866098</v>
      </c>
      <c r="Q118" s="961">
        <v>45708.480000000003</v>
      </c>
      <c r="R118" s="961">
        <v>195975</v>
      </c>
      <c r="S118" s="962">
        <v>1.1038604476252207E-2</v>
      </c>
    </row>
    <row r="119" spans="1:36" s="22" customFormat="1" x14ac:dyDescent="0.25">
      <c r="A119" s="220" t="e">
        <v>#N/A</v>
      </c>
      <c r="B119" s="960" t="s">
        <v>20</v>
      </c>
      <c r="C119" s="960" t="s">
        <v>2403</v>
      </c>
      <c r="D119" s="960" t="s">
        <v>2404</v>
      </c>
      <c r="E119" s="964">
        <v>23400</v>
      </c>
      <c r="F119" s="960" t="s">
        <v>21</v>
      </c>
      <c r="G119" s="960" t="s">
        <v>21</v>
      </c>
      <c r="H119" s="960" t="s">
        <v>257</v>
      </c>
      <c r="I119" s="960" t="s">
        <v>257</v>
      </c>
      <c r="J119" s="961">
        <v>17.301253418803419</v>
      </c>
      <c r="K119" s="965">
        <v>1.179</v>
      </c>
      <c r="L119" s="961">
        <v>18.638000000000002</v>
      </c>
      <c r="M119" s="963">
        <v>1.1762999999999999</v>
      </c>
      <c r="N119" s="961">
        <v>436129.2</v>
      </c>
      <c r="O119" s="961">
        <v>0</v>
      </c>
      <c r="P119" s="962">
        <v>7.4765270208502585E-2</v>
      </c>
      <c r="Q119" s="961">
        <v>35686.33</v>
      </c>
      <c r="R119" s="961">
        <v>512997.92</v>
      </c>
      <c r="S119" s="962">
        <v>2.889542613098646E-2</v>
      </c>
    </row>
    <row r="120" spans="1:36" s="22" customFormat="1" x14ac:dyDescent="0.25">
      <c r="A120" s="220" t="e">
        <v>#N/A</v>
      </c>
      <c r="B120" s="960" t="s">
        <v>20</v>
      </c>
      <c r="C120" s="960" t="s">
        <v>1057</v>
      </c>
      <c r="D120" s="960" t="s">
        <v>1058</v>
      </c>
      <c r="E120" s="964">
        <v>12950</v>
      </c>
      <c r="F120" s="960" t="s">
        <v>18</v>
      </c>
      <c r="G120" s="960" t="s">
        <v>18</v>
      </c>
      <c r="H120" s="960" t="s">
        <v>257</v>
      </c>
      <c r="I120" s="960" t="s">
        <v>257</v>
      </c>
      <c r="J120" s="961">
        <v>38.720798455598455</v>
      </c>
      <c r="K120" s="960" t="s">
        <v>459</v>
      </c>
      <c r="L120" s="961">
        <v>62.57</v>
      </c>
      <c r="M120" s="960" t="s">
        <v>459</v>
      </c>
      <c r="N120" s="961">
        <v>810281.5</v>
      </c>
      <c r="O120" s="961">
        <v>0</v>
      </c>
      <c r="P120" s="962">
        <v>0.61592742132499334</v>
      </c>
      <c r="Q120" s="961">
        <v>308847.15999999997</v>
      </c>
      <c r="R120" s="961">
        <v>810281.5</v>
      </c>
      <c r="S120" s="962">
        <v>4.5640397973845406E-2</v>
      </c>
    </row>
    <row r="121" spans="1:36" s="22" customFormat="1" x14ac:dyDescent="0.25">
      <c r="A121" s="220" t="e">
        <v>#N/A</v>
      </c>
      <c r="B121" s="960" t="s">
        <v>20</v>
      </c>
      <c r="C121" s="960" t="s">
        <v>863</v>
      </c>
      <c r="D121" s="960" t="s">
        <v>864</v>
      </c>
      <c r="E121" s="964">
        <v>37000</v>
      </c>
      <c r="F121" s="960" t="s">
        <v>19</v>
      </c>
      <c r="G121" s="960" t="s">
        <v>19</v>
      </c>
      <c r="H121" s="960" t="s">
        <v>257</v>
      </c>
      <c r="I121" s="960" t="s">
        <v>257</v>
      </c>
      <c r="J121" s="961">
        <v>3.0100881081081079</v>
      </c>
      <c r="K121" s="963">
        <v>1.3509</v>
      </c>
      <c r="L121" s="961">
        <v>5.05</v>
      </c>
      <c r="M121" s="963">
        <v>1.3454999999999999</v>
      </c>
      <c r="N121" s="961">
        <v>186850</v>
      </c>
      <c r="O121" s="961">
        <v>0</v>
      </c>
      <c r="P121" s="962">
        <v>0.67093969800916442</v>
      </c>
      <c r="Q121" s="961">
        <v>100944.83</v>
      </c>
      <c r="R121" s="961">
        <v>251397.74</v>
      </c>
      <c r="S121" s="962">
        <v>1.4160378711997389E-2</v>
      </c>
    </row>
    <row r="122" spans="1:36" s="22" customFormat="1" x14ac:dyDescent="0.25">
      <c r="A122" s="220" t="e">
        <v>#N/A</v>
      </c>
      <c r="B122" s="960" t="s">
        <v>20</v>
      </c>
      <c r="C122" s="960" t="s">
        <v>1085</v>
      </c>
      <c r="D122" s="960" t="s">
        <v>1086</v>
      </c>
      <c r="E122" s="964">
        <v>1700</v>
      </c>
      <c r="F122" s="960" t="s">
        <v>18</v>
      </c>
      <c r="G122" s="960" t="s">
        <v>18</v>
      </c>
      <c r="H122" s="960" t="s">
        <v>257</v>
      </c>
      <c r="I122" s="960" t="s">
        <v>257</v>
      </c>
      <c r="J122" s="961">
        <v>88.357841176470586</v>
      </c>
      <c r="K122" s="960" t="s">
        <v>459</v>
      </c>
      <c r="L122" s="961">
        <v>121.86</v>
      </c>
      <c r="M122" s="960" t="s">
        <v>459</v>
      </c>
      <c r="N122" s="961">
        <v>207162</v>
      </c>
      <c r="O122" s="961">
        <v>0</v>
      </c>
      <c r="P122" s="962">
        <v>0.37916452436426129</v>
      </c>
      <c r="Q122" s="961">
        <v>56953.67</v>
      </c>
      <c r="R122" s="961">
        <v>207162</v>
      </c>
      <c r="S122" s="962">
        <v>1.166873009572323E-2</v>
      </c>
    </row>
    <row r="123" spans="1:36" s="22" customFormat="1" x14ac:dyDescent="0.25">
      <c r="A123" s="220" t="e">
        <v>#N/A</v>
      </c>
      <c r="B123" s="960" t="s">
        <v>20</v>
      </c>
      <c r="C123" s="960" t="s">
        <v>2516</v>
      </c>
      <c r="D123" s="960" t="s">
        <v>2517</v>
      </c>
      <c r="E123" s="965">
        <v>8833.9220000000005</v>
      </c>
      <c r="F123" s="960" t="s">
        <v>18</v>
      </c>
      <c r="G123" s="960" t="s">
        <v>18</v>
      </c>
      <c r="H123" s="960" t="s">
        <v>257</v>
      </c>
      <c r="I123" s="960" t="s">
        <v>257</v>
      </c>
      <c r="J123" s="961">
        <v>34.010939874723817</v>
      </c>
      <c r="K123" s="960" t="s">
        <v>459</v>
      </c>
      <c r="L123" s="961">
        <v>33.9</v>
      </c>
      <c r="M123" s="960" t="s">
        <v>459</v>
      </c>
      <c r="N123" s="961">
        <v>299469.96000000002</v>
      </c>
      <c r="O123" s="961">
        <v>0</v>
      </c>
      <c r="P123" s="962">
        <v>-3.2618739644491249E-3</v>
      </c>
      <c r="Q123" s="961">
        <v>-980.03</v>
      </c>
      <c r="R123" s="961">
        <v>299469.96000000002</v>
      </c>
      <c r="S123" s="962">
        <v>1.6868123183870747E-2</v>
      </c>
    </row>
    <row r="124" spans="1:36" s="22" customFormat="1" x14ac:dyDescent="0.25">
      <c r="A124" s="220" t="e">
        <v>#N/A</v>
      </c>
      <c r="B124" s="960" t="s">
        <v>20</v>
      </c>
      <c r="C124" s="960" t="s">
        <v>2405</v>
      </c>
      <c r="D124" s="960" t="s">
        <v>2406</v>
      </c>
      <c r="E124" s="964">
        <v>7850</v>
      </c>
      <c r="F124" s="960" t="s">
        <v>21</v>
      </c>
      <c r="G124" s="960" t="s">
        <v>21</v>
      </c>
      <c r="H124" s="960" t="s">
        <v>257</v>
      </c>
      <c r="I124" s="960" t="s">
        <v>257</v>
      </c>
      <c r="J124" s="961">
        <v>51.0180127388535</v>
      </c>
      <c r="K124" s="963">
        <v>1.1791</v>
      </c>
      <c r="L124" s="961">
        <v>55.85</v>
      </c>
      <c r="M124" s="963">
        <v>1.1762999999999999</v>
      </c>
      <c r="N124" s="961">
        <v>438422.5</v>
      </c>
      <c r="O124" s="961">
        <v>0</v>
      </c>
      <c r="P124" s="962">
        <v>9.2091560482037454E-2</v>
      </c>
      <c r="Q124" s="961">
        <v>43486.46</v>
      </c>
      <c r="R124" s="961">
        <v>515695.42</v>
      </c>
      <c r="S124" s="962">
        <v>2.9047367121289767E-2</v>
      </c>
    </row>
    <row r="125" spans="1:36" s="22" customFormat="1" x14ac:dyDescent="0.25">
      <c r="A125" s="220" t="e">
        <v>#N/A</v>
      </c>
      <c r="B125" s="960" t="s">
        <v>20</v>
      </c>
      <c r="C125" s="960" t="s">
        <v>1087</v>
      </c>
      <c r="D125" s="960" t="s">
        <v>1088</v>
      </c>
      <c r="E125" s="964">
        <v>12105</v>
      </c>
      <c r="F125" s="960" t="s">
        <v>18</v>
      </c>
      <c r="G125" s="960" t="s">
        <v>18</v>
      </c>
      <c r="H125" s="960" t="s">
        <v>257</v>
      </c>
      <c r="I125" s="960" t="s">
        <v>257</v>
      </c>
      <c r="J125" s="961">
        <v>24.789320115654689</v>
      </c>
      <c r="K125" s="960" t="s">
        <v>459</v>
      </c>
      <c r="L125" s="961">
        <v>26.86</v>
      </c>
      <c r="M125" s="960" t="s">
        <v>459</v>
      </c>
      <c r="N125" s="961">
        <v>325140.3</v>
      </c>
      <c r="O125" s="961">
        <v>0</v>
      </c>
      <c r="P125" s="962">
        <v>8.3531128513591554E-2</v>
      </c>
      <c r="Q125" s="961">
        <v>25065.58</v>
      </c>
      <c r="R125" s="961">
        <v>325140.3</v>
      </c>
      <c r="S125" s="962">
        <v>1.8314046031330453E-2</v>
      </c>
    </row>
    <row r="126" spans="1:36" s="22" customFormat="1" x14ac:dyDescent="0.25">
      <c r="A126" s="220" t="e">
        <v>#N/A</v>
      </c>
      <c r="B126" s="960" t="s">
        <v>20</v>
      </c>
      <c r="C126" s="960" t="s">
        <v>2407</v>
      </c>
      <c r="D126" s="960" t="s">
        <v>2408</v>
      </c>
      <c r="E126" s="964">
        <v>24913</v>
      </c>
      <c r="F126" s="960" t="s">
        <v>21</v>
      </c>
      <c r="G126" s="960" t="s">
        <v>21</v>
      </c>
      <c r="H126" s="960" t="s">
        <v>257</v>
      </c>
      <c r="I126" s="960" t="s">
        <v>257</v>
      </c>
      <c r="J126" s="961">
        <v>16.307437081042025</v>
      </c>
      <c r="K126" s="963">
        <v>1.1792</v>
      </c>
      <c r="L126" s="961">
        <v>18.14</v>
      </c>
      <c r="M126" s="963">
        <v>1.1762999999999999</v>
      </c>
      <c r="N126" s="961">
        <v>451921.82</v>
      </c>
      <c r="O126" s="961">
        <v>0</v>
      </c>
      <c r="P126" s="962">
        <v>0.10959640925743354</v>
      </c>
      <c r="Q126" s="961">
        <v>52504.32</v>
      </c>
      <c r="R126" s="961">
        <v>531574.03</v>
      </c>
      <c r="S126" s="962">
        <v>2.994175515763452E-2</v>
      </c>
    </row>
    <row r="127" spans="1:36" x14ac:dyDescent="0.25">
      <c r="A127" s="220" t="e">
        <v>#N/A</v>
      </c>
      <c r="B127" s="960" t="s">
        <v>20</v>
      </c>
      <c r="C127" s="960" t="s">
        <v>2518</v>
      </c>
      <c r="D127" s="960" t="s">
        <v>2519</v>
      </c>
      <c r="E127" s="964">
        <v>12550</v>
      </c>
      <c r="F127" s="960" t="s">
        <v>21</v>
      </c>
      <c r="G127" s="960" t="s">
        <v>21</v>
      </c>
      <c r="H127" s="960" t="s">
        <v>257</v>
      </c>
      <c r="I127" s="960" t="s">
        <v>257</v>
      </c>
      <c r="J127" s="961">
        <v>0</v>
      </c>
      <c r="K127" s="960" t="s">
        <v>257</v>
      </c>
      <c r="L127" s="960" t="s">
        <v>257</v>
      </c>
      <c r="M127" s="963">
        <v>1.1762999999999999</v>
      </c>
      <c r="N127" s="961">
        <v>0</v>
      </c>
      <c r="O127" s="961">
        <v>0</v>
      </c>
      <c r="P127" s="960" t="s">
        <v>257</v>
      </c>
      <c r="Q127" s="960" t="s">
        <v>257</v>
      </c>
      <c r="R127" s="961">
        <v>0</v>
      </c>
      <c r="S127" s="962">
        <v>0</v>
      </c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</row>
    <row r="128" spans="1:36" x14ac:dyDescent="0.25">
      <c r="A128" s="220" t="e">
        <v>#N/A</v>
      </c>
      <c r="B128" s="960" t="s">
        <v>20</v>
      </c>
      <c r="C128" s="960" t="s">
        <v>865</v>
      </c>
      <c r="D128" s="960" t="s">
        <v>866</v>
      </c>
      <c r="E128" s="964">
        <v>2600</v>
      </c>
      <c r="F128" s="960" t="s">
        <v>19</v>
      </c>
      <c r="G128" s="960" t="s">
        <v>19</v>
      </c>
      <c r="H128" s="960" t="s">
        <v>257</v>
      </c>
      <c r="I128" s="960" t="s">
        <v>257</v>
      </c>
      <c r="J128" s="961">
        <v>45.134223076923078</v>
      </c>
      <c r="K128" s="963">
        <v>1.3509</v>
      </c>
      <c r="L128" s="961">
        <v>71.180000000000007</v>
      </c>
      <c r="M128" s="963">
        <v>1.3454999999999999</v>
      </c>
      <c r="N128" s="961">
        <v>185068</v>
      </c>
      <c r="O128" s="961">
        <v>0</v>
      </c>
      <c r="P128" s="962">
        <v>0.57071219012595398</v>
      </c>
      <c r="Q128" s="961">
        <v>90473.24</v>
      </c>
      <c r="R128" s="961">
        <v>249000.15</v>
      </c>
      <c r="S128" s="962">
        <v>1.4025330630832868E-2</v>
      </c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</row>
    <row r="129" spans="1:24" x14ac:dyDescent="0.25">
      <c r="A129" s="220" t="e">
        <v>#N/A</v>
      </c>
      <c r="B129" s="960" t="s">
        <v>20</v>
      </c>
      <c r="C129" s="960" t="s">
        <v>2409</v>
      </c>
      <c r="D129" s="960" t="s">
        <v>2410</v>
      </c>
      <c r="E129" s="964">
        <v>12550</v>
      </c>
      <c r="F129" s="960" t="s">
        <v>21</v>
      </c>
      <c r="G129" s="960" t="s">
        <v>21</v>
      </c>
      <c r="H129" s="960" t="s">
        <v>257</v>
      </c>
      <c r="I129" s="960" t="s">
        <v>257</v>
      </c>
      <c r="J129" s="961">
        <v>32.254486852589643</v>
      </c>
      <c r="K129" s="963">
        <v>1.1791</v>
      </c>
      <c r="L129" s="961">
        <v>33.725000000000001</v>
      </c>
      <c r="M129" s="963">
        <v>1.1762999999999999</v>
      </c>
      <c r="N129" s="961">
        <v>423248.75</v>
      </c>
      <c r="O129" s="961">
        <v>0</v>
      </c>
      <c r="P129" s="962">
        <v>4.3083405458420446E-2</v>
      </c>
      <c r="Q129" s="961">
        <v>20563.03</v>
      </c>
      <c r="R129" s="961">
        <v>497847.26</v>
      </c>
      <c r="S129" s="962">
        <v>2.804204103955044E-2</v>
      </c>
      <c r="U129"/>
      <c r="V129"/>
      <c r="W129"/>
      <c r="X129"/>
    </row>
    <row r="130" spans="1:24" x14ac:dyDescent="0.25">
      <c r="A130" s="220" t="e">
        <v>#N/A</v>
      </c>
      <c r="B130" s="960" t="s">
        <v>20</v>
      </c>
      <c r="C130" s="960" t="s">
        <v>2411</v>
      </c>
      <c r="D130" s="960" t="s">
        <v>2412</v>
      </c>
      <c r="E130" s="964">
        <v>6730</v>
      </c>
      <c r="F130" s="960" t="s">
        <v>21</v>
      </c>
      <c r="G130" s="960" t="s">
        <v>21</v>
      </c>
      <c r="H130" s="960" t="s">
        <v>257</v>
      </c>
      <c r="I130" s="960" t="s">
        <v>257</v>
      </c>
      <c r="J130" s="961">
        <v>60.593699851411593</v>
      </c>
      <c r="K130" s="965">
        <v>1.179</v>
      </c>
      <c r="L130" s="961">
        <v>66.53</v>
      </c>
      <c r="M130" s="963">
        <v>1.1762999999999999</v>
      </c>
      <c r="N130" s="961">
        <v>447746.9</v>
      </c>
      <c r="O130" s="961">
        <v>0</v>
      </c>
      <c r="P130" s="962">
        <v>9.5398997116925913E-2</v>
      </c>
      <c r="Q130" s="961">
        <v>45867.44</v>
      </c>
      <c r="R130" s="961">
        <v>526663.27</v>
      </c>
      <c r="S130" s="962">
        <v>2.9665148767442914E-2</v>
      </c>
      <c r="U130"/>
      <c r="V130"/>
      <c r="W130"/>
      <c r="X130"/>
    </row>
    <row r="131" spans="1:24" x14ac:dyDescent="0.25">
      <c r="A131" s="220" t="e">
        <v>#N/A</v>
      </c>
      <c r="B131" s="960" t="s">
        <v>20</v>
      </c>
      <c r="C131" s="960" t="s">
        <v>2520</v>
      </c>
      <c r="D131" s="960" t="s">
        <v>2521</v>
      </c>
      <c r="E131" s="964">
        <v>625</v>
      </c>
      <c r="F131" s="960" t="s">
        <v>24</v>
      </c>
      <c r="G131" s="960" t="s">
        <v>24</v>
      </c>
      <c r="H131" s="960" t="s">
        <v>257</v>
      </c>
      <c r="I131" s="960" t="s">
        <v>257</v>
      </c>
      <c r="J131" s="961">
        <v>317.85884800000002</v>
      </c>
      <c r="K131" s="963">
        <v>0.77380000000000004</v>
      </c>
      <c r="L131" s="961">
        <v>319.39999999999998</v>
      </c>
      <c r="M131" s="963">
        <v>0.77569999999999995</v>
      </c>
      <c r="N131" s="961">
        <v>199625</v>
      </c>
      <c r="O131" s="961">
        <v>0</v>
      </c>
      <c r="P131" s="962">
        <v>2.5166454553840097E-3</v>
      </c>
      <c r="Q131" s="961">
        <v>646.07000000000005</v>
      </c>
      <c r="R131" s="961">
        <v>257364.79</v>
      </c>
      <c r="S131" s="962">
        <v>1.4496482321335425E-2</v>
      </c>
      <c r="U131"/>
      <c r="V131"/>
      <c r="W131"/>
      <c r="X131"/>
    </row>
    <row r="132" spans="1:24" x14ac:dyDescent="0.25">
      <c r="A132" s="220" t="e">
        <v>#N/A</v>
      </c>
      <c r="B132" s="960" t="s">
        <v>20</v>
      </c>
      <c r="C132" s="960" t="s">
        <v>2522</v>
      </c>
      <c r="D132" s="960" t="s">
        <v>2523</v>
      </c>
      <c r="E132" s="964">
        <v>2140</v>
      </c>
      <c r="F132" s="960" t="s">
        <v>24</v>
      </c>
      <c r="G132" s="960" t="s">
        <v>24</v>
      </c>
      <c r="H132" s="960" t="s">
        <v>257</v>
      </c>
      <c r="I132" s="960" t="s">
        <v>257</v>
      </c>
      <c r="J132" s="961">
        <v>140.39432710280374</v>
      </c>
      <c r="K132" s="963">
        <v>0.77390000000000003</v>
      </c>
      <c r="L132" s="961">
        <v>140.62</v>
      </c>
      <c r="M132" s="963">
        <v>0.77569999999999995</v>
      </c>
      <c r="N132" s="961">
        <v>300926.8</v>
      </c>
      <c r="O132" s="961">
        <v>0</v>
      </c>
      <c r="P132" s="962">
        <v>-7.1694308963192368E-4</v>
      </c>
      <c r="Q132" s="961">
        <v>-278.35000000000002</v>
      </c>
      <c r="R132" s="961">
        <v>387967.25</v>
      </c>
      <c r="S132" s="962">
        <v>2.1852874205838802E-2</v>
      </c>
      <c r="U132"/>
      <c r="V132"/>
      <c r="W132"/>
      <c r="X132"/>
    </row>
    <row r="133" spans="1:24" x14ac:dyDescent="0.25">
      <c r="A133" s="220" t="e">
        <v>#N/A</v>
      </c>
      <c r="B133" s="960" t="s">
        <v>20</v>
      </c>
      <c r="C133" s="960" t="s">
        <v>2267</v>
      </c>
      <c r="D133" s="960" t="s">
        <v>2268</v>
      </c>
      <c r="E133" s="964">
        <v>38725</v>
      </c>
      <c r="F133" s="960" t="s">
        <v>458</v>
      </c>
      <c r="G133" s="960" t="s">
        <v>18</v>
      </c>
      <c r="H133" s="960" t="s">
        <v>257</v>
      </c>
      <c r="I133" s="960" t="s">
        <v>257</v>
      </c>
      <c r="J133" s="961">
        <v>12.946720723047127</v>
      </c>
      <c r="K133" s="960" t="s">
        <v>459</v>
      </c>
      <c r="L133" s="961">
        <v>16.100000000000001</v>
      </c>
      <c r="M133" s="960" t="s">
        <v>459</v>
      </c>
      <c r="N133" s="961">
        <v>623472.5</v>
      </c>
      <c r="O133" s="961">
        <v>0</v>
      </c>
      <c r="P133" s="962">
        <v>0.24355814452223082</v>
      </c>
      <c r="Q133" s="961">
        <v>122110.74</v>
      </c>
      <c r="R133" s="961">
        <v>623472.5</v>
      </c>
      <c r="S133" s="962">
        <v>3.5118083068351347E-2</v>
      </c>
      <c r="U133"/>
      <c r="V133"/>
      <c r="W133"/>
      <c r="X133"/>
    </row>
    <row r="138" spans="1:24" x14ac:dyDescent="0.25">
      <c r="C138" s="960" t="s">
        <v>2524</v>
      </c>
      <c r="D138" s="960" t="s">
        <v>2525</v>
      </c>
      <c r="E138" t="s">
        <v>18</v>
      </c>
      <c r="F138">
        <f>VLOOKUP(D138,$D$21:$I$72,6,0)</f>
        <v>8950</v>
      </c>
      <c r="H138" s="418" t="s">
        <v>557</v>
      </c>
      <c r="I138">
        <f t="shared" ref="I138:I185" si="1">VLOOKUP(H138,$D$82:$M$134,2,0)</f>
        <v>5075</v>
      </c>
      <c r="J138">
        <f t="shared" ref="J138:J185" si="2">VLOOKUP(H138,$D$82:$M$134,7,0)</f>
        <v>47.129972413793105</v>
      </c>
      <c r="K138">
        <f t="shared" ref="K138:K185" si="3">VLOOKUP(H138,$D$82:$M$134,9,0)</f>
        <v>119.03</v>
      </c>
    </row>
    <row r="139" spans="1:24" x14ac:dyDescent="0.25">
      <c r="C139" s="960" t="s">
        <v>2339</v>
      </c>
      <c r="D139" s="960" t="s">
        <v>2340</v>
      </c>
      <c r="E139" t="s">
        <v>21</v>
      </c>
      <c r="F139">
        <f t="shared" ref="F139:F188" si="4">VLOOKUP(D139,$D$21:$I$72,6,0)</f>
        <v>6520</v>
      </c>
      <c r="H139" s="672" t="s">
        <v>196</v>
      </c>
      <c r="I139" t="e">
        <f t="shared" si="1"/>
        <v>#N/A</v>
      </c>
      <c r="J139" t="e">
        <f t="shared" si="2"/>
        <v>#N/A</v>
      </c>
      <c r="K139" t="e">
        <f t="shared" si="3"/>
        <v>#N/A</v>
      </c>
    </row>
    <row r="140" spans="1:24" x14ac:dyDescent="0.25">
      <c r="C140" s="960" t="s">
        <v>2526</v>
      </c>
      <c r="D140" s="960" t="s">
        <v>2527</v>
      </c>
      <c r="E140" t="s">
        <v>18</v>
      </c>
      <c r="F140">
        <f t="shared" si="4"/>
        <v>4400</v>
      </c>
      <c r="H140" s="672" t="s">
        <v>196</v>
      </c>
      <c r="I140" t="e">
        <f t="shared" si="1"/>
        <v>#N/A</v>
      </c>
      <c r="J140" t="e">
        <f t="shared" si="2"/>
        <v>#N/A</v>
      </c>
      <c r="K140" t="e">
        <f t="shared" si="3"/>
        <v>#N/A</v>
      </c>
    </row>
    <row r="141" spans="1:24" x14ac:dyDescent="0.25">
      <c r="C141" s="960" t="s">
        <v>2420</v>
      </c>
      <c r="D141" s="960" t="s">
        <v>1500</v>
      </c>
      <c r="E141" t="s">
        <v>18</v>
      </c>
      <c r="F141">
        <f t="shared" si="4"/>
        <v>3475</v>
      </c>
      <c r="H141" s="672" t="s">
        <v>196</v>
      </c>
      <c r="I141" t="e">
        <f t="shared" si="1"/>
        <v>#N/A</v>
      </c>
      <c r="J141" t="e">
        <f t="shared" si="2"/>
        <v>#N/A</v>
      </c>
      <c r="K141" t="e">
        <f t="shared" si="3"/>
        <v>#N/A</v>
      </c>
    </row>
    <row r="142" spans="1:24" x14ac:dyDescent="0.25">
      <c r="C142" s="960" t="s">
        <v>2421</v>
      </c>
      <c r="D142" s="960" t="s">
        <v>2422</v>
      </c>
      <c r="E142" t="s">
        <v>18</v>
      </c>
      <c r="F142">
        <f t="shared" si="4"/>
        <v>8300</v>
      </c>
      <c r="H142" s="672" t="s">
        <v>196</v>
      </c>
      <c r="I142" t="e">
        <f t="shared" si="1"/>
        <v>#N/A</v>
      </c>
      <c r="J142" t="e">
        <f t="shared" si="2"/>
        <v>#N/A</v>
      </c>
      <c r="K142" t="e">
        <f t="shared" si="3"/>
        <v>#N/A</v>
      </c>
    </row>
    <row r="143" spans="1:24" x14ac:dyDescent="0.25">
      <c r="C143" s="960" t="s">
        <v>556</v>
      </c>
      <c r="D143" s="960" t="s">
        <v>557</v>
      </c>
      <c r="E143" t="s">
        <v>18</v>
      </c>
      <c r="F143" t="e">
        <f t="shared" si="4"/>
        <v>#N/A</v>
      </c>
      <c r="H143" s="672" t="s">
        <v>196</v>
      </c>
      <c r="I143" t="e">
        <f t="shared" si="1"/>
        <v>#N/A</v>
      </c>
      <c r="J143" t="e">
        <f t="shared" si="2"/>
        <v>#N/A</v>
      </c>
      <c r="K143" t="e">
        <f t="shared" si="3"/>
        <v>#N/A</v>
      </c>
    </row>
    <row r="144" spans="1:24" x14ac:dyDescent="0.25">
      <c r="C144" s="960" t="s">
        <v>2341</v>
      </c>
      <c r="D144" s="960" t="s">
        <v>1622</v>
      </c>
      <c r="E144" t="s">
        <v>18</v>
      </c>
      <c r="F144">
        <f t="shared" si="4"/>
        <v>6680</v>
      </c>
      <c r="H144" s="418" t="s">
        <v>862</v>
      </c>
      <c r="I144">
        <f t="shared" si="1"/>
        <v>6500</v>
      </c>
      <c r="J144">
        <f t="shared" si="2"/>
        <v>19.22484153846154</v>
      </c>
      <c r="K144">
        <f t="shared" si="3"/>
        <v>27.48</v>
      </c>
    </row>
    <row r="145" spans="3:11" x14ac:dyDescent="0.25">
      <c r="C145" s="960" t="s">
        <v>2256</v>
      </c>
      <c r="D145" s="960" t="s">
        <v>2257</v>
      </c>
      <c r="E145" t="s">
        <v>18</v>
      </c>
      <c r="F145">
        <f t="shared" si="4"/>
        <v>24575</v>
      </c>
      <c r="H145" s="418" t="s">
        <v>1084</v>
      </c>
      <c r="I145">
        <f t="shared" si="1"/>
        <v>3250</v>
      </c>
      <c r="J145">
        <f t="shared" si="2"/>
        <v>46.235852307692305</v>
      </c>
      <c r="K145">
        <f t="shared" si="3"/>
        <v>60.3</v>
      </c>
    </row>
    <row r="146" spans="3:11" x14ac:dyDescent="0.25">
      <c r="C146" s="960" t="s">
        <v>2342</v>
      </c>
      <c r="D146" s="960" t="s">
        <v>2287</v>
      </c>
      <c r="E146" t="s">
        <v>18</v>
      </c>
      <c r="F146">
        <f t="shared" si="4"/>
        <v>4310</v>
      </c>
      <c r="H146" s="676" t="s">
        <v>1058</v>
      </c>
      <c r="I146">
        <f t="shared" si="1"/>
        <v>12950</v>
      </c>
      <c r="J146">
        <f t="shared" si="2"/>
        <v>38.720798455598455</v>
      </c>
      <c r="K146">
        <f t="shared" si="3"/>
        <v>62.57</v>
      </c>
    </row>
    <row r="147" spans="3:11" x14ac:dyDescent="0.25">
      <c r="C147" s="960" t="s">
        <v>2423</v>
      </c>
      <c r="D147" s="960" t="s">
        <v>2424</v>
      </c>
      <c r="E147" t="s">
        <v>18</v>
      </c>
      <c r="F147">
        <f t="shared" si="4"/>
        <v>15150</v>
      </c>
      <c r="H147" s="418" t="s">
        <v>864</v>
      </c>
      <c r="I147">
        <f t="shared" si="1"/>
        <v>37000</v>
      </c>
      <c r="J147">
        <f t="shared" si="2"/>
        <v>3.0100881081081079</v>
      </c>
      <c r="K147">
        <f t="shared" si="3"/>
        <v>5.05</v>
      </c>
    </row>
    <row r="148" spans="3:11" x14ac:dyDescent="0.25">
      <c r="C148" s="960" t="s">
        <v>2425</v>
      </c>
      <c r="D148" s="960" t="s">
        <v>2426</v>
      </c>
      <c r="E148" t="s">
        <v>18</v>
      </c>
      <c r="F148">
        <f t="shared" si="4"/>
        <v>5800</v>
      </c>
      <c r="H148" s="418" t="s">
        <v>1086</v>
      </c>
      <c r="I148">
        <f t="shared" si="1"/>
        <v>1700</v>
      </c>
      <c r="J148">
        <f t="shared" si="2"/>
        <v>88.357841176470586</v>
      </c>
      <c r="K148">
        <f t="shared" si="3"/>
        <v>121.86</v>
      </c>
    </row>
    <row r="149" spans="3:11" x14ac:dyDescent="0.25">
      <c r="C149" s="960" t="s">
        <v>2258</v>
      </c>
      <c r="D149" s="960" t="s">
        <v>2259</v>
      </c>
      <c r="E149" t="s">
        <v>18</v>
      </c>
      <c r="F149">
        <f t="shared" si="4"/>
        <v>54050</v>
      </c>
      <c r="H149" s="418" t="s">
        <v>1088</v>
      </c>
      <c r="I149">
        <f t="shared" si="1"/>
        <v>12105</v>
      </c>
      <c r="J149">
        <f t="shared" si="2"/>
        <v>24.789320115654689</v>
      </c>
      <c r="K149">
        <f t="shared" si="3"/>
        <v>26.86</v>
      </c>
    </row>
    <row r="150" spans="3:11" x14ac:dyDescent="0.25">
      <c r="C150" s="976" t="s">
        <v>2528</v>
      </c>
      <c r="D150" s="976" t="s">
        <v>2529</v>
      </c>
      <c r="E150" s="24" t="s">
        <v>18</v>
      </c>
      <c r="F150">
        <f t="shared" si="4"/>
        <v>2086</v>
      </c>
      <c r="H150" s="418" t="s">
        <v>866</v>
      </c>
      <c r="I150">
        <f t="shared" si="1"/>
        <v>2600</v>
      </c>
      <c r="J150">
        <f t="shared" si="2"/>
        <v>45.134223076923078</v>
      </c>
      <c r="K150">
        <f t="shared" si="3"/>
        <v>71.180000000000007</v>
      </c>
    </row>
    <row r="151" spans="3:11" x14ac:dyDescent="0.25">
      <c r="C151" s="960" t="s">
        <v>2427</v>
      </c>
      <c r="D151" s="960" t="s">
        <v>1875</v>
      </c>
      <c r="E151" t="s">
        <v>18</v>
      </c>
      <c r="F151">
        <f t="shared" si="4"/>
        <v>1350</v>
      </c>
      <c r="H151" s="418" t="s">
        <v>2268</v>
      </c>
      <c r="I151">
        <f t="shared" si="1"/>
        <v>38725</v>
      </c>
      <c r="J151">
        <f t="shared" si="2"/>
        <v>12.946720723047127</v>
      </c>
      <c r="K151">
        <f t="shared" si="3"/>
        <v>16.100000000000001</v>
      </c>
    </row>
    <row r="152" spans="3:11" x14ac:dyDescent="0.25">
      <c r="C152" s="960" t="s">
        <v>2487</v>
      </c>
      <c r="D152" s="960" t="s">
        <v>2488</v>
      </c>
      <c r="E152" t="s">
        <v>21</v>
      </c>
      <c r="F152">
        <f t="shared" si="4"/>
        <v>9205.4390000000003</v>
      </c>
      <c r="H152" s="418" t="s">
        <v>1186</v>
      </c>
      <c r="I152">
        <f t="shared" si="1"/>
        <v>2700</v>
      </c>
      <c r="J152">
        <f t="shared" si="2"/>
        <v>111.05633703703704</v>
      </c>
      <c r="K152">
        <f t="shared" si="3"/>
        <v>126.74</v>
      </c>
    </row>
    <row r="153" spans="3:11" x14ac:dyDescent="0.25">
      <c r="C153" s="960" t="s">
        <v>2428</v>
      </c>
      <c r="D153" s="960" t="s">
        <v>1945</v>
      </c>
      <c r="E153" t="s">
        <v>18</v>
      </c>
      <c r="F153">
        <f t="shared" si="4"/>
        <v>1650</v>
      </c>
      <c r="H153" s="418" t="s">
        <v>1188</v>
      </c>
      <c r="I153">
        <f t="shared" si="1"/>
        <v>9735</v>
      </c>
      <c r="J153">
        <f t="shared" si="2"/>
        <v>30.737857216230097</v>
      </c>
      <c r="K153">
        <f t="shared" si="3"/>
        <v>35.14</v>
      </c>
    </row>
    <row r="154" spans="3:11" x14ac:dyDescent="0.25">
      <c r="C154" s="960" t="s">
        <v>2429</v>
      </c>
      <c r="D154" s="960" t="s">
        <v>2430</v>
      </c>
      <c r="E154" t="s">
        <v>18</v>
      </c>
      <c r="F154">
        <f t="shared" si="4"/>
        <v>13700</v>
      </c>
      <c r="H154" s="676" t="s">
        <v>2261</v>
      </c>
      <c r="I154" t="e">
        <f t="shared" si="1"/>
        <v>#N/A</v>
      </c>
      <c r="J154" t="e">
        <f t="shared" si="2"/>
        <v>#N/A</v>
      </c>
      <c r="K154" t="e">
        <f t="shared" si="3"/>
        <v>#N/A</v>
      </c>
    </row>
    <row r="155" spans="3:11" x14ac:dyDescent="0.25">
      <c r="C155" s="960" t="s">
        <v>2262</v>
      </c>
      <c r="D155" s="960" t="s">
        <v>2263</v>
      </c>
      <c r="E155" t="s">
        <v>18</v>
      </c>
      <c r="F155">
        <f t="shared" si="4"/>
        <v>48700</v>
      </c>
      <c r="H155" s="676" t="s">
        <v>2263</v>
      </c>
      <c r="I155">
        <f t="shared" si="1"/>
        <v>48700</v>
      </c>
      <c r="J155">
        <f t="shared" si="2"/>
        <v>12.257578439425052</v>
      </c>
      <c r="K155">
        <f t="shared" si="3"/>
        <v>15.76</v>
      </c>
    </row>
    <row r="156" spans="3:11" x14ac:dyDescent="0.25">
      <c r="C156" s="960" t="s">
        <v>1071</v>
      </c>
      <c r="D156" s="960" t="s">
        <v>257</v>
      </c>
      <c r="E156" t="s">
        <v>18</v>
      </c>
      <c r="F156" t="e">
        <f t="shared" si="4"/>
        <v>#N/A</v>
      </c>
      <c r="H156" s="676" t="s">
        <v>2265</v>
      </c>
      <c r="I156" t="e">
        <f t="shared" si="1"/>
        <v>#N/A</v>
      </c>
      <c r="J156" t="e">
        <f t="shared" si="2"/>
        <v>#N/A</v>
      </c>
      <c r="K156" t="e">
        <f t="shared" si="3"/>
        <v>#N/A</v>
      </c>
    </row>
    <row r="157" spans="3:11" x14ac:dyDescent="0.25">
      <c r="C157" s="960" t="s">
        <v>963</v>
      </c>
      <c r="D157" s="960" t="s">
        <v>257</v>
      </c>
      <c r="E157" t="s">
        <v>18</v>
      </c>
      <c r="F157" t="e">
        <f t="shared" si="4"/>
        <v>#N/A</v>
      </c>
      <c r="H157" s="676" t="s">
        <v>2259</v>
      </c>
      <c r="I157">
        <f t="shared" si="1"/>
        <v>54050</v>
      </c>
      <c r="J157">
        <f t="shared" si="2"/>
        <v>18.478832932469935</v>
      </c>
      <c r="K157">
        <f t="shared" si="3"/>
        <v>19.36</v>
      </c>
    </row>
    <row r="158" spans="3:11" x14ac:dyDescent="0.25">
      <c r="C158" s="960" t="s">
        <v>2431</v>
      </c>
      <c r="D158" s="960" t="s">
        <v>257</v>
      </c>
      <c r="E158" t="s">
        <v>18</v>
      </c>
      <c r="F158" t="e">
        <f t="shared" si="4"/>
        <v>#N/A</v>
      </c>
      <c r="H158" s="676" t="s">
        <v>2257</v>
      </c>
      <c r="I158">
        <f t="shared" si="1"/>
        <v>24575</v>
      </c>
      <c r="J158">
        <f t="shared" si="2"/>
        <v>24.41001912512716</v>
      </c>
      <c r="K158">
        <f t="shared" si="3"/>
        <v>26.21</v>
      </c>
    </row>
    <row r="159" spans="3:11" x14ac:dyDescent="0.25">
      <c r="C159" s="960" t="s">
        <v>989</v>
      </c>
      <c r="D159" s="960" t="s">
        <v>257</v>
      </c>
      <c r="E159" t="s">
        <v>18</v>
      </c>
      <c r="F159" t="e">
        <f t="shared" si="4"/>
        <v>#N/A</v>
      </c>
      <c r="H159" s="676" t="s">
        <v>2350</v>
      </c>
      <c r="I159">
        <f t="shared" si="1"/>
        <v>57900</v>
      </c>
      <c r="J159">
        <f t="shared" si="2"/>
        <v>17.300523316062176</v>
      </c>
      <c r="K159">
        <f t="shared" si="3"/>
        <v>18.0975</v>
      </c>
    </row>
    <row r="160" spans="3:11" x14ac:dyDescent="0.25">
      <c r="C160" s="960" t="s">
        <v>1210</v>
      </c>
      <c r="D160" s="960" t="s">
        <v>257</v>
      </c>
      <c r="E160" t="s">
        <v>18</v>
      </c>
      <c r="F160" t="e">
        <f t="shared" si="4"/>
        <v>#N/A</v>
      </c>
      <c r="H160" s="676" t="s">
        <v>2346</v>
      </c>
      <c r="I160" t="e">
        <f t="shared" si="1"/>
        <v>#N/A</v>
      </c>
      <c r="J160" t="e">
        <f t="shared" si="2"/>
        <v>#N/A</v>
      </c>
      <c r="K160" t="e">
        <f t="shared" si="3"/>
        <v>#N/A</v>
      </c>
    </row>
    <row r="161" spans="3:11" x14ac:dyDescent="0.25">
      <c r="C161" s="960" t="s">
        <v>2433</v>
      </c>
      <c r="D161" s="960" t="s">
        <v>2434</v>
      </c>
      <c r="E161" t="s">
        <v>18</v>
      </c>
      <c r="F161">
        <f t="shared" si="4"/>
        <v>4300</v>
      </c>
      <c r="H161" s="676" t="s">
        <v>2348</v>
      </c>
      <c r="I161">
        <f t="shared" si="1"/>
        <v>2730</v>
      </c>
      <c r="J161">
        <f t="shared" si="2"/>
        <v>186.48972161172162</v>
      </c>
      <c r="K161">
        <f t="shared" si="3"/>
        <v>211.41</v>
      </c>
    </row>
    <row r="162" spans="3:11" x14ac:dyDescent="0.25">
      <c r="C162" s="960" t="s">
        <v>1185</v>
      </c>
      <c r="D162" s="960" t="s">
        <v>1186</v>
      </c>
      <c r="E162" t="s">
        <v>18</v>
      </c>
      <c r="F162">
        <f t="shared" si="4"/>
        <v>2700</v>
      </c>
      <c r="H162" s="640" t="s">
        <v>1622</v>
      </c>
      <c r="I162">
        <f t="shared" si="1"/>
        <v>6680</v>
      </c>
      <c r="J162">
        <f t="shared" si="2"/>
        <v>73.560729041916161</v>
      </c>
      <c r="K162">
        <f t="shared" si="3"/>
        <v>61.92</v>
      </c>
    </row>
    <row r="163" spans="3:11" x14ac:dyDescent="0.25">
      <c r="C163" s="960" t="s">
        <v>2435</v>
      </c>
      <c r="D163" s="960" t="s">
        <v>2436</v>
      </c>
      <c r="E163" t="s">
        <v>21</v>
      </c>
      <c r="F163">
        <f t="shared" si="4"/>
        <v>1860.5530000000001</v>
      </c>
      <c r="H163" s="640" t="s">
        <v>2344</v>
      </c>
      <c r="I163" t="e">
        <f t="shared" si="1"/>
        <v>#N/A</v>
      </c>
      <c r="J163" t="e">
        <f t="shared" si="2"/>
        <v>#N/A</v>
      </c>
      <c r="K163" t="e">
        <f t="shared" si="3"/>
        <v>#N/A</v>
      </c>
    </row>
    <row r="164" spans="3:11" x14ac:dyDescent="0.25">
      <c r="C164" s="960" t="s">
        <v>2347</v>
      </c>
      <c r="D164" s="960" t="s">
        <v>2348</v>
      </c>
      <c r="E164" t="s">
        <v>18</v>
      </c>
      <c r="F164">
        <f t="shared" si="4"/>
        <v>2730</v>
      </c>
      <c r="H164" s="676" t="s">
        <v>2340</v>
      </c>
      <c r="I164">
        <f t="shared" si="1"/>
        <v>6520</v>
      </c>
      <c r="J164">
        <f t="shared" si="2"/>
        <v>76.359315950920248</v>
      </c>
      <c r="K164">
        <f t="shared" si="3"/>
        <v>77.930000000000007</v>
      </c>
    </row>
    <row r="165" spans="3:11" x14ac:dyDescent="0.25">
      <c r="C165" s="960" t="s">
        <v>2530</v>
      </c>
      <c r="D165" s="960" t="s">
        <v>2531</v>
      </c>
      <c r="E165" t="s">
        <v>18</v>
      </c>
      <c r="F165">
        <f t="shared" si="4"/>
        <v>260</v>
      </c>
      <c r="H165" s="676" t="s">
        <v>1500</v>
      </c>
      <c r="I165">
        <f t="shared" si="1"/>
        <v>3475</v>
      </c>
      <c r="J165">
        <f t="shared" si="2"/>
        <v>57.704195683453236</v>
      </c>
      <c r="K165">
        <f t="shared" si="3"/>
        <v>62.56</v>
      </c>
    </row>
    <row r="166" spans="3:11" x14ac:dyDescent="0.25">
      <c r="C166" s="960" t="s">
        <v>2532</v>
      </c>
      <c r="D166" s="960" t="s">
        <v>2533</v>
      </c>
      <c r="E166" t="s">
        <v>18</v>
      </c>
      <c r="F166">
        <f t="shared" si="4"/>
        <v>4000</v>
      </c>
      <c r="H166" s="676" t="s">
        <v>2422</v>
      </c>
      <c r="I166">
        <f t="shared" si="1"/>
        <v>8300</v>
      </c>
      <c r="J166">
        <f t="shared" si="2"/>
        <v>33.959810843373496</v>
      </c>
      <c r="K166">
        <f t="shared" si="3"/>
        <v>19.96</v>
      </c>
    </row>
    <row r="167" spans="3:11" x14ac:dyDescent="0.25">
      <c r="C167" s="960" t="s">
        <v>2437</v>
      </c>
      <c r="D167" s="960" t="s">
        <v>2438</v>
      </c>
      <c r="E167" t="s">
        <v>18</v>
      </c>
      <c r="F167">
        <f t="shared" si="4"/>
        <v>1750</v>
      </c>
      <c r="H167" s="676" t="s">
        <v>2287</v>
      </c>
      <c r="I167">
        <f t="shared" si="1"/>
        <v>4310</v>
      </c>
      <c r="J167">
        <f t="shared" si="2"/>
        <v>116.92151044083526</v>
      </c>
      <c r="K167">
        <f t="shared" si="3"/>
        <v>116.82</v>
      </c>
    </row>
    <row r="168" spans="3:11" x14ac:dyDescent="0.25">
      <c r="C168" s="960" t="s">
        <v>2349</v>
      </c>
      <c r="D168" s="960" t="s">
        <v>2350</v>
      </c>
      <c r="E168" t="s">
        <v>18</v>
      </c>
      <c r="F168">
        <f t="shared" si="4"/>
        <v>57900</v>
      </c>
      <c r="H168" s="676" t="s">
        <v>2424</v>
      </c>
      <c r="I168">
        <f t="shared" si="1"/>
        <v>15150</v>
      </c>
      <c r="J168">
        <f t="shared" si="2"/>
        <v>26.409522772277228</v>
      </c>
      <c r="K168">
        <f t="shared" si="3"/>
        <v>28.85</v>
      </c>
    </row>
    <row r="169" spans="3:11" x14ac:dyDescent="0.25">
      <c r="C169" s="960" t="s">
        <v>1187</v>
      </c>
      <c r="D169" s="960" t="s">
        <v>1188</v>
      </c>
      <c r="E169" t="s">
        <v>21</v>
      </c>
      <c r="F169">
        <f t="shared" si="4"/>
        <v>9735</v>
      </c>
      <c r="H169" s="676" t="s">
        <v>2426</v>
      </c>
      <c r="I169">
        <f t="shared" si="1"/>
        <v>5800</v>
      </c>
      <c r="J169">
        <f t="shared" si="2"/>
        <v>34.959949999999999</v>
      </c>
      <c r="K169">
        <f t="shared" si="3"/>
        <v>35.369999999999997</v>
      </c>
    </row>
    <row r="170" spans="3:11" x14ac:dyDescent="0.25">
      <c r="F170" t="e">
        <f t="shared" si="4"/>
        <v>#N/A</v>
      </c>
      <c r="H170" s="676" t="s">
        <v>1875</v>
      </c>
      <c r="I170">
        <f t="shared" si="1"/>
        <v>1350</v>
      </c>
      <c r="J170">
        <f t="shared" si="2"/>
        <v>75.42296296296297</v>
      </c>
      <c r="K170">
        <f t="shared" si="3"/>
        <v>77.16</v>
      </c>
    </row>
    <row r="171" spans="3:11" x14ac:dyDescent="0.25">
      <c r="C171" s="960" t="s">
        <v>228</v>
      </c>
      <c r="D171" s="960" t="s">
        <v>230</v>
      </c>
      <c r="F171" t="e">
        <f t="shared" si="4"/>
        <v>#N/A</v>
      </c>
      <c r="H171" s="676" t="s">
        <v>1945</v>
      </c>
      <c r="I171">
        <f t="shared" si="1"/>
        <v>1650</v>
      </c>
      <c r="J171">
        <f t="shared" si="2"/>
        <v>61.542175757575755</v>
      </c>
      <c r="K171">
        <f t="shared" si="3"/>
        <v>68.09</v>
      </c>
    </row>
    <row r="172" spans="3:11" x14ac:dyDescent="0.25">
      <c r="C172" s="960" t="s">
        <v>861</v>
      </c>
      <c r="D172" s="960" t="s">
        <v>862</v>
      </c>
      <c r="E172" t="s">
        <v>19</v>
      </c>
      <c r="F172">
        <f t="shared" si="4"/>
        <v>6500</v>
      </c>
      <c r="H172" s="676" t="s">
        <v>2430</v>
      </c>
      <c r="I172">
        <f t="shared" si="1"/>
        <v>13700</v>
      </c>
      <c r="J172">
        <f t="shared" si="2"/>
        <v>36.4746299270073</v>
      </c>
      <c r="K172">
        <f t="shared" si="3"/>
        <v>37.7789</v>
      </c>
    </row>
    <row r="173" spans="3:11" x14ac:dyDescent="0.25">
      <c r="C173" s="960" t="s">
        <v>1083</v>
      </c>
      <c r="D173" s="960" t="s">
        <v>1084</v>
      </c>
      <c r="E173" t="s">
        <v>18</v>
      </c>
      <c r="F173">
        <f t="shared" si="4"/>
        <v>3250</v>
      </c>
      <c r="H173" s="676" t="s">
        <v>2434</v>
      </c>
      <c r="I173">
        <f t="shared" si="1"/>
        <v>4300</v>
      </c>
      <c r="J173">
        <f t="shared" si="2"/>
        <v>46.71997441860465</v>
      </c>
      <c r="K173">
        <f t="shared" si="3"/>
        <v>51.54</v>
      </c>
    </row>
    <row r="174" spans="3:11" x14ac:dyDescent="0.25">
      <c r="C174" s="960" t="s">
        <v>2403</v>
      </c>
      <c r="D174" s="960" t="s">
        <v>2404</v>
      </c>
      <c r="E174" t="s">
        <v>21</v>
      </c>
      <c r="F174">
        <f t="shared" si="4"/>
        <v>23400</v>
      </c>
      <c r="H174" s="676" t="s">
        <v>2436</v>
      </c>
      <c r="I174">
        <f t="shared" si="1"/>
        <v>1860.5530000000001</v>
      </c>
      <c r="J174">
        <f t="shared" si="2"/>
        <v>554.4286940495648</v>
      </c>
      <c r="K174">
        <f t="shared" si="3"/>
        <v>569.69000000000005</v>
      </c>
    </row>
    <row r="175" spans="3:11" x14ac:dyDescent="0.25">
      <c r="C175" s="960" t="s">
        <v>1057</v>
      </c>
      <c r="D175" s="960" t="s">
        <v>1058</v>
      </c>
      <c r="E175" t="s">
        <v>18</v>
      </c>
      <c r="F175">
        <f t="shared" si="4"/>
        <v>12950</v>
      </c>
      <c r="H175" s="676" t="s">
        <v>2438</v>
      </c>
      <c r="I175">
        <f t="shared" si="1"/>
        <v>1750</v>
      </c>
      <c r="J175">
        <f t="shared" si="2"/>
        <v>171.80737714285715</v>
      </c>
      <c r="K175">
        <f t="shared" si="3"/>
        <v>172.5</v>
      </c>
    </row>
    <row r="176" spans="3:11" x14ac:dyDescent="0.25">
      <c r="C176" s="960" t="s">
        <v>863</v>
      </c>
      <c r="D176" s="960" t="s">
        <v>864</v>
      </c>
      <c r="E176" t="s">
        <v>19</v>
      </c>
      <c r="F176">
        <f t="shared" si="4"/>
        <v>37000</v>
      </c>
      <c r="H176" s="676" t="s">
        <v>2404</v>
      </c>
      <c r="I176">
        <f t="shared" si="1"/>
        <v>23400</v>
      </c>
      <c r="J176">
        <f t="shared" si="2"/>
        <v>17.301253418803419</v>
      </c>
      <c r="K176">
        <f t="shared" si="3"/>
        <v>18.638000000000002</v>
      </c>
    </row>
    <row r="177" spans="3:11" x14ac:dyDescent="0.25">
      <c r="C177" s="960" t="s">
        <v>1085</v>
      </c>
      <c r="D177" s="960" t="s">
        <v>1086</v>
      </c>
      <c r="E177" t="s">
        <v>18</v>
      </c>
      <c r="F177">
        <f t="shared" si="4"/>
        <v>1700</v>
      </c>
      <c r="H177" s="676" t="s">
        <v>2406</v>
      </c>
      <c r="I177">
        <f t="shared" si="1"/>
        <v>7850</v>
      </c>
      <c r="J177">
        <f t="shared" si="2"/>
        <v>51.0180127388535</v>
      </c>
      <c r="K177">
        <f t="shared" si="3"/>
        <v>55.85</v>
      </c>
    </row>
    <row r="178" spans="3:11" x14ac:dyDescent="0.25">
      <c r="C178" s="976" t="s">
        <v>2516</v>
      </c>
      <c r="D178" s="976" t="s">
        <v>2517</v>
      </c>
      <c r="E178" s="24" t="s">
        <v>18</v>
      </c>
      <c r="F178">
        <f t="shared" si="4"/>
        <v>8833.9220000000005</v>
      </c>
      <c r="H178" s="676" t="s">
        <v>2408</v>
      </c>
      <c r="I178">
        <f t="shared" si="1"/>
        <v>24913</v>
      </c>
      <c r="J178">
        <f t="shared" si="2"/>
        <v>16.307437081042025</v>
      </c>
      <c r="K178">
        <f t="shared" si="3"/>
        <v>18.14</v>
      </c>
    </row>
    <row r="179" spans="3:11" x14ac:dyDescent="0.25">
      <c r="C179" s="960" t="s">
        <v>2405</v>
      </c>
      <c r="D179" s="960" t="s">
        <v>2406</v>
      </c>
      <c r="E179" t="s">
        <v>21</v>
      </c>
      <c r="F179">
        <f t="shared" si="4"/>
        <v>7850</v>
      </c>
      <c r="H179" s="676" t="s">
        <v>2410</v>
      </c>
      <c r="I179">
        <f t="shared" si="1"/>
        <v>12550</v>
      </c>
      <c r="J179">
        <f t="shared" si="2"/>
        <v>32.254486852589643</v>
      </c>
      <c r="K179">
        <f t="shared" si="3"/>
        <v>33.725000000000001</v>
      </c>
    </row>
    <row r="180" spans="3:11" x14ac:dyDescent="0.25">
      <c r="C180" s="960" t="s">
        <v>1087</v>
      </c>
      <c r="D180" s="960" t="s">
        <v>1088</v>
      </c>
      <c r="E180" t="s">
        <v>18</v>
      </c>
      <c r="F180">
        <f t="shared" si="4"/>
        <v>12105</v>
      </c>
      <c r="H180" s="676" t="s">
        <v>2412</v>
      </c>
      <c r="I180">
        <f t="shared" si="1"/>
        <v>6730</v>
      </c>
      <c r="J180">
        <f t="shared" si="2"/>
        <v>60.593699851411593</v>
      </c>
      <c r="K180">
        <f t="shared" si="3"/>
        <v>66.53</v>
      </c>
    </row>
    <row r="181" spans="3:11" x14ac:dyDescent="0.25">
      <c r="C181" s="960" t="s">
        <v>2407</v>
      </c>
      <c r="D181" s="960" t="s">
        <v>2408</v>
      </c>
      <c r="E181" t="s">
        <v>21</v>
      </c>
      <c r="F181">
        <f t="shared" si="4"/>
        <v>24913</v>
      </c>
      <c r="H181" s="828" t="s">
        <v>2488</v>
      </c>
      <c r="I181">
        <f t="shared" si="1"/>
        <v>9205.4390000000003</v>
      </c>
      <c r="J181">
        <f t="shared" si="2"/>
        <v>54.397190617416506</v>
      </c>
      <c r="K181">
        <f t="shared" si="3"/>
        <v>55.61</v>
      </c>
    </row>
    <row r="182" spans="3:11" x14ac:dyDescent="0.25">
      <c r="C182" s="976" t="s">
        <v>2518</v>
      </c>
      <c r="D182" s="976" t="s">
        <v>2519</v>
      </c>
      <c r="E182" s="24" t="s">
        <v>21</v>
      </c>
      <c r="F182" t="e">
        <f t="shared" si="4"/>
        <v>#N/A</v>
      </c>
      <c r="H182" s="976" t="s">
        <v>2529</v>
      </c>
      <c r="I182">
        <f t="shared" si="1"/>
        <v>2086</v>
      </c>
      <c r="J182">
        <f t="shared" si="2"/>
        <v>95.993475551294338</v>
      </c>
      <c r="K182">
        <f t="shared" si="3"/>
        <v>98.05</v>
      </c>
    </row>
    <row r="183" spans="3:11" x14ac:dyDescent="0.25">
      <c r="C183" s="960" t="s">
        <v>865</v>
      </c>
      <c r="D183" s="960" t="s">
        <v>866</v>
      </c>
      <c r="E183" t="s">
        <v>19</v>
      </c>
      <c r="F183">
        <f t="shared" si="4"/>
        <v>2600</v>
      </c>
      <c r="H183" s="976" t="s">
        <v>2517</v>
      </c>
      <c r="I183">
        <f t="shared" si="1"/>
        <v>8833.9220000000005</v>
      </c>
      <c r="J183">
        <f t="shared" si="2"/>
        <v>34.010939874723817</v>
      </c>
      <c r="K183">
        <f t="shared" si="3"/>
        <v>33.9</v>
      </c>
    </row>
    <row r="184" spans="3:11" x14ac:dyDescent="0.25">
      <c r="C184" s="960" t="s">
        <v>2409</v>
      </c>
      <c r="D184" s="960" t="s">
        <v>2410</v>
      </c>
      <c r="E184" t="s">
        <v>21</v>
      </c>
      <c r="F184">
        <f t="shared" si="4"/>
        <v>12550</v>
      </c>
      <c r="H184" s="976" t="s">
        <v>2521</v>
      </c>
      <c r="I184">
        <f t="shared" si="1"/>
        <v>625</v>
      </c>
      <c r="J184">
        <f t="shared" si="2"/>
        <v>317.85884800000002</v>
      </c>
      <c r="K184">
        <f t="shared" si="3"/>
        <v>319.39999999999998</v>
      </c>
    </row>
    <row r="185" spans="3:11" x14ac:dyDescent="0.25">
      <c r="C185" s="960" t="s">
        <v>2411</v>
      </c>
      <c r="D185" s="960" t="s">
        <v>2412</v>
      </c>
      <c r="E185" t="s">
        <v>21</v>
      </c>
      <c r="F185">
        <f t="shared" si="4"/>
        <v>6730</v>
      </c>
      <c r="H185" s="998" t="s">
        <v>2523</v>
      </c>
      <c r="I185">
        <f t="shared" si="1"/>
        <v>2140</v>
      </c>
      <c r="J185">
        <f t="shared" si="2"/>
        <v>140.39432710280374</v>
      </c>
      <c r="K185">
        <f t="shared" si="3"/>
        <v>140.62</v>
      </c>
    </row>
    <row r="186" spans="3:11" x14ac:dyDescent="0.25">
      <c r="C186" s="976" t="s">
        <v>2520</v>
      </c>
      <c r="D186" s="976" t="s">
        <v>2521</v>
      </c>
      <c r="E186" s="24" t="s">
        <v>24</v>
      </c>
      <c r="F186">
        <f t="shared" si="4"/>
        <v>625</v>
      </c>
      <c r="H186" s="998" t="s">
        <v>2525</v>
      </c>
      <c r="I186">
        <f t="shared" ref="I186:I189" si="5">VLOOKUP(H186,$D$82:$M$134,2,0)</f>
        <v>8950</v>
      </c>
      <c r="J186">
        <f t="shared" ref="J186:J189" si="6">VLOOKUP(H186,$D$82:$M$134,7,0)</f>
        <v>11.326965363128492</v>
      </c>
      <c r="K186">
        <f t="shared" ref="K186:K189" si="7">VLOOKUP(H186,$D$82:$M$134,9,0)</f>
        <v>11.32</v>
      </c>
    </row>
    <row r="187" spans="3:11" x14ac:dyDescent="0.25">
      <c r="C187" s="976" t="s">
        <v>2522</v>
      </c>
      <c r="D187" s="976" t="s">
        <v>2523</v>
      </c>
      <c r="E187" s="24" t="s">
        <v>24</v>
      </c>
      <c r="F187">
        <f t="shared" si="4"/>
        <v>2140</v>
      </c>
      <c r="H187" s="998" t="s">
        <v>2527</v>
      </c>
      <c r="I187">
        <f t="shared" si="5"/>
        <v>4400</v>
      </c>
      <c r="J187">
        <f t="shared" si="6"/>
        <v>23.019477272727272</v>
      </c>
      <c r="K187">
        <f t="shared" si="7"/>
        <v>22.98</v>
      </c>
    </row>
    <row r="188" spans="3:11" x14ac:dyDescent="0.25">
      <c r="C188" s="960" t="s">
        <v>2267</v>
      </c>
      <c r="D188" s="960" t="s">
        <v>2268</v>
      </c>
      <c r="E188" t="s">
        <v>18</v>
      </c>
      <c r="F188">
        <f t="shared" si="4"/>
        <v>38725</v>
      </c>
      <c r="H188" s="998" t="s">
        <v>2531</v>
      </c>
      <c r="I188">
        <f t="shared" si="5"/>
        <v>260</v>
      </c>
      <c r="J188">
        <f t="shared" si="6"/>
        <v>380.84042307692306</v>
      </c>
      <c r="K188">
        <f t="shared" si="7"/>
        <v>391.69</v>
      </c>
    </row>
    <row r="189" spans="3:11" x14ac:dyDescent="0.25">
      <c r="H189" s="998" t="s">
        <v>2533</v>
      </c>
      <c r="I189">
        <f t="shared" si="5"/>
        <v>4000</v>
      </c>
      <c r="J189">
        <f t="shared" si="6"/>
        <v>24.8058525</v>
      </c>
      <c r="K189">
        <f t="shared" si="7"/>
        <v>24.565000000000001</v>
      </c>
    </row>
  </sheetData>
  <phoneticPr fontId="11" type="noConversion"/>
  <conditionalFormatting sqref="A82:A114">
    <cfRule type="cellIs" dxfId="5" priority="2" operator="notEqual">
      <formula>E82</formula>
    </cfRule>
  </conditionalFormatting>
  <conditionalFormatting sqref="A116:A133">
    <cfRule type="cellIs" dxfId="4" priority="1" operator="notEqual">
      <formula>E116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3868B-1382-4795-9A0B-F7925D6BA052}">
  <sheetPr>
    <tabColor theme="8" tint="0.79998168889431442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2">
    <tabColor theme="8" tint="0.79998168889431442"/>
  </sheetPr>
  <dimension ref="A1:AO50"/>
  <sheetViews>
    <sheetView zoomScale="130" zoomScaleNormal="130" workbookViewId="0">
      <pane xSplit="4" topLeftCell="E1" activePane="topRight" state="frozen"/>
      <selection pane="topRight" activeCell="C3" sqref="C3"/>
    </sheetView>
  </sheetViews>
  <sheetFormatPr defaultRowHeight="15" x14ac:dyDescent="0.25"/>
  <cols>
    <col min="1" max="1" width="10.85546875" customWidth="1"/>
    <col min="2" max="2" width="14.28515625" customWidth="1"/>
    <col min="3" max="3" width="35.85546875" customWidth="1"/>
    <col min="4" max="4" width="12.42578125" customWidth="1"/>
    <col min="5" max="5" width="12.28515625" customWidth="1"/>
    <col min="6" max="6" width="15.5703125" customWidth="1"/>
    <col min="7" max="7" width="20.85546875" style="18" customWidth="1"/>
    <col min="8" max="8" width="6.28515625" style="448" customWidth="1"/>
    <col min="9" max="9" width="27.28515625" style="18" customWidth="1"/>
    <col min="10" max="10" width="27.5703125" style="18" customWidth="1"/>
    <col min="11" max="11" width="17.140625" style="18" customWidth="1"/>
    <col min="12" max="12" width="23.28515625" customWidth="1"/>
    <col min="13" max="13" width="24.7109375" customWidth="1"/>
    <col min="14" max="14" width="24.85546875" customWidth="1"/>
    <col min="15" max="15" width="9.42578125" customWidth="1"/>
    <col min="16" max="16" width="16.28515625" customWidth="1"/>
    <col min="17" max="17" width="12.85546875" customWidth="1"/>
    <col min="18" max="18" width="11.28515625" customWidth="1"/>
    <col min="19" max="19" width="12.85546875" customWidth="1"/>
    <col min="20" max="20" width="16" customWidth="1"/>
    <col min="21" max="21" width="14.85546875" customWidth="1"/>
    <col min="22" max="22" width="15.42578125" customWidth="1"/>
    <col min="23" max="23" width="14.42578125" customWidth="1"/>
    <col min="24" max="24" width="16.42578125" customWidth="1"/>
    <col min="25" max="25" width="22.28515625" customWidth="1"/>
    <col min="26" max="26" width="22.5703125" customWidth="1"/>
    <col min="27" max="27" width="15.140625" customWidth="1"/>
    <col min="28" max="28" width="14.140625" customWidth="1"/>
    <col min="29" max="29" width="24.5703125" hidden="1" customWidth="1"/>
    <col min="31" max="31" width="10.28515625" customWidth="1"/>
    <col min="32" max="32" width="9.7109375" bestFit="1" customWidth="1"/>
  </cols>
  <sheetData>
    <row r="1" spans="1:41" s="280" customFormat="1" x14ac:dyDescent="0.25">
      <c r="A1" s="278" t="s">
        <v>227</v>
      </c>
      <c r="B1" s="409" t="s">
        <v>375</v>
      </c>
      <c r="C1" s="409" t="s">
        <v>228</v>
      </c>
      <c r="D1" s="409" t="s">
        <v>231</v>
      </c>
      <c r="E1" s="416" t="s">
        <v>232</v>
      </c>
      <c r="F1" s="416" t="s">
        <v>2291</v>
      </c>
      <c r="G1" s="416" t="s">
        <v>1106</v>
      </c>
      <c r="H1" s="417" t="s">
        <v>1107</v>
      </c>
      <c r="I1" s="416" t="s">
        <v>1046</v>
      </c>
      <c r="J1" s="416" t="s">
        <v>994</v>
      </c>
      <c r="K1" s="279" t="s">
        <v>948</v>
      </c>
      <c r="L1" s="285" t="s">
        <v>392</v>
      </c>
      <c r="M1" s="285" t="s">
        <v>1116</v>
      </c>
      <c r="N1" s="285" t="s">
        <v>1199</v>
      </c>
      <c r="O1" s="286" t="s">
        <v>233</v>
      </c>
      <c r="P1" s="286" t="s">
        <v>234</v>
      </c>
      <c r="Q1" s="286" t="s">
        <v>235</v>
      </c>
      <c r="R1" s="287" t="s">
        <v>949</v>
      </c>
      <c r="S1" s="287" t="s">
        <v>29</v>
      </c>
      <c r="T1" s="288" t="s">
        <v>239</v>
      </c>
      <c r="U1" s="279" t="s">
        <v>241</v>
      </c>
      <c r="V1" s="279" t="s">
        <v>376</v>
      </c>
      <c r="W1" s="279" t="s">
        <v>243</v>
      </c>
      <c r="X1" s="279" t="s">
        <v>377</v>
      </c>
      <c r="Y1" s="279" t="s">
        <v>245</v>
      </c>
      <c r="Z1" s="289" t="s">
        <v>246</v>
      </c>
      <c r="AA1" s="279" t="s">
        <v>1115</v>
      </c>
      <c r="AB1" s="279" t="s">
        <v>1234</v>
      </c>
      <c r="AC1" s="279" t="s">
        <v>393</v>
      </c>
      <c r="AD1" s="279" t="s">
        <v>887</v>
      </c>
      <c r="AE1" s="279" t="s">
        <v>888</v>
      </c>
      <c r="AF1" s="279" t="s">
        <v>889</v>
      </c>
      <c r="AG1" s="279" t="s">
        <v>890</v>
      </c>
      <c r="AH1" s="279" t="s">
        <v>891</v>
      </c>
      <c r="AI1" s="279" t="s">
        <v>892</v>
      </c>
      <c r="AJ1" s="279" t="s">
        <v>893</v>
      </c>
      <c r="AK1" s="279" t="s">
        <v>894</v>
      </c>
      <c r="AL1" s="279" t="s">
        <v>895</v>
      </c>
      <c r="AM1" s="279" t="s">
        <v>896</v>
      </c>
      <c r="AN1" s="279" t="s">
        <v>897</v>
      </c>
      <c r="AO1" s="279" t="s">
        <v>898</v>
      </c>
    </row>
    <row r="2" spans="1:41" x14ac:dyDescent="0.25">
      <c r="A2" s="70" t="s">
        <v>90</v>
      </c>
      <c r="B2" s="70" t="s">
        <v>395</v>
      </c>
      <c r="C2" s="418" t="s">
        <v>2206</v>
      </c>
      <c r="D2" s="70" t="s">
        <v>18</v>
      </c>
      <c r="E2" s="603">
        <f>T_AI[[#This Row],[Cost price, CCY]]</f>
        <v>2000000</v>
      </c>
      <c r="F2" s="597">
        <f>G2</f>
        <v>1713260</v>
      </c>
      <c r="G2" s="599">
        <v>1713260</v>
      </c>
      <c r="H2" s="600" t="s">
        <v>1211</v>
      </c>
      <c r="I2" s="603">
        <f>T_AI[[#This Row],[Cost price, CCY]]</f>
        <v>2000000</v>
      </c>
      <c r="J2" s="598">
        <v>0</v>
      </c>
      <c r="K2" s="318">
        <v>2000000</v>
      </c>
      <c r="L2" s="296">
        <f>T_AI[[#This Row],[2026 CF in USD &gt;&gt;]]</f>
        <v>0</v>
      </c>
      <c r="M2" s="73"/>
      <c r="N2" s="318"/>
      <c r="P2" s="100">
        <f>O2*E2</f>
        <v>0</v>
      </c>
      <c r="Q2" s="3">
        <f>IF(X2&lt;&gt;"",E2*O2*X2,E2*O2)</f>
        <v>0</v>
      </c>
      <c r="R2" s="9">
        <f>T_AI[[#This Row],[MV, CCY]]/T_AI[[#This Row],[Cost price, CCY]]-1</f>
        <v>-0.14337</v>
      </c>
      <c r="S2" s="101">
        <f>O2</f>
        <v>0</v>
      </c>
      <c r="T2" s="604">
        <f>S2*E2</f>
        <v>0</v>
      </c>
      <c r="U2" s="3">
        <f>E2*O2/K2</f>
        <v>0</v>
      </c>
      <c r="W2">
        <v>1</v>
      </c>
      <c r="X2">
        <f>INDEX('Tech list'!A:C,MATCH(T_AI[[#This Row],[Risk CCY]],'Tech list'!A:A,0),3)</f>
        <v>1</v>
      </c>
      <c r="Y2" s="301">
        <f>T_AI[[#This Row],[MV, CCY]]</f>
        <v>1713260</v>
      </c>
      <c r="Z2" s="294">
        <f>X2*T_AI[[#This Row],[Market value in CCY]]</f>
        <v>1713260</v>
      </c>
      <c r="AB2" s="492"/>
      <c r="AD2" s="491">
        <v>0</v>
      </c>
      <c r="AE2" s="491">
        <v>0</v>
      </c>
      <c r="AF2" s="491">
        <v>0</v>
      </c>
      <c r="AG2" s="491">
        <v>0</v>
      </c>
      <c r="AH2" s="491">
        <v>0</v>
      </c>
      <c r="AI2" s="491">
        <v>0</v>
      </c>
      <c r="AJ2" s="491">
        <v>0</v>
      </c>
      <c r="AK2" s="491">
        <v>0</v>
      </c>
      <c r="AL2" s="491">
        <v>0</v>
      </c>
      <c r="AM2" s="491">
        <v>0</v>
      </c>
      <c r="AN2" s="491">
        <v>0</v>
      </c>
      <c r="AO2" s="491">
        <v>0</v>
      </c>
    </row>
    <row r="3" spans="1:41" x14ac:dyDescent="0.25">
      <c r="A3" s="70" t="s">
        <v>90</v>
      </c>
      <c r="B3" s="70" t="s">
        <v>395</v>
      </c>
      <c r="C3" s="418" t="s">
        <v>2210</v>
      </c>
      <c r="D3" s="70" t="s">
        <v>18</v>
      </c>
      <c r="E3" s="603">
        <f>T_AI[[#This Row],[Cost price, CCY]]</f>
        <v>1000000</v>
      </c>
      <c r="F3" s="597">
        <f>G3</f>
        <v>176210</v>
      </c>
      <c r="G3" s="599">
        <v>176210</v>
      </c>
      <c r="H3" s="600" t="s">
        <v>1211</v>
      </c>
      <c r="I3" s="603">
        <f>T_AI[[#This Row],[Cost price, CCY]]</f>
        <v>1000000</v>
      </c>
      <c r="J3" s="598">
        <v>0</v>
      </c>
      <c r="K3" s="318">
        <v>1000000</v>
      </c>
      <c r="L3" s="296">
        <f>T_AI[[#This Row],[2026 CF in USD &gt;&gt;]]</f>
        <v>0</v>
      </c>
      <c r="M3" s="73"/>
      <c r="N3" s="318"/>
      <c r="P3" s="100">
        <f>O3*E3</f>
        <v>0</v>
      </c>
      <c r="Q3" s="3">
        <f>IF(X3&lt;&gt;"",E3*O3*X3,E3*O3)</f>
        <v>0</v>
      </c>
      <c r="R3" s="9">
        <f>T_AI[[#This Row],[MV, CCY]]/T_AI[[#This Row],[Cost price, CCY]]-1</f>
        <v>-0.82379000000000002</v>
      </c>
      <c r="S3" s="101">
        <f>O3</f>
        <v>0</v>
      </c>
      <c r="T3" s="604">
        <f>S3*E3</f>
        <v>0</v>
      </c>
      <c r="U3" s="3">
        <f>E3*O3/K3</f>
        <v>0</v>
      </c>
      <c r="W3">
        <v>1</v>
      </c>
      <c r="X3">
        <f>INDEX('Tech list'!A:C,MATCH(T_AI[[#This Row],[Risk CCY]],'Tech list'!A:A,0),3)</f>
        <v>1</v>
      </c>
      <c r="Y3" s="301">
        <f>T_AI[[#This Row],[MV, CCY]]</f>
        <v>176210</v>
      </c>
      <c r="Z3" s="294">
        <f>X3*T_AI[[#This Row],[Market value in CCY]]</f>
        <v>176210</v>
      </c>
      <c r="AB3" s="492"/>
      <c r="AD3" s="491">
        <v>0</v>
      </c>
      <c r="AE3" s="491">
        <v>0</v>
      </c>
      <c r="AF3" s="491">
        <v>0</v>
      </c>
      <c r="AG3" s="491">
        <v>0</v>
      </c>
      <c r="AH3" s="491">
        <v>0</v>
      </c>
      <c r="AI3" s="491">
        <v>0</v>
      </c>
      <c r="AJ3" s="491">
        <v>0</v>
      </c>
      <c r="AK3" s="491">
        <v>0</v>
      </c>
      <c r="AL3" s="491">
        <v>0</v>
      </c>
      <c r="AM3" s="491">
        <v>0</v>
      </c>
      <c r="AN3" s="491">
        <v>0</v>
      </c>
      <c r="AO3" s="491">
        <v>0</v>
      </c>
    </row>
    <row r="4" spans="1:41" x14ac:dyDescent="0.25">
      <c r="A4" s="70" t="s">
        <v>394</v>
      </c>
      <c r="B4" s="70" t="s">
        <v>395</v>
      </c>
      <c r="C4" s="418" t="s">
        <v>444</v>
      </c>
      <c r="D4" s="418" t="s">
        <v>18</v>
      </c>
      <c r="E4" s="596">
        <f>T_AI[[#This Row],[Total (net) drawdown, CCY]]</f>
        <v>2043520.49</v>
      </c>
      <c r="F4" s="597">
        <f>G4-D26</f>
        <v>1793129.74</v>
      </c>
      <c r="G4" s="599">
        <v>1642853</v>
      </c>
      <c r="H4" s="600" t="s">
        <v>1211</v>
      </c>
      <c r="I4" s="596">
        <v>2043520.49</v>
      </c>
      <c r="J4" s="596">
        <v>227674.56</v>
      </c>
      <c r="K4" s="318">
        <v>1969294.8499999999</v>
      </c>
      <c r="L4" s="296">
        <v>1458361.32</v>
      </c>
      <c r="M4" s="73">
        <v>2000000</v>
      </c>
      <c r="N4" s="318"/>
      <c r="O4">
        <v>0</v>
      </c>
      <c r="P4" s="3">
        <f t="shared" ref="P4:P10" si="0">O4*E4</f>
        <v>0</v>
      </c>
      <c r="Q4" s="3">
        <f t="shared" ref="Q4:Q10" si="1">IF(X4&lt;&gt;"",E4*O4*X4,E4*O4)</f>
        <v>0</v>
      </c>
      <c r="R4" s="9">
        <f>T_AI[[#This Row],[MV, CCY]]/T_AI[[#This Row],[Cost price, CCY]]-1</f>
        <v>-8.9455933934931009E-2</v>
      </c>
      <c r="S4" s="101">
        <f>O4</f>
        <v>0</v>
      </c>
      <c r="T4" s="201">
        <f t="shared" ref="T4:T10" si="2">S4*E4</f>
        <v>0</v>
      </c>
      <c r="U4" s="3">
        <f>E4*O4/K4</f>
        <v>0</v>
      </c>
      <c r="W4">
        <v>1</v>
      </c>
      <c r="X4">
        <f>INDEX('Tech list'!A:C,MATCH(T_AI[[#This Row],[Risk CCY]],'Tech list'!A:A,0),3)</f>
        <v>1</v>
      </c>
      <c r="Y4" s="301">
        <f>T_AI[[#This Row],[MV, CCY]]</f>
        <v>1793129.74</v>
      </c>
      <c r="Z4" s="294">
        <f>X4*T_AI[[#This Row],[Market value in CCY]]</f>
        <v>1793129.74</v>
      </c>
      <c r="AA4" s="7">
        <v>0</v>
      </c>
      <c r="AB4" s="492"/>
      <c r="AC4" s="7"/>
      <c r="AD4" s="491">
        <v>0</v>
      </c>
      <c r="AE4" s="491">
        <v>0</v>
      </c>
      <c r="AF4" s="491">
        <v>0</v>
      </c>
      <c r="AG4" s="491">
        <v>0</v>
      </c>
      <c r="AH4" s="491">
        <v>0</v>
      </c>
      <c r="AI4" s="491">
        <v>0</v>
      </c>
      <c r="AJ4" s="491">
        <v>0</v>
      </c>
      <c r="AK4" s="491">
        <v>0</v>
      </c>
      <c r="AL4" s="491">
        <v>0</v>
      </c>
      <c r="AM4" s="491">
        <v>0</v>
      </c>
      <c r="AN4" s="491">
        <v>0</v>
      </c>
      <c r="AO4" s="491">
        <v>0</v>
      </c>
    </row>
    <row r="5" spans="1:41" x14ac:dyDescent="0.25">
      <c r="A5" s="70" t="s">
        <v>394</v>
      </c>
      <c r="B5" s="70" t="s">
        <v>395</v>
      </c>
      <c r="C5" s="418" t="s">
        <v>445</v>
      </c>
      <c r="D5" s="418" t="s">
        <v>18</v>
      </c>
      <c r="E5" s="596">
        <f>T_AI[[#This Row],[Total (net) drawdown, CCY]]</f>
        <v>1128408.57</v>
      </c>
      <c r="F5" s="597">
        <f>G5-SUM(D25)</f>
        <v>963077.18</v>
      </c>
      <c r="G5" s="599">
        <v>909448</v>
      </c>
      <c r="H5" s="600" t="s">
        <v>1211</v>
      </c>
      <c r="I5" s="596">
        <v>1128408.57</v>
      </c>
      <c r="J5" s="596">
        <f>T_AI[[#This Row],[Total Commitment, CCY]]-T_AI[[#This Row],[Total (net) drawdown, CCY]]</f>
        <v>1871591.43</v>
      </c>
      <c r="K5" s="318">
        <v>1287286.44</v>
      </c>
      <c r="L5" s="296">
        <v>128675.54</v>
      </c>
      <c r="M5" s="73">
        <v>3000000</v>
      </c>
      <c r="N5" s="318"/>
      <c r="O5">
        <v>0</v>
      </c>
      <c r="P5" s="3">
        <f t="shared" si="0"/>
        <v>0</v>
      </c>
      <c r="Q5" s="3">
        <f t="shared" si="1"/>
        <v>0</v>
      </c>
      <c r="R5" s="9">
        <f>T_AI[[#This Row],[MV, CCY]]/T_AI[[#This Row],[Cost price, CCY]]-1</f>
        <v>-0.25185479309484526</v>
      </c>
      <c r="S5" s="101">
        <f t="shared" ref="S5:S10" si="3">O5</f>
        <v>0</v>
      </c>
      <c r="T5" s="201">
        <f t="shared" si="2"/>
        <v>0</v>
      </c>
      <c r="U5" s="3">
        <f>E5*O5/K5</f>
        <v>0</v>
      </c>
      <c r="W5">
        <v>1</v>
      </c>
      <c r="X5">
        <f>INDEX('Tech list'!A:C,MATCH(T_AI[[#This Row],[Risk CCY]],'Tech list'!A:A,0),3)</f>
        <v>1</v>
      </c>
      <c r="Y5" s="301">
        <f>T_AI[[#This Row],[MV, CCY]]</f>
        <v>963077.18</v>
      </c>
      <c r="Z5" s="294">
        <f>X5*T_AI[[#This Row],[Market value in CCY]]</f>
        <v>963077.18</v>
      </c>
      <c r="AA5" s="7">
        <v>0</v>
      </c>
      <c r="AB5" s="492"/>
      <c r="AC5" s="7"/>
      <c r="AD5" s="491">
        <v>0</v>
      </c>
      <c r="AE5" s="491">
        <v>0</v>
      </c>
      <c r="AF5" s="491">
        <v>0</v>
      </c>
      <c r="AG5" s="491">
        <v>0</v>
      </c>
      <c r="AH5" s="491">
        <v>0</v>
      </c>
      <c r="AI5" s="491">
        <v>0</v>
      </c>
      <c r="AJ5" s="491">
        <v>0</v>
      </c>
      <c r="AK5" s="491">
        <v>0</v>
      </c>
      <c r="AL5" s="491">
        <v>0</v>
      </c>
      <c r="AM5" s="491">
        <v>0</v>
      </c>
      <c r="AN5" s="491">
        <v>0</v>
      </c>
      <c r="AO5" s="491">
        <v>0</v>
      </c>
    </row>
    <row r="6" spans="1:41" x14ac:dyDescent="0.25">
      <c r="A6" s="70" t="s">
        <v>394</v>
      </c>
      <c r="B6" s="70" t="s">
        <v>395</v>
      </c>
      <c r="C6" s="418" t="s">
        <v>992</v>
      </c>
      <c r="D6" s="418" t="s">
        <v>19</v>
      </c>
      <c r="E6" s="596">
        <f>T_AI[[#This Row],[Total (net) drawdown, CCY]]</f>
        <v>200000</v>
      </c>
      <c r="F6" s="597">
        <f>G6</f>
        <v>200000</v>
      </c>
      <c r="G6" s="599">
        <v>200000</v>
      </c>
      <c r="H6" s="600"/>
      <c r="I6" s="421">
        <v>200000</v>
      </c>
      <c r="J6" s="421">
        <v>0</v>
      </c>
      <c r="K6" s="318">
        <v>200029.68</v>
      </c>
      <c r="L6" s="296">
        <f>T_AI[[#This Row],[2026 CF in USD &gt;&gt;]]</f>
        <v>0</v>
      </c>
      <c r="M6" s="73"/>
      <c r="N6" s="318"/>
      <c r="O6">
        <v>0</v>
      </c>
      <c r="P6" s="1">
        <f t="shared" si="0"/>
        <v>0</v>
      </c>
      <c r="Q6" s="1">
        <f t="shared" ca="1" si="1"/>
        <v>0</v>
      </c>
      <c r="R6" s="605">
        <f>T_AI[[#This Row],[MV, CCY]]/T_AI[[#This Row],[Cost price, CCY]]-1</f>
        <v>-1.4837798070765906E-4</v>
      </c>
      <c r="S6" s="101">
        <f>O6</f>
        <v>0</v>
      </c>
      <c r="T6" s="201">
        <f t="shared" si="2"/>
        <v>0</v>
      </c>
      <c r="U6" s="3">
        <v>0</v>
      </c>
      <c r="V6" s="282"/>
      <c r="W6">
        <v>1</v>
      </c>
      <c r="X6" s="282">
        <f ca="1">INDEX('Tech list'!A:C,MATCH(T_AI[[#This Row],[Risk CCY]],'Tech list'!A:A,0),3)</f>
        <v>1.3373999999999999</v>
      </c>
      <c r="Y6" s="301">
        <f>T_AI[[#This Row],[MV, CCY]]</f>
        <v>200000</v>
      </c>
      <c r="Z6" s="294">
        <f ca="1">X6*T_AI[[#This Row],[Market value in CCY]]</f>
        <v>267480</v>
      </c>
      <c r="AB6" s="492"/>
      <c r="AD6" s="491">
        <v>0</v>
      </c>
      <c r="AE6" s="491">
        <v>0</v>
      </c>
      <c r="AF6" s="491">
        <v>0</v>
      </c>
      <c r="AG6" s="491">
        <v>0</v>
      </c>
      <c r="AH6" s="491">
        <v>0</v>
      </c>
      <c r="AI6" s="491">
        <v>0</v>
      </c>
      <c r="AJ6" s="491">
        <v>0</v>
      </c>
      <c r="AK6" s="491">
        <v>0</v>
      </c>
      <c r="AL6" s="491">
        <v>0</v>
      </c>
      <c r="AM6" s="491">
        <v>0</v>
      </c>
      <c r="AN6" s="491">
        <v>0</v>
      </c>
      <c r="AO6" s="491">
        <v>0</v>
      </c>
    </row>
    <row r="7" spans="1:41" x14ac:dyDescent="0.25">
      <c r="A7" s="686" t="s">
        <v>394</v>
      </c>
      <c r="B7" s="686" t="s">
        <v>395</v>
      </c>
      <c r="C7" s="418" t="s">
        <v>396</v>
      </c>
      <c r="D7" s="418" t="s">
        <v>18</v>
      </c>
      <c r="E7" s="598">
        <f>T_AI[[#This Row],[Total (net) drawdown, CCY]]</f>
        <v>2639512</v>
      </c>
      <c r="F7" s="771">
        <f>G7</f>
        <v>3545000</v>
      </c>
      <c r="G7" s="599">
        <v>3545000</v>
      </c>
      <c r="H7" s="600" t="s">
        <v>1211</v>
      </c>
      <c r="I7" s="598">
        <v>2639512</v>
      </c>
      <c r="J7" s="598">
        <f>2360488</f>
        <v>2360488</v>
      </c>
      <c r="K7" s="318">
        <v>3386222</v>
      </c>
      <c r="L7" s="772">
        <f>831283+D27+D28</f>
        <v>1006634</v>
      </c>
      <c r="M7" s="73">
        <v>5000000</v>
      </c>
      <c r="N7" s="318"/>
      <c r="O7">
        <v>0</v>
      </c>
      <c r="P7" s="3">
        <f t="shared" si="0"/>
        <v>0</v>
      </c>
      <c r="Q7" s="3">
        <f t="shared" si="1"/>
        <v>0</v>
      </c>
      <c r="R7" s="9">
        <f>T_AI[[#This Row],[MV, CCY]]/T_AI[[#This Row],[Cost price, CCY]]-1</f>
        <v>4.6889424261020052E-2</v>
      </c>
      <c r="S7" s="101">
        <f t="shared" si="3"/>
        <v>0</v>
      </c>
      <c r="T7" s="201">
        <f t="shared" si="2"/>
        <v>0</v>
      </c>
      <c r="U7" s="3">
        <f>E7*O7/K7</f>
        <v>0</v>
      </c>
      <c r="W7">
        <v>1</v>
      </c>
      <c r="X7">
        <f>INDEX('Tech list'!A:C,MATCH(T_AI[[#This Row],[Risk CCY]],'Tech list'!A:A,0),3)</f>
        <v>1</v>
      </c>
      <c r="Y7" s="301">
        <f>T_AI[[#This Row],[MV, CCY]]</f>
        <v>3545000</v>
      </c>
      <c r="Z7" s="294">
        <f>X7*T_AI[[#This Row],[Market value in CCY]]</f>
        <v>3545000</v>
      </c>
      <c r="AA7" s="7">
        <v>0</v>
      </c>
      <c r="AB7" s="492"/>
      <c r="AC7">
        <v>0</v>
      </c>
      <c r="AD7" s="491">
        <v>72000</v>
      </c>
      <c r="AE7" s="491">
        <v>0</v>
      </c>
      <c r="AF7" s="491">
        <v>0</v>
      </c>
      <c r="AG7" s="491">
        <v>0</v>
      </c>
      <c r="AH7" s="491">
        <v>0</v>
      </c>
      <c r="AI7" s="491">
        <v>0</v>
      </c>
      <c r="AJ7" s="491">
        <v>0</v>
      </c>
      <c r="AK7" s="491">
        <v>0</v>
      </c>
      <c r="AL7" s="491">
        <v>0</v>
      </c>
      <c r="AM7" s="491">
        <v>0</v>
      </c>
      <c r="AN7" s="491">
        <v>0</v>
      </c>
      <c r="AO7" s="491">
        <v>0</v>
      </c>
    </row>
    <row r="8" spans="1:41" x14ac:dyDescent="0.25">
      <c r="A8" s="70" t="s">
        <v>394</v>
      </c>
      <c r="B8" s="70" t="s">
        <v>395</v>
      </c>
      <c r="C8" s="418" t="s">
        <v>397</v>
      </c>
      <c r="D8" s="418" t="s">
        <v>21</v>
      </c>
      <c r="E8" s="596">
        <v>400000</v>
      </c>
      <c r="F8" s="597">
        <f>T_AI[[#This Row],[NAV reported, CCY]]</f>
        <v>451999.99999999994</v>
      </c>
      <c r="G8" s="599">
        <f>T_AI[[#This Row],[Cost price, CCY]]*1.13</f>
        <v>451999.99999999994</v>
      </c>
      <c r="H8" s="600" t="s">
        <v>1211</v>
      </c>
      <c r="I8" s="598">
        <v>400000</v>
      </c>
      <c r="J8" s="598">
        <v>0</v>
      </c>
      <c r="K8" s="318">
        <v>400000</v>
      </c>
      <c r="L8" s="296">
        <f>T_AI[[#This Row],[2026 CF in USD &gt;&gt;]]</f>
        <v>0</v>
      </c>
      <c r="M8" s="73"/>
      <c r="N8" s="318"/>
      <c r="O8">
        <v>0</v>
      </c>
      <c r="P8" s="3">
        <f t="shared" si="0"/>
        <v>0</v>
      </c>
      <c r="Q8" s="3">
        <f t="shared" ca="1" si="1"/>
        <v>0</v>
      </c>
      <c r="R8" s="9">
        <f>T_AI[[#This Row],[MV, CCY]]/T_AI[[#This Row],[Cost price, CCY]]-1</f>
        <v>0.12999999999999989</v>
      </c>
      <c r="S8" s="101">
        <f t="shared" si="3"/>
        <v>0</v>
      </c>
      <c r="T8" s="201">
        <f t="shared" si="2"/>
        <v>0</v>
      </c>
      <c r="U8" s="3">
        <f>E8*O8/K8</f>
        <v>0</v>
      </c>
      <c r="W8">
        <v>1</v>
      </c>
      <c r="X8">
        <f ca="1">INDEX('Tech list'!A:C,MATCH(T_AI[[#This Row],[Risk CCY]],'Tech list'!A:A,0),3)</f>
        <v>1.1571</v>
      </c>
      <c r="Y8" s="301">
        <f>T_AI[[#This Row],[MV, CCY]]</f>
        <v>451999.99999999994</v>
      </c>
      <c r="Z8" s="294">
        <f ca="1">X8*T_AI[[#This Row],[Market value in CCY]]</f>
        <v>523009.19999999995</v>
      </c>
      <c r="AA8" s="7">
        <v>0</v>
      </c>
      <c r="AB8" s="492"/>
      <c r="AC8">
        <v>0</v>
      </c>
      <c r="AD8" s="491">
        <v>0</v>
      </c>
      <c r="AE8" s="491">
        <v>0</v>
      </c>
      <c r="AF8" s="491">
        <v>0</v>
      </c>
      <c r="AG8" s="491">
        <v>0</v>
      </c>
      <c r="AH8" s="491">
        <v>0</v>
      </c>
      <c r="AI8" s="491">
        <v>0</v>
      </c>
      <c r="AJ8" s="491">
        <v>0</v>
      </c>
      <c r="AK8" s="491">
        <v>0</v>
      </c>
      <c r="AL8" s="491">
        <v>0</v>
      </c>
      <c r="AM8" s="491">
        <v>0</v>
      </c>
      <c r="AN8" s="491">
        <v>0</v>
      </c>
      <c r="AO8" s="491">
        <v>0</v>
      </c>
    </row>
    <row r="9" spans="1:41" x14ac:dyDescent="0.25">
      <c r="A9" s="70" t="s">
        <v>394</v>
      </c>
      <c r="B9" s="70" t="s">
        <v>395</v>
      </c>
      <c r="C9" s="418" t="s">
        <v>1195</v>
      </c>
      <c r="D9" s="418" t="s">
        <v>18</v>
      </c>
      <c r="E9" s="596">
        <f>T_AI[[#This Row],[Total (net) drawdown, CCY]]</f>
        <v>100286</v>
      </c>
      <c r="F9" s="597">
        <f>G9</f>
        <v>24786</v>
      </c>
      <c r="G9" s="599">
        <f>24786</f>
        <v>24786</v>
      </c>
      <c r="H9" s="601">
        <v>2024</v>
      </c>
      <c r="I9" s="598">
        <f>T_AI[[#This Row],[Cost price, CCY]]</f>
        <v>100286</v>
      </c>
      <c r="J9" s="598">
        <v>0</v>
      </c>
      <c r="K9" s="318">
        <f>72500+27786</f>
        <v>100286</v>
      </c>
      <c r="L9" s="296">
        <f>T_AI[[#This Row],[2026 CF in USD &gt;&gt;]]</f>
        <v>0</v>
      </c>
      <c r="M9" s="73"/>
      <c r="N9" s="318"/>
      <c r="O9">
        <v>0</v>
      </c>
      <c r="P9" s="3">
        <f t="shared" si="0"/>
        <v>0</v>
      </c>
      <c r="Q9" s="3">
        <f t="shared" si="1"/>
        <v>0</v>
      </c>
      <c r="R9" s="9">
        <f>T_AI[[#This Row],[MV, CCY]]/T_AI[[#This Row],[Cost price, CCY]]-1</f>
        <v>-0.75284685798615958</v>
      </c>
      <c r="S9" s="101">
        <f t="shared" si="3"/>
        <v>0</v>
      </c>
      <c r="T9" s="201">
        <f t="shared" si="2"/>
        <v>0</v>
      </c>
      <c r="U9" s="3">
        <f>E9*O9/K9</f>
        <v>0</v>
      </c>
      <c r="W9">
        <v>1</v>
      </c>
      <c r="X9">
        <f>INDEX('Tech list'!A:C,MATCH(T_AI[[#This Row],[Risk CCY]],'Tech list'!A:A,0),3)</f>
        <v>1</v>
      </c>
      <c r="Y9" s="301">
        <f>T_AI[[#This Row],[MV, CCY]]</f>
        <v>24786</v>
      </c>
      <c r="Z9" s="294">
        <f>X9*T_AI[[#This Row],[Market value in CCY]]</f>
        <v>24786</v>
      </c>
      <c r="AA9" s="7">
        <v>0</v>
      </c>
      <c r="AB9" s="492"/>
      <c r="AC9">
        <v>0</v>
      </c>
      <c r="AD9" s="491">
        <v>0</v>
      </c>
      <c r="AE9" s="491">
        <v>0</v>
      </c>
      <c r="AF9" s="491">
        <v>0</v>
      </c>
      <c r="AG9" s="491">
        <v>0</v>
      </c>
      <c r="AH9" s="491">
        <v>0</v>
      </c>
      <c r="AI9" s="491">
        <v>0</v>
      </c>
      <c r="AJ9" s="491">
        <v>0</v>
      </c>
      <c r="AK9" s="491">
        <v>0</v>
      </c>
      <c r="AL9" s="491">
        <v>0</v>
      </c>
      <c r="AM9" s="491">
        <v>0</v>
      </c>
      <c r="AN9" s="491">
        <v>0</v>
      </c>
      <c r="AO9" s="491">
        <v>0</v>
      </c>
    </row>
    <row r="10" spans="1:41" x14ac:dyDescent="0.25">
      <c r="A10" s="70" t="s">
        <v>394</v>
      </c>
      <c r="B10" s="70" t="s">
        <v>395</v>
      </c>
      <c r="C10" s="70" t="s">
        <v>993</v>
      </c>
      <c r="D10" s="70" t="s">
        <v>18</v>
      </c>
      <c r="E10" s="596">
        <f>T_AI[[#This Row],[Total (net) drawdown, CCY]]</f>
        <v>352019.57</v>
      </c>
      <c r="F10" s="597">
        <f>G10-D29</f>
        <v>520535.65971833229</v>
      </c>
      <c r="G10" s="599">
        <f>T_AI[[#This Row],[Total (net) drawdown, CCY]]*1.15778193728926</f>
        <v>407561.89971833228</v>
      </c>
      <c r="H10" s="600" t="s">
        <v>1211</v>
      </c>
      <c r="I10" s="598">
        <v>352019.57</v>
      </c>
      <c r="J10" s="598">
        <v>647980.43000000005</v>
      </c>
      <c r="K10" s="318">
        <f>249827.36+112973.76</f>
        <v>362801.12</v>
      </c>
      <c r="L10" s="296">
        <f>T_AI[[#This Row],[2026 CF in USD &gt;&gt;]]</f>
        <v>0</v>
      </c>
      <c r="M10" s="73"/>
      <c r="N10" s="318"/>
      <c r="O10">
        <v>0</v>
      </c>
      <c r="P10" s="3">
        <f t="shared" si="0"/>
        <v>0</v>
      </c>
      <c r="Q10" s="3">
        <f t="shared" si="1"/>
        <v>0</v>
      </c>
      <c r="R10" s="9">
        <f>T_AI[[#This Row],[MV, CCY]]/T_AI[[#This Row],[Cost price, CCY]]-1</f>
        <v>0.43476861294786606</v>
      </c>
      <c r="S10" s="101">
        <f t="shared" si="3"/>
        <v>0</v>
      </c>
      <c r="T10" s="201">
        <f t="shared" si="2"/>
        <v>0</v>
      </c>
      <c r="U10" s="3">
        <f>E10*O10/K10</f>
        <v>0</v>
      </c>
      <c r="W10">
        <v>1</v>
      </c>
      <c r="X10">
        <f>INDEX('Tech list'!A:C,MATCH(T_AI[[#This Row],[Risk CCY]],'Tech list'!A:A,0),3)</f>
        <v>1</v>
      </c>
      <c r="Y10" s="301">
        <f>T_AI[[#This Row],[MV, CCY]]</f>
        <v>520535.65971833229</v>
      </c>
      <c r="Z10" s="294">
        <f>X10*T_AI[[#This Row],[Market value in CCY]]</f>
        <v>520535.65971833229</v>
      </c>
      <c r="AA10" s="7">
        <v>0</v>
      </c>
      <c r="AB10" s="492"/>
      <c r="AC10">
        <v>1</v>
      </c>
      <c r="AD10" s="491">
        <v>0</v>
      </c>
      <c r="AE10" s="491">
        <v>0</v>
      </c>
      <c r="AF10" s="491">
        <v>0</v>
      </c>
      <c r="AG10" s="491">
        <v>0</v>
      </c>
      <c r="AH10" s="491">
        <v>0</v>
      </c>
      <c r="AI10" s="491">
        <v>0</v>
      </c>
      <c r="AJ10" s="491">
        <v>0</v>
      </c>
      <c r="AK10" s="491">
        <v>0</v>
      </c>
      <c r="AL10" s="491">
        <v>0</v>
      </c>
      <c r="AM10" s="491">
        <v>0</v>
      </c>
      <c r="AN10" s="491">
        <v>0</v>
      </c>
      <c r="AO10" s="491">
        <v>0</v>
      </c>
    </row>
    <row r="11" spans="1:41" x14ac:dyDescent="0.25">
      <c r="R11" s="17"/>
    </row>
    <row r="12" spans="1:41" x14ac:dyDescent="0.25">
      <c r="R12" s="17"/>
    </row>
    <row r="13" spans="1:41" x14ac:dyDescent="0.25">
      <c r="A13" s="70"/>
      <c r="B13" s="70"/>
      <c r="C13" s="70"/>
      <c r="D13" s="70"/>
      <c r="E13" s="70"/>
      <c r="F13" s="70"/>
      <c r="G13" s="596"/>
      <c r="H13" s="602"/>
      <c r="I13" s="596"/>
      <c r="J13" s="596"/>
    </row>
    <row r="14" spans="1:41" x14ac:dyDescent="0.25">
      <c r="I14" s="7"/>
      <c r="Y14" s="26"/>
      <c r="Z14" s="32"/>
    </row>
    <row r="15" spans="1:41" x14ac:dyDescent="0.25">
      <c r="I15" s="7"/>
    </row>
    <row r="16" spans="1:41" x14ac:dyDescent="0.25">
      <c r="H16" s="371"/>
      <c r="I16" s="7"/>
      <c r="J16"/>
      <c r="K16"/>
      <c r="R16" s="18"/>
      <c r="S16" s="18"/>
      <c r="T16" s="18"/>
      <c r="U16" s="18"/>
      <c r="V16" s="18"/>
    </row>
    <row r="17" spans="1:22" x14ac:dyDescent="0.25">
      <c r="H17" s="371"/>
      <c r="I17" s="7"/>
      <c r="J17"/>
      <c r="K17"/>
      <c r="R17" s="18"/>
      <c r="S17" s="18"/>
      <c r="T17" s="18"/>
      <c r="U17" s="18"/>
      <c r="V17" s="18"/>
    </row>
    <row r="18" spans="1:22" x14ac:dyDescent="0.25">
      <c r="H18" s="371"/>
      <c r="I18" s="7"/>
      <c r="J18"/>
      <c r="K18"/>
      <c r="R18" s="18"/>
      <c r="S18" s="18"/>
      <c r="T18" s="18"/>
      <c r="U18" s="18"/>
      <c r="V18" s="18"/>
    </row>
    <row r="19" spans="1:22" x14ac:dyDescent="0.25">
      <c r="H19" s="371"/>
      <c r="J19"/>
      <c r="K19"/>
      <c r="R19" s="18"/>
      <c r="S19" s="18"/>
      <c r="T19" s="18"/>
      <c r="U19" s="18"/>
      <c r="V19" s="18"/>
    </row>
    <row r="20" spans="1:22" x14ac:dyDescent="0.25">
      <c r="H20" s="371"/>
      <c r="I20" s="18" t="s">
        <v>2475</v>
      </c>
      <c r="J20" s="32">
        <v>0</v>
      </c>
      <c r="K20"/>
      <c r="R20" s="18"/>
      <c r="S20" s="18"/>
      <c r="T20" s="18"/>
      <c r="U20" s="18"/>
      <c r="V20" s="18"/>
    </row>
    <row r="21" spans="1:22" x14ac:dyDescent="0.25">
      <c r="I21" s="18" t="s">
        <v>2476</v>
      </c>
      <c r="J21" s="18">
        <v>0</v>
      </c>
    </row>
    <row r="23" spans="1:22" x14ac:dyDescent="0.25">
      <c r="A23" s="278" t="s">
        <v>1111</v>
      </c>
      <c r="B23" s="278"/>
      <c r="C23" s="278"/>
      <c r="D23" s="278"/>
      <c r="E23" s="278"/>
      <c r="F23" s="278"/>
      <c r="G23" s="278"/>
    </row>
    <row r="24" spans="1:22" x14ac:dyDescent="0.25">
      <c r="A24" s="456" t="s">
        <v>1108</v>
      </c>
      <c r="B24" s="456" t="s">
        <v>1098</v>
      </c>
      <c r="C24" s="456" t="s">
        <v>1193</v>
      </c>
      <c r="D24" s="457" t="s">
        <v>406</v>
      </c>
      <c r="E24" s="456" t="s">
        <v>2</v>
      </c>
      <c r="F24" s="456" t="s">
        <v>1109</v>
      </c>
      <c r="G24" s="456" t="s">
        <v>1114</v>
      </c>
    </row>
    <row r="25" spans="1:22" x14ac:dyDescent="0.25">
      <c r="A25" s="358">
        <v>9904856</v>
      </c>
      <c r="B25" s="359" t="s">
        <v>1110</v>
      </c>
      <c r="C25" s="447" t="s">
        <v>445</v>
      </c>
      <c r="D25" s="360">
        <v>-53629.18</v>
      </c>
      <c r="E25" s="361" t="s">
        <v>18</v>
      </c>
      <c r="F25" s="362">
        <v>45932</v>
      </c>
      <c r="G25" s="363" t="s">
        <v>1192</v>
      </c>
    </row>
    <row r="26" spans="1:22" x14ac:dyDescent="0.25">
      <c r="A26" s="657">
        <v>9904854</v>
      </c>
      <c r="B26" s="658" t="s">
        <v>1110</v>
      </c>
      <c r="C26" s="658" t="s">
        <v>444</v>
      </c>
      <c r="D26" s="659">
        <v>-150276.74</v>
      </c>
      <c r="E26" s="660" t="s">
        <v>18</v>
      </c>
      <c r="F26" s="661">
        <v>45987</v>
      </c>
      <c r="G26" s="662" t="s">
        <v>1192</v>
      </c>
    </row>
    <row r="27" spans="1:22" x14ac:dyDescent="0.25">
      <c r="A27" s="358">
        <v>9867455</v>
      </c>
      <c r="B27" s="359" t="s">
        <v>1112</v>
      </c>
      <c r="C27" s="359" t="s">
        <v>396</v>
      </c>
      <c r="D27" s="768">
        <v>85898</v>
      </c>
      <c r="E27" s="361" t="s">
        <v>18</v>
      </c>
      <c r="F27" s="769">
        <v>46050</v>
      </c>
      <c r="G27" s="770" t="s">
        <v>1113</v>
      </c>
    </row>
    <row r="28" spans="1:22" x14ac:dyDescent="0.25">
      <c r="A28" s="451">
        <v>9867455</v>
      </c>
      <c r="B28" s="451" t="s">
        <v>1112</v>
      </c>
      <c r="C28" s="451" t="s">
        <v>396</v>
      </c>
      <c r="D28" s="452">
        <v>89453</v>
      </c>
      <c r="E28" s="453" t="s">
        <v>18</v>
      </c>
      <c r="F28" s="454">
        <v>45967</v>
      </c>
      <c r="G28" s="455" t="s">
        <v>1113</v>
      </c>
    </row>
    <row r="29" spans="1:22" x14ac:dyDescent="0.25">
      <c r="A29" s="487" t="s">
        <v>1229</v>
      </c>
      <c r="B29" s="451" t="s">
        <v>1112</v>
      </c>
      <c r="C29" s="451" t="s">
        <v>993</v>
      </c>
      <c r="D29" s="452">
        <v>-112973.75999999999</v>
      </c>
      <c r="E29" s="453" t="s">
        <v>18</v>
      </c>
      <c r="F29" s="454">
        <v>45992</v>
      </c>
      <c r="G29" s="455" t="s">
        <v>1192</v>
      </c>
    </row>
    <row r="37" spans="1:3" x14ac:dyDescent="0.25">
      <c r="A37" t="s">
        <v>443</v>
      </c>
      <c r="B37" s="26">
        <f>SUM(B40:B41)</f>
        <v>4110000</v>
      </c>
    </row>
    <row r="38" spans="1:3" x14ac:dyDescent="0.25">
      <c r="A38" t="s">
        <v>442</v>
      </c>
      <c r="B38" s="26">
        <f>SUM(B42:B46)</f>
        <v>94889.665122999999</v>
      </c>
    </row>
    <row r="39" spans="1:3" x14ac:dyDescent="0.25">
      <c r="A39" s="19" t="s">
        <v>440</v>
      </c>
    </row>
    <row r="40" spans="1:3" x14ac:dyDescent="0.25">
      <c r="A40" s="204">
        <v>2025</v>
      </c>
      <c r="B40" s="205">
        <v>2670000</v>
      </c>
      <c r="C40" s="203" t="s">
        <v>446</v>
      </c>
    </row>
    <row r="41" spans="1:3" x14ac:dyDescent="0.25">
      <c r="A41" s="203" t="s">
        <v>441</v>
      </c>
      <c r="B41" s="205">
        <v>1440000</v>
      </c>
      <c r="C41" s="203" t="s">
        <v>446</v>
      </c>
    </row>
    <row r="42" spans="1:3" x14ac:dyDescent="0.25">
      <c r="A42" s="206">
        <v>45539</v>
      </c>
      <c r="B42" s="21">
        <v>5332.8006699999996</v>
      </c>
      <c r="C42" s="1" t="s">
        <v>444</v>
      </c>
    </row>
    <row r="43" spans="1:3" x14ac:dyDescent="0.25">
      <c r="A43" s="206">
        <v>45485</v>
      </c>
      <c r="B43" s="21">
        <v>22914.941466</v>
      </c>
      <c r="C43" s="1" t="s">
        <v>444</v>
      </c>
    </row>
    <row r="44" spans="1:3" x14ac:dyDescent="0.25">
      <c r="A44" s="206">
        <v>44925</v>
      </c>
      <c r="B44" s="21">
        <v>63811.828783999998</v>
      </c>
      <c r="C44" s="1" t="s">
        <v>444</v>
      </c>
    </row>
    <row r="45" spans="1:3" x14ac:dyDescent="0.25">
      <c r="A45" s="206">
        <v>44288</v>
      </c>
      <c r="B45" s="21">
        <v>2044.0224270000001</v>
      </c>
      <c r="C45" s="1" t="s">
        <v>444</v>
      </c>
    </row>
    <row r="46" spans="1:3" x14ac:dyDescent="0.25">
      <c r="A46" s="206">
        <v>44187</v>
      </c>
      <c r="B46" s="21">
        <v>786.071776</v>
      </c>
      <c r="C46" s="1" t="s">
        <v>444</v>
      </c>
    </row>
    <row r="49" spans="1:1" x14ac:dyDescent="0.25">
      <c r="A49" s="211" t="s">
        <v>471</v>
      </c>
    </row>
    <row r="50" spans="1:1" x14ac:dyDescent="0.25">
      <c r="A50" s="211" t="s">
        <v>472</v>
      </c>
    </row>
  </sheetData>
  <phoneticPr fontId="11" type="noConversion"/>
  <conditionalFormatting sqref="AD2:AO10">
    <cfRule type="cellIs" dxfId="3" priority="1" operator="lessThan">
      <formula>0</formula>
    </cfRule>
    <cfRule type="cellIs" dxfId="2" priority="2" operator="greaterThan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3BC30-79E8-4A5A-8050-7B674758BC2C}">
  <sheetPr codeName="Sheet13">
    <tabColor theme="8" tint="0.79998168889431442"/>
  </sheetPr>
  <dimension ref="A1:H245"/>
  <sheetViews>
    <sheetView zoomScaleNormal="100" workbookViewId="0">
      <selection activeCell="L10" sqref="L10"/>
    </sheetView>
  </sheetViews>
  <sheetFormatPr defaultRowHeight="15" x14ac:dyDescent="0.25"/>
  <cols>
    <col min="1" max="2" width="13.28515625" customWidth="1"/>
    <col min="3" max="3" width="9.7109375" customWidth="1"/>
    <col min="4" max="4" width="15.42578125" customWidth="1"/>
    <col min="5" max="5" width="17.140625" style="371" customWidth="1"/>
    <col min="6" max="6" width="21.28515625" bestFit="1" customWidth="1"/>
    <col min="7" max="7" width="15.7109375" bestFit="1" customWidth="1"/>
    <col min="8" max="8" width="21.5703125" bestFit="1" customWidth="1"/>
    <col min="9" max="9" width="16.140625" customWidth="1"/>
    <col min="11" max="11" width="14.7109375" customWidth="1"/>
    <col min="12" max="12" width="19.28515625" customWidth="1"/>
    <col min="15" max="15" width="19.5703125" customWidth="1"/>
  </cols>
  <sheetData>
    <row r="1" spans="1:8" x14ac:dyDescent="0.25">
      <c r="E1" s="371" cm="1">
        <f t="array" ref="E1:E13">_xlfn.UNIQUE('JPM St'!L:L)</f>
        <v>0</v>
      </c>
    </row>
    <row r="2" spans="1:8" x14ac:dyDescent="0.25">
      <c r="A2" s="629" t="s">
        <v>227</v>
      </c>
      <c r="B2" s="629" t="s">
        <v>1261</v>
      </c>
      <c r="C2" s="629"/>
      <c r="D2" s="629" t="s">
        <v>2233</v>
      </c>
      <c r="E2" s="629" t="str">
        <v>Position Currency</v>
      </c>
      <c r="F2" s="629" t="s">
        <v>245</v>
      </c>
      <c r="G2" s="629"/>
      <c r="H2" s="629" t="s">
        <v>246</v>
      </c>
    </row>
    <row r="3" spans="1:8" x14ac:dyDescent="0.25">
      <c r="A3" s="7" t="s">
        <v>90</v>
      </c>
      <c r="B3" s="7" t="s">
        <v>46</v>
      </c>
      <c r="C3" s="7"/>
      <c r="D3" s="7">
        <f>IFERROR(VLOOKUP(Cash!E3,'JPM - DP (3R)'!$W$39:$X$132,2,0),0)</f>
        <v>180720.86</v>
      </c>
      <c r="E3" s="195" t="str">
        <v>USD</v>
      </c>
      <c r="F3" s="634">
        <f>IFERROR((SUMIFS('JPM St'!K:K,'JPM St'!L:L,Cash!E3,'JPM St'!G:G,B3)-D3),"")</f>
        <v>-15888.439999999973</v>
      </c>
      <c r="G3" s="7">
        <f>IFERROR(VLOOKUP(E3,'Tech list'!$A$2:$D$29,3,0),"")</f>
        <v>1</v>
      </c>
      <c r="H3" s="297">
        <f>IFERROR(F3*G3,0)</f>
        <v>-15888.439999999973</v>
      </c>
    </row>
    <row r="4" spans="1:8" x14ac:dyDescent="0.25">
      <c r="A4" s="7" t="s">
        <v>90</v>
      </c>
      <c r="B4" s="7" t="s">
        <v>46</v>
      </c>
      <c r="C4" s="7"/>
      <c r="D4" s="7">
        <f>IFERROR(VLOOKUP(Cash!E4,'JPM - DP (3R)'!$W$39:$X$132,2,0),0)</f>
        <v>83556.350000000006</v>
      </c>
      <c r="E4" s="195" t="str">
        <v>EUR</v>
      </c>
      <c r="F4" s="634">
        <f>IFERROR((SUMIFS('JPM St'!K:K,'JPM St'!L:L,Cash!E4,'JPM St'!G:G,B4)-D4),"")</f>
        <v>-1877870.93</v>
      </c>
      <c r="G4" s="7">
        <f ca="1">IFERROR(VLOOKUP(E4,'Tech list'!$A$2:$D$29,3,0),"")</f>
        <v>1.1571</v>
      </c>
      <c r="H4" s="297">
        <f t="shared" ref="H4:H21" ca="1" si="0">IFERROR(F4*G4,0)</f>
        <v>-2172884.4531029998</v>
      </c>
    </row>
    <row r="5" spans="1:8" x14ac:dyDescent="0.25">
      <c r="A5" s="7" t="s">
        <v>90</v>
      </c>
      <c r="B5" s="7" t="s">
        <v>46</v>
      </c>
      <c r="C5" s="7"/>
      <c r="D5" s="7">
        <f>IFERROR(VLOOKUP(Cash!E5,'JPM - DP (3R)'!$W$39:$X$132,2,0),0)</f>
        <v>17844.45</v>
      </c>
      <c r="E5" s="195" t="str">
        <v>SEK</v>
      </c>
      <c r="F5" s="634">
        <f>IFERROR((SUMIFS('JPM St'!K:K,'JPM St'!L:L,Cash!E5,'JPM St'!G:G,B5)-D5),"")</f>
        <v>0</v>
      </c>
      <c r="G5" s="7" t="str">
        <f>IFERROR(VLOOKUP(E5,'Tech list'!$A$2:$D$29,3,0),"")</f>
        <v/>
      </c>
      <c r="H5" s="297">
        <f t="shared" si="0"/>
        <v>0</v>
      </c>
    </row>
    <row r="6" spans="1:8" x14ac:dyDescent="0.25">
      <c r="A6" s="7" t="s">
        <v>90</v>
      </c>
      <c r="B6" s="7" t="s">
        <v>46</v>
      </c>
      <c r="C6" s="7"/>
      <c r="D6" s="7">
        <f>IFERROR(VLOOKUP(Cash!E6,'JPM - DP (3R)'!$W$39:$X$132,2,0),0)</f>
        <v>20658.93</v>
      </c>
      <c r="E6" s="195" t="str">
        <v>DKK</v>
      </c>
      <c r="F6" s="634">
        <f>IFERROR((SUMIFS('JPM St'!K:K,'JPM St'!L:L,Cash!E6,'JPM St'!G:G,B6)-D6),"")</f>
        <v>0</v>
      </c>
      <c r="G6" s="7" t="str">
        <f>IFERROR(VLOOKUP(E6,'Tech list'!$A$2:$D$29,3,0),"")</f>
        <v/>
      </c>
      <c r="H6" s="297">
        <f t="shared" si="0"/>
        <v>0</v>
      </c>
    </row>
    <row r="7" spans="1:8" x14ac:dyDescent="0.25">
      <c r="A7" s="7" t="s">
        <v>90</v>
      </c>
      <c r="B7" s="7" t="s">
        <v>46</v>
      </c>
      <c r="C7" s="7"/>
      <c r="D7" s="7">
        <f>IFERROR(VLOOKUP(Cash!E7,'JPM - DP (3R)'!$W$39:$X$132,2,0),0)</f>
        <v>6217062</v>
      </c>
      <c r="E7" s="195" t="str">
        <v>JPY</v>
      </c>
      <c r="F7" s="634">
        <f>IFERROR((SUMIFS('JPM St'!K:K,'JPM St'!L:L,Cash!E7,'JPM St'!G:G,B7)-D7),"")</f>
        <v>426839</v>
      </c>
      <c r="G7" s="7">
        <f ca="1">IFERROR(VLOOKUP(E7,'Tech list'!$A$2:$D$29,3,0),"")</f>
        <v>6.3119999999999999E-3</v>
      </c>
      <c r="H7" s="297">
        <f t="shared" ca="1" si="0"/>
        <v>2694.2077679999998</v>
      </c>
    </row>
    <row r="8" spans="1:8" x14ac:dyDescent="0.25">
      <c r="A8" s="7" t="s">
        <v>90</v>
      </c>
      <c r="B8" s="7" t="s">
        <v>46</v>
      </c>
      <c r="C8" s="7"/>
      <c r="D8" s="7">
        <f>IFERROR(VLOOKUP(Cash!E8,'JPM - DP (3R)'!$W$39:$X$132,2,0),0)</f>
        <v>166.31</v>
      </c>
      <c r="E8" s="195" t="str">
        <v>CHF</v>
      </c>
      <c r="F8" s="634">
        <f>IFERROR((SUMIFS('JPM St'!K:K,'JPM St'!L:L,Cash!E8,'JPM St'!G:G,B8)-D8),"")</f>
        <v>-25818.74</v>
      </c>
      <c r="G8" s="7">
        <f ca="1">IFERROR(VLOOKUP(E8,'Tech list'!$A$2:$D$29,3,0),"")</f>
        <v>1.2831999999999999</v>
      </c>
      <c r="H8" s="297">
        <f t="shared" ca="1" si="0"/>
        <v>-33130.607168000002</v>
      </c>
    </row>
    <row r="9" spans="1:8" x14ac:dyDescent="0.25">
      <c r="A9" s="7" t="s">
        <v>90</v>
      </c>
      <c r="B9" s="7" t="s">
        <v>46</v>
      </c>
      <c r="C9" s="7"/>
      <c r="D9" s="7">
        <f>IFERROR(VLOOKUP(Cash!E9,'JPM - DP (3R)'!$W$39:$X$132,2,0),0)</f>
        <v>0</v>
      </c>
      <c r="E9" s="195" t="str">
        <v>CNH</v>
      </c>
      <c r="F9" s="634">
        <f>IFERROR((SUMIFS('JPM St'!K:K,'JPM St'!L:L,Cash!E9,'JPM St'!G:G,B9)-D9),"")</f>
        <v>0</v>
      </c>
      <c r="G9" s="7" t="str">
        <f>IFERROR(VLOOKUP(E9,'Tech list'!$A$2:$D$29,3,0),"")</f>
        <v/>
      </c>
      <c r="H9" s="297">
        <f t="shared" si="0"/>
        <v>0</v>
      </c>
    </row>
    <row r="10" spans="1:8" x14ac:dyDescent="0.25">
      <c r="A10" s="7" t="s">
        <v>90</v>
      </c>
      <c r="B10" s="7" t="s">
        <v>46</v>
      </c>
      <c r="C10" s="7"/>
      <c r="D10" s="7">
        <f>IFERROR(VLOOKUP(Cash!E10,'JPM - DP (3R)'!$W$39:$X$132,2,0),0)</f>
        <v>0</v>
      </c>
      <c r="E10" s="195" t="str">
        <v>GBP</v>
      </c>
      <c r="F10" s="634">
        <f>IFERROR((SUMIFS('JPM St'!K:K,'JPM St'!L:L,Cash!E10,'JPM St'!G:G,B10)-D10),"")</f>
        <v>-337824.02</v>
      </c>
      <c r="G10" s="7">
        <f ca="1">IFERROR(VLOOKUP(E10,'Tech list'!$A$2:$D$29,3,0),"")</f>
        <v>1.3373999999999999</v>
      </c>
      <c r="H10" s="297">
        <f t="shared" ca="1" si="0"/>
        <v>-451805.84434800001</v>
      </c>
    </row>
    <row r="11" spans="1:8" x14ac:dyDescent="0.25">
      <c r="A11" s="7" t="s">
        <v>90</v>
      </c>
      <c r="B11" s="7" t="s">
        <v>46</v>
      </c>
      <c r="C11" s="7"/>
      <c r="D11" s="7">
        <f>IFERROR(VLOOKUP(Cash!E11,'JPM - DP (3R)'!$W$39:$X$132,2,0),0)</f>
        <v>0</v>
      </c>
      <c r="E11" s="195" t="str">
        <v>ILS</v>
      </c>
      <c r="F11" s="634">
        <f>IFERROR((SUMIFS('JPM St'!K:K,'JPM St'!L:L,Cash!E11,'JPM St'!G:G,B11)-D11),"")</f>
        <v>0</v>
      </c>
      <c r="G11" s="7" t="str">
        <f>IFERROR(VLOOKUP(E11,'Tech list'!$A$2:$D$29,3,0),"")</f>
        <v/>
      </c>
      <c r="H11" s="297">
        <f t="shared" si="0"/>
        <v>0</v>
      </c>
    </row>
    <row r="12" spans="1:8" x14ac:dyDescent="0.25">
      <c r="A12" s="7" t="s">
        <v>90</v>
      </c>
      <c r="B12" s="7" t="s">
        <v>46</v>
      </c>
      <c r="C12" s="7"/>
      <c r="D12" s="7">
        <f>IFERROR(VLOOKUP(Cash!E12,'JPM - DP (3R)'!$W$39:$X$132,2,0),0)</f>
        <v>0</v>
      </c>
      <c r="E12" s="195" t="str">
        <v>NOK</v>
      </c>
      <c r="F12" s="634">
        <f>IFERROR((SUMIFS('JPM St'!K:K,'JPM St'!L:L,Cash!E12,'JPM St'!G:G,B12)-D12),"")</f>
        <v>25.38</v>
      </c>
      <c r="G12" s="7" t="str">
        <f>IFERROR(VLOOKUP(E12,'Tech list'!$A$2:$D$29,3,0),"")</f>
        <v/>
      </c>
      <c r="H12" s="297">
        <f t="shared" si="0"/>
        <v>0</v>
      </c>
    </row>
    <row r="13" spans="1:8" x14ac:dyDescent="0.25">
      <c r="A13" s="7" t="s">
        <v>90</v>
      </c>
      <c r="B13" s="7" t="s">
        <v>46</v>
      </c>
      <c r="C13" s="7"/>
      <c r="D13" s="7">
        <f>IFERROR(VLOOKUP(Cash!E13,'JPM - DP (3R)'!$W$39:$X$132,2,0),0)</f>
        <v>0</v>
      </c>
      <c r="E13" s="195" t="str">
        <v>ZAR</v>
      </c>
      <c r="F13" s="634">
        <f>IFERROR((SUMIFS('JPM St'!K:K,'JPM St'!L:L,Cash!E13,'JPM St'!G:G,B13)-D13),"")</f>
        <v>0</v>
      </c>
      <c r="G13" s="7" t="str">
        <f>IFERROR(VLOOKUP(E13,'Tech list'!$A$2:$D$29,3,0),"")</f>
        <v/>
      </c>
      <c r="H13" s="297">
        <f t="shared" si="0"/>
        <v>0</v>
      </c>
    </row>
    <row r="14" spans="1:8" x14ac:dyDescent="0.25">
      <c r="A14" s="7" t="s">
        <v>90</v>
      </c>
      <c r="B14" s="7" t="s">
        <v>46</v>
      </c>
      <c r="C14" s="7"/>
      <c r="D14" s="7">
        <f>IFERROR(VLOOKUP(Cash!E14,'JPM - DP (3R)'!$W$39:$X$132,2,0),0)</f>
        <v>0</v>
      </c>
      <c r="E14" s="195"/>
      <c r="F14" s="634">
        <f>IFERROR((SUMIFS('JPM St'!K:K,'JPM St'!L:L,Cash!E14,'JPM St'!G:G,B14)-D14),"")</f>
        <v>0</v>
      </c>
      <c r="G14" s="7" t="str">
        <f>IFERROR(VLOOKUP(E14,'Tech list'!$A$2:$D$29,3,0),"")</f>
        <v/>
      </c>
      <c r="H14" s="297">
        <f t="shared" si="0"/>
        <v>0</v>
      </c>
    </row>
    <row r="15" spans="1:8" x14ac:dyDescent="0.25">
      <c r="A15" s="7" t="s">
        <v>90</v>
      </c>
      <c r="B15" s="7" t="s">
        <v>46</v>
      </c>
      <c r="C15" s="7"/>
      <c r="D15" s="7">
        <f>IFERROR(VLOOKUP(Cash!E15,'JPM - DP (3R)'!$W$39:$X$132,2,0),0)</f>
        <v>0</v>
      </c>
      <c r="E15" s="195"/>
      <c r="F15" s="634">
        <f>IFERROR((SUMIFS('JPM St'!K:K,'JPM St'!L:L,Cash!E15,'JPM St'!G:G,B15)-D15),"")</f>
        <v>0</v>
      </c>
      <c r="G15" s="7" t="str">
        <f>IFERROR(VLOOKUP(E15,'Tech list'!$A$2:$D$29,3,0),"")</f>
        <v/>
      </c>
      <c r="H15" s="297">
        <f t="shared" si="0"/>
        <v>0</v>
      </c>
    </row>
    <row r="16" spans="1:8" x14ac:dyDescent="0.25">
      <c r="A16" s="7" t="s">
        <v>90</v>
      </c>
      <c r="B16" s="7" t="s">
        <v>46</v>
      </c>
      <c r="C16" s="7"/>
      <c r="D16" s="7">
        <f>IFERROR(VLOOKUP(Cash!E16,'JPM - DP (3R)'!$W$39:$X$132,2,0),0)</f>
        <v>0</v>
      </c>
      <c r="E16" s="195"/>
      <c r="F16" s="634">
        <f>IFERROR((SUMIFS('JPM St'!K:K,'JPM St'!L:L,Cash!E16,'JPM St'!G:G,B16)-D16),"")</f>
        <v>0</v>
      </c>
      <c r="G16" s="7" t="str">
        <f>IFERROR(VLOOKUP(E16,'Tech list'!$A$2:$D$29,3,0),"")</f>
        <v/>
      </c>
      <c r="H16" s="297">
        <f t="shared" si="0"/>
        <v>0</v>
      </c>
    </row>
    <row r="17" spans="1:8" x14ac:dyDescent="0.25">
      <c r="A17" s="7" t="s">
        <v>90</v>
      </c>
      <c r="B17" s="7" t="s">
        <v>46</v>
      </c>
      <c r="C17" s="7"/>
      <c r="D17" s="7">
        <f>IFERROR(VLOOKUP(Cash!E17,'JPM - DP (3R)'!$W$39:$X$132,2,0),0)</f>
        <v>0</v>
      </c>
      <c r="E17" s="195"/>
      <c r="F17" s="634">
        <f>IFERROR((SUMIFS('JPM St'!K:K,'JPM St'!L:L,Cash!E17,'JPM St'!G:G,B17)-D17),"")</f>
        <v>0</v>
      </c>
      <c r="G17" s="7" t="str">
        <f>IFERROR(VLOOKUP(E17,'Tech list'!$A$2:$D$29,3,0),"")</f>
        <v/>
      </c>
      <c r="H17" s="297">
        <f t="shared" si="0"/>
        <v>0</v>
      </c>
    </row>
    <row r="18" spans="1:8" x14ac:dyDescent="0.25">
      <c r="A18" s="7" t="s">
        <v>90</v>
      </c>
      <c r="B18" s="7" t="s">
        <v>46</v>
      </c>
      <c r="C18" s="7"/>
      <c r="D18" s="7">
        <f>IFERROR(VLOOKUP(Cash!E18,'JPM - DP (3R)'!$W$39:$X$132,2,0),0)</f>
        <v>0</v>
      </c>
      <c r="E18" s="195"/>
      <c r="F18" s="634">
        <f>IFERROR((SUMIFS('JPM St'!K:K,'JPM St'!L:L,Cash!E18,'JPM St'!G:G,B18)-D18),"")</f>
        <v>0</v>
      </c>
      <c r="G18" s="7" t="str">
        <f>IFERROR(VLOOKUP(E18,'Tech list'!$A$2:$D$29,3,0),"")</f>
        <v/>
      </c>
      <c r="H18" s="297">
        <f t="shared" si="0"/>
        <v>0</v>
      </c>
    </row>
    <row r="19" spans="1:8" x14ac:dyDescent="0.25">
      <c r="A19" s="7" t="s">
        <v>90</v>
      </c>
      <c r="B19" s="7" t="s">
        <v>46</v>
      </c>
      <c r="C19" s="7"/>
      <c r="D19" s="7">
        <f>IFERROR(VLOOKUP(Cash!E19,'JPM - DP (3R)'!$W$39:$X$132,2,0),0)</f>
        <v>0</v>
      </c>
      <c r="E19" s="195"/>
      <c r="F19" s="634">
        <f>IFERROR((SUMIFS('JPM St'!K:K,'JPM St'!L:L,Cash!E19,'JPM St'!G:G,B19)-D19),"")</f>
        <v>0</v>
      </c>
      <c r="G19" s="7" t="str">
        <f>IFERROR(VLOOKUP(E19,'Tech list'!$A$2:$D$29,3,0),"")</f>
        <v/>
      </c>
      <c r="H19" s="297">
        <f t="shared" si="0"/>
        <v>0</v>
      </c>
    </row>
    <row r="20" spans="1:8" x14ac:dyDescent="0.25">
      <c r="A20" s="7" t="s">
        <v>90</v>
      </c>
      <c r="B20" s="7" t="s">
        <v>46</v>
      </c>
      <c r="C20" s="7"/>
      <c r="D20" s="7">
        <f>IFERROR(VLOOKUP(Cash!E20,'JPM - DP (3R)'!$W$39:$X$132,2,0),0)</f>
        <v>0</v>
      </c>
      <c r="E20" s="195"/>
      <c r="F20" s="634">
        <f>IFERROR((SUMIFS('JPM St'!K:K,'JPM St'!L:L,Cash!E20,'JPM St'!G:G,B20)-D20),"")</f>
        <v>0</v>
      </c>
      <c r="G20" s="7" t="str">
        <f>IFERROR(VLOOKUP(E20,'Tech list'!$A$2:$D$29,3,0),"")</f>
        <v/>
      </c>
      <c r="H20" s="297">
        <f t="shared" si="0"/>
        <v>0</v>
      </c>
    </row>
    <row r="21" spans="1:8" x14ac:dyDescent="0.25">
      <c r="A21" s="7" t="s">
        <v>90</v>
      </c>
      <c r="B21" s="7" t="s">
        <v>46</v>
      </c>
      <c r="C21" s="7"/>
      <c r="D21" s="7">
        <f>IFERROR(VLOOKUP(Cash!E21,'JPM - DP (3R)'!$W$39:$X$132,2,0),0)</f>
        <v>0</v>
      </c>
      <c r="E21" s="195"/>
      <c r="F21" s="634">
        <f>IFERROR((SUMIFS('JPM St'!K:K,'JPM St'!L:L,Cash!E21,'JPM St'!G:G,B21)-D21),"")</f>
        <v>0</v>
      </c>
      <c r="G21" s="7" t="str">
        <f>IFERROR(VLOOKUP(E21,'Tech list'!$A$2:$D$29,3,0),"")</f>
        <v/>
      </c>
      <c r="H21" s="297">
        <f t="shared" si="0"/>
        <v>0</v>
      </c>
    </row>
    <row r="22" spans="1:8" x14ac:dyDescent="0.25">
      <c r="A22" s="7"/>
      <c r="B22" s="7"/>
      <c r="C22" s="7"/>
      <c r="D22" s="7"/>
      <c r="E22" s="195"/>
      <c r="F22" s="501"/>
      <c r="G22" s="7"/>
      <c r="H22" s="7"/>
    </row>
    <row r="23" spans="1:8" x14ac:dyDescent="0.25">
      <c r="A23" s="7"/>
      <c r="B23" s="7"/>
      <c r="C23" s="7"/>
      <c r="D23" s="7"/>
      <c r="E23" s="195"/>
      <c r="F23" s="501"/>
      <c r="G23" s="7"/>
      <c r="H23" s="7"/>
    </row>
    <row r="24" spans="1:8" x14ac:dyDescent="0.25">
      <c r="A24" s="7"/>
      <c r="B24" s="7"/>
      <c r="C24" s="7"/>
      <c r="D24" s="7"/>
      <c r="E24" s="195"/>
      <c r="F24" s="501"/>
      <c r="G24" s="7"/>
      <c r="H24" s="7"/>
    </row>
    <row r="25" spans="1:8" x14ac:dyDescent="0.25">
      <c r="F25" s="501"/>
    </row>
    <row r="26" spans="1:8" x14ac:dyDescent="0.25">
      <c r="A26" s="278" t="s">
        <v>227</v>
      </c>
      <c r="B26" s="278" t="s">
        <v>375</v>
      </c>
      <c r="C26" s="278" t="s">
        <v>228</v>
      </c>
      <c r="D26" s="278" t="s">
        <v>230</v>
      </c>
      <c r="E26" s="354" t="s">
        <v>231</v>
      </c>
      <c r="F26" s="635" t="s">
        <v>245</v>
      </c>
      <c r="G26" s="278" t="s">
        <v>376</v>
      </c>
      <c r="H26" s="278" t="s">
        <v>246</v>
      </c>
    </row>
    <row r="27" spans="1:8" x14ac:dyDescent="0.25">
      <c r="A27" t="s">
        <v>51</v>
      </c>
      <c r="B27" t="s">
        <v>46</v>
      </c>
      <c r="C27" s="438" t="s">
        <v>2250</v>
      </c>
      <c r="E27" s="371" t="str" cm="1">
        <f t="array" ref="E27:E35">_xlfn.UNIQUE(_xlfn._xlws.FILTER('V004'!G:G,'V004'!H:H=""))</f>
        <v>CHF</v>
      </c>
      <c r="F27" s="634">
        <f>SUMIFS('V004'!N:N,'V004'!G:G,Cash!E27,'V004'!B:B,C27,'V004'!H:H,"")+
SUMIFS('V001'!N:N,'V001'!G:G,Cash!E27,'V001'!B:B,C27,'V001'!H:H,"")</f>
        <v>882.97</v>
      </c>
      <c r="G27" s="7">
        <f ca="1">IFERROR(VLOOKUP(E27,'Tech list'!$A$2:$D$29,3,0),"")</f>
        <v>1.2831999999999999</v>
      </c>
      <c r="H27" s="297">
        <f ca="1">IFERROR(F27*G27,0)</f>
        <v>1133.027104</v>
      </c>
    </row>
    <row r="28" spans="1:8" x14ac:dyDescent="0.25">
      <c r="A28" t="s">
        <v>51</v>
      </c>
      <c r="B28" t="s">
        <v>46</v>
      </c>
      <c r="C28" s="438" t="s">
        <v>2250</v>
      </c>
      <c r="E28" s="371" t="str">
        <v>EUR</v>
      </c>
      <c r="F28" s="634">
        <f>SUMIFS('V004'!N:N,'V004'!G:G,Cash!E28,'V004'!B:B,C28,'V004'!H:H,"")+
SUMIFS('V001'!N:N,'V001'!G:G,Cash!E28,'V001'!B:B,C28,'V001'!H:H,"")</f>
        <v>31743.629999999997</v>
      </c>
      <c r="G28" s="7">
        <f ca="1">IFERROR(VLOOKUP(E28,'Tech list'!$A$2:$D$29,3,0),"")</f>
        <v>1.1571</v>
      </c>
      <c r="H28" s="297">
        <f t="shared" ref="H28:H43" ca="1" si="1">IFERROR(F28*G28,0)</f>
        <v>36730.554272999994</v>
      </c>
    </row>
    <row r="29" spans="1:8" x14ac:dyDescent="0.25">
      <c r="A29" t="s">
        <v>51</v>
      </c>
      <c r="B29" t="s">
        <v>46</v>
      </c>
      <c r="C29" s="438" t="s">
        <v>2250</v>
      </c>
      <c r="E29" s="371" t="str">
        <v>GBP</v>
      </c>
      <c r="F29" s="634">
        <f>SUMIFS('V004'!N:N,'V004'!G:G,Cash!E29,'V004'!B:B,C29,'V004'!H:H,"")+
SUMIFS('V001'!N:N,'V001'!G:G,Cash!E29,'V001'!B:B,C29,'V001'!H:H,"")</f>
        <v>63377.979999999996</v>
      </c>
      <c r="G29" s="7">
        <f ca="1">IFERROR(VLOOKUP(E29,'Tech list'!$A$2:$D$29,3,0),"")</f>
        <v>1.3373999999999999</v>
      </c>
      <c r="H29" s="297">
        <f t="shared" ca="1" si="1"/>
        <v>84761.710451999985</v>
      </c>
    </row>
    <row r="30" spans="1:8" x14ac:dyDescent="0.25">
      <c r="A30" t="s">
        <v>51</v>
      </c>
      <c r="B30" t="s">
        <v>46</v>
      </c>
      <c r="C30" s="438" t="s">
        <v>2250</v>
      </c>
      <c r="E30" s="371" t="str">
        <v>RUB</v>
      </c>
      <c r="F30" s="634">
        <f>SUMIFS('V004'!N:N,'V004'!G:G,Cash!E30,'V004'!B:B,C30,'V004'!H:H,"")+
SUMIFS('V001'!N:N,'V001'!G:G,Cash!E30,'V001'!B:B,C30,'V001'!H:H,"")</f>
        <v>0</v>
      </c>
      <c r="G30" s="7" t="str">
        <f>IFERROR(VLOOKUP(E30,'Tech list'!$A$2:$D$29,3,0),"")</f>
        <v/>
      </c>
      <c r="H30" s="297">
        <f t="shared" si="1"/>
        <v>0</v>
      </c>
    </row>
    <row r="31" spans="1:8" x14ac:dyDescent="0.25">
      <c r="A31" t="s">
        <v>51</v>
      </c>
      <c r="B31" t="s">
        <v>46</v>
      </c>
      <c r="C31" s="438" t="s">
        <v>2250</v>
      </c>
      <c r="E31" s="371" t="str">
        <v>USD</v>
      </c>
      <c r="F31" s="634">
        <f>SUMIFS('V004'!N:N,'V004'!G:G,Cash!E31,'V004'!B:B,C31,'V004'!H:H,"")+
SUMIFS('V001'!N:N,'V001'!G:G,Cash!E31,'V001'!B:B,C31,'V001'!H:H,"")</f>
        <v>-49873.42</v>
      </c>
      <c r="G31" s="7">
        <f>IFERROR(VLOOKUP(E31,'Tech list'!$A$2:$D$29,3,0),"")</f>
        <v>1</v>
      </c>
      <c r="H31" s="297">
        <f t="shared" si="1"/>
        <v>-49873.42</v>
      </c>
    </row>
    <row r="32" spans="1:8" x14ac:dyDescent="0.25">
      <c r="A32" t="s">
        <v>51</v>
      </c>
      <c r="B32" t="s">
        <v>46</v>
      </c>
      <c r="C32" s="438" t="s">
        <v>2250</v>
      </c>
      <c r="E32" s="371" t="str">
        <v>JPY</v>
      </c>
      <c r="F32" s="634">
        <f>SUMIFS('V004'!N:N,'V004'!G:G,Cash!E32,'V004'!B:B,C32,'V004'!H:H,"")+
SUMIFS('V001'!N:N,'V001'!G:G,Cash!E32,'V001'!B:B,C32,'V001'!H:H,"")</f>
        <v>6070</v>
      </c>
      <c r="G32" s="7">
        <f ca="1">IFERROR(VLOOKUP(E32,'Tech list'!$A$2:$D$29,3,0),"")</f>
        <v>6.3119999999999999E-3</v>
      </c>
      <c r="H32" s="297">
        <f t="shared" ca="1" si="1"/>
        <v>38.313839999999999</v>
      </c>
    </row>
    <row r="33" spans="1:8" x14ac:dyDescent="0.25">
      <c r="A33" t="s">
        <v>51</v>
      </c>
      <c r="B33" t="s">
        <v>46</v>
      </c>
      <c r="C33" s="438" t="s">
        <v>2250</v>
      </c>
      <c r="E33" s="371" t="str">
        <v>BRL</v>
      </c>
      <c r="F33" s="634">
        <f>SUMIFS('V004'!N:N,'V004'!G:G,Cash!E33,'V004'!B:B,C33,'V004'!H:H,"")+
SUMIFS('V001'!N:N,'V001'!G:G,Cash!E33,'V001'!B:B,C33,'V001'!H:H,"")</f>
        <v>0</v>
      </c>
      <c r="G33" s="7">
        <f ca="1">IFERROR(VLOOKUP(E33,'Tech list'!$A$2:$D$29,3,0),"")</f>
        <v>0.192</v>
      </c>
      <c r="H33" s="297">
        <f t="shared" ca="1" si="1"/>
        <v>0</v>
      </c>
    </row>
    <row r="34" spans="1:8" x14ac:dyDescent="0.25">
      <c r="A34" t="s">
        <v>51</v>
      </c>
      <c r="B34" t="s">
        <v>46</v>
      </c>
      <c r="C34" s="438" t="s">
        <v>2250</v>
      </c>
      <c r="E34" s="371" t="str">
        <v>TRY</v>
      </c>
      <c r="F34" s="634">
        <f>SUMIFS('V004'!N:N,'V004'!G:G,Cash!E34,'V004'!B:B,C34,'V004'!H:H,"")+
SUMIFS('V001'!N:N,'V001'!G:G,Cash!E34,'V001'!B:B,C34,'V001'!H:H,"")</f>
        <v>0</v>
      </c>
      <c r="G34" s="7">
        <f ca="1">IFERROR(VLOOKUP(E34,'Tech list'!$A$2:$D$29,3,0),"")</f>
        <v>2.2700000000000001E-2</v>
      </c>
      <c r="H34" s="297">
        <f t="shared" ca="1" si="1"/>
        <v>0</v>
      </c>
    </row>
    <row r="35" spans="1:8" x14ac:dyDescent="0.25">
      <c r="A35" t="s">
        <v>51</v>
      </c>
      <c r="B35" t="s">
        <v>46</v>
      </c>
      <c r="C35" s="438" t="s">
        <v>2250</v>
      </c>
      <c r="E35" s="371">
        <v>0</v>
      </c>
      <c r="F35" s="634">
        <f>SUMIFS('V004'!N:N,'V004'!G:G,Cash!E35,'V004'!B:B,C35,'V004'!H:H,"")+
SUMIFS('V001'!N:N,'V001'!G:G,Cash!E35,'V001'!B:B,C35,'V001'!H:H,"")</f>
        <v>0</v>
      </c>
      <c r="G35" s="7" t="str">
        <f>IFERROR(VLOOKUP(E35,'Tech list'!$A$2:$D$29,3,0),"")</f>
        <v/>
      </c>
      <c r="H35" s="297">
        <f t="shared" si="1"/>
        <v>0</v>
      </c>
    </row>
    <row r="36" spans="1:8" x14ac:dyDescent="0.25">
      <c r="A36" t="s">
        <v>51</v>
      </c>
      <c r="B36" t="s">
        <v>46</v>
      </c>
      <c r="C36" s="438" t="s">
        <v>2250</v>
      </c>
      <c r="F36" s="634">
        <f>SUMIFS('V004'!N:N,'V004'!G:G,Cash!E36,'V004'!B:B,C36,'V004'!H:H,"")+
SUMIFS('V001'!N:N,'V001'!G:G,Cash!E36,'V001'!B:B,C36,'V001'!H:H,"")</f>
        <v>0</v>
      </c>
      <c r="G36" s="7" t="str">
        <f>IFERROR(VLOOKUP(E36,'Tech list'!$A$2:$D$29,3,0),"")</f>
        <v/>
      </c>
      <c r="H36" s="297">
        <f t="shared" si="1"/>
        <v>0</v>
      </c>
    </row>
    <row r="37" spans="1:8" x14ac:dyDescent="0.25">
      <c r="A37" t="s">
        <v>51</v>
      </c>
      <c r="B37" t="s">
        <v>46</v>
      </c>
      <c r="C37" s="438" t="s">
        <v>2250</v>
      </c>
      <c r="F37" s="634">
        <f>SUMIFS('V004'!N:N,'V004'!G:G,Cash!E37,'V004'!B:B,C37,'V004'!H:H,"")+
SUMIFS('V001'!N:N,'V001'!G:G,Cash!E37,'V001'!B:B,C37,'V001'!H:H,"")</f>
        <v>0</v>
      </c>
      <c r="G37" s="7" t="str">
        <f>IFERROR(VLOOKUP(E37,'Tech list'!$A$2:$D$29,3,0),"")</f>
        <v/>
      </c>
      <c r="H37" s="297">
        <f t="shared" si="1"/>
        <v>0</v>
      </c>
    </row>
    <row r="38" spans="1:8" x14ac:dyDescent="0.25">
      <c r="A38" t="s">
        <v>51</v>
      </c>
      <c r="B38" t="s">
        <v>46</v>
      </c>
      <c r="C38" s="438" t="s">
        <v>2250</v>
      </c>
      <c r="F38" s="634">
        <f>SUMIFS('V004'!N:N,'V004'!G:G,Cash!E38,'V004'!B:B,C38,'V004'!H:H,"")+
SUMIFS('V001'!N:N,'V001'!G:G,Cash!E38,'V001'!B:B,C38,'V001'!H:H,"")</f>
        <v>0</v>
      </c>
      <c r="G38" s="7" t="str">
        <f>IFERROR(VLOOKUP(E38,'Tech list'!$A$2:$D$29,3,0),"")</f>
        <v/>
      </c>
      <c r="H38" s="297">
        <f t="shared" si="1"/>
        <v>0</v>
      </c>
    </row>
    <row r="39" spans="1:8" x14ac:dyDescent="0.25">
      <c r="A39" t="s">
        <v>51</v>
      </c>
      <c r="B39" t="s">
        <v>46</v>
      </c>
      <c r="C39" s="438" t="s">
        <v>2250</v>
      </c>
      <c r="F39" s="634">
        <f>SUMIFS('V004'!N:N,'V004'!G:G,Cash!E39,'V004'!B:B,C39,'V004'!H:H,"")+
SUMIFS('V001'!N:N,'V001'!G:G,Cash!E39,'V001'!B:B,C39,'V001'!H:H,"")</f>
        <v>0</v>
      </c>
      <c r="G39" s="7" t="str">
        <f>IFERROR(VLOOKUP(E39,'Tech list'!$A$2:$D$29,3,0),"")</f>
        <v/>
      </c>
      <c r="H39" s="297">
        <f t="shared" si="1"/>
        <v>0</v>
      </c>
    </row>
    <row r="40" spans="1:8" x14ac:dyDescent="0.25">
      <c r="A40" t="s">
        <v>51</v>
      </c>
      <c r="B40" t="s">
        <v>46</v>
      </c>
      <c r="C40" s="438" t="s">
        <v>2250</v>
      </c>
      <c r="F40" s="634">
        <f>SUMIFS('V004'!N:N,'V004'!G:G,Cash!E40,'V004'!B:B,C40,'V004'!H:H,"")+
SUMIFS('V001'!N:N,'V001'!G:G,Cash!E40,'V001'!B:B,C40,'V001'!H:H,"")</f>
        <v>0</v>
      </c>
      <c r="G40" s="7" t="str">
        <f>IFERROR(VLOOKUP(E40,'Tech list'!$A$2:$D$29,3,0),"")</f>
        <v/>
      </c>
      <c r="H40" s="297">
        <f t="shared" si="1"/>
        <v>0</v>
      </c>
    </row>
    <row r="41" spans="1:8" x14ac:dyDescent="0.25">
      <c r="A41" t="s">
        <v>51</v>
      </c>
      <c r="B41" t="s">
        <v>46</v>
      </c>
      <c r="C41" s="438" t="s">
        <v>2250</v>
      </c>
      <c r="F41" s="634">
        <f>SUMIFS('V004'!N:N,'V004'!G:G,Cash!E41,'V004'!B:B,C41,'V004'!H:H,"")+
SUMIFS('V001'!N:N,'V001'!G:G,Cash!E41,'V001'!B:B,C41,'V001'!H:H,"")</f>
        <v>0</v>
      </c>
      <c r="G41" s="7" t="str">
        <f>IFERROR(VLOOKUP(E41,'Tech list'!$A$2:$D$29,3,0),"")</f>
        <v/>
      </c>
      <c r="H41" s="297">
        <f t="shared" si="1"/>
        <v>0</v>
      </c>
    </row>
    <row r="42" spans="1:8" x14ac:dyDescent="0.25">
      <c r="A42" t="s">
        <v>51</v>
      </c>
      <c r="B42" t="s">
        <v>46</v>
      </c>
      <c r="C42" s="438" t="s">
        <v>2250</v>
      </c>
      <c r="F42" s="634">
        <f>SUMIFS('V004'!N:N,'V004'!G:G,Cash!E42,'V004'!B:B,C42,'V004'!H:H,"")+
SUMIFS('V001'!N:N,'V001'!G:G,Cash!E42,'V001'!B:B,C42,'V001'!H:H,"")</f>
        <v>0</v>
      </c>
      <c r="G42" s="7" t="str">
        <f>IFERROR(VLOOKUP(E42,'Tech list'!$A$2:$D$29,3,0),"")</f>
        <v/>
      </c>
      <c r="H42" s="297">
        <f t="shared" si="1"/>
        <v>0</v>
      </c>
    </row>
    <row r="43" spans="1:8" x14ac:dyDescent="0.25">
      <c r="A43" t="s">
        <v>51</v>
      </c>
      <c r="B43" t="s">
        <v>46</v>
      </c>
      <c r="C43" s="438" t="s">
        <v>2250</v>
      </c>
      <c r="F43" s="634">
        <f>SUMIFS('V004'!N:N,'V004'!G:G,Cash!E43,'V004'!B:B,C43,'V004'!H:H,"")+
SUMIFS('V001'!N:N,'V001'!G:G,Cash!E43,'V001'!B:B,C43,'V001'!H:H,"")</f>
        <v>0</v>
      </c>
      <c r="G43" s="7" t="str">
        <f>IFERROR(VLOOKUP(E43,'Tech list'!$A$2:$D$29,3,0),"")</f>
        <v/>
      </c>
      <c r="H43" s="297">
        <f t="shared" si="1"/>
        <v>0</v>
      </c>
    </row>
    <row r="44" spans="1:8" x14ac:dyDescent="0.25">
      <c r="F44" s="501"/>
    </row>
    <row r="45" spans="1:8" x14ac:dyDescent="0.25">
      <c r="F45" s="501"/>
    </row>
    <row r="46" spans="1:8" x14ac:dyDescent="0.25">
      <c r="F46" s="501"/>
    </row>
    <row r="47" spans="1:8" x14ac:dyDescent="0.25">
      <c r="F47" s="501"/>
    </row>
    <row r="48" spans="1:8" x14ac:dyDescent="0.25">
      <c r="F48" s="501"/>
    </row>
    <row r="49" spans="6:6" x14ac:dyDescent="0.25">
      <c r="F49" s="501"/>
    </row>
    <row r="50" spans="6:6" x14ac:dyDescent="0.25">
      <c r="F50" s="501"/>
    </row>
    <row r="51" spans="6:6" x14ac:dyDescent="0.25">
      <c r="F51" s="501"/>
    </row>
    <row r="52" spans="6:6" x14ac:dyDescent="0.25">
      <c r="F52" s="501"/>
    </row>
    <row r="53" spans="6:6" x14ac:dyDescent="0.25">
      <c r="F53" s="501"/>
    </row>
    <row r="54" spans="6:6" x14ac:dyDescent="0.25">
      <c r="F54" s="501"/>
    </row>
    <row r="55" spans="6:6" x14ac:dyDescent="0.25">
      <c r="F55" s="501"/>
    </row>
    <row r="56" spans="6:6" x14ac:dyDescent="0.25">
      <c r="F56" s="501"/>
    </row>
    <row r="57" spans="6:6" x14ac:dyDescent="0.25">
      <c r="F57" s="501"/>
    </row>
    <row r="58" spans="6:6" x14ac:dyDescent="0.25">
      <c r="F58" s="501"/>
    </row>
    <row r="59" spans="6:6" x14ac:dyDescent="0.25">
      <c r="F59" s="501"/>
    </row>
    <row r="60" spans="6:6" x14ac:dyDescent="0.25">
      <c r="F60" s="501"/>
    </row>
    <row r="61" spans="6:6" x14ac:dyDescent="0.25">
      <c r="F61" s="501"/>
    </row>
    <row r="62" spans="6:6" x14ac:dyDescent="0.25">
      <c r="F62" s="501"/>
    </row>
    <row r="63" spans="6:6" x14ac:dyDescent="0.25">
      <c r="F63" s="501"/>
    </row>
    <row r="64" spans="6:6" x14ac:dyDescent="0.25">
      <c r="F64" s="501"/>
    </row>
    <row r="65" spans="6:6" x14ac:dyDescent="0.25">
      <c r="F65" s="501"/>
    </row>
    <row r="66" spans="6:6" x14ac:dyDescent="0.25">
      <c r="F66" s="501"/>
    </row>
    <row r="67" spans="6:6" x14ac:dyDescent="0.25">
      <c r="F67" s="501"/>
    </row>
    <row r="68" spans="6:6" x14ac:dyDescent="0.25">
      <c r="F68" s="501"/>
    </row>
    <row r="69" spans="6:6" x14ac:dyDescent="0.25">
      <c r="F69" s="501"/>
    </row>
    <row r="70" spans="6:6" x14ac:dyDescent="0.25">
      <c r="F70" s="501"/>
    </row>
    <row r="71" spans="6:6" x14ac:dyDescent="0.25">
      <c r="F71" s="501"/>
    </row>
    <row r="72" spans="6:6" x14ac:dyDescent="0.25">
      <c r="F72" s="501"/>
    </row>
    <row r="73" spans="6:6" x14ac:dyDescent="0.25">
      <c r="F73" s="501"/>
    </row>
    <row r="74" spans="6:6" x14ac:dyDescent="0.25">
      <c r="F74" s="501"/>
    </row>
    <row r="75" spans="6:6" x14ac:dyDescent="0.25">
      <c r="F75" s="501"/>
    </row>
    <row r="76" spans="6:6" x14ac:dyDescent="0.25">
      <c r="F76" s="501"/>
    </row>
    <row r="77" spans="6:6" x14ac:dyDescent="0.25">
      <c r="F77" s="501"/>
    </row>
    <row r="78" spans="6:6" x14ac:dyDescent="0.25">
      <c r="F78" s="501"/>
    </row>
    <row r="79" spans="6:6" x14ac:dyDescent="0.25">
      <c r="F79" s="501"/>
    </row>
    <row r="80" spans="6:6" x14ac:dyDescent="0.25">
      <c r="F80" s="501"/>
    </row>
    <row r="81" spans="6:6" x14ac:dyDescent="0.25">
      <c r="F81" s="501"/>
    </row>
    <row r="82" spans="6:6" x14ac:dyDescent="0.25">
      <c r="F82" s="501"/>
    </row>
    <row r="83" spans="6:6" x14ac:dyDescent="0.25">
      <c r="F83" s="501"/>
    </row>
    <row r="84" spans="6:6" x14ac:dyDescent="0.25">
      <c r="F84" s="501"/>
    </row>
    <row r="85" spans="6:6" x14ac:dyDescent="0.25">
      <c r="F85" s="501"/>
    </row>
    <row r="86" spans="6:6" x14ac:dyDescent="0.25">
      <c r="F86" s="501"/>
    </row>
    <row r="87" spans="6:6" x14ac:dyDescent="0.25">
      <c r="F87" s="501"/>
    </row>
    <row r="88" spans="6:6" x14ac:dyDescent="0.25">
      <c r="F88" s="501"/>
    </row>
    <row r="89" spans="6:6" x14ac:dyDescent="0.25">
      <c r="F89" s="501"/>
    </row>
    <row r="90" spans="6:6" x14ac:dyDescent="0.25">
      <c r="F90" s="501"/>
    </row>
    <row r="91" spans="6:6" x14ac:dyDescent="0.25">
      <c r="F91" s="501"/>
    </row>
    <row r="92" spans="6:6" x14ac:dyDescent="0.25">
      <c r="F92" s="501"/>
    </row>
    <row r="93" spans="6:6" x14ac:dyDescent="0.25">
      <c r="F93" s="501"/>
    </row>
    <row r="94" spans="6:6" x14ac:dyDescent="0.25">
      <c r="F94" s="501"/>
    </row>
    <row r="95" spans="6:6" x14ac:dyDescent="0.25">
      <c r="F95" s="501"/>
    </row>
    <row r="96" spans="6:6" x14ac:dyDescent="0.25">
      <c r="F96" s="501"/>
    </row>
    <row r="97" spans="6:6" x14ac:dyDescent="0.25">
      <c r="F97" s="501"/>
    </row>
    <row r="98" spans="6:6" x14ac:dyDescent="0.25">
      <c r="F98" s="501"/>
    </row>
    <row r="99" spans="6:6" x14ac:dyDescent="0.25">
      <c r="F99" s="501"/>
    </row>
    <row r="100" spans="6:6" x14ac:dyDescent="0.25">
      <c r="F100" s="501"/>
    </row>
    <row r="101" spans="6:6" x14ac:dyDescent="0.25">
      <c r="F101" s="501"/>
    </row>
    <row r="102" spans="6:6" x14ac:dyDescent="0.25">
      <c r="F102" s="501"/>
    </row>
    <row r="103" spans="6:6" x14ac:dyDescent="0.25">
      <c r="F103" s="501"/>
    </row>
    <row r="104" spans="6:6" x14ac:dyDescent="0.25">
      <c r="F104" s="501"/>
    </row>
    <row r="105" spans="6:6" x14ac:dyDescent="0.25">
      <c r="F105" s="501"/>
    </row>
    <row r="106" spans="6:6" x14ac:dyDescent="0.25">
      <c r="F106" s="501"/>
    </row>
    <row r="107" spans="6:6" x14ac:dyDescent="0.25">
      <c r="F107" s="501"/>
    </row>
    <row r="108" spans="6:6" x14ac:dyDescent="0.25">
      <c r="F108" s="501"/>
    </row>
    <row r="109" spans="6:6" x14ac:dyDescent="0.25">
      <c r="F109" s="501"/>
    </row>
    <row r="110" spans="6:6" x14ac:dyDescent="0.25">
      <c r="F110" s="501"/>
    </row>
    <row r="111" spans="6:6" x14ac:dyDescent="0.25">
      <c r="F111" s="501"/>
    </row>
    <row r="112" spans="6:6" x14ac:dyDescent="0.25">
      <c r="F112" s="501"/>
    </row>
    <row r="113" spans="6:6" x14ac:dyDescent="0.25">
      <c r="F113" s="501"/>
    </row>
    <row r="114" spans="6:6" x14ac:dyDescent="0.25">
      <c r="F114" s="501"/>
    </row>
    <row r="115" spans="6:6" x14ac:dyDescent="0.25">
      <c r="F115" s="501"/>
    </row>
    <row r="116" spans="6:6" x14ac:dyDescent="0.25">
      <c r="F116" s="501"/>
    </row>
    <row r="117" spans="6:6" x14ac:dyDescent="0.25">
      <c r="F117" s="501"/>
    </row>
    <row r="118" spans="6:6" x14ac:dyDescent="0.25">
      <c r="F118" s="501"/>
    </row>
    <row r="119" spans="6:6" x14ac:dyDescent="0.25">
      <c r="F119" s="501"/>
    </row>
    <row r="120" spans="6:6" x14ac:dyDescent="0.25">
      <c r="F120" s="501"/>
    </row>
    <row r="121" spans="6:6" x14ac:dyDescent="0.25">
      <c r="F121" s="501"/>
    </row>
    <row r="122" spans="6:6" x14ac:dyDescent="0.25">
      <c r="F122" s="501"/>
    </row>
    <row r="123" spans="6:6" x14ac:dyDescent="0.25">
      <c r="F123" s="501"/>
    </row>
    <row r="124" spans="6:6" x14ac:dyDescent="0.25">
      <c r="F124" s="501"/>
    </row>
    <row r="125" spans="6:6" x14ac:dyDescent="0.25">
      <c r="F125" s="501"/>
    </row>
    <row r="126" spans="6:6" x14ac:dyDescent="0.25">
      <c r="F126" s="501"/>
    </row>
    <row r="127" spans="6:6" x14ac:dyDescent="0.25">
      <c r="F127" s="501"/>
    </row>
    <row r="128" spans="6:6" x14ac:dyDescent="0.25">
      <c r="F128" s="501"/>
    </row>
    <row r="129" spans="6:6" x14ac:dyDescent="0.25">
      <c r="F129" s="501"/>
    </row>
    <row r="130" spans="6:6" x14ac:dyDescent="0.25">
      <c r="F130" s="501"/>
    </row>
    <row r="131" spans="6:6" x14ac:dyDescent="0.25">
      <c r="F131" s="501"/>
    </row>
    <row r="132" spans="6:6" x14ac:dyDescent="0.25">
      <c r="F132" s="501"/>
    </row>
    <row r="133" spans="6:6" x14ac:dyDescent="0.25">
      <c r="F133" s="501"/>
    </row>
    <row r="134" spans="6:6" x14ac:dyDescent="0.25">
      <c r="F134" s="501"/>
    </row>
    <row r="135" spans="6:6" x14ac:dyDescent="0.25">
      <c r="F135" s="501"/>
    </row>
    <row r="136" spans="6:6" x14ac:dyDescent="0.25">
      <c r="F136" s="501"/>
    </row>
    <row r="137" spans="6:6" x14ac:dyDescent="0.25">
      <c r="F137" s="501"/>
    </row>
    <row r="138" spans="6:6" x14ac:dyDescent="0.25">
      <c r="F138" s="501"/>
    </row>
    <row r="139" spans="6:6" x14ac:dyDescent="0.25">
      <c r="F139" s="501"/>
    </row>
    <row r="140" spans="6:6" x14ac:dyDescent="0.25">
      <c r="F140" s="501"/>
    </row>
    <row r="141" spans="6:6" x14ac:dyDescent="0.25">
      <c r="F141" s="501"/>
    </row>
    <row r="142" spans="6:6" x14ac:dyDescent="0.25">
      <c r="F142" s="501"/>
    </row>
    <row r="143" spans="6:6" x14ac:dyDescent="0.25">
      <c r="F143" s="501"/>
    </row>
    <row r="144" spans="6:6" x14ac:dyDescent="0.25">
      <c r="F144" s="501"/>
    </row>
    <row r="145" spans="6:6" x14ac:dyDescent="0.25">
      <c r="F145" s="501"/>
    </row>
    <row r="146" spans="6:6" x14ac:dyDescent="0.25">
      <c r="F146" s="501"/>
    </row>
    <row r="147" spans="6:6" x14ac:dyDescent="0.25">
      <c r="F147" s="501"/>
    </row>
    <row r="148" spans="6:6" x14ac:dyDescent="0.25">
      <c r="F148" s="501"/>
    </row>
    <row r="149" spans="6:6" x14ac:dyDescent="0.25">
      <c r="F149" s="501"/>
    </row>
    <row r="150" spans="6:6" x14ac:dyDescent="0.25">
      <c r="F150" s="501"/>
    </row>
    <row r="151" spans="6:6" x14ac:dyDescent="0.25">
      <c r="F151" s="501"/>
    </row>
    <row r="152" spans="6:6" x14ac:dyDescent="0.25">
      <c r="F152" s="501"/>
    </row>
    <row r="153" spans="6:6" x14ac:dyDescent="0.25">
      <c r="F153" s="501"/>
    </row>
    <row r="154" spans="6:6" x14ac:dyDescent="0.25">
      <c r="F154" s="501"/>
    </row>
    <row r="155" spans="6:6" x14ac:dyDescent="0.25">
      <c r="F155" s="501"/>
    </row>
    <row r="156" spans="6:6" x14ac:dyDescent="0.25">
      <c r="F156" s="501"/>
    </row>
    <row r="157" spans="6:6" x14ac:dyDescent="0.25">
      <c r="F157" s="501"/>
    </row>
    <row r="158" spans="6:6" x14ac:dyDescent="0.25">
      <c r="F158" s="501"/>
    </row>
    <row r="159" spans="6:6" x14ac:dyDescent="0.25">
      <c r="F159" s="501"/>
    </row>
    <row r="160" spans="6:6" x14ac:dyDescent="0.25">
      <c r="F160" s="501"/>
    </row>
    <row r="161" spans="6:6" x14ac:dyDescent="0.25">
      <c r="F161" s="501"/>
    </row>
    <row r="162" spans="6:6" x14ac:dyDescent="0.25">
      <c r="F162" s="501"/>
    </row>
    <row r="163" spans="6:6" x14ac:dyDescent="0.25">
      <c r="F163" s="501"/>
    </row>
    <row r="164" spans="6:6" x14ac:dyDescent="0.25">
      <c r="F164" s="501"/>
    </row>
    <row r="165" spans="6:6" x14ac:dyDescent="0.25">
      <c r="F165" s="501"/>
    </row>
    <row r="166" spans="6:6" x14ac:dyDescent="0.25">
      <c r="F166" s="501"/>
    </row>
    <row r="167" spans="6:6" x14ac:dyDescent="0.25">
      <c r="F167" s="501"/>
    </row>
    <row r="168" spans="6:6" x14ac:dyDescent="0.25">
      <c r="F168" s="501"/>
    </row>
    <row r="169" spans="6:6" x14ac:dyDescent="0.25">
      <c r="F169" s="501"/>
    </row>
    <row r="170" spans="6:6" x14ac:dyDescent="0.25">
      <c r="F170" s="501"/>
    </row>
    <row r="171" spans="6:6" x14ac:dyDescent="0.25">
      <c r="F171" s="501"/>
    </row>
    <row r="172" spans="6:6" x14ac:dyDescent="0.25">
      <c r="F172" s="501"/>
    </row>
    <row r="173" spans="6:6" x14ac:dyDescent="0.25">
      <c r="F173" s="501"/>
    </row>
    <row r="174" spans="6:6" x14ac:dyDescent="0.25">
      <c r="F174" s="501"/>
    </row>
    <row r="175" spans="6:6" x14ac:dyDescent="0.25">
      <c r="F175" s="501"/>
    </row>
    <row r="176" spans="6:6" x14ac:dyDescent="0.25">
      <c r="F176" s="501"/>
    </row>
    <row r="177" spans="6:6" x14ac:dyDescent="0.25">
      <c r="F177" s="501"/>
    </row>
    <row r="178" spans="6:6" x14ac:dyDescent="0.25">
      <c r="F178" s="501"/>
    </row>
    <row r="179" spans="6:6" x14ac:dyDescent="0.25">
      <c r="F179" s="501"/>
    </row>
    <row r="180" spans="6:6" x14ac:dyDescent="0.25">
      <c r="F180" s="501"/>
    </row>
    <row r="181" spans="6:6" x14ac:dyDescent="0.25">
      <c r="F181" s="501"/>
    </row>
    <row r="182" spans="6:6" x14ac:dyDescent="0.25">
      <c r="F182" s="501"/>
    </row>
    <row r="183" spans="6:6" x14ac:dyDescent="0.25">
      <c r="F183" s="501"/>
    </row>
    <row r="184" spans="6:6" x14ac:dyDescent="0.25">
      <c r="F184" s="501"/>
    </row>
    <row r="185" spans="6:6" x14ac:dyDescent="0.25">
      <c r="F185" s="501"/>
    </row>
    <row r="186" spans="6:6" x14ac:dyDescent="0.25">
      <c r="F186" s="501"/>
    </row>
    <row r="187" spans="6:6" x14ac:dyDescent="0.25">
      <c r="F187" s="501"/>
    </row>
    <row r="188" spans="6:6" x14ac:dyDescent="0.25">
      <c r="F188" s="501"/>
    </row>
    <row r="189" spans="6:6" x14ac:dyDescent="0.25">
      <c r="F189" s="501"/>
    </row>
    <row r="190" spans="6:6" x14ac:dyDescent="0.25">
      <c r="F190" s="501"/>
    </row>
    <row r="191" spans="6:6" x14ac:dyDescent="0.25">
      <c r="F191" s="501"/>
    </row>
    <row r="192" spans="6:6" x14ac:dyDescent="0.25">
      <c r="F192" s="501"/>
    </row>
    <row r="193" spans="6:6" x14ac:dyDescent="0.25">
      <c r="F193" s="501"/>
    </row>
    <row r="194" spans="6:6" x14ac:dyDescent="0.25">
      <c r="F194" s="501"/>
    </row>
    <row r="195" spans="6:6" x14ac:dyDescent="0.25">
      <c r="F195" s="501"/>
    </row>
    <row r="196" spans="6:6" x14ac:dyDescent="0.25">
      <c r="F196" s="501"/>
    </row>
    <row r="197" spans="6:6" x14ac:dyDescent="0.25">
      <c r="F197" s="501"/>
    </row>
    <row r="198" spans="6:6" x14ac:dyDescent="0.25">
      <c r="F198" s="501"/>
    </row>
    <row r="199" spans="6:6" x14ac:dyDescent="0.25">
      <c r="F199" s="501"/>
    </row>
    <row r="200" spans="6:6" x14ac:dyDescent="0.25">
      <c r="F200" s="501"/>
    </row>
    <row r="201" spans="6:6" x14ac:dyDescent="0.25">
      <c r="F201" s="501"/>
    </row>
    <row r="202" spans="6:6" x14ac:dyDescent="0.25">
      <c r="F202" s="501"/>
    </row>
    <row r="203" spans="6:6" x14ac:dyDescent="0.25">
      <c r="F203" s="501"/>
    </row>
    <row r="204" spans="6:6" x14ac:dyDescent="0.25">
      <c r="F204" s="501"/>
    </row>
    <row r="205" spans="6:6" x14ac:dyDescent="0.25">
      <c r="F205" s="501"/>
    </row>
    <row r="206" spans="6:6" x14ac:dyDescent="0.25">
      <c r="F206" s="501"/>
    </row>
    <row r="207" spans="6:6" x14ac:dyDescent="0.25">
      <c r="F207" s="501"/>
    </row>
    <row r="208" spans="6:6" x14ac:dyDescent="0.25">
      <c r="F208" s="501"/>
    </row>
    <row r="209" spans="6:6" x14ac:dyDescent="0.25">
      <c r="F209" s="501"/>
    </row>
    <row r="210" spans="6:6" x14ac:dyDescent="0.25">
      <c r="F210" s="501"/>
    </row>
    <row r="211" spans="6:6" x14ac:dyDescent="0.25">
      <c r="F211" s="501"/>
    </row>
    <row r="212" spans="6:6" x14ac:dyDescent="0.25">
      <c r="F212" s="501"/>
    </row>
    <row r="213" spans="6:6" x14ac:dyDescent="0.25">
      <c r="F213" s="501"/>
    </row>
    <row r="214" spans="6:6" x14ac:dyDescent="0.25">
      <c r="F214" s="501"/>
    </row>
    <row r="215" spans="6:6" x14ac:dyDescent="0.25">
      <c r="F215" s="501"/>
    </row>
    <row r="216" spans="6:6" x14ac:dyDescent="0.25">
      <c r="F216" s="501"/>
    </row>
    <row r="217" spans="6:6" x14ac:dyDescent="0.25">
      <c r="F217" s="501"/>
    </row>
    <row r="218" spans="6:6" x14ac:dyDescent="0.25">
      <c r="F218" s="501"/>
    </row>
    <row r="219" spans="6:6" x14ac:dyDescent="0.25">
      <c r="F219" s="501"/>
    </row>
    <row r="220" spans="6:6" x14ac:dyDescent="0.25">
      <c r="F220" s="501"/>
    </row>
    <row r="221" spans="6:6" x14ac:dyDescent="0.25">
      <c r="F221" s="501"/>
    </row>
    <row r="222" spans="6:6" x14ac:dyDescent="0.25">
      <c r="F222" s="501"/>
    </row>
    <row r="223" spans="6:6" x14ac:dyDescent="0.25">
      <c r="F223" s="501"/>
    </row>
    <row r="224" spans="6:6" x14ac:dyDescent="0.25">
      <c r="F224" s="501"/>
    </row>
    <row r="225" spans="6:6" x14ac:dyDescent="0.25">
      <c r="F225" s="501"/>
    </row>
    <row r="226" spans="6:6" x14ac:dyDescent="0.25">
      <c r="F226" s="501"/>
    </row>
    <row r="227" spans="6:6" x14ac:dyDescent="0.25">
      <c r="F227" s="501"/>
    </row>
    <row r="228" spans="6:6" x14ac:dyDescent="0.25">
      <c r="F228" s="501"/>
    </row>
    <row r="229" spans="6:6" x14ac:dyDescent="0.25">
      <c r="F229" s="501"/>
    </row>
    <row r="230" spans="6:6" x14ac:dyDescent="0.25">
      <c r="F230" s="501"/>
    </row>
    <row r="231" spans="6:6" x14ac:dyDescent="0.25">
      <c r="F231" s="501"/>
    </row>
    <row r="232" spans="6:6" x14ac:dyDescent="0.25">
      <c r="F232" s="501"/>
    </row>
    <row r="233" spans="6:6" x14ac:dyDescent="0.25">
      <c r="F233" s="501"/>
    </row>
    <row r="234" spans="6:6" x14ac:dyDescent="0.25">
      <c r="F234" s="501"/>
    </row>
    <row r="235" spans="6:6" x14ac:dyDescent="0.25">
      <c r="F235" s="501"/>
    </row>
    <row r="236" spans="6:6" x14ac:dyDescent="0.25">
      <c r="F236" s="501"/>
    </row>
    <row r="237" spans="6:6" x14ac:dyDescent="0.25">
      <c r="F237" s="501"/>
    </row>
    <row r="238" spans="6:6" x14ac:dyDescent="0.25">
      <c r="F238" s="501"/>
    </row>
    <row r="239" spans="6:6" x14ac:dyDescent="0.25">
      <c r="F239" s="501"/>
    </row>
    <row r="240" spans="6:6" x14ac:dyDescent="0.25">
      <c r="F240" s="501"/>
    </row>
    <row r="241" spans="6:6" x14ac:dyDescent="0.25">
      <c r="F241" s="501"/>
    </row>
    <row r="242" spans="6:6" x14ac:dyDescent="0.25">
      <c r="F242" s="501"/>
    </row>
    <row r="243" spans="6:6" x14ac:dyDescent="0.25">
      <c r="F243" s="501"/>
    </row>
    <row r="244" spans="6:6" x14ac:dyDescent="0.25">
      <c r="F244" s="501"/>
    </row>
    <row r="245" spans="6:6" x14ac:dyDescent="0.25">
      <c r="F245" s="501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4">
    <tabColor theme="8" tint="0.79998168889431442"/>
  </sheetPr>
  <dimension ref="A1:L44"/>
  <sheetViews>
    <sheetView workbookViewId="0">
      <selection activeCell="E10" sqref="E10"/>
    </sheetView>
  </sheetViews>
  <sheetFormatPr defaultRowHeight="15" x14ac:dyDescent="0.25"/>
  <cols>
    <col min="1" max="1" width="13.28515625" customWidth="1"/>
    <col min="2" max="2" width="56.85546875" customWidth="1"/>
    <col min="3" max="3" width="10.28515625" customWidth="1"/>
    <col min="4" max="4" width="30.28515625" style="26" customWidth="1"/>
    <col min="5" max="5" width="15.28515625" style="7" bestFit="1" customWidth="1"/>
    <col min="6" max="6" width="15" style="9" bestFit="1" customWidth="1"/>
    <col min="7" max="7" width="15.28515625" bestFit="1" customWidth="1"/>
    <col min="8" max="8" width="14.42578125" bestFit="1" customWidth="1"/>
    <col min="9" max="9" width="15.42578125" customWidth="1"/>
    <col min="10" max="10" width="16.28515625" customWidth="1"/>
    <col min="11" max="11" width="13.5703125" bestFit="1" customWidth="1"/>
    <col min="12" max="12" width="12.85546875" customWidth="1"/>
    <col min="13" max="13" width="14.85546875" customWidth="1"/>
    <col min="14" max="14" width="16.140625" customWidth="1"/>
    <col min="15" max="15" width="12.140625" customWidth="1"/>
    <col min="16" max="17" width="11.85546875" customWidth="1"/>
    <col min="18" max="18" width="12.85546875" customWidth="1"/>
  </cols>
  <sheetData>
    <row r="1" spans="1:12" x14ac:dyDescent="0.25">
      <c r="A1" s="278" t="s">
        <v>227</v>
      </c>
      <c r="B1" s="279" t="s">
        <v>228</v>
      </c>
      <c r="C1" s="352" t="s">
        <v>231</v>
      </c>
      <c r="D1" s="288" t="s">
        <v>232</v>
      </c>
      <c r="E1" s="353" t="s">
        <v>236</v>
      </c>
      <c r="F1" s="368" t="s">
        <v>398</v>
      </c>
      <c r="G1" s="354" t="s">
        <v>399</v>
      </c>
    </row>
    <row r="2" spans="1:12" x14ac:dyDescent="0.25">
      <c r="A2" s="70" t="s">
        <v>51</v>
      </c>
      <c r="B2" s="1" t="s">
        <v>2355</v>
      </c>
      <c r="C2" s="1" t="s">
        <v>24</v>
      </c>
      <c r="D2" s="2">
        <v>-1549000</v>
      </c>
      <c r="E2" s="234">
        <v>46189</v>
      </c>
      <c r="F2" s="351">
        <f>VALUE(MID(B2,FIND(",",B2)+2,FIND("%",B2)-FIND(",",B2)-2))/100</f>
        <v>4.7999999999999996E-3</v>
      </c>
      <c r="G2" s="73">
        <f ca="1">D2*VLOOKUP(Loans!C2,'Tech list'!$A$2:$D$8,3,0)</f>
        <v>-1987676.7999999998</v>
      </c>
      <c r="H2" s="2"/>
      <c r="I2" s="737"/>
      <c r="J2" s="755"/>
    </row>
    <row r="3" spans="1:12" x14ac:dyDescent="0.25">
      <c r="A3" s="70" t="s">
        <v>51</v>
      </c>
      <c r="B3" s="1" t="s">
        <v>2573</v>
      </c>
      <c r="C3" s="1" t="s">
        <v>24</v>
      </c>
      <c r="D3" s="2">
        <v>-450000</v>
      </c>
      <c r="E3" s="234">
        <v>46190</v>
      </c>
      <c r="F3" s="351">
        <f t="shared" ref="F3:F18" si="0">VALUE(MID(B3,FIND(",",B3)+2,FIND("%",B3)-FIND(",",B3)-2))/100</f>
        <v>7.3000000000000001E-3</v>
      </c>
      <c r="G3" s="73">
        <f ca="1">D3*VLOOKUP(Loans!C3,'Tech list'!$A$2:$D$8,3,0)</f>
        <v>-577440</v>
      </c>
      <c r="H3" s="641"/>
      <c r="I3" s="808"/>
      <c r="J3" s="808"/>
      <c r="K3" s="32"/>
      <c r="L3" s="7"/>
    </row>
    <row r="4" spans="1:12" x14ac:dyDescent="0.25">
      <c r="A4" s="70" t="s">
        <v>51</v>
      </c>
      <c r="B4" s="1" t="s">
        <v>2574</v>
      </c>
      <c r="C4" s="1" t="s">
        <v>19</v>
      </c>
      <c r="D4" s="2">
        <v>-240000</v>
      </c>
      <c r="E4" s="234">
        <v>46191</v>
      </c>
      <c r="F4" s="351">
        <f t="shared" si="0"/>
        <v>4.4999999999999998E-2</v>
      </c>
      <c r="G4" s="73">
        <f ca="1">D4*VLOOKUP(Loans!C4,'Tech list'!$A$2:$D$8,3,0)</f>
        <v>-320976</v>
      </c>
      <c r="H4" s="641"/>
      <c r="I4" s="737"/>
      <c r="J4" s="755"/>
      <c r="K4" s="32"/>
    </row>
    <row r="5" spans="1:12" x14ac:dyDescent="0.25">
      <c r="A5" s="70" t="s">
        <v>51</v>
      </c>
      <c r="B5" s="1" t="s">
        <v>2356</v>
      </c>
      <c r="C5" s="1" t="s">
        <v>24</v>
      </c>
      <c r="D5" s="2">
        <v>-466000</v>
      </c>
      <c r="E5" s="234">
        <v>46192</v>
      </c>
      <c r="F5" s="351">
        <f t="shared" si="0"/>
        <v>4.7999999999999996E-3</v>
      </c>
      <c r="G5" s="73">
        <f ca="1">D5*VLOOKUP(Loans!C5,'Tech list'!$A$2:$D$8,3,0)</f>
        <v>-597971.19999999995</v>
      </c>
      <c r="H5" s="641"/>
      <c r="I5" s="737"/>
      <c r="J5" s="755"/>
      <c r="K5" s="32"/>
    </row>
    <row r="6" spans="1:12" x14ac:dyDescent="0.25">
      <c r="A6" s="70" t="s">
        <v>51</v>
      </c>
      <c r="B6" s="1" t="s">
        <v>2575</v>
      </c>
      <c r="C6" s="1" t="s">
        <v>24</v>
      </c>
      <c r="D6" s="2">
        <v>-1020000</v>
      </c>
      <c r="E6" s="234">
        <v>46193</v>
      </c>
      <c r="F6" s="351">
        <f t="shared" si="0"/>
        <v>5.0000000000000001E-3</v>
      </c>
      <c r="G6" s="73">
        <f ca="1">D6*VLOOKUP(Loans!C6,'Tech list'!$A$2:$D$8,3,0)</f>
        <v>-1308864</v>
      </c>
      <c r="H6" s="641"/>
      <c r="I6" s="737"/>
      <c r="J6" s="755"/>
      <c r="K6" s="32"/>
    </row>
    <row r="7" spans="1:12" x14ac:dyDescent="0.25">
      <c r="A7" s="70" t="s">
        <v>51</v>
      </c>
      <c r="B7" s="1" t="s">
        <v>2576</v>
      </c>
      <c r="C7" s="1" t="s">
        <v>24</v>
      </c>
      <c r="D7" s="2">
        <v>-1005000</v>
      </c>
      <c r="E7" s="234">
        <v>46194</v>
      </c>
      <c r="F7" s="351">
        <f t="shared" si="0"/>
        <v>5.7999999999999996E-3</v>
      </c>
      <c r="G7" s="73">
        <f ca="1">D7*VLOOKUP(Loans!C7,'Tech list'!$A$2:$D$8,3,0)</f>
        <v>-1289616</v>
      </c>
      <c r="H7" s="641"/>
      <c r="I7" s="737"/>
      <c r="J7" s="755"/>
      <c r="K7" s="32"/>
    </row>
    <row r="8" spans="1:12" x14ac:dyDescent="0.25">
      <c r="A8" s="70" t="s">
        <v>51</v>
      </c>
      <c r="B8" s="1" t="s">
        <v>2577</v>
      </c>
      <c r="C8" s="1" t="s">
        <v>24</v>
      </c>
      <c r="D8" s="2">
        <v>-2029000</v>
      </c>
      <c r="E8" s="234">
        <v>46195</v>
      </c>
      <c r="F8" s="351">
        <f t="shared" si="0"/>
        <v>6.4000000000000003E-3</v>
      </c>
      <c r="G8" s="73">
        <f ca="1">D8*VLOOKUP(Loans!C8,'Tech list'!$A$2:$D$8,3,0)</f>
        <v>-2603612.7999999998</v>
      </c>
      <c r="H8" s="641"/>
      <c r="I8" s="737"/>
      <c r="J8" s="755"/>
      <c r="K8" s="32"/>
    </row>
    <row r="9" spans="1:12" x14ac:dyDescent="0.25">
      <c r="A9" s="70" t="s">
        <v>51</v>
      </c>
      <c r="B9" s="1" t="s">
        <v>2354</v>
      </c>
      <c r="C9" s="1" t="s">
        <v>24</v>
      </c>
      <c r="D9" s="2">
        <v>-2054000</v>
      </c>
      <c r="E9" s="234">
        <v>46196</v>
      </c>
      <c r="F9" s="351">
        <f t="shared" si="0"/>
        <v>7.3000000000000001E-3</v>
      </c>
      <c r="G9" s="73">
        <f ca="1">D9*VLOOKUP(Loans!C9,'Tech list'!$A$2:$D$8,3,0)</f>
        <v>-2635692.7999999998</v>
      </c>
      <c r="H9" s="641"/>
      <c r="I9" s="737"/>
      <c r="J9" s="755"/>
      <c r="K9" s="32"/>
    </row>
    <row r="10" spans="1:12" x14ac:dyDescent="0.25">
      <c r="A10" s="70" t="s">
        <v>51</v>
      </c>
      <c r="B10" s="1" t="s">
        <v>2578</v>
      </c>
      <c r="C10" s="1" t="s">
        <v>24</v>
      </c>
      <c r="D10" s="2">
        <v>-2041650</v>
      </c>
      <c r="E10" s="234">
        <v>46197</v>
      </c>
      <c r="F10" s="351">
        <f t="shared" si="0"/>
        <v>7.7000000000000002E-3</v>
      </c>
      <c r="G10" s="73">
        <f ca="1">D10*VLOOKUP(Loans!C10,'Tech list'!$A$2:$D$8,3,0)</f>
        <v>-2619845.2799999998</v>
      </c>
      <c r="H10" s="641"/>
      <c r="I10" s="737"/>
      <c r="J10" s="755"/>
      <c r="K10" s="32"/>
    </row>
    <row r="11" spans="1:12" x14ac:dyDescent="0.25">
      <c r="A11" s="70" t="s">
        <v>51</v>
      </c>
      <c r="B11" s="1" t="s">
        <v>2579</v>
      </c>
      <c r="C11" s="1" t="s">
        <v>24</v>
      </c>
      <c r="D11" s="2">
        <v>-1000000</v>
      </c>
      <c r="E11" s="234">
        <v>46198</v>
      </c>
      <c r="F11" s="351">
        <f t="shared" si="0"/>
        <v>8.8000000000000005E-3</v>
      </c>
      <c r="G11" s="73">
        <f ca="1">D11*VLOOKUP(Loans!C11,'Tech list'!$A$2:$D$8,3,0)</f>
        <v>-1283200</v>
      </c>
      <c r="H11" s="641"/>
      <c r="I11" s="737"/>
      <c r="J11" s="755"/>
      <c r="K11" s="32"/>
    </row>
    <row r="12" spans="1:12" x14ac:dyDescent="0.25">
      <c r="A12" s="70" t="s">
        <v>51</v>
      </c>
      <c r="B12" s="1" t="s">
        <v>2580</v>
      </c>
      <c r="C12" s="1" t="s">
        <v>21</v>
      </c>
      <c r="D12" s="2">
        <v>-700000</v>
      </c>
      <c r="E12" s="234">
        <v>46199</v>
      </c>
      <c r="F12" s="351">
        <f t="shared" si="0"/>
        <v>2.6000000000000002E-2</v>
      </c>
      <c r="G12" s="73">
        <f ca="1">D12*VLOOKUP(Loans!C12,'Tech list'!$A$2:$D$8,3,0)</f>
        <v>-809970</v>
      </c>
      <c r="H12" s="641"/>
      <c r="I12" s="737"/>
      <c r="J12" s="755"/>
      <c r="K12" s="32"/>
    </row>
    <row r="13" spans="1:12" x14ac:dyDescent="0.25">
      <c r="A13" s="70" t="s">
        <v>51</v>
      </c>
      <c r="B13" s="1" t="s">
        <v>2571</v>
      </c>
      <c r="C13" s="1" t="s">
        <v>21</v>
      </c>
      <c r="D13" s="2">
        <v>-8560000</v>
      </c>
      <c r="E13" s="234">
        <v>46200</v>
      </c>
      <c r="F13" s="351">
        <f t="shared" si="0"/>
        <v>2.7400000000000001E-2</v>
      </c>
      <c r="G13" s="73">
        <f ca="1">D13*VLOOKUP(Loans!C13,'Tech list'!$A$2:$D$8,3,0)</f>
        <v>-9904776</v>
      </c>
      <c r="H13" s="641"/>
      <c r="I13" s="737"/>
      <c r="J13" s="755"/>
      <c r="K13" s="32"/>
    </row>
    <row r="14" spans="1:12" x14ac:dyDescent="0.25">
      <c r="A14" s="70" t="s">
        <v>51</v>
      </c>
      <c r="B14" s="1" t="s">
        <v>2581</v>
      </c>
      <c r="C14" s="1" t="s">
        <v>21</v>
      </c>
      <c r="D14" s="2">
        <v>-2616000</v>
      </c>
      <c r="E14" s="234">
        <v>46201</v>
      </c>
      <c r="F14" s="351">
        <f t="shared" si="0"/>
        <v>2.76E-2</v>
      </c>
      <c r="G14" s="73">
        <f ca="1">D14*VLOOKUP(Loans!C14,'Tech list'!$A$2:$D$8,3,0)</f>
        <v>-3026973.6</v>
      </c>
      <c r="H14" s="641"/>
      <c r="I14" s="737"/>
      <c r="J14" s="755"/>
      <c r="K14" s="32"/>
    </row>
    <row r="15" spans="1:12" x14ac:dyDescent="0.25">
      <c r="A15" s="70" t="s">
        <v>51</v>
      </c>
      <c r="B15" s="1" t="s">
        <v>2582</v>
      </c>
      <c r="C15" s="1" t="s">
        <v>21</v>
      </c>
      <c r="D15" s="2">
        <v>-532000</v>
      </c>
      <c r="E15" s="234">
        <v>46202</v>
      </c>
      <c r="F15" s="351">
        <f t="shared" si="0"/>
        <v>2.76E-2</v>
      </c>
      <c r="G15" s="73">
        <f ca="1">D15*VLOOKUP(Loans!C15,'Tech list'!$A$2:$D$8,3,0)</f>
        <v>-615577.19999999995</v>
      </c>
      <c r="H15" s="641"/>
      <c r="I15" s="737"/>
      <c r="J15" s="755"/>
      <c r="K15" s="32"/>
    </row>
    <row r="16" spans="1:12" x14ac:dyDescent="0.25">
      <c r="A16" s="70" t="s">
        <v>51</v>
      </c>
      <c r="B16" s="1" t="s">
        <v>2583</v>
      </c>
      <c r="C16" s="1" t="s">
        <v>21</v>
      </c>
      <c r="D16" s="2">
        <v>-1200000</v>
      </c>
      <c r="E16" s="234">
        <v>46203</v>
      </c>
      <c r="F16" s="351">
        <f t="shared" si="0"/>
        <v>2.7699999999999999E-2</v>
      </c>
      <c r="G16" s="73">
        <f ca="1">D16*VLOOKUP(Loans!C16,'Tech list'!$A$2:$D$8,3,0)</f>
        <v>-1388520</v>
      </c>
      <c r="H16" s="641"/>
      <c r="I16" s="737"/>
      <c r="J16" s="755"/>
    </row>
    <row r="17" spans="1:12" x14ac:dyDescent="0.25">
      <c r="A17" s="70" t="s">
        <v>51</v>
      </c>
      <c r="B17" s="1" t="s">
        <v>2441</v>
      </c>
      <c r="C17" s="1" t="s">
        <v>21</v>
      </c>
      <c r="D17" s="2">
        <v>-3410000</v>
      </c>
      <c r="E17" s="234">
        <v>46204</v>
      </c>
      <c r="F17" s="351">
        <f>VALUE(MID(B17,FIND(",",B17)+2,FIND("%",B17)-FIND(",",B17)-2))/100</f>
        <v>2.7699999999999999E-2</v>
      </c>
      <c r="G17" s="73">
        <f ca="1">D17*VLOOKUP(Loans!C17,'Tech list'!$A$2:$D$8,3,0)</f>
        <v>-3945711</v>
      </c>
      <c r="H17" s="641"/>
      <c r="I17" s="737"/>
      <c r="J17" s="755"/>
    </row>
    <row r="18" spans="1:12" x14ac:dyDescent="0.25">
      <c r="A18" s="70" t="s">
        <v>51</v>
      </c>
      <c r="B18" s="1" t="s">
        <v>2584</v>
      </c>
      <c r="C18" s="1" t="s">
        <v>25</v>
      </c>
      <c r="D18" s="2">
        <v>-148246000</v>
      </c>
      <c r="E18" s="234">
        <v>46205</v>
      </c>
      <c r="F18" s="351">
        <f t="shared" si="0"/>
        <v>1.4999999999999999E-2</v>
      </c>
      <c r="G18" s="73">
        <f ca="1">D18*VLOOKUP(Loans!C18,'Tech list'!$A$2:$D$8,3,0)</f>
        <v>-935728.75199999998</v>
      </c>
      <c r="H18" s="641"/>
      <c r="I18" s="737"/>
      <c r="J18" s="755"/>
    </row>
    <row r="19" spans="1:12" x14ac:dyDescent="0.25">
      <c r="A19" t="s">
        <v>49</v>
      </c>
      <c r="B19" s="1" t="s">
        <v>400</v>
      </c>
      <c r="C19" s="1" t="s">
        <v>21</v>
      </c>
      <c r="D19" s="18">
        <v>-2265693</v>
      </c>
      <c r="E19" s="195" t="str">
        <f>RIGHT(B19,10)</f>
        <v>Overdraft</v>
      </c>
      <c r="F19" s="9">
        <v>7.1000000000000004E-3</v>
      </c>
      <c r="G19" s="73">
        <f ca="1">D19*VLOOKUP(Loans!C19,'Tech list'!$A$2:$D$8,3,0)</f>
        <v>-2621633.3703000001</v>
      </c>
      <c r="I19" s="26"/>
    </row>
    <row r="20" spans="1:12" x14ac:dyDescent="0.25">
      <c r="A20" t="s">
        <v>49</v>
      </c>
      <c r="B20" s="1" t="s">
        <v>401</v>
      </c>
      <c r="C20" s="1" t="s">
        <v>24</v>
      </c>
      <c r="D20" s="18">
        <v>-2000000</v>
      </c>
      <c r="E20" s="196">
        <v>46163</v>
      </c>
      <c r="F20" s="9">
        <v>7.1000000000000004E-3</v>
      </c>
      <c r="G20" s="73">
        <f ca="1">D20*VLOOKUP(Loans!C20,'Tech list'!$A$2:$D$8,3,0)</f>
        <v>-2566400</v>
      </c>
      <c r="H20" s="357"/>
      <c r="I20" s="26"/>
    </row>
    <row r="21" spans="1:12" x14ac:dyDescent="0.25">
      <c r="H21" s="282"/>
      <c r="I21" s="32"/>
      <c r="L21" s="32"/>
    </row>
    <row r="22" spans="1:12" x14ac:dyDescent="0.25">
      <c r="D22" s="7"/>
      <c r="E22"/>
      <c r="G22" s="18"/>
    </row>
    <row r="23" spans="1:12" x14ac:dyDescent="0.25">
      <c r="A23" s="393" t="s">
        <v>227</v>
      </c>
      <c r="B23" s="367" t="s">
        <v>1117</v>
      </c>
      <c r="C23" s="367" t="s">
        <v>2</v>
      </c>
      <c r="D23" s="367" t="s">
        <v>1119</v>
      </c>
      <c r="E23" s="367" t="s">
        <v>1118</v>
      </c>
      <c r="F23" s="369" t="s">
        <v>1120</v>
      </c>
      <c r="G23" s="369" t="s">
        <v>1124</v>
      </c>
    </row>
    <row r="24" spans="1:12" x14ac:dyDescent="0.25">
      <c r="A24" t="s">
        <v>90</v>
      </c>
      <c r="B24" t="s">
        <v>1121</v>
      </c>
      <c r="C24" t="s">
        <v>19</v>
      </c>
      <c r="D24" s="7">
        <v>-21971.59</v>
      </c>
      <c r="E24" t="s">
        <v>257</v>
      </c>
      <c r="F24" s="9">
        <v>4.2800000000000005E-2</v>
      </c>
      <c r="G24" s="73">
        <f ca="1">D24*VLOOKUP(Loans!C24,'Tech list'!$A$2:$D$8,3,0)</f>
        <v>-29384.804465999998</v>
      </c>
    </row>
    <row r="25" spans="1:12" x14ac:dyDescent="0.25">
      <c r="A25" t="s">
        <v>90</v>
      </c>
      <c r="B25" t="s">
        <v>1121</v>
      </c>
      <c r="C25" t="s">
        <v>18</v>
      </c>
      <c r="D25" s="7">
        <v>-346.24</v>
      </c>
      <c r="E25" t="s">
        <v>257</v>
      </c>
      <c r="F25" s="9">
        <v>4.2599999999999999E-2</v>
      </c>
      <c r="G25" s="73">
        <f>D25*VLOOKUP(Loans!C25,'Tech list'!$A$2:$D$8,3,0)</f>
        <v>-346.24</v>
      </c>
    </row>
    <row r="26" spans="1:12" x14ac:dyDescent="0.25">
      <c r="A26" t="s">
        <v>90</v>
      </c>
      <c r="B26" t="s">
        <v>1121</v>
      </c>
      <c r="C26" t="s">
        <v>21</v>
      </c>
      <c r="D26" s="7">
        <v>-1529643.5</v>
      </c>
      <c r="E26" t="s">
        <v>257</v>
      </c>
      <c r="F26" s="9">
        <v>2.4799999999999999E-2</v>
      </c>
      <c r="G26" s="73">
        <f ca="1">D26*VLOOKUP(Loans!C26,'Tech list'!$A$2:$D$8,3,0)</f>
        <v>-1769950.49385</v>
      </c>
    </row>
    <row r="27" spans="1:12" x14ac:dyDescent="0.25">
      <c r="A27" t="s">
        <v>90</v>
      </c>
      <c r="B27" t="s">
        <v>1121</v>
      </c>
      <c r="C27" t="s">
        <v>19</v>
      </c>
      <c r="D27" s="7">
        <v>-497869</v>
      </c>
      <c r="E27" t="s">
        <v>1122</v>
      </c>
      <c r="F27" s="9">
        <v>4.2800000000000005E-2</v>
      </c>
      <c r="G27" s="73">
        <f ca="1">D27*VLOOKUP(Loans!C27,'Tech list'!$A$2:$D$8,3,0)</f>
        <v>-665850.00059999991</v>
      </c>
    </row>
    <row r="28" spans="1:12" x14ac:dyDescent="0.25">
      <c r="A28" t="s">
        <v>90</v>
      </c>
      <c r="B28" t="s">
        <v>1121</v>
      </c>
      <c r="C28" t="s">
        <v>19</v>
      </c>
      <c r="D28" s="7">
        <v>-155403</v>
      </c>
      <c r="E28" t="s">
        <v>1122</v>
      </c>
      <c r="F28" s="9">
        <v>4.2800000000000005E-2</v>
      </c>
      <c r="G28" s="73">
        <f ca="1">D28*VLOOKUP(Loans!C28,'Tech list'!$A$2:$D$8,3,0)</f>
        <v>-207835.97219999999</v>
      </c>
    </row>
    <row r="29" spans="1:12" x14ac:dyDescent="0.25">
      <c r="A29" t="s">
        <v>90</v>
      </c>
      <c r="B29" t="s">
        <v>1121</v>
      </c>
      <c r="C29" t="s">
        <v>19</v>
      </c>
      <c r="D29" s="7">
        <v>-308438.17</v>
      </c>
      <c r="E29" t="s">
        <v>1122</v>
      </c>
      <c r="F29" s="9">
        <v>4.2800000000000005E-2</v>
      </c>
      <c r="G29" s="73">
        <f ca="1">D29*VLOOKUP(Loans!C29,'Tech list'!$A$2:$D$8,3,0)</f>
        <v>-412505.20855799993</v>
      </c>
    </row>
    <row r="30" spans="1:12" x14ac:dyDescent="0.25">
      <c r="A30" t="s">
        <v>90</v>
      </c>
      <c r="B30" t="s">
        <v>1121</v>
      </c>
      <c r="C30" t="s">
        <v>19</v>
      </c>
      <c r="D30" s="7">
        <v>-200000</v>
      </c>
      <c r="E30" t="s">
        <v>1122</v>
      </c>
      <c r="F30" s="9">
        <v>4.2800000000000005E-2</v>
      </c>
      <c r="G30" s="73">
        <f ca="1">D30*VLOOKUP(Loans!C30,'Tech list'!$A$2:$D$8,3,0)</f>
        <v>-267480</v>
      </c>
    </row>
    <row r="31" spans="1:12" x14ac:dyDescent="0.25">
      <c r="A31" t="s">
        <v>90</v>
      </c>
      <c r="B31" t="s">
        <v>1121</v>
      </c>
      <c r="C31" t="s">
        <v>18</v>
      </c>
      <c r="D31" s="7">
        <v>-100000</v>
      </c>
      <c r="E31" t="s">
        <v>1122</v>
      </c>
      <c r="F31" s="9">
        <v>4.4199999999999996E-2</v>
      </c>
      <c r="G31" s="73">
        <f>D31*VLOOKUP(Loans!C31,'Tech list'!$A$2:$D$8,3,0)</f>
        <v>-100000</v>
      </c>
    </row>
    <row r="32" spans="1:12" x14ac:dyDescent="0.25">
      <c r="A32" t="s">
        <v>90</v>
      </c>
      <c r="B32" t="s">
        <v>1121</v>
      </c>
      <c r="C32" t="s">
        <v>21</v>
      </c>
      <c r="D32" s="7">
        <v>-1925000</v>
      </c>
      <c r="E32" t="s">
        <v>1122</v>
      </c>
      <c r="F32" s="9">
        <v>2.4700000000000003E-2</v>
      </c>
      <c r="G32" s="73">
        <f ca="1">D32*VLOOKUP(Loans!C32,'Tech list'!$A$2:$D$8,3,0)</f>
        <v>-2227417.5</v>
      </c>
    </row>
    <row r="33" spans="1:7" x14ac:dyDescent="0.25">
      <c r="A33" t="s">
        <v>90</v>
      </c>
      <c r="B33" t="s">
        <v>1123</v>
      </c>
      <c r="C33" t="s">
        <v>24</v>
      </c>
      <c r="D33" s="7">
        <v>-25768.9</v>
      </c>
      <c r="E33" t="s">
        <v>257</v>
      </c>
      <c r="F33" s="9">
        <v>8.5000000000000006E-3</v>
      </c>
      <c r="G33" s="73">
        <f ca="1">D33*VLOOKUP(Loans!C33,'Tech list'!$A$2:$D$8,3,0)</f>
        <v>-33066.652479999997</v>
      </c>
    </row>
    <row r="34" spans="1:7" x14ac:dyDescent="0.25">
      <c r="A34" t="s">
        <v>90</v>
      </c>
      <c r="B34" t="s">
        <v>1123</v>
      </c>
      <c r="C34" t="s">
        <v>19</v>
      </c>
      <c r="D34" s="7">
        <v>-268400.32</v>
      </c>
      <c r="E34" t="s">
        <v>257</v>
      </c>
      <c r="F34" s="9">
        <v>4.58E-2</v>
      </c>
      <c r="G34" s="73">
        <f ca="1">D34*VLOOKUP(Loans!C34,'Tech list'!$A$2:$D$8,3,0)</f>
        <v>-358958.58796799998</v>
      </c>
    </row>
    <row r="35" spans="1:7" x14ac:dyDescent="0.25">
      <c r="A35" t="s">
        <v>90</v>
      </c>
      <c r="B35" t="s">
        <v>1123</v>
      </c>
      <c r="C35" t="s">
        <v>18</v>
      </c>
      <c r="D35" s="7">
        <v>-105114.28</v>
      </c>
      <c r="E35" t="s">
        <v>257</v>
      </c>
      <c r="F35" s="9">
        <v>4.5599999999999995E-2</v>
      </c>
      <c r="G35" s="73">
        <f>D35*VLOOKUP(Loans!C35,'Tech list'!$A$2:$D$8,3,0)</f>
        <v>-105114.28</v>
      </c>
    </row>
    <row r="36" spans="1:7" x14ac:dyDescent="0.25">
      <c r="A36" t="s">
        <v>90</v>
      </c>
      <c r="B36" t="s">
        <v>1123</v>
      </c>
      <c r="C36" t="s">
        <v>21</v>
      </c>
      <c r="D36" s="7">
        <v>-210178.56</v>
      </c>
      <c r="E36" t="s">
        <v>257</v>
      </c>
      <c r="F36" s="9">
        <v>2.7799999999999998E-2</v>
      </c>
      <c r="G36" s="73">
        <f ca="1">D36*VLOOKUP(Loans!C36,'Tech list'!$A$2:$D$8,3,0)</f>
        <v>-243197.61177600001</v>
      </c>
    </row>
    <row r="37" spans="1:7" x14ac:dyDescent="0.25">
      <c r="A37" t="s">
        <v>90</v>
      </c>
      <c r="B37" t="s">
        <v>1123</v>
      </c>
      <c r="C37" t="s">
        <v>21</v>
      </c>
      <c r="D37" s="7">
        <v>-224000</v>
      </c>
      <c r="E37" t="s">
        <v>1122</v>
      </c>
      <c r="F37" s="9">
        <v>2.7699999999999999E-2</v>
      </c>
      <c r="G37" s="73">
        <f ca="1">D37*VLOOKUP(Loans!C37,'Tech list'!$A$2:$D$8,3,0)</f>
        <v>-259190.39999999999</v>
      </c>
    </row>
    <row r="38" spans="1:7" x14ac:dyDescent="0.25">
      <c r="A38" t="s">
        <v>90</v>
      </c>
      <c r="B38" t="s">
        <v>1123</v>
      </c>
      <c r="C38" t="s">
        <v>21</v>
      </c>
      <c r="D38" s="7">
        <v>-1500000</v>
      </c>
      <c r="E38" t="s">
        <v>1122</v>
      </c>
      <c r="F38" s="9">
        <v>2.7699999999999999E-2</v>
      </c>
      <c r="G38" s="73">
        <f ca="1">D38*VLOOKUP(Loans!C38,'Tech list'!$A$2:$D$8,3,0)</f>
        <v>-1735650</v>
      </c>
    </row>
    <row r="39" spans="1:7" x14ac:dyDescent="0.25">
      <c r="A39" t="s">
        <v>90</v>
      </c>
      <c r="B39" t="s">
        <v>2353</v>
      </c>
      <c r="C39" t="s">
        <v>19</v>
      </c>
      <c r="D39" s="7">
        <v>-883.05</v>
      </c>
      <c r="E39" t="s">
        <v>257</v>
      </c>
      <c r="F39" s="9">
        <v>4.1799999999999997E-2</v>
      </c>
      <c r="G39" s="73">
        <f ca="1">D39*VLOOKUP(Loans!C39,'Tech list'!$A$2:$D$8,3,0)</f>
        <v>-1180.9910699999998</v>
      </c>
    </row>
    <row r="40" spans="1:7" x14ac:dyDescent="0.25">
      <c r="A40" t="s">
        <v>90</v>
      </c>
      <c r="B40" t="s">
        <v>2353</v>
      </c>
      <c r="C40" t="s">
        <v>18</v>
      </c>
      <c r="D40" s="7">
        <v>-2</v>
      </c>
      <c r="E40" t="s">
        <v>257</v>
      </c>
      <c r="F40" s="9">
        <v>4.1599999999999998E-2</v>
      </c>
      <c r="G40" s="73">
        <f>D40*VLOOKUP(Loans!C40,'Tech list'!$A$2:$D$8,3,0)</f>
        <v>-2</v>
      </c>
    </row>
    <row r="41" spans="1:7" x14ac:dyDescent="0.25">
      <c r="A41" t="s">
        <v>90</v>
      </c>
      <c r="B41" t="s">
        <v>2353</v>
      </c>
      <c r="C41" t="s">
        <v>21</v>
      </c>
      <c r="D41" s="7">
        <v>-73.260000000000005</v>
      </c>
      <c r="E41" t="s">
        <v>257</v>
      </c>
      <c r="F41" s="9">
        <v>2.3799999999999998E-2</v>
      </c>
      <c r="G41" s="73">
        <f ca="1">D41*VLOOKUP(Loans!C41,'Tech list'!$A$2:$D$8,3,0)</f>
        <v>-84.769146000000006</v>
      </c>
    </row>
    <row r="42" spans="1:7" x14ac:dyDescent="0.25">
      <c r="A42" t="s">
        <v>90</v>
      </c>
      <c r="B42" t="s">
        <v>1194</v>
      </c>
      <c r="C42" t="s">
        <v>19</v>
      </c>
      <c r="D42" s="7">
        <v>-14121.35</v>
      </c>
      <c r="E42" t="s">
        <v>257</v>
      </c>
      <c r="F42" s="9">
        <v>4.1799999999999997E-2</v>
      </c>
      <c r="G42" s="73">
        <f ca="1">D42*VLOOKUP(Loans!C42,'Tech list'!$A$2:$D$8,3,0)</f>
        <v>-18885.893489999999</v>
      </c>
    </row>
    <row r="43" spans="1:7" x14ac:dyDescent="0.25">
      <c r="A43" t="s">
        <v>90</v>
      </c>
      <c r="B43" t="s">
        <v>1194</v>
      </c>
      <c r="C43" t="s">
        <v>18</v>
      </c>
      <c r="D43" s="7">
        <v>-5029.87</v>
      </c>
      <c r="E43" t="s">
        <v>257</v>
      </c>
      <c r="F43" s="9">
        <v>4.1599999999999998E-2</v>
      </c>
      <c r="G43" s="73">
        <f>D43*VLOOKUP(Loans!C43,'Tech list'!$A$2:$D$8,3,0)</f>
        <v>-5029.87</v>
      </c>
    </row>
    <row r="44" spans="1:7" x14ac:dyDescent="0.25">
      <c r="D44" s="18"/>
      <c r="E44"/>
      <c r="F44"/>
      <c r="G44" s="18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918E4-E761-4C56-895A-74CC29356E3B}">
  <sheetPr codeName="Sheet23">
    <tabColor theme="4" tint="-0.249977111117893"/>
  </sheetPr>
  <dimension ref="A1:BJ55"/>
  <sheetViews>
    <sheetView zoomScale="85" zoomScaleNormal="85" workbookViewId="0">
      <pane xSplit="3" topLeftCell="D1" activePane="topRight" state="frozen"/>
      <selection pane="topRight" activeCell="L23" sqref="A23:XFD23"/>
    </sheetView>
  </sheetViews>
  <sheetFormatPr defaultRowHeight="15" x14ac:dyDescent="0.25"/>
  <cols>
    <col min="1" max="1" width="10.42578125" customWidth="1"/>
    <col min="2" max="2" width="11.42578125" customWidth="1"/>
    <col min="3" max="3" width="71" customWidth="1"/>
    <col min="4" max="4" width="9" customWidth="1"/>
    <col min="5" max="5" width="14.42578125" customWidth="1"/>
    <col min="6" max="6" width="16.140625" customWidth="1"/>
    <col min="7" max="7" width="14.85546875" customWidth="1"/>
    <col min="8" max="8" width="18.7109375" customWidth="1"/>
    <col min="9" max="9" width="13.42578125" customWidth="1"/>
    <col min="10" max="11" width="11" customWidth="1"/>
    <col min="12" max="12" width="18.7109375" customWidth="1"/>
    <col min="13" max="13" width="17.5703125" style="18" customWidth="1"/>
    <col min="14" max="14" width="16.140625" style="18" customWidth="1"/>
    <col min="15" max="15" width="15.42578125" style="18" customWidth="1"/>
    <col min="16" max="16" width="9.42578125" style="18" customWidth="1"/>
    <col min="17" max="17" width="18.85546875" customWidth="1"/>
    <col min="18" max="19" width="14.28515625" customWidth="1"/>
    <col min="20" max="20" width="16.7109375" customWidth="1"/>
    <col min="21" max="21" width="15.85546875" customWidth="1"/>
    <col min="22" max="22" width="18.140625" customWidth="1"/>
    <col min="23" max="23" width="17.28515625" customWidth="1"/>
    <col min="24" max="25" width="18.140625" customWidth="1"/>
    <col min="26" max="27" width="11.140625" customWidth="1"/>
    <col min="28" max="28" width="12.7109375" customWidth="1"/>
    <col min="29" max="37" width="11.140625" customWidth="1"/>
    <col min="38" max="38" width="11" bestFit="1" customWidth="1"/>
    <col min="39" max="39" width="9.5703125" bestFit="1" customWidth="1"/>
    <col min="40" max="40" width="9.7109375" bestFit="1" customWidth="1"/>
    <col min="41" max="43" width="9.28515625" bestFit="1" customWidth="1"/>
    <col min="44" max="44" width="9.7109375" bestFit="1" customWidth="1"/>
    <col min="45" max="49" width="9.28515625" bestFit="1" customWidth="1"/>
    <col min="50" max="61" width="11.42578125" customWidth="1"/>
    <col min="62" max="62" width="13.7109375" customWidth="1"/>
  </cols>
  <sheetData>
    <row r="1" spans="1:62" s="694" customFormat="1" ht="30.75" customHeight="1" x14ac:dyDescent="0.25">
      <c r="A1" s="692" t="s">
        <v>2298</v>
      </c>
      <c r="B1" s="687" t="s">
        <v>375</v>
      </c>
      <c r="C1" s="687" t="s">
        <v>228</v>
      </c>
      <c r="D1" s="687" t="s">
        <v>231</v>
      </c>
      <c r="E1" s="689" t="s">
        <v>1165</v>
      </c>
      <c r="F1" s="690" t="s">
        <v>246</v>
      </c>
      <c r="G1" s="689" t="s">
        <v>245</v>
      </c>
      <c r="H1" s="689" t="s">
        <v>2238</v>
      </c>
      <c r="I1" s="691" t="s">
        <v>2239</v>
      </c>
      <c r="J1" s="689" t="s">
        <v>2394</v>
      </c>
      <c r="K1" s="689" t="s">
        <v>2395</v>
      </c>
      <c r="L1" s="689" t="s">
        <v>1114</v>
      </c>
      <c r="M1" s="688" t="s">
        <v>1116</v>
      </c>
      <c r="N1" s="688" t="s">
        <v>1163</v>
      </c>
      <c r="O1" s="688" t="s">
        <v>1164</v>
      </c>
      <c r="P1" s="688" t="s">
        <v>2237</v>
      </c>
      <c r="Q1" s="688" t="s">
        <v>2370</v>
      </c>
      <c r="R1" s="688" t="s">
        <v>1215</v>
      </c>
      <c r="S1" s="688" t="s">
        <v>1216</v>
      </c>
      <c r="T1" s="688" t="s">
        <v>1166</v>
      </c>
      <c r="U1" s="688" t="s">
        <v>1167</v>
      </c>
      <c r="V1" s="688" t="s">
        <v>1170</v>
      </c>
      <c r="W1" s="688" t="s">
        <v>1168</v>
      </c>
      <c r="X1" s="688" t="s">
        <v>2371</v>
      </c>
      <c r="Y1" s="688" t="s">
        <v>2372</v>
      </c>
      <c r="Z1" s="689" t="s">
        <v>887</v>
      </c>
      <c r="AA1" s="689" t="s">
        <v>888</v>
      </c>
      <c r="AB1" s="689" t="s">
        <v>889</v>
      </c>
      <c r="AC1" s="689" t="s">
        <v>890</v>
      </c>
      <c r="AD1" s="689" t="s">
        <v>891</v>
      </c>
      <c r="AE1" s="689" t="s">
        <v>892</v>
      </c>
      <c r="AF1" s="689" t="s">
        <v>893</v>
      </c>
      <c r="AG1" s="689" t="s">
        <v>894</v>
      </c>
      <c r="AH1" s="689" t="s">
        <v>895</v>
      </c>
      <c r="AI1" s="689" t="s">
        <v>896</v>
      </c>
      <c r="AJ1" s="689" t="s">
        <v>897</v>
      </c>
      <c r="AK1" s="689" t="s">
        <v>898</v>
      </c>
      <c r="AL1" s="689" t="s">
        <v>887</v>
      </c>
      <c r="AM1" s="689" t="s">
        <v>888</v>
      </c>
      <c r="AN1" s="689" t="s">
        <v>889</v>
      </c>
      <c r="AO1" s="689" t="s">
        <v>890</v>
      </c>
      <c r="AP1" s="689" t="s">
        <v>891</v>
      </c>
      <c r="AQ1" s="689" t="s">
        <v>892</v>
      </c>
      <c r="AR1" s="689" t="s">
        <v>893</v>
      </c>
      <c r="AS1" s="689" t="s">
        <v>894</v>
      </c>
      <c r="AT1" s="689" t="s">
        <v>895</v>
      </c>
      <c r="AU1" s="689" t="s">
        <v>896</v>
      </c>
      <c r="AV1" s="689" t="s">
        <v>897</v>
      </c>
      <c r="AW1" s="689" t="s">
        <v>898</v>
      </c>
      <c r="AX1" s="693">
        <v>46037</v>
      </c>
      <c r="AY1" s="693">
        <v>46068</v>
      </c>
      <c r="AZ1" s="693">
        <v>46096</v>
      </c>
      <c r="BA1" s="693">
        <v>46127</v>
      </c>
      <c r="BB1" s="693">
        <v>46157</v>
      </c>
      <c r="BC1" s="693">
        <v>46188</v>
      </c>
      <c r="BD1" s="693">
        <v>46218</v>
      </c>
      <c r="BE1" s="693">
        <v>46249</v>
      </c>
      <c r="BF1" s="693">
        <v>46280</v>
      </c>
      <c r="BG1" s="693">
        <v>46310</v>
      </c>
      <c r="BH1" s="693">
        <v>46341</v>
      </c>
      <c r="BI1" s="693">
        <v>46371</v>
      </c>
      <c r="BJ1" s="687" t="s">
        <v>376</v>
      </c>
    </row>
    <row r="2" spans="1:62" s="70" customFormat="1" x14ac:dyDescent="0.25">
      <c r="A2" s="70" t="s">
        <v>1146</v>
      </c>
      <c r="B2" s="70" t="s">
        <v>1144</v>
      </c>
      <c r="C2" s="418" t="s">
        <v>2297</v>
      </c>
      <c r="D2" s="418" t="s">
        <v>21</v>
      </c>
      <c r="E2" s="419"/>
      <c r="F2" s="425">
        <f ca="1">T_AI9[[#This Row],[Market value in CCY]]*BJ2</f>
        <v>937251</v>
      </c>
      <c r="G2" s="420">
        <v>810000</v>
      </c>
      <c r="H2" s="423">
        <v>1</v>
      </c>
      <c r="I2" s="423"/>
      <c r="J2" s="615" t="s">
        <v>2236</v>
      </c>
      <c r="K2" s="615"/>
      <c r="L2" s="420"/>
      <c r="M2" s="421">
        <f>T_AI9[[#This Row],[Market value in CCY]]</f>
        <v>810000</v>
      </c>
      <c r="N2" s="421">
        <v>-184100</v>
      </c>
      <c r="O2" s="421"/>
      <c r="P2" s="422">
        <f>IFERROR(-SUM(T_AI9[[#This Row],[Market value in CCY]],T_AI9[[#This Row],[Distribuitions, CCY]],T_AI9[[#This Row],[Funded to date, CCY]])/T_AI9[[#This Row],[Funded to date, CCY]],"")</f>
        <v>3.3997827267789247</v>
      </c>
      <c r="Q2" s="423">
        <f>SUM(U2,W2)</f>
        <v>-135000</v>
      </c>
      <c r="R2" s="423">
        <f ca="1">SUM(T_AI9[[#This Row],[2026 Distribution, CCY]:[2026 Capital calls, CCY]])*BJ2</f>
        <v>781042.5</v>
      </c>
      <c r="S2" s="424">
        <f ca="1">SUM(T_AI9[[#This Row],[2027+ Distribution, CCY]:[2027 Capital calls, CCY]])*BJ2</f>
        <v>0</v>
      </c>
      <c r="T2" s="425">
        <f>SUM(T_AI9[[#This Row],[1]:[12]])</f>
        <v>810000</v>
      </c>
      <c r="U2" s="426">
        <f>SUM(AL2:AW2)</f>
        <v>-135000</v>
      </c>
      <c r="V2" s="423"/>
      <c r="W2" s="423"/>
      <c r="X2" s="423"/>
      <c r="Y2" s="423">
        <f ca="1">T_AI9[[#This Row],[Total coupon 2026, CCY]]*BJ2</f>
        <v>0</v>
      </c>
      <c r="Z2" s="434">
        <v>0</v>
      </c>
      <c r="AA2" s="434">
        <v>0</v>
      </c>
      <c r="AB2" s="434">
        <v>0</v>
      </c>
      <c r="AC2" s="434">
        <v>0</v>
      </c>
      <c r="AD2" s="434">
        <v>0</v>
      </c>
      <c r="AE2" s="434">
        <f>900000*0.9</f>
        <v>810000</v>
      </c>
      <c r="AF2" s="434">
        <v>0</v>
      </c>
      <c r="AG2" s="434">
        <v>0</v>
      </c>
      <c r="AH2" s="434">
        <v>0</v>
      </c>
      <c r="AI2" s="434">
        <v>0</v>
      </c>
      <c r="AJ2" s="434">
        <v>0</v>
      </c>
      <c r="AK2" s="434">
        <v>0</v>
      </c>
      <c r="AL2" s="435">
        <f>-50000</f>
        <v>-50000</v>
      </c>
      <c r="AM2" s="435">
        <v>-15000</v>
      </c>
      <c r="AN2" s="435">
        <v>-20000</v>
      </c>
      <c r="AO2" s="435">
        <v>-24000</v>
      </c>
      <c r="AP2" s="435">
        <v>-26000</v>
      </c>
      <c r="AQ2" s="435">
        <v>0</v>
      </c>
      <c r="AR2" s="435">
        <v>0</v>
      </c>
      <c r="AS2" s="435">
        <v>0</v>
      </c>
      <c r="AT2" s="435">
        <v>0</v>
      </c>
      <c r="AU2" s="435">
        <v>0</v>
      </c>
      <c r="AV2" s="435">
        <v>0</v>
      </c>
      <c r="AW2" s="435">
        <v>0</v>
      </c>
      <c r="AX2" s="458">
        <f ca="1">SUM(T_AI9[[#This Row],[1]],AL2)*$BJ2</f>
        <v>-57855</v>
      </c>
      <c r="AY2" s="458">
        <f ca="1">SUM(T_AI9[[#This Row],[2]],AM2)*$BJ2</f>
        <v>-17356.5</v>
      </c>
      <c r="AZ2" s="458">
        <f ca="1">SUM(T_AI9[[#This Row],[3]],AN2)*$BJ2</f>
        <v>-23142</v>
      </c>
      <c r="BA2" s="458">
        <f ca="1">SUM(T_AI9[[#This Row],[4]],AO2)*$BJ2</f>
        <v>-27770.400000000001</v>
      </c>
      <c r="BB2" s="458">
        <f ca="1">SUM(T_AI9[[#This Row],[5]],AP2)*$BJ2</f>
        <v>-30084.600000000002</v>
      </c>
      <c r="BC2" s="458">
        <f ca="1">SUM(T_AI9[[#This Row],[6]],AQ2)*$BJ2</f>
        <v>937251</v>
      </c>
      <c r="BD2" s="458">
        <f ca="1">SUM(T_AI9[[#This Row],[7]],AR2)*$BJ2</f>
        <v>0</v>
      </c>
      <c r="BE2" s="458">
        <f ca="1">SUM(T_AI9[[#This Row],[8]],AS2)*$BJ2</f>
        <v>0</v>
      </c>
      <c r="BF2" s="458">
        <f ca="1">SUM(T_AI9[[#This Row],[9]],AT2)*$BJ2</f>
        <v>0</v>
      </c>
      <c r="BG2" s="458">
        <f ca="1">SUM(T_AI9[[#This Row],[10]],AU2)*$BJ2</f>
        <v>0</v>
      </c>
      <c r="BH2" s="458">
        <f ca="1">SUM(T_AI9[[#This Row],[11]],AV2)*$BJ2</f>
        <v>0</v>
      </c>
      <c r="BI2" s="458">
        <f ca="1">SUM(T_AI9[[#This Row],[12]],AW2)*$BJ2</f>
        <v>0</v>
      </c>
      <c r="BJ2" s="70">
        <f ca="1">INDEX('Tech list'!A:C,MATCH(T_AI9[[#This Row],[Risk CCY]],'Tech list'!A:A,0),3)</f>
        <v>1.1571</v>
      </c>
    </row>
    <row r="3" spans="1:62" s="70" customFormat="1" x14ac:dyDescent="0.25">
      <c r="A3" s="70" t="s">
        <v>1146</v>
      </c>
      <c r="B3" s="70" t="s">
        <v>1144</v>
      </c>
      <c r="C3" s="418" t="s">
        <v>2439</v>
      </c>
      <c r="D3" s="418" t="s">
        <v>21</v>
      </c>
      <c r="E3" s="419"/>
      <c r="F3" s="425">
        <f ca="1">T_AI9[[#This Row],[Market value in CCY]]*BJ3</f>
        <v>15648043.585650001</v>
      </c>
      <c r="G3" s="420">
        <v>13523501.5</v>
      </c>
      <c r="H3" s="423">
        <v>1</v>
      </c>
      <c r="I3" s="423"/>
      <c r="J3" s="615" t="s">
        <v>1230</v>
      </c>
      <c r="K3" s="615"/>
      <c r="L3" s="420"/>
      <c r="M3" s="421">
        <f>T_AI9[[#This Row],[Market value in CCY]]</f>
        <v>13523501.5</v>
      </c>
      <c r="N3" s="421">
        <f>-11243000+125000+284000</f>
        <v>-10834000</v>
      </c>
      <c r="O3" s="421"/>
      <c r="P3" s="422">
        <f>IFERROR(-SUM(T_AI9[[#This Row],[Market value in CCY]],T_AI9[[#This Row],[Distribuitions, CCY]],T_AI9[[#This Row],[Funded to date, CCY]])/T_AI9[[#This Row],[Funded to date, CCY]],"")</f>
        <v>0.24824640022152483</v>
      </c>
      <c r="Q3" s="423">
        <f>SUM(U3,W3)</f>
        <v>0</v>
      </c>
      <c r="R3" s="423">
        <f ca="1">SUM(T_AI9[[#This Row],[2026 Distribution, CCY]:[2026 Capital calls, CCY]])*BJ3</f>
        <v>0</v>
      </c>
      <c r="S3" s="424">
        <f ca="1">SUM(T_AI9[[#This Row],[2027+ Distribution, CCY]:[2027 Capital calls, CCY]])*BJ3</f>
        <v>0</v>
      </c>
      <c r="T3" s="425">
        <f>SUM(T_AI9[[#This Row],[1]:[12]])</f>
        <v>0</v>
      </c>
      <c r="U3" s="426">
        <f>SUM(AL3:AW3)</f>
        <v>0</v>
      </c>
      <c r="V3" s="423"/>
      <c r="W3" s="423"/>
      <c r="X3" s="423"/>
      <c r="Y3" s="423">
        <f ca="1">T_AI9[[#This Row],[Total coupon 2026, CCY]]*BJ3</f>
        <v>0</v>
      </c>
      <c r="Z3" s="434">
        <v>0</v>
      </c>
      <c r="AA3" s="434">
        <v>0</v>
      </c>
      <c r="AB3" s="434">
        <v>0</v>
      </c>
      <c r="AC3" s="434">
        <v>0</v>
      </c>
      <c r="AD3" s="434">
        <v>0</v>
      </c>
      <c r="AE3" s="434">
        <v>0</v>
      </c>
      <c r="AF3" s="434">
        <v>0</v>
      </c>
      <c r="AG3" s="434">
        <v>0</v>
      </c>
      <c r="AH3" s="434">
        <v>0</v>
      </c>
      <c r="AI3" s="434">
        <v>0</v>
      </c>
      <c r="AJ3" s="434">
        <v>0</v>
      </c>
      <c r="AK3" s="434">
        <v>0</v>
      </c>
      <c r="AL3" s="435">
        <v>0</v>
      </c>
      <c r="AM3" s="435">
        <v>0</v>
      </c>
      <c r="AN3" s="435">
        <v>0</v>
      </c>
      <c r="AO3" s="435">
        <v>0</v>
      </c>
      <c r="AP3" s="435">
        <v>0</v>
      </c>
      <c r="AQ3" s="435">
        <v>0</v>
      </c>
      <c r="AR3" s="435">
        <v>0</v>
      </c>
      <c r="AS3" s="435">
        <v>0</v>
      </c>
      <c r="AT3" s="435">
        <v>0</v>
      </c>
      <c r="AU3" s="435">
        <v>0</v>
      </c>
      <c r="AV3" s="435">
        <v>0</v>
      </c>
      <c r="AW3" s="435">
        <v>0</v>
      </c>
      <c r="AX3" s="458">
        <f ca="1">SUM(T_AI9[[#This Row],[1]],AL3)*$BJ3</f>
        <v>0</v>
      </c>
      <c r="AY3" s="458">
        <f ca="1">SUM(T_AI9[[#This Row],[2]],AM3)*$BJ3</f>
        <v>0</v>
      </c>
      <c r="AZ3" s="458">
        <f ca="1">SUM(T_AI9[[#This Row],[3]],AN3)*$BJ3</f>
        <v>0</v>
      </c>
      <c r="BA3" s="458">
        <f ca="1">SUM(T_AI9[[#This Row],[4]],AO3)*$BJ3</f>
        <v>0</v>
      </c>
      <c r="BB3" s="458">
        <f ca="1">SUM(T_AI9[[#This Row],[5]],AP3)*$BJ3</f>
        <v>0</v>
      </c>
      <c r="BC3" s="458">
        <f ca="1">SUM(T_AI9[[#This Row],[6]],AQ3)*$BJ3</f>
        <v>0</v>
      </c>
      <c r="BD3" s="458">
        <f ca="1">SUM(T_AI9[[#This Row],[7]],AR3)*$BJ3</f>
        <v>0</v>
      </c>
      <c r="BE3" s="458">
        <f ca="1">SUM(T_AI9[[#This Row],[8]],AS3)*$BJ3</f>
        <v>0</v>
      </c>
      <c r="BF3" s="458">
        <f ca="1">SUM(T_AI9[[#This Row],[9]],AT3)*$BJ3</f>
        <v>0</v>
      </c>
      <c r="BG3" s="458">
        <f ca="1">SUM(T_AI9[[#This Row],[10]],AU3)*$BJ3</f>
        <v>0</v>
      </c>
      <c r="BH3" s="458">
        <f ca="1">SUM(T_AI9[[#This Row],[11]],AV3)*$BJ3</f>
        <v>0</v>
      </c>
      <c r="BI3" s="458">
        <f ca="1">SUM(T_AI9[[#This Row],[12]],AW3)*$BJ3</f>
        <v>0</v>
      </c>
      <c r="BJ3" s="70">
        <f ca="1">INDEX('Tech list'!A:C,MATCH(T_AI9[[#This Row],[Risk CCY]],'Tech list'!A:A,0),3)</f>
        <v>1.1571</v>
      </c>
    </row>
    <row r="4" spans="1:62" s="70" customFormat="1" x14ac:dyDescent="0.25">
      <c r="A4" s="70" t="s">
        <v>1146</v>
      </c>
      <c r="B4" s="70" t="s">
        <v>1144</v>
      </c>
      <c r="C4" s="418" t="s">
        <v>2440</v>
      </c>
      <c r="D4" s="418" t="s">
        <v>21</v>
      </c>
      <c r="E4" s="419"/>
      <c r="F4" s="425">
        <f ca="1">T_AI9[[#This Row],[Market value in CCY]]*BJ4</f>
        <v>9473756.25</v>
      </c>
      <c r="G4" s="420">
        <v>8187500</v>
      </c>
      <c r="H4" s="423">
        <v>1</v>
      </c>
      <c r="I4" s="423"/>
      <c r="J4" s="615" t="s">
        <v>1230</v>
      </c>
      <c r="K4" s="615"/>
      <c r="L4" s="420"/>
      <c r="M4" s="421">
        <f>T_AI9[[#This Row],[Funded to date, CCY]]+5000000</f>
        <v>300000</v>
      </c>
      <c r="N4" s="421">
        <v>-4700000</v>
      </c>
      <c r="O4" s="421"/>
      <c r="P4" s="422">
        <f>IFERROR(-SUM(T_AI9[[#This Row],[Market value in CCY]],T_AI9[[#This Row],[Distribuitions, CCY]],T_AI9[[#This Row],[Funded to date, CCY]])/T_AI9[[#This Row],[Funded to date, CCY]],"")</f>
        <v>0.74202127659574468</v>
      </c>
      <c r="Q4" s="423">
        <v>-5000000</v>
      </c>
      <c r="R4" s="423">
        <f ca="1">SUM(T_AI9[[#This Row],[2026 Distribution, CCY]:[2026 Capital calls, CCY]])*BJ4</f>
        <v>-150423</v>
      </c>
      <c r="S4" s="424">
        <f ca="1">SUM(T_AI9[[#This Row],[2027+ Distribution, CCY]:[2027 Capital calls, CCY]])*BJ4</f>
        <v>0</v>
      </c>
      <c r="T4" s="425">
        <f>SUM(T_AI9[[#This Row],[1]:[12]])</f>
        <v>0</v>
      </c>
      <c r="U4" s="426">
        <f>SUM(AL4:AW4)</f>
        <v>-130000</v>
      </c>
      <c r="V4" s="423"/>
      <c r="W4" s="423"/>
      <c r="X4" s="423"/>
      <c r="Y4" s="423">
        <f ca="1">T_AI9[[#This Row],[Total coupon 2026, CCY]]*BJ4</f>
        <v>0</v>
      </c>
      <c r="Z4" s="434">
        <v>0</v>
      </c>
      <c r="AA4" s="434">
        <v>0</v>
      </c>
      <c r="AB4" s="434">
        <v>0</v>
      </c>
      <c r="AC4" s="434">
        <v>0</v>
      </c>
      <c r="AD4" s="434">
        <v>0</v>
      </c>
      <c r="AE4" s="434">
        <v>0</v>
      </c>
      <c r="AF4" s="434">
        <v>0</v>
      </c>
      <c r="AG4" s="434">
        <v>0</v>
      </c>
      <c r="AH4" s="434">
        <v>0</v>
      </c>
      <c r="AI4" s="434">
        <v>0</v>
      </c>
      <c r="AJ4" s="434">
        <v>0</v>
      </c>
      <c r="AK4" s="434">
        <v>0</v>
      </c>
      <c r="AL4" s="723">
        <v>0</v>
      </c>
      <c r="AM4" s="723">
        <v>-130000</v>
      </c>
      <c r="AN4" s="723">
        <v>0</v>
      </c>
      <c r="AO4" s="435">
        <v>0</v>
      </c>
      <c r="AP4" s="435">
        <v>0</v>
      </c>
      <c r="AQ4" s="435">
        <v>0</v>
      </c>
      <c r="AR4" s="435">
        <v>0</v>
      </c>
      <c r="AS4" s="435">
        <v>0</v>
      </c>
      <c r="AT4" s="435">
        <v>0</v>
      </c>
      <c r="AU4" s="435">
        <v>0</v>
      </c>
      <c r="AV4" s="435">
        <v>0</v>
      </c>
      <c r="AW4" s="435">
        <v>0</v>
      </c>
      <c r="AX4" s="459">
        <f ca="1">SUM(T_AI9[[#This Row],[1]],AL4)*$BJ4</f>
        <v>0</v>
      </c>
      <c r="AY4" s="459">
        <f ca="1">SUM(T_AI9[[#This Row],[2]],AM4)*$BJ4</f>
        <v>-150423</v>
      </c>
      <c r="AZ4" s="459">
        <f ca="1">SUM(T_AI9[[#This Row],[3]],AN4)*$BJ4</f>
        <v>0</v>
      </c>
      <c r="BA4" s="459">
        <f ca="1">SUM(T_AI9[[#This Row],[4]],AO4)*$BJ4</f>
        <v>0</v>
      </c>
      <c r="BB4" s="459">
        <f ca="1">SUM(T_AI9[[#This Row],[5]],AP4)*$BJ4</f>
        <v>0</v>
      </c>
      <c r="BC4" s="459">
        <f ca="1">SUM(T_AI9[[#This Row],[6]],AQ4)*$BJ4</f>
        <v>0</v>
      </c>
      <c r="BD4" s="459">
        <f ca="1">SUM(T_AI9[[#This Row],[7]],AR4)*$BJ4</f>
        <v>0</v>
      </c>
      <c r="BE4" s="459">
        <f ca="1">SUM(T_AI9[[#This Row],[8]],AS4)*$BJ4</f>
        <v>0</v>
      </c>
      <c r="BF4" s="459">
        <f ca="1">SUM(T_AI9[[#This Row],[9]],AT4)*$BJ4</f>
        <v>0</v>
      </c>
      <c r="BG4" s="459">
        <f ca="1">SUM(T_AI9[[#This Row],[10]],AU4)*$BJ4</f>
        <v>0</v>
      </c>
      <c r="BH4" s="459">
        <f ca="1">SUM(T_AI9[[#This Row],[11]],AV4)*$BJ4</f>
        <v>0</v>
      </c>
      <c r="BI4" s="459">
        <f ca="1">SUM(T_AI9[[#This Row],[12]],AW4)*$BJ4</f>
        <v>0</v>
      </c>
      <c r="BJ4" s="70">
        <f ca="1">INDEX('Tech list'!A:C,MATCH(T_AI9[[#This Row],[Risk CCY]],'Tech list'!A:A,0),3)</f>
        <v>1.1571</v>
      </c>
    </row>
    <row r="5" spans="1:62" s="466" customFormat="1" x14ac:dyDescent="0.25">
      <c r="A5" s="466" t="s">
        <v>1160</v>
      </c>
      <c r="B5" s="466" t="s">
        <v>1162</v>
      </c>
      <c r="C5" s="467" t="s">
        <v>1152</v>
      </c>
      <c r="D5" s="467" t="s">
        <v>19</v>
      </c>
      <c r="E5" s="468">
        <v>41780</v>
      </c>
      <c r="F5" s="472">
        <f ca="1">T_AI9[[#This Row],[Market value in CCY]]*BJ5</f>
        <v>0</v>
      </c>
      <c r="G5" s="644">
        <f>IF(T_AI9[[#This Row],[MV Valuation]]="Cost",-T_AI9[[#This Row],[Funded to date, CCY]],SUM(T_AI9[[#This Row],[2026 Distribution, CCY]],T_AI9[[#This Row],[2027+ Distribution, CCY]])*T_AI9[[#This Row],[Val. Mult]]+T_AI9[[#This Row],[+Valuation]])</f>
        <v>0</v>
      </c>
      <c r="H5" s="470">
        <v>1</v>
      </c>
      <c r="I5" s="470"/>
      <c r="J5" s="645" t="s">
        <v>2236</v>
      </c>
      <c r="K5" s="645"/>
      <c r="L5" s="644"/>
      <c r="M5" s="646">
        <v>2962000</v>
      </c>
      <c r="N5" s="646">
        <v>-2962000</v>
      </c>
      <c r="O5" s="646">
        <v>9285500</v>
      </c>
      <c r="P5" s="647">
        <f>IFERROR(-SUM(T_AI9[[#This Row],[Market value in CCY]],T_AI9[[#This Row],[Distribuitions, CCY]],T_AI9[[#This Row],[Funded to date, CCY]])/T_AI9[[#This Row],[Funded to date, CCY]],"")</f>
        <v>2.1348750844024309</v>
      </c>
      <c r="Q5" s="470">
        <f t="shared" ref="Q5:Q22" si="0">SUM(U5,W5)</f>
        <v>0</v>
      </c>
      <c r="R5" s="470">
        <f ca="1">SUM(T_AI9[[#This Row],[2026 Distribution, CCY]:[2026 Capital calls, CCY]])*BJ5</f>
        <v>0</v>
      </c>
      <c r="S5" s="471">
        <f ca="1">SUM(T_AI9[[#This Row],[2027+ Distribution, CCY]:[2027 Capital calls, CCY]])*BJ5</f>
        <v>0</v>
      </c>
      <c r="T5" s="472">
        <f>SUM(T_AI9[[#This Row],[1]:[12]])</f>
        <v>0</v>
      </c>
      <c r="U5" s="473">
        <f t="shared" ref="U5:U12" si="1">SUM(AL5:AW5)</f>
        <v>0</v>
      </c>
      <c r="V5" s="470"/>
      <c r="W5" s="470"/>
      <c r="X5" s="470"/>
      <c r="Y5" s="470">
        <f ca="1">T_AI9[[#This Row],[Total coupon 2026, CCY]]*BJ5</f>
        <v>0</v>
      </c>
      <c r="Z5" s="474">
        <v>0</v>
      </c>
      <c r="AA5" s="474">
        <v>0</v>
      </c>
      <c r="AB5" s="474">
        <v>0</v>
      </c>
      <c r="AC5" s="474">
        <v>0</v>
      </c>
      <c r="AD5" s="474">
        <v>0</v>
      </c>
      <c r="AE5" s="474">
        <v>0</v>
      </c>
      <c r="AF5" s="474">
        <v>0</v>
      </c>
      <c r="AG5" s="474">
        <v>0</v>
      </c>
      <c r="AH5" s="474">
        <v>0</v>
      </c>
      <c r="AI5" s="474">
        <v>0</v>
      </c>
      <c r="AJ5" s="474">
        <v>0</v>
      </c>
      <c r="AK5" s="474">
        <v>0</v>
      </c>
      <c r="AL5" s="475">
        <v>0</v>
      </c>
      <c r="AM5" s="475">
        <v>0</v>
      </c>
      <c r="AN5" s="475">
        <v>0</v>
      </c>
      <c r="AO5" s="475">
        <v>0</v>
      </c>
      <c r="AP5" s="475">
        <v>0</v>
      </c>
      <c r="AQ5" s="475">
        <v>0</v>
      </c>
      <c r="AR5" s="475">
        <v>0</v>
      </c>
      <c r="AS5" s="475">
        <v>0</v>
      </c>
      <c r="AT5" s="475">
        <v>0</v>
      </c>
      <c r="AU5" s="475">
        <v>0</v>
      </c>
      <c r="AV5" s="475">
        <v>0</v>
      </c>
      <c r="AW5" s="475">
        <v>0</v>
      </c>
      <c r="AX5" s="458">
        <f ca="1">SUM(T_AI9[[#This Row],[1]],AL5)*$BJ5</f>
        <v>0</v>
      </c>
      <c r="AY5" s="458">
        <f ca="1">SUM(T_AI9[[#This Row],[2]],AM5)*$BJ5</f>
        <v>0</v>
      </c>
      <c r="AZ5" s="458">
        <f ca="1">SUM(T_AI9[[#This Row],[3]],AN5)*$BJ5</f>
        <v>0</v>
      </c>
      <c r="BA5" s="458">
        <f ca="1">SUM(T_AI9[[#This Row],[4]],AO5)*$BJ5</f>
        <v>0</v>
      </c>
      <c r="BB5" s="458">
        <f ca="1">SUM(T_AI9[[#This Row],[5]],AP5)*$BJ5</f>
        <v>0</v>
      </c>
      <c r="BC5" s="458">
        <f ca="1">SUM(T_AI9[[#This Row],[6]],AQ5)*$BJ5</f>
        <v>0</v>
      </c>
      <c r="BD5" s="458">
        <f ca="1">SUM(T_AI9[[#This Row],[7]],AR5)*$BJ5</f>
        <v>0</v>
      </c>
      <c r="BE5" s="458">
        <f ca="1">SUM(T_AI9[[#This Row],[8]],AS5)*$BJ5</f>
        <v>0</v>
      </c>
      <c r="BF5" s="458">
        <f ca="1">SUM(T_AI9[[#This Row],[9]],AT5)*$BJ5</f>
        <v>0</v>
      </c>
      <c r="BG5" s="458">
        <f ca="1">SUM(T_AI9[[#This Row],[10]],AU5)*$BJ5</f>
        <v>0</v>
      </c>
      <c r="BH5" s="458">
        <f ca="1">SUM(T_AI9[[#This Row],[11]],AV5)*$BJ5</f>
        <v>0</v>
      </c>
      <c r="BI5" s="458">
        <f ca="1">SUM(T_AI9[[#This Row],[12]],AW5)*$BJ5</f>
        <v>0</v>
      </c>
      <c r="BJ5" s="466">
        <f ca="1">INDEX('Tech list'!A:C,MATCH(T_AI9[[#This Row],[Risk CCY]],'Tech list'!A:A,0),3)</f>
        <v>1.3373999999999999</v>
      </c>
    </row>
    <row r="6" spans="1:62" s="70" customFormat="1" x14ac:dyDescent="0.25">
      <c r="A6" s="70" t="s">
        <v>1160</v>
      </c>
      <c r="B6" s="70" t="s">
        <v>1162</v>
      </c>
      <c r="C6" s="418" t="s">
        <v>1153</v>
      </c>
      <c r="D6" s="418" t="s">
        <v>19</v>
      </c>
      <c r="E6" s="419">
        <v>43564</v>
      </c>
      <c r="F6" s="425">
        <f ca="1">T_AI9[[#This Row],[Market value in CCY]]*BJ6</f>
        <v>15021676.799999999</v>
      </c>
      <c r="G6" s="420">
        <f>IF(T_AI9[[#This Row],[MV Valuation]]="Cost",-T_AI9[[#This Row],[Funded to date, CCY]],SUM(T_AI9[[#This Row],[2026 Distribution, CCY]],T_AI9[[#This Row],[2027+ Distribution, CCY]])*T_AI9[[#This Row],[Val. Mult]]+T_AI9[[#This Row],[+Valuation]])</f>
        <v>11232000</v>
      </c>
      <c r="H6" s="423">
        <v>1</v>
      </c>
      <c r="I6" s="423"/>
      <c r="J6" s="615" t="s">
        <v>2236</v>
      </c>
      <c r="K6" s="615"/>
      <c r="L6" s="488">
        <v>10000000</v>
      </c>
      <c r="M6" s="421">
        <v>7707000</v>
      </c>
      <c r="N6" s="421">
        <v>-7707000</v>
      </c>
      <c r="O6" s="421">
        <v>3164000</v>
      </c>
      <c r="P6" s="422">
        <f>IFERROR(-SUM(T_AI9[[#This Row],[Market value in CCY]],T_AI9[[#This Row],[Distribuitions, CCY]],T_AI9[[#This Row],[Funded to date, CCY]])/T_AI9[[#This Row],[Funded to date, CCY]],"")</f>
        <v>0.86791228753081617</v>
      </c>
      <c r="Q6" s="423">
        <f t="shared" si="0"/>
        <v>-30000</v>
      </c>
      <c r="R6" s="423">
        <f ca="1">SUM(T_AI9[[#This Row],[2026 Distribution, CCY]:[2026 Capital calls, CCY]])*BJ6</f>
        <v>1564758</v>
      </c>
      <c r="S6" s="424">
        <f ca="1">SUM(T_AI9[[#This Row],[2027+ Distribution, CCY]:[2027 Capital calls, CCY]])*BJ6</f>
        <v>13416796.799999999</v>
      </c>
      <c r="T6" s="425">
        <f>SUM(T_AI9[[#This Row],[1]:[12]])</f>
        <v>1200000</v>
      </c>
      <c r="U6" s="426">
        <f t="shared" si="1"/>
        <v>-30000</v>
      </c>
      <c r="V6" s="423">
        <v>10032000</v>
      </c>
      <c r="W6" s="423"/>
      <c r="X6" s="423">
        <f>SUM(T_AI9[[#This Row],[1]:[12]])</f>
        <v>1200000</v>
      </c>
      <c r="Y6" s="423">
        <f ca="1">T_AI9[[#This Row],[Total coupon 2026, CCY]]*BJ6</f>
        <v>1604880</v>
      </c>
      <c r="Z6" s="434">
        <v>100000</v>
      </c>
      <c r="AA6" s="434">
        <v>100000</v>
      </c>
      <c r="AB6" s="434">
        <v>100000</v>
      </c>
      <c r="AC6" s="434">
        <v>100000</v>
      </c>
      <c r="AD6" s="434">
        <v>100000</v>
      </c>
      <c r="AE6" s="434">
        <v>100000</v>
      </c>
      <c r="AF6" s="434">
        <v>100000</v>
      </c>
      <c r="AG6" s="434">
        <v>100000</v>
      </c>
      <c r="AH6" s="434">
        <v>100000</v>
      </c>
      <c r="AI6" s="434">
        <v>100000</v>
      </c>
      <c r="AJ6" s="434">
        <v>100000</v>
      </c>
      <c r="AK6" s="434">
        <v>100000</v>
      </c>
      <c r="AL6" s="435">
        <v>-30000</v>
      </c>
      <c r="AM6" s="435">
        <v>0</v>
      </c>
      <c r="AN6" s="435">
        <v>0</v>
      </c>
      <c r="AO6" s="435">
        <v>0</v>
      </c>
      <c r="AP6" s="435">
        <v>0</v>
      </c>
      <c r="AQ6" s="435">
        <v>0</v>
      </c>
      <c r="AR6" s="435">
        <v>0</v>
      </c>
      <c r="AS6" s="435">
        <v>0</v>
      </c>
      <c r="AT6" s="435">
        <v>0</v>
      </c>
      <c r="AU6" s="435">
        <v>0</v>
      </c>
      <c r="AV6" s="435">
        <v>0</v>
      </c>
      <c r="AW6" s="435">
        <v>0</v>
      </c>
      <c r="AX6" s="458">
        <f ca="1">SUM(T_AI9[[#This Row],[1]],AL6)*$BJ6</f>
        <v>93618</v>
      </c>
      <c r="AY6" s="458">
        <f ca="1">SUM(T_AI9[[#This Row],[2]],AM6)*$BJ6</f>
        <v>133740</v>
      </c>
      <c r="AZ6" s="458">
        <f ca="1">SUM(T_AI9[[#This Row],[3]],AN6)*$BJ6</f>
        <v>133740</v>
      </c>
      <c r="BA6" s="458">
        <f ca="1">SUM(T_AI9[[#This Row],[4]],AO6)*$BJ6</f>
        <v>133740</v>
      </c>
      <c r="BB6" s="458">
        <f ca="1">SUM(T_AI9[[#This Row],[5]],AP6)*$BJ6</f>
        <v>133740</v>
      </c>
      <c r="BC6" s="458">
        <f ca="1">SUM(T_AI9[[#This Row],[6]],AQ6)*$BJ6</f>
        <v>133740</v>
      </c>
      <c r="BD6" s="458">
        <f ca="1">SUM(T_AI9[[#This Row],[7]],AR6)*$BJ6</f>
        <v>133740</v>
      </c>
      <c r="BE6" s="458">
        <f ca="1">SUM(T_AI9[[#This Row],[8]],AS6)*$BJ6</f>
        <v>133740</v>
      </c>
      <c r="BF6" s="458">
        <f ca="1">SUM(T_AI9[[#This Row],[9]],AT6)*$BJ6</f>
        <v>133740</v>
      </c>
      <c r="BG6" s="458">
        <f ca="1">SUM(T_AI9[[#This Row],[10]],AU6)*$BJ6</f>
        <v>133740</v>
      </c>
      <c r="BH6" s="458">
        <f ca="1">SUM(T_AI9[[#This Row],[11]],AV6)*$BJ6</f>
        <v>133740</v>
      </c>
      <c r="BI6" s="458">
        <f ca="1">SUM(T_AI9[[#This Row],[12]],AW6)*$BJ6</f>
        <v>133740</v>
      </c>
      <c r="BJ6" s="70">
        <f ca="1">INDEX('Tech list'!A:C,MATCH(T_AI9[[#This Row],[Risk CCY]],'Tech list'!A:A,0),3)</f>
        <v>1.3373999999999999</v>
      </c>
    </row>
    <row r="7" spans="1:62" s="70" customFormat="1" x14ac:dyDescent="0.25">
      <c r="A7" s="70" t="s">
        <v>1160</v>
      </c>
      <c r="B7" s="70" t="s">
        <v>1162</v>
      </c>
      <c r="C7" s="418" t="s">
        <v>1154</v>
      </c>
      <c r="D7" s="418" t="s">
        <v>19</v>
      </c>
      <c r="E7" s="419">
        <v>45128</v>
      </c>
      <c r="F7" s="425">
        <f ca="1">T_AI9[[#This Row],[Market value in CCY]]*BJ7</f>
        <v>2006099.9999999998</v>
      </c>
      <c r="G7" s="420">
        <f>IF(T_AI9[[#This Row],[MV Valuation]]="Cost",-T_AI9[[#This Row],[Funded to date, CCY]],SUM(T_AI9[[#This Row],[2026 Distribution, CCY]],T_AI9[[#This Row],[2027+ Distribution, CCY]])*T_AI9[[#This Row],[Val. Mult]]+T_AI9[[#This Row],[+Valuation]])</f>
        <v>1500000</v>
      </c>
      <c r="H7" s="423">
        <v>1</v>
      </c>
      <c r="I7" s="423"/>
      <c r="J7" s="615" t="s">
        <v>2236</v>
      </c>
      <c r="K7" s="615"/>
      <c r="L7" s="488" t="s">
        <v>1230</v>
      </c>
      <c r="M7" s="421">
        <v>2121000</v>
      </c>
      <c r="N7" s="421">
        <v>-2121000</v>
      </c>
      <c r="O7" s="421">
        <v>312000</v>
      </c>
      <c r="P7" s="422">
        <f>IFERROR(-SUM(T_AI9[[#This Row],[Market value in CCY]],T_AI9[[#This Row],[Distribuitions, CCY]],T_AI9[[#This Row],[Funded to date, CCY]])/T_AI9[[#This Row],[Funded to date, CCY]],"")</f>
        <v>-0.14568599717114569</v>
      </c>
      <c r="Q7" s="423">
        <f t="shared" si="0"/>
        <v>-180000</v>
      </c>
      <c r="R7" s="423">
        <f ca="1">SUM(T_AI9[[#This Row],[2026 Distribution, CCY]:[2026 Capital calls, CCY]])*BJ7</f>
        <v>-240732</v>
      </c>
      <c r="S7" s="424">
        <f ca="1">SUM(T_AI9[[#This Row],[2027+ Distribution, CCY]:[2027 Capital calls, CCY]])*BJ7</f>
        <v>2006099.9999999998</v>
      </c>
      <c r="T7" s="425">
        <f>SUM(T_AI9[[#This Row],[1]:[12]])</f>
        <v>0</v>
      </c>
      <c r="U7" s="426">
        <f t="shared" si="1"/>
        <v>-180000</v>
      </c>
      <c r="V7" s="725">
        <v>1500000</v>
      </c>
      <c r="W7" s="423"/>
      <c r="X7" s="423"/>
      <c r="Y7" s="423">
        <f ca="1">T_AI9[[#This Row],[Total coupon 2026, CCY]]*BJ7</f>
        <v>0</v>
      </c>
      <c r="Z7" s="434">
        <v>0</v>
      </c>
      <c r="AA7" s="434">
        <v>0</v>
      </c>
      <c r="AB7" s="434">
        <v>0</v>
      </c>
      <c r="AC7" s="434">
        <v>0</v>
      </c>
      <c r="AD7" s="434"/>
      <c r="AE7" s="434">
        <v>0</v>
      </c>
      <c r="AF7" s="434">
        <v>0</v>
      </c>
      <c r="AG7" s="434">
        <v>0</v>
      </c>
      <c r="AH7" s="434"/>
      <c r="AI7" s="434">
        <v>0</v>
      </c>
      <c r="AJ7" s="434">
        <v>0</v>
      </c>
      <c r="AK7" s="434">
        <v>0</v>
      </c>
      <c r="AL7" s="435">
        <v>0</v>
      </c>
      <c r="AM7" s="723">
        <v>-180000</v>
      </c>
      <c r="AN7" s="435">
        <v>0</v>
      </c>
      <c r="AO7" s="435">
        <v>0</v>
      </c>
      <c r="AP7" s="435">
        <v>0</v>
      </c>
      <c r="AQ7" s="435">
        <v>0</v>
      </c>
      <c r="AR7" s="435">
        <v>0</v>
      </c>
      <c r="AS7" s="435">
        <v>0</v>
      </c>
      <c r="AT7" s="435">
        <v>0</v>
      </c>
      <c r="AU7" s="435">
        <v>0</v>
      </c>
      <c r="AV7" s="435">
        <v>0</v>
      </c>
      <c r="AW7" s="435">
        <v>0</v>
      </c>
      <c r="AX7" s="458">
        <f ca="1">SUM(T_AI9[[#This Row],[1]],AL7)*$BJ7</f>
        <v>0</v>
      </c>
      <c r="AY7" s="458">
        <f ca="1">SUM(T_AI9[[#This Row],[2]],AM7)*$BJ7</f>
        <v>-240732</v>
      </c>
      <c r="AZ7" s="458">
        <f ca="1">SUM(T_AI9[[#This Row],[3]],AN7)*$BJ7</f>
        <v>0</v>
      </c>
      <c r="BA7" s="458">
        <f ca="1">SUM(T_AI9[[#This Row],[4]],AO7)*$BJ7</f>
        <v>0</v>
      </c>
      <c r="BB7" s="458">
        <f ca="1">SUM(T_AI9[[#This Row],[5]],AP7)*$BJ7</f>
        <v>0</v>
      </c>
      <c r="BC7" s="458">
        <f ca="1">SUM(T_AI9[[#This Row],[6]],AQ7)*$BJ7</f>
        <v>0</v>
      </c>
      <c r="BD7" s="458">
        <f ca="1">SUM(T_AI9[[#This Row],[7]],AR7)*$BJ7</f>
        <v>0</v>
      </c>
      <c r="BE7" s="458">
        <f ca="1">SUM(T_AI9[[#This Row],[8]],AS7)*$BJ7</f>
        <v>0</v>
      </c>
      <c r="BF7" s="458">
        <f ca="1">SUM(T_AI9[[#This Row],[9]],AT7)*$BJ7</f>
        <v>0</v>
      </c>
      <c r="BG7" s="458">
        <f ca="1">SUM(T_AI9[[#This Row],[10]],AU7)*$BJ7</f>
        <v>0</v>
      </c>
      <c r="BH7" s="458">
        <f ca="1">SUM(T_AI9[[#This Row],[11]],AV7)*$BJ7</f>
        <v>0</v>
      </c>
      <c r="BI7" s="458">
        <f ca="1">SUM(T_AI9[[#This Row],[12]],AW7)*$BJ7</f>
        <v>0</v>
      </c>
      <c r="BJ7" s="70">
        <f ca="1">INDEX('Tech list'!A:C,MATCH(T_AI9[[#This Row],[Risk CCY]],'Tech list'!A:A,0),3)</f>
        <v>1.3373999999999999</v>
      </c>
    </row>
    <row r="8" spans="1:62" s="70" customFormat="1" x14ac:dyDescent="0.25">
      <c r="A8" s="70" t="s">
        <v>1160</v>
      </c>
      <c r="B8" s="70" t="s">
        <v>1162</v>
      </c>
      <c r="C8" s="418" t="s">
        <v>1155</v>
      </c>
      <c r="D8" s="418" t="s">
        <v>19</v>
      </c>
      <c r="E8" s="419">
        <v>45287</v>
      </c>
      <c r="F8" s="425">
        <f ca="1">T_AI9[[#This Row],[Market value in CCY]]*BJ8</f>
        <v>2468964.6645209999</v>
      </c>
      <c r="G8" s="420">
        <f>IF(T_AI9[[#This Row],[MV Valuation]]="Cost",-T_AI9[[#This Row],[Funded to date, CCY]],SUM(T_AI9[[#This Row],[2026 Distribution, CCY]],T_AI9[[#This Row],[2027+ Distribution, CCY]])*T_AI9[[#This Row],[Val. Mult]]+T_AI9[[#This Row],[+Valuation]])</f>
        <v>1846092.915</v>
      </c>
      <c r="H8" s="423">
        <v>1</v>
      </c>
      <c r="I8" s="423"/>
      <c r="J8" s="615" t="s">
        <v>2236</v>
      </c>
      <c r="K8" s="615"/>
      <c r="L8" s="488" t="s">
        <v>1231</v>
      </c>
      <c r="M8" s="421">
        <v>590000</v>
      </c>
      <c r="N8" s="421">
        <v>-590000</v>
      </c>
      <c r="O8" s="421">
        <v>50000</v>
      </c>
      <c r="P8" s="422">
        <f>IFERROR(-SUM(T_AI9[[#This Row],[Market value in CCY]],T_AI9[[#This Row],[Distribuitions, CCY]],T_AI9[[#This Row],[Funded to date, CCY]])/T_AI9[[#This Row],[Funded to date, CCY]],"")</f>
        <v>2.2137168050847458</v>
      </c>
      <c r="Q8" s="423">
        <f t="shared" si="0"/>
        <v>441140.77530000004</v>
      </c>
      <c r="R8" s="423">
        <f ca="1">SUM(T_AI9[[#This Row],[2026 Distribution, CCY]:[2026 Capital calls, CCY]])*BJ8</f>
        <v>1296305.34609285</v>
      </c>
      <c r="S8" s="424">
        <f ca="1">SUM(T_AI9[[#This Row],[2027+ Distribution, CCY]:[2027 Capital calls, CCY]])*BJ8</f>
        <v>1762640.99131437</v>
      </c>
      <c r="T8" s="425">
        <f>SUM(T_AI9[[#This Row],[1]:[12]])</f>
        <v>990272.72774999996</v>
      </c>
      <c r="U8" s="426">
        <f t="shared" si="1"/>
        <v>-21000</v>
      </c>
      <c r="V8" s="423">
        <f>393679.41195+462140.7753</f>
        <v>855820.18724999996</v>
      </c>
      <c r="W8" s="423">
        <v>462140.77530000004</v>
      </c>
      <c r="X8" s="423"/>
      <c r="Y8" s="423">
        <f ca="1">T_AI9[[#This Row],[Total coupon 2026, CCY]]*BJ8</f>
        <v>0</v>
      </c>
      <c r="Z8" s="434">
        <v>0</v>
      </c>
      <c r="AA8" s="434">
        <v>0</v>
      </c>
      <c r="AB8" s="434">
        <v>0</v>
      </c>
      <c r="AC8" s="434">
        <v>0</v>
      </c>
      <c r="AD8" s="434">
        <v>0</v>
      </c>
      <c r="AE8" s="434">
        <v>0</v>
      </c>
      <c r="AF8" s="434">
        <v>0</v>
      </c>
      <c r="AG8" s="434">
        <v>0</v>
      </c>
      <c r="AH8" s="434">
        <v>990272.72774999996</v>
      </c>
      <c r="AI8" s="434">
        <v>0</v>
      </c>
      <c r="AJ8" s="434">
        <v>0</v>
      </c>
      <c r="AK8" s="434">
        <v>0</v>
      </c>
      <c r="AL8" s="435">
        <v>0</v>
      </c>
      <c r="AM8" s="435">
        <v>-5250</v>
      </c>
      <c r="AN8" s="435">
        <v>0</v>
      </c>
      <c r="AO8" s="435">
        <v>0</v>
      </c>
      <c r="AP8" s="435">
        <v>-5250</v>
      </c>
      <c r="AQ8" s="435">
        <v>0</v>
      </c>
      <c r="AR8" s="435">
        <v>0</v>
      </c>
      <c r="AS8" s="435">
        <v>-5250</v>
      </c>
      <c r="AT8" s="435">
        <v>0</v>
      </c>
      <c r="AU8" s="435">
        <v>0</v>
      </c>
      <c r="AV8" s="435">
        <v>-5250</v>
      </c>
      <c r="AW8" s="435">
        <v>0</v>
      </c>
      <c r="AX8" s="458">
        <f ca="1">SUM(T_AI9[[#This Row],[1]],AL8)*$BJ8</f>
        <v>0</v>
      </c>
      <c r="AY8" s="458">
        <f ca="1">SUM(T_AI9[[#This Row],[2]],AM8)*$BJ8</f>
        <v>-7021.3499999999995</v>
      </c>
      <c r="AZ8" s="458">
        <f ca="1">SUM(T_AI9[[#This Row],[3]],AN8)*$BJ8</f>
        <v>0</v>
      </c>
      <c r="BA8" s="458">
        <f ca="1">SUM(T_AI9[[#This Row],[4]],AO8)*$BJ8</f>
        <v>0</v>
      </c>
      <c r="BB8" s="458">
        <f ca="1">SUM(T_AI9[[#This Row],[5]],AP8)*$BJ8</f>
        <v>-7021.3499999999995</v>
      </c>
      <c r="BC8" s="458">
        <f ca="1">SUM(T_AI9[[#This Row],[6]],AQ8)*$BJ8</f>
        <v>0</v>
      </c>
      <c r="BD8" s="458">
        <f ca="1">SUM(T_AI9[[#This Row],[7]],AR8)*$BJ8</f>
        <v>0</v>
      </c>
      <c r="BE8" s="458">
        <f ca="1">SUM(T_AI9[[#This Row],[8]],AS8)*$BJ8</f>
        <v>-7021.3499999999995</v>
      </c>
      <c r="BF8" s="458">
        <f ca="1">SUM(T_AI9[[#This Row],[9]],AT8)*$BJ8</f>
        <v>1324390.7460928499</v>
      </c>
      <c r="BG8" s="458">
        <f ca="1">SUM(T_AI9[[#This Row],[10]],AU8)*$BJ8</f>
        <v>0</v>
      </c>
      <c r="BH8" s="458">
        <f ca="1">SUM(T_AI9[[#This Row],[11]],AV8)*$BJ8</f>
        <v>-7021.3499999999995</v>
      </c>
      <c r="BI8" s="458">
        <f ca="1">SUM(T_AI9[[#This Row],[12]],AW8)*$BJ8</f>
        <v>0</v>
      </c>
      <c r="BJ8" s="70">
        <f ca="1">INDEX('Tech list'!A:C,MATCH(T_AI9[[#This Row],[Risk CCY]],'Tech list'!A:A,0),3)</f>
        <v>1.3373999999999999</v>
      </c>
    </row>
    <row r="9" spans="1:62" s="70" customFormat="1" x14ac:dyDescent="0.25">
      <c r="A9" s="70" t="s">
        <v>1160</v>
      </c>
      <c r="B9" s="70" t="s">
        <v>1162</v>
      </c>
      <c r="C9" s="418" t="s">
        <v>1156</v>
      </c>
      <c r="D9" s="418" t="s">
        <v>19</v>
      </c>
      <c r="E9" s="419">
        <v>43172</v>
      </c>
      <c r="F9" s="425">
        <f ca="1">T_AI9[[#This Row],[Market value in CCY]]*BJ9</f>
        <v>2942280</v>
      </c>
      <c r="G9" s="420">
        <f>IF(T_AI9[[#This Row],[MV Valuation]]="Cost",-T_AI9[[#This Row],[Funded to date, CCY]],SUM(T_AI9[[#This Row],[2026 Distribution, CCY]],T_AI9[[#This Row],[2027+ Distribution, CCY]])*T_AI9[[#This Row],[Val. Mult]]+T_AI9[[#This Row],[+Valuation]])</f>
        <v>2200000</v>
      </c>
      <c r="H9" s="423">
        <v>1</v>
      </c>
      <c r="I9" s="423"/>
      <c r="J9" s="615" t="s">
        <v>2236</v>
      </c>
      <c r="K9" s="615"/>
      <c r="L9" s="488" t="s">
        <v>1231</v>
      </c>
      <c r="M9" s="421">
        <v>1582500</v>
      </c>
      <c r="N9" s="421">
        <v>-1582500</v>
      </c>
      <c r="O9" s="421">
        <v>307500</v>
      </c>
      <c r="P9" s="422">
        <f>IFERROR(-SUM(T_AI9[[#This Row],[Market value in CCY]],T_AI9[[#This Row],[Distribuitions, CCY]],T_AI9[[#This Row],[Funded to date, CCY]])/T_AI9[[#This Row],[Funded to date, CCY]],"")</f>
        <v>0.58451816745655605</v>
      </c>
      <c r="Q9" s="423">
        <f>SUM(U9,W9)</f>
        <v>-20000</v>
      </c>
      <c r="R9" s="423">
        <f ca="1">SUM(T_AI9[[#This Row],[2026 Distribution, CCY]:[2026 Capital calls, CCY]])*BJ9</f>
        <v>-26748</v>
      </c>
      <c r="S9" s="424">
        <f ca="1">SUM(T_AI9[[#This Row],[2027+ Distribution, CCY]:[2027 Capital calls, CCY]])*BJ9</f>
        <v>2942280</v>
      </c>
      <c r="T9" s="425">
        <f>SUM(T_AI9[[#This Row],[1]:[12]])</f>
        <v>0</v>
      </c>
      <c r="U9" s="426">
        <f t="shared" si="1"/>
        <v>-20000</v>
      </c>
      <c r="V9" s="809">
        <v>2200000</v>
      </c>
      <c r="W9" s="423"/>
      <c r="X9" s="423"/>
      <c r="Y9" s="423">
        <f ca="1">T_AI9[[#This Row],[Total coupon 2026, CCY]]*BJ9</f>
        <v>0</v>
      </c>
      <c r="Z9" s="434">
        <v>0</v>
      </c>
      <c r="AA9" s="434">
        <v>0</v>
      </c>
      <c r="AB9" s="434">
        <v>0</v>
      </c>
      <c r="AC9" s="434">
        <v>0</v>
      </c>
      <c r="AD9" s="434">
        <v>0</v>
      </c>
      <c r="AE9" s="434">
        <v>0</v>
      </c>
      <c r="AF9" s="434">
        <v>0</v>
      </c>
      <c r="AG9" s="434">
        <v>0</v>
      </c>
      <c r="AH9" s="434">
        <v>0</v>
      </c>
      <c r="AI9" s="434">
        <v>0</v>
      </c>
      <c r="AJ9" s="434">
        <v>0</v>
      </c>
      <c r="AK9" s="434">
        <v>0</v>
      </c>
      <c r="AL9" s="435">
        <v>0</v>
      </c>
      <c r="AM9" s="435">
        <v>0</v>
      </c>
      <c r="AN9" s="435">
        <v>-5000</v>
      </c>
      <c r="AO9" s="435">
        <v>0</v>
      </c>
      <c r="AP9" s="435">
        <v>-5000</v>
      </c>
      <c r="AQ9" s="435">
        <v>0</v>
      </c>
      <c r="AR9" s="435">
        <v>0</v>
      </c>
      <c r="AS9" s="435">
        <v>-5000</v>
      </c>
      <c r="AT9" s="435">
        <v>0</v>
      </c>
      <c r="AU9" s="435">
        <v>0</v>
      </c>
      <c r="AV9" s="435">
        <v>-5000</v>
      </c>
      <c r="AW9" s="435">
        <v>0</v>
      </c>
      <c r="AX9" s="458">
        <f ca="1">SUM(T_AI9[[#This Row],[1]],AL9)*$BJ9</f>
        <v>0</v>
      </c>
      <c r="AY9" s="458">
        <f ca="1">SUM(T_AI9[[#This Row],[2]],AM9)*$BJ9</f>
        <v>0</v>
      </c>
      <c r="AZ9" s="458">
        <f ca="1">SUM(T_AI9[[#This Row],[3]],AN9)*$BJ9</f>
        <v>-6687</v>
      </c>
      <c r="BA9" s="458">
        <f ca="1">SUM(T_AI9[[#This Row],[4]],AO9)*$BJ9</f>
        <v>0</v>
      </c>
      <c r="BB9" s="458">
        <f ca="1">SUM(T_AI9[[#This Row],[5]],AP9)*$BJ9</f>
        <v>-6687</v>
      </c>
      <c r="BC9" s="458">
        <f ca="1">SUM(T_AI9[[#This Row],[6]],AQ9)*$BJ9</f>
        <v>0</v>
      </c>
      <c r="BD9" s="458">
        <f ca="1">SUM(T_AI9[[#This Row],[7]],AR9)*$BJ9</f>
        <v>0</v>
      </c>
      <c r="BE9" s="458">
        <f ca="1">SUM(T_AI9[[#This Row],[8]],AS9)*$BJ9</f>
        <v>-6687</v>
      </c>
      <c r="BF9" s="458">
        <f ca="1">SUM(T_AI9[[#This Row],[9]],AT9)*$BJ9</f>
        <v>0</v>
      </c>
      <c r="BG9" s="458">
        <f ca="1">SUM(T_AI9[[#This Row],[10]],AU9)*$BJ9</f>
        <v>0</v>
      </c>
      <c r="BH9" s="458">
        <f ca="1">SUM(T_AI9[[#This Row],[11]],AV9)*$BJ9</f>
        <v>-6687</v>
      </c>
      <c r="BI9" s="458">
        <f ca="1">SUM(T_AI9[[#This Row],[12]],AW9)*$BJ9</f>
        <v>0</v>
      </c>
      <c r="BJ9" s="70">
        <f ca="1">INDEX('Tech list'!A:C,MATCH(T_AI9[[#This Row],[Risk CCY]],'Tech list'!A:A,0),3)</f>
        <v>1.3373999999999999</v>
      </c>
    </row>
    <row r="10" spans="1:62" s="70" customFormat="1" x14ac:dyDescent="0.25">
      <c r="A10" s="70" t="s">
        <v>1160</v>
      </c>
      <c r="B10" s="70" t="s">
        <v>1162</v>
      </c>
      <c r="C10" s="418" t="s">
        <v>1157</v>
      </c>
      <c r="D10" s="418" t="s">
        <v>19</v>
      </c>
      <c r="E10" s="419">
        <v>45406</v>
      </c>
      <c r="F10" s="425">
        <f ca="1">T_AI9[[#This Row],[Market value in CCY]]*BJ10</f>
        <v>2447548.9920000001</v>
      </c>
      <c r="G10" s="420">
        <f>IF(T_AI9[[#This Row],[MV Valuation]]="Cost",-T_AI9[[#This Row],[Funded to date, CCY]],SUM(T_AI9[[#This Row],[2026 Distribution, CCY]],T_AI9[[#This Row],[2027+ Distribution, CCY]])*T_AI9[[#This Row],[Val. Mult]]+T_AI9[[#This Row],[+Valuation]])</f>
        <v>1830080</v>
      </c>
      <c r="H10" s="423">
        <v>1</v>
      </c>
      <c r="I10" s="423"/>
      <c r="J10" s="615" t="s">
        <v>2236</v>
      </c>
      <c r="K10" s="615"/>
      <c r="L10" s="488" t="s">
        <v>1233</v>
      </c>
      <c r="M10" s="421">
        <v>1238229</v>
      </c>
      <c r="N10" s="421">
        <v>-1238229</v>
      </c>
      <c r="O10" s="421">
        <v>0</v>
      </c>
      <c r="P10" s="422">
        <f>IFERROR(-SUM(T_AI9[[#This Row],[Market value in CCY]],T_AI9[[#This Row],[Distribuitions, CCY]],T_AI9[[#This Row],[Funded to date, CCY]])/T_AI9[[#This Row],[Funded to date, CCY]],"")</f>
        <v>0.47798185957524819</v>
      </c>
      <c r="Q10" s="423">
        <f>SUM(U10,W10)</f>
        <v>-372160</v>
      </c>
      <c r="R10" s="423">
        <f ca="1">SUM(T_AI9[[#This Row],[2026 Distribution, CCY]:[2026 Capital calls, CCY]])*BJ10</f>
        <v>67190.975999999995</v>
      </c>
      <c r="S10" s="424">
        <f ca="1">SUM(T_AI9[[#This Row],[2027+ Distribution, CCY]:[2027 Capital calls, CCY]])*BJ10</f>
        <v>1882631.2319999998</v>
      </c>
      <c r="T10" s="425">
        <f>SUM(T_AI9[[#This Row],[1]:[12]])</f>
        <v>422400</v>
      </c>
      <c r="U10" s="426">
        <f t="shared" si="1"/>
        <v>-372160</v>
      </c>
      <c r="V10" s="423">
        <f>1830080-SUM(Z10:AW10)+T_AI9[[#This Row],[2026 Capital calls, CCY]]</f>
        <v>1407680</v>
      </c>
      <c r="W10" s="423"/>
      <c r="X10" s="423"/>
      <c r="Y10" s="423">
        <f ca="1">T_AI9[[#This Row],[Total coupon 2026, CCY]]*BJ10</f>
        <v>0</v>
      </c>
      <c r="Z10" s="434">
        <v>0</v>
      </c>
      <c r="AA10" s="434">
        <v>38400</v>
      </c>
      <c r="AB10" s="434">
        <v>38400</v>
      </c>
      <c r="AC10" s="434">
        <v>38400</v>
      </c>
      <c r="AD10" s="434">
        <v>38400</v>
      </c>
      <c r="AE10" s="434">
        <v>38400</v>
      </c>
      <c r="AF10" s="434">
        <v>38400</v>
      </c>
      <c r="AG10" s="434">
        <v>38400</v>
      </c>
      <c r="AH10" s="434">
        <v>38400</v>
      </c>
      <c r="AI10" s="434">
        <v>38400</v>
      </c>
      <c r="AJ10" s="434">
        <v>38400</v>
      </c>
      <c r="AK10" s="434">
        <v>38400</v>
      </c>
      <c r="AL10" s="435">
        <v>0</v>
      </c>
      <c r="AM10" s="435">
        <v>-50000</v>
      </c>
      <c r="AN10" s="435">
        <v>-80540</v>
      </c>
      <c r="AO10" s="435">
        <v>0</v>
      </c>
      <c r="AP10" s="435">
        <v>0</v>
      </c>
      <c r="AQ10" s="435">
        <v>-80540</v>
      </c>
      <c r="AR10" s="435">
        <v>0</v>
      </c>
      <c r="AS10" s="435">
        <v>0</v>
      </c>
      <c r="AT10" s="435">
        <v>-80540</v>
      </c>
      <c r="AU10" s="435">
        <v>0</v>
      </c>
      <c r="AV10" s="435">
        <v>0</v>
      </c>
      <c r="AW10" s="435">
        <v>-80540</v>
      </c>
      <c r="AX10" s="458">
        <f ca="1">SUM(T_AI9[[#This Row],[1]],AL10)*$BJ10</f>
        <v>0</v>
      </c>
      <c r="AY10" s="458">
        <f ca="1">SUM(T_AI9[[#This Row],[2]],AM10)*$BJ10</f>
        <v>-15513.839999999998</v>
      </c>
      <c r="AZ10" s="458">
        <f ca="1">SUM(T_AI9[[#This Row],[3]],AN10)*$BJ10</f>
        <v>-56358.036</v>
      </c>
      <c r="BA10" s="458">
        <f ca="1">SUM(T_AI9[[#This Row],[4]],AO10)*$BJ10</f>
        <v>51356.159999999996</v>
      </c>
      <c r="BB10" s="458">
        <f ca="1">SUM(T_AI9[[#This Row],[5]],AP10)*$BJ10</f>
        <v>51356.159999999996</v>
      </c>
      <c r="BC10" s="458">
        <f ca="1">SUM(T_AI9[[#This Row],[6]],AQ10)*$BJ10</f>
        <v>-56358.036</v>
      </c>
      <c r="BD10" s="458">
        <f ca="1">SUM(T_AI9[[#This Row],[7]],AR10)*$BJ10</f>
        <v>51356.159999999996</v>
      </c>
      <c r="BE10" s="458">
        <f ca="1">SUM(T_AI9[[#This Row],[8]],AS10)*$BJ10</f>
        <v>51356.159999999996</v>
      </c>
      <c r="BF10" s="458">
        <f ca="1">SUM(T_AI9[[#This Row],[9]],AT10)*$BJ10</f>
        <v>-56358.036</v>
      </c>
      <c r="BG10" s="458">
        <f ca="1">SUM(T_AI9[[#This Row],[10]],AU10)*$BJ10</f>
        <v>51356.159999999996</v>
      </c>
      <c r="BH10" s="458">
        <f ca="1">SUM(T_AI9[[#This Row],[11]],AV10)*$BJ10</f>
        <v>51356.159999999996</v>
      </c>
      <c r="BI10" s="458">
        <f ca="1">SUM(T_AI9[[#This Row],[12]],AW10)*$BJ10</f>
        <v>-56358.036</v>
      </c>
      <c r="BJ10" s="70">
        <f ca="1">INDEX('Tech list'!A:C,MATCH(T_AI9[[#This Row],[Risk CCY]],'Tech list'!A:A,0),3)</f>
        <v>1.3373999999999999</v>
      </c>
    </row>
    <row r="11" spans="1:62" s="70" customFormat="1" x14ac:dyDescent="0.25">
      <c r="A11" s="70" t="s">
        <v>1160</v>
      </c>
      <c r="B11" s="70" t="s">
        <v>1162</v>
      </c>
      <c r="C11" s="418" t="s">
        <v>1158</v>
      </c>
      <c r="D11" s="418" t="s">
        <v>19</v>
      </c>
      <c r="E11" s="419">
        <v>43657</v>
      </c>
      <c r="F11" s="425">
        <f ca="1">T_AI9[[#This Row],[Market value in CCY]]*BJ11</f>
        <v>0</v>
      </c>
      <c r="G11" s="420">
        <f>IF(T_AI9[[#This Row],[MV Valuation]]="Cost",-T_AI9[[#This Row],[Funded to date, CCY]],SUM(T_AI9[[#This Row],[2026 Distribution, CCY]],T_AI9[[#This Row],[2027+ Distribution, CCY]])*T_AI9[[#This Row],[Val. Mult]]+T_AI9[[#This Row],[+Valuation]])</f>
        <v>0</v>
      </c>
      <c r="H11" s="423">
        <v>1</v>
      </c>
      <c r="I11" s="423"/>
      <c r="J11" s="615" t="s">
        <v>2236</v>
      </c>
      <c r="K11" s="615"/>
      <c r="L11" s="488"/>
      <c r="M11" s="421">
        <v>600000</v>
      </c>
      <c r="N11" s="421">
        <v>-600000</v>
      </c>
      <c r="O11" s="421">
        <v>807500</v>
      </c>
      <c r="P11" s="422">
        <f>IFERROR(-SUM(T_AI9[[#This Row],[Market value in CCY]],T_AI9[[#This Row],[Distribuitions, CCY]],T_AI9[[#This Row],[Funded to date, CCY]])/T_AI9[[#This Row],[Funded to date, CCY]],"")</f>
        <v>0.34583333333333333</v>
      </c>
      <c r="Q11" s="423">
        <f t="shared" si="0"/>
        <v>0</v>
      </c>
      <c r="R11" s="423">
        <f ca="1">SUM(T_AI9[[#This Row],[2026 Distribution, CCY]:[2026 Capital calls, CCY]])*BJ11</f>
        <v>0</v>
      </c>
      <c r="S11" s="424">
        <f ca="1">SUM(T_AI9[[#This Row],[2027+ Distribution, CCY]:[2027 Capital calls, CCY]])*BJ11</f>
        <v>0</v>
      </c>
      <c r="T11" s="425">
        <f>SUM(T_AI9[[#This Row],[1]:[12]])</f>
        <v>0</v>
      </c>
      <c r="U11" s="426">
        <f t="shared" si="1"/>
        <v>0</v>
      </c>
      <c r="V11" s="423"/>
      <c r="W11" s="423"/>
      <c r="X11" s="423"/>
      <c r="Y11" s="423">
        <f ca="1">T_AI9[[#This Row],[Total coupon 2026, CCY]]*BJ11</f>
        <v>0</v>
      </c>
      <c r="Z11" s="434">
        <v>0</v>
      </c>
      <c r="AA11" s="434">
        <v>0</v>
      </c>
      <c r="AB11" s="434">
        <v>0</v>
      </c>
      <c r="AC11" s="434">
        <v>0</v>
      </c>
      <c r="AD11" s="434">
        <v>0</v>
      </c>
      <c r="AE11" s="434">
        <v>0</v>
      </c>
      <c r="AF11" s="434">
        <v>0</v>
      </c>
      <c r="AG11" s="434">
        <v>0</v>
      </c>
      <c r="AH11" s="434">
        <v>0</v>
      </c>
      <c r="AI11" s="434">
        <v>0</v>
      </c>
      <c r="AJ11" s="434">
        <v>0</v>
      </c>
      <c r="AK11" s="434">
        <v>0</v>
      </c>
      <c r="AL11" s="435">
        <v>0</v>
      </c>
      <c r="AM11" s="435">
        <v>0</v>
      </c>
      <c r="AN11" s="435">
        <v>0</v>
      </c>
      <c r="AO11" s="435">
        <v>0</v>
      </c>
      <c r="AP11" s="435">
        <v>0</v>
      </c>
      <c r="AQ11" s="435">
        <v>0</v>
      </c>
      <c r="AR11" s="435">
        <v>0</v>
      </c>
      <c r="AS11" s="435">
        <v>0</v>
      </c>
      <c r="AT11" s="435">
        <v>0</v>
      </c>
      <c r="AU11" s="435">
        <v>0</v>
      </c>
      <c r="AV11" s="435">
        <v>0</v>
      </c>
      <c r="AW11" s="435">
        <v>0</v>
      </c>
      <c r="AX11" s="458">
        <f ca="1">SUM(T_AI9[[#This Row],[1]],AL11)*$BJ11</f>
        <v>0</v>
      </c>
      <c r="AY11" s="458">
        <f ca="1">SUM(T_AI9[[#This Row],[2]],AM11)*$BJ11</f>
        <v>0</v>
      </c>
      <c r="AZ11" s="458">
        <f ca="1">SUM(T_AI9[[#This Row],[3]],AN11)*$BJ11</f>
        <v>0</v>
      </c>
      <c r="BA11" s="458">
        <f ca="1">SUM(T_AI9[[#This Row],[4]],AO11)*$BJ11</f>
        <v>0</v>
      </c>
      <c r="BB11" s="458">
        <f ca="1">SUM(T_AI9[[#This Row],[5]],AP11)*$BJ11</f>
        <v>0</v>
      </c>
      <c r="BC11" s="458">
        <f ca="1">SUM(T_AI9[[#This Row],[6]],AQ11)*$BJ11</f>
        <v>0</v>
      </c>
      <c r="BD11" s="458">
        <f ca="1">SUM(T_AI9[[#This Row],[7]],AR11)*$BJ11</f>
        <v>0</v>
      </c>
      <c r="BE11" s="458">
        <f ca="1">SUM(T_AI9[[#This Row],[8]],AS11)*$BJ11</f>
        <v>0</v>
      </c>
      <c r="BF11" s="458">
        <f ca="1">SUM(T_AI9[[#This Row],[9]],AT11)*$BJ11</f>
        <v>0</v>
      </c>
      <c r="BG11" s="458">
        <f ca="1">SUM(T_AI9[[#This Row],[10]],AU11)*$BJ11</f>
        <v>0</v>
      </c>
      <c r="BH11" s="458">
        <f ca="1">SUM(T_AI9[[#This Row],[11]],AV11)*$BJ11</f>
        <v>0</v>
      </c>
      <c r="BI11" s="458">
        <f ca="1">SUM(T_AI9[[#This Row],[12]],AW11)*$BJ11</f>
        <v>0</v>
      </c>
      <c r="BJ11" s="70">
        <f ca="1">INDEX('Tech list'!A:C,MATCH(T_AI9[[#This Row],[Risk CCY]],'Tech list'!A:A,0),3)</f>
        <v>1.3373999999999999</v>
      </c>
    </row>
    <row r="12" spans="1:62" s="70" customFormat="1" x14ac:dyDescent="0.25">
      <c r="A12" s="70" t="s">
        <v>1161</v>
      </c>
      <c r="B12" s="70" t="s">
        <v>1162</v>
      </c>
      <c r="C12" s="418" t="s">
        <v>1159</v>
      </c>
      <c r="D12" s="418" t="s">
        <v>19</v>
      </c>
      <c r="E12" s="419">
        <v>42200</v>
      </c>
      <c r="F12" s="425">
        <f ca="1">T_AI9[[#This Row],[Market value in CCY]]*BJ12</f>
        <v>193923</v>
      </c>
      <c r="G12" s="420">
        <f>IF(T_AI9[[#This Row],[MV Valuation]]="Cost",-T_AI9[[#This Row],[Funded to date, CCY]],SUM(T_AI9[[#This Row],[2026 Distribution, CCY]],T_AI9[[#This Row],[2027+ Distribution, CCY]])*T_AI9[[#This Row],[Val. Mult]]+T_AI9[[#This Row],[+Valuation]])</f>
        <v>145000</v>
      </c>
      <c r="H12" s="423">
        <v>1</v>
      </c>
      <c r="I12" s="423"/>
      <c r="J12" s="615" t="s">
        <v>2236</v>
      </c>
      <c r="K12" s="615"/>
      <c r="L12" s="488"/>
      <c r="M12" s="465">
        <v>1720500</v>
      </c>
      <c r="N12" s="465">
        <f>-1720500-115593</f>
        <v>-1836093</v>
      </c>
      <c r="O12" s="465">
        <v>3000</v>
      </c>
      <c r="P12" s="422">
        <f>IFERROR(-SUM(T_AI9[[#This Row],[Market value in CCY]],T_AI9[[#This Row],[Distribuitions, CCY]],T_AI9[[#This Row],[Funded to date, CCY]])/T_AI9[[#This Row],[Funded to date, CCY]],"")</f>
        <v>-0.91939406119406808</v>
      </c>
      <c r="Q12" s="423">
        <f t="shared" si="0"/>
        <v>-41284</v>
      </c>
      <c r="R12" s="423">
        <f ca="1">SUM(T_AI9[[#This Row],[2026 Distribution, CCY]:[2026 Capital calls, CCY]])*BJ12</f>
        <v>-55213.221599999997</v>
      </c>
      <c r="S12" s="424">
        <f ca="1">SUM(T_AI9[[#This Row],[2027+ Distribution, CCY]:[2027 Capital calls, CCY]])*BJ12</f>
        <v>193923</v>
      </c>
      <c r="T12" s="425">
        <f>SUM(T_AI9[[#This Row],[1]:[12]])</f>
        <v>0</v>
      </c>
      <c r="U12" s="426">
        <f t="shared" si="1"/>
        <v>-41284</v>
      </c>
      <c r="V12" s="423">
        <v>145000</v>
      </c>
      <c r="W12" s="423"/>
      <c r="X12" s="423"/>
      <c r="Y12" s="423">
        <f ca="1">T_AI9[[#This Row],[Total coupon 2026, CCY]]*BJ12</f>
        <v>0</v>
      </c>
      <c r="Z12" s="434">
        <v>0</v>
      </c>
      <c r="AA12" s="434">
        <v>0</v>
      </c>
      <c r="AB12" s="434">
        <v>0</v>
      </c>
      <c r="AC12" s="434">
        <v>0</v>
      </c>
      <c r="AD12" s="434">
        <v>0</v>
      </c>
      <c r="AE12" s="434">
        <v>0</v>
      </c>
      <c r="AF12" s="434">
        <v>0</v>
      </c>
      <c r="AG12" s="434">
        <v>0</v>
      </c>
      <c r="AH12" s="434">
        <v>0</v>
      </c>
      <c r="AI12" s="434">
        <v>0</v>
      </c>
      <c r="AJ12" s="434">
        <v>0</v>
      </c>
      <c r="AK12" s="434">
        <v>0</v>
      </c>
      <c r="AL12" s="435">
        <f>-9571/3-3000</f>
        <v>-6190.3333333333339</v>
      </c>
      <c r="AM12" s="435">
        <f t="shared" ref="AM12:AW12" si="2">-9571/3</f>
        <v>-3190.3333333333335</v>
      </c>
      <c r="AN12" s="435">
        <f t="shared" si="2"/>
        <v>-3190.3333333333335</v>
      </c>
      <c r="AO12" s="435">
        <f t="shared" si="2"/>
        <v>-3190.3333333333335</v>
      </c>
      <c r="AP12" s="435">
        <f t="shared" si="2"/>
        <v>-3190.3333333333335</v>
      </c>
      <c r="AQ12" s="435">
        <f t="shared" si="2"/>
        <v>-3190.3333333333335</v>
      </c>
      <c r="AR12" s="435">
        <f t="shared" si="2"/>
        <v>-3190.3333333333335</v>
      </c>
      <c r="AS12" s="435">
        <f t="shared" si="2"/>
        <v>-3190.3333333333335</v>
      </c>
      <c r="AT12" s="435">
        <f t="shared" si="2"/>
        <v>-3190.3333333333335</v>
      </c>
      <c r="AU12" s="435">
        <f t="shared" si="2"/>
        <v>-3190.3333333333335</v>
      </c>
      <c r="AV12" s="435">
        <f t="shared" si="2"/>
        <v>-3190.3333333333335</v>
      </c>
      <c r="AW12" s="435">
        <f t="shared" si="2"/>
        <v>-3190.3333333333335</v>
      </c>
      <c r="AX12" s="458">
        <f ca="1">SUM(T_AI9[[#This Row],[1]],AL12)*$BJ12</f>
        <v>-8278.9518000000007</v>
      </c>
      <c r="AY12" s="458">
        <f ca="1">SUM(T_AI9[[#This Row],[2]],AM12)*$BJ12</f>
        <v>-4266.7518</v>
      </c>
      <c r="AZ12" s="458">
        <f ca="1">SUM(T_AI9[[#This Row],[3]],AN12)*$BJ12</f>
        <v>-4266.7518</v>
      </c>
      <c r="BA12" s="458">
        <f ca="1">SUM(T_AI9[[#This Row],[4]],AO12)*$BJ12</f>
        <v>-4266.7518</v>
      </c>
      <c r="BB12" s="458">
        <f ca="1">SUM(T_AI9[[#This Row],[5]],AP12)*$BJ12</f>
        <v>-4266.7518</v>
      </c>
      <c r="BC12" s="458">
        <f ca="1">SUM(T_AI9[[#This Row],[6]],AQ12)*$BJ12</f>
        <v>-4266.7518</v>
      </c>
      <c r="BD12" s="458">
        <f ca="1">SUM(T_AI9[[#This Row],[7]],AR12)*$BJ12</f>
        <v>-4266.7518</v>
      </c>
      <c r="BE12" s="458">
        <f ca="1">SUM(T_AI9[[#This Row],[8]],AS12)*$BJ12</f>
        <v>-4266.7518</v>
      </c>
      <c r="BF12" s="458">
        <f ca="1">SUM(T_AI9[[#This Row],[9]],AT12)*$BJ12</f>
        <v>-4266.7518</v>
      </c>
      <c r="BG12" s="458">
        <f ca="1">SUM(T_AI9[[#This Row],[10]],AU12)*$BJ12</f>
        <v>-4266.7518</v>
      </c>
      <c r="BH12" s="458">
        <f ca="1">SUM(T_AI9[[#This Row],[11]],AV12)*$BJ12</f>
        <v>-4266.7518</v>
      </c>
      <c r="BI12" s="458">
        <f ca="1">SUM(T_AI9[[#This Row],[12]],AW12)*$BJ12</f>
        <v>-4266.7518</v>
      </c>
      <c r="BJ12" s="70">
        <f ca="1">INDEX('Tech list'!A:C,MATCH(T_AI9[[#This Row],[Risk CCY]],'Tech list'!A:A,0),3)</f>
        <v>1.3373999999999999</v>
      </c>
    </row>
    <row r="13" spans="1:62" s="466" customFormat="1" x14ac:dyDescent="0.25">
      <c r="A13" s="466" t="s">
        <v>1171</v>
      </c>
      <c r="B13" s="466" t="s">
        <v>1162</v>
      </c>
      <c r="C13" s="467" t="s">
        <v>1172</v>
      </c>
      <c r="D13" s="467" t="s">
        <v>19</v>
      </c>
      <c r="E13" s="468">
        <v>41960</v>
      </c>
      <c r="F13" s="472">
        <f ca="1">T_AI9[[#This Row],[Market value in CCY]]*BJ13</f>
        <v>6687000</v>
      </c>
      <c r="G13" s="729">
        <v>5000000</v>
      </c>
      <c r="H13" s="470">
        <v>1</v>
      </c>
      <c r="I13" s="470">
        <v>4361486</v>
      </c>
      <c r="J13" s="645" t="s">
        <v>1230</v>
      </c>
      <c r="K13" s="645"/>
      <c r="L13" s="489" t="s">
        <v>1230</v>
      </c>
      <c r="M13" s="469">
        <v>5000000</v>
      </c>
      <c r="N13" s="469">
        <v>-6475378</v>
      </c>
      <c r="O13" s="469">
        <v>1867905</v>
      </c>
      <c r="P13" s="649">
        <f>IFERROR(-SUM(T_AI9[[#This Row],[Market value in CCY]],T_AI9[[#This Row],[Distribuitions, CCY]],T_AI9[[#This Row],[Funded to date, CCY]])/T_AI9[[#This Row],[Funded to date, CCY]],"")</f>
        <v>6.061839169852324E-2</v>
      </c>
      <c r="Q13" s="470">
        <f>SUM(U13,W13)</f>
        <v>0</v>
      </c>
      <c r="R13" s="470">
        <f ca="1">SUM(T_AI9[[#This Row],[2026 Distribution, CCY]:[2026 Capital calls, CCY]])*BJ13</f>
        <v>0</v>
      </c>
      <c r="S13" s="471">
        <f ca="1">SUM(T_AI9[[#This Row],[2027+ Distribution, CCY]:[2027 Capital calls, CCY]])*BJ13</f>
        <v>0</v>
      </c>
      <c r="T13" s="472">
        <f>SUM(T_AI9[[#This Row],[1]:[12]])</f>
        <v>0</v>
      </c>
      <c r="U13" s="473">
        <f t="shared" ref="U13:U22" si="3">SUM(AL13:AW13)</f>
        <v>0</v>
      </c>
      <c r="V13" s="470"/>
      <c r="W13" s="470"/>
      <c r="X13" s="470"/>
      <c r="Y13" s="470">
        <f ca="1">T_AI9[[#This Row],[Total coupon 2026, CCY]]*BJ13</f>
        <v>0</v>
      </c>
      <c r="Z13" s="474">
        <v>0</v>
      </c>
      <c r="AA13" s="474">
        <v>0</v>
      </c>
      <c r="AB13" s="474">
        <v>0</v>
      </c>
      <c r="AC13" s="474">
        <v>0</v>
      </c>
      <c r="AD13" s="474">
        <v>0</v>
      </c>
      <c r="AE13" s="474">
        <v>0</v>
      </c>
      <c r="AF13" s="474">
        <v>0</v>
      </c>
      <c r="AG13" s="474">
        <v>0</v>
      </c>
      <c r="AH13" s="474">
        <v>0</v>
      </c>
      <c r="AI13" s="474">
        <v>0</v>
      </c>
      <c r="AJ13" s="474">
        <v>0</v>
      </c>
      <c r="AK13" s="474">
        <v>0</v>
      </c>
      <c r="AL13" s="475">
        <v>0</v>
      </c>
      <c r="AM13" s="475">
        <v>0</v>
      </c>
      <c r="AN13" s="475">
        <v>0</v>
      </c>
      <c r="AO13" s="475">
        <v>0</v>
      </c>
      <c r="AP13" s="475">
        <v>0</v>
      </c>
      <c r="AQ13" s="475">
        <v>0</v>
      </c>
      <c r="AR13" s="475">
        <v>0</v>
      </c>
      <c r="AS13" s="475">
        <v>0</v>
      </c>
      <c r="AT13" s="475">
        <v>0</v>
      </c>
      <c r="AU13" s="475">
        <v>0</v>
      </c>
      <c r="AV13" s="475">
        <v>0</v>
      </c>
      <c r="AW13" s="475">
        <v>0</v>
      </c>
      <c r="AX13" s="476">
        <f ca="1">SUM(T_AI9[[#This Row],[1]],AL13)*$BJ13</f>
        <v>0</v>
      </c>
      <c r="AY13" s="476">
        <f ca="1">SUM(T_AI9[[#This Row],[2]],AM13)*$BJ13</f>
        <v>0</v>
      </c>
      <c r="AZ13" s="476">
        <f ca="1">SUM(T_AI9[[#This Row],[3]],AN13)*$BJ13</f>
        <v>0</v>
      </c>
      <c r="BA13" s="476">
        <f ca="1">SUM(T_AI9[[#This Row],[4]],AO13)*$BJ13</f>
        <v>0</v>
      </c>
      <c r="BB13" s="476">
        <f ca="1">SUM(T_AI9[[#This Row],[5]],AP13)*$BJ13</f>
        <v>0</v>
      </c>
      <c r="BC13" s="476">
        <f ca="1">SUM(T_AI9[[#This Row],[6]],AQ13)*$BJ13</f>
        <v>0</v>
      </c>
      <c r="BD13" s="476">
        <f ca="1">SUM(T_AI9[[#This Row],[7]],AR13)*$BJ13</f>
        <v>0</v>
      </c>
      <c r="BE13" s="476">
        <f ca="1">SUM(T_AI9[[#This Row],[8]],AS13)*$BJ13</f>
        <v>0</v>
      </c>
      <c r="BF13" s="476">
        <f ca="1">SUM(T_AI9[[#This Row],[9]],AT13)*$BJ13</f>
        <v>0</v>
      </c>
      <c r="BG13" s="476">
        <f ca="1">SUM(T_AI9[[#This Row],[10]],AU13)*$BJ13</f>
        <v>0</v>
      </c>
      <c r="BH13" s="476">
        <f ca="1">SUM(T_AI9[[#This Row],[11]],AV13)*$BJ13</f>
        <v>0</v>
      </c>
      <c r="BI13" s="476">
        <f ca="1">SUM(T_AI9[[#This Row],[12]],AW13)*$BJ13</f>
        <v>0</v>
      </c>
      <c r="BJ13" s="466">
        <f ca="1">INDEX('Tech list'!A:C,MATCH(T_AI9[[#This Row],[Risk CCY]],'Tech list'!A:A,0),3)</f>
        <v>1.3373999999999999</v>
      </c>
    </row>
    <row r="14" spans="1:62" s="70" customFormat="1" x14ac:dyDescent="0.25">
      <c r="A14" s="70" t="s">
        <v>1171</v>
      </c>
      <c r="B14" s="70" t="s">
        <v>1162</v>
      </c>
      <c r="C14" s="418" t="s">
        <v>1173</v>
      </c>
      <c r="D14" s="418" t="s">
        <v>19</v>
      </c>
      <c r="E14" s="419">
        <v>44090</v>
      </c>
      <c r="F14" s="425">
        <f ca="1">T_AI9[[#This Row],[Market value in CCY]]*BJ14</f>
        <v>1604880</v>
      </c>
      <c r="G14" s="730">
        <v>1200000</v>
      </c>
      <c r="H14" s="423">
        <v>1</v>
      </c>
      <c r="I14" s="423">
        <v>880488</v>
      </c>
      <c r="J14" s="615" t="s">
        <v>1230</v>
      </c>
      <c r="K14" s="615"/>
      <c r="L14" s="488" t="s">
        <v>1230</v>
      </c>
      <c r="M14" s="464">
        <v>2538308</v>
      </c>
      <c r="N14" s="464">
        <v>-3702288</v>
      </c>
      <c r="O14" s="464">
        <v>1159985</v>
      </c>
      <c r="P14" s="648">
        <f>IFERROR(-SUM(T_AI9[[#This Row],[Market value in CCY]],T_AI9[[#This Row],[Distribuitions, CCY]],T_AI9[[#This Row],[Funded to date, CCY]])/T_AI9[[#This Row],[Funded to date, CCY]],"")</f>
        <v>-0.36256039508541743</v>
      </c>
      <c r="Q14" s="423">
        <f>SUM(U14,W14)</f>
        <v>0</v>
      </c>
      <c r="R14" s="423">
        <f ca="1">SUM(T_AI9[[#This Row],[2026 Distribution, CCY]:[2026 Capital calls, CCY]])*BJ14</f>
        <v>0</v>
      </c>
      <c r="S14" s="424">
        <f ca="1">SUM(T_AI9[[#This Row],[2027+ Distribution, CCY]:[2027 Capital calls, CCY]])*BJ14</f>
        <v>0</v>
      </c>
      <c r="T14" s="425">
        <f>SUM(T_AI9[[#This Row],[1]:[12]])</f>
        <v>0</v>
      </c>
      <c r="U14" s="426">
        <f t="shared" si="3"/>
        <v>0</v>
      </c>
      <c r="V14" s="423"/>
      <c r="W14" s="423"/>
      <c r="X14" s="423"/>
      <c r="Y14" s="423">
        <f ca="1">T_AI9[[#This Row],[Total coupon 2026, CCY]]*BJ14</f>
        <v>0</v>
      </c>
      <c r="Z14" s="434">
        <v>0</v>
      </c>
      <c r="AA14" s="434">
        <v>0</v>
      </c>
      <c r="AB14" s="434">
        <v>0</v>
      </c>
      <c r="AC14" s="434">
        <v>0</v>
      </c>
      <c r="AD14" s="434">
        <v>0</v>
      </c>
      <c r="AE14" s="434"/>
      <c r="AF14" s="434">
        <v>0</v>
      </c>
      <c r="AG14" s="434">
        <v>0</v>
      </c>
      <c r="AH14" s="434">
        <v>0</v>
      </c>
      <c r="AI14" s="434">
        <v>0</v>
      </c>
      <c r="AJ14" s="434">
        <v>0</v>
      </c>
      <c r="AK14" s="434">
        <v>0</v>
      </c>
      <c r="AL14" s="435">
        <v>0</v>
      </c>
      <c r="AM14" s="435">
        <v>0</v>
      </c>
      <c r="AN14" s="435">
        <v>0</v>
      </c>
      <c r="AO14" s="435">
        <v>0</v>
      </c>
      <c r="AP14" s="435">
        <v>0</v>
      </c>
      <c r="AQ14" s="435">
        <v>0</v>
      </c>
      <c r="AR14" s="435">
        <v>0</v>
      </c>
      <c r="AS14" s="435">
        <v>0</v>
      </c>
      <c r="AT14" s="435">
        <v>0</v>
      </c>
      <c r="AU14" s="435">
        <v>0</v>
      </c>
      <c r="AV14" s="435">
        <v>0</v>
      </c>
      <c r="AW14" s="435">
        <v>0</v>
      </c>
      <c r="AX14" s="458">
        <f ca="1">SUM(T_AI9[[#This Row],[1]],AL14)*$BJ14</f>
        <v>0</v>
      </c>
      <c r="AY14" s="458">
        <f ca="1">SUM(T_AI9[[#This Row],[2]],AM14)*$BJ14</f>
        <v>0</v>
      </c>
      <c r="AZ14" s="458">
        <f ca="1">SUM(T_AI9[[#This Row],[3]],AN14)*$BJ14</f>
        <v>0</v>
      </c>
      <c r="BA14" s="458">
        <f ca="1">SUM(T_AI9[[#This Row],[4]],AO14)*$BJ14</f>
        <v>0</v>
      </c>
      <c r="BB14" s="458">
        <f ca="1">SUM(T_AI9[[#This Row],[5]],AP14)*$BJ14</f>
        <v>0</v>
      </c>
      <c r="BC14" s="458">
        <f ca="1">SUM(T_AI9[[#This Row],[6]],AQ14)*$BJ14</f>
        <v>0</v>
      </c>
      <c r="BD14" s="458">
        <f ca="1">SUM(T_AI9[[#This Row],[7]],AR14)*$BJ14</f>
        <v>0</v>
      </c>
      <c r="BE14" s="458">
        <f ca="1">SUM(T_AI9[[#This Row],[8]],AS14)*$BJ14</f>
        <v>0</v>
      </c>
      <c r="BF14" s="458">
        <f ca="1">SUM(T_AI9[[#This Row],[9]],AT14)*$BJ14</f>
        <v>0</v>
      </c>
      <c r="BG14" s="458">
        <f ca="1">SUM(T_AI9[[#This Row],[10]],AU14)*$BJ14</f>
        <v>0</v>
      </c>
      <c r="BH14" s="458">
        <f ca="1">SUM(T_AI9[[#This Row],[11]],AV14)*$BJ14</f>
        <v>0</v>
      </c>
      <c r="BI14" s="458">
        <f ca="1">SUM(T_AI9[[#This Row],[12]],AW14)*$BJ14</f>
        <v>0</v>
      </c>
      <c r="BJ14" s="70">
        <f ca="1">INDEX('Tech list'!A:C,MATCH(T_AI9[[#This Row],[Risk CCY]],'Tech list'!A:A,0),3)</f>
        <v>1.3373999999999999</v>
      </c>
    </row>
    <row r="15" spans="1:62" s="70" customFormat="1" x14ac:dyDescent="0.25">
      <c r="A15" s="70" t="s">
        <v>1171</v>
      </c>
      <c r="B15" s="70" t="s">
        <v>1162</v>
      </c>
      <c r="C15" s="418" t="s">
        <v>1196</v>
      </c>
      <c r="D15" s="418" t="s">
        <v>19</v>
      </c>
      <c r="E15" s="419">
        <v>43448</v>
      </c>
      <c r="F15" s="425">
        <f ca="1">T_AI9[[#This Row],[Market value in CCY]]*BJ15</f>
        <v>0</v>
      </c>
      <c r="G15" s="420">
        <v>0</v>
      </c>
      <c r="H15" s="423">
        <v>1</v>
      </c>
      <c r="I15" s="423"/>
      <c r="J15" s="615" t="s">
        <v>1230</v>
      </c>
      <c r="K15" s="615"/>
      <c r="L15" s="488"/>
      <c r="M15" s="464">
        <v>500000</v>
      </c>
      <c r="N15" s="464">
        <v>-500000</v>
      </c>
      <c r="O15" s="464">
        <v>0</v>
      </c>
      <c r="P15" s="648">
        <f>IFERROR(-SUM(T_AI9[[#This Row],[Market value in CCY]],T_AI9[[#This Row],[Distribuitions, CCY]],T_AI9[[#This Row],[Funded to date, CCY]])/T_AI9[[#This Row],[Funded to date, CCY]],"")</f>
        <v>-1</v>
      </c>
      <c r="Q15" s="423">
        <f>SUM(U15,W15)</f>
        <v>0</v>
      </c>
      <c r="R15" s="423">
        <f ca="1">SUM(T_AI9[[#This Row],[2026 Distribution, CCY]:[2026 Capital calls, CCY]])*BJ15</f>
        <v>0</v>
      </c>
      <c r="S15" s="424">
        <f ca="1">SUM(T_AI9[[#This Row],[2027+ Distribution, CCY]:[2027 Capital calls, CCY]])*BJ15</f>
        <v>0</v>
      </c>
      <c r="T15" s="425">
        <f>SUM(T_AI9[[#This Row],[1]:[12]])</f>
        <v>0</v>
      </c>
      <c r="U15" s="426">
        <f t="shared" si="3"/>
        <v>0</v>
      </c>
      <c r="V15" s="423"/>
      <c r="W15" s="423"/>
      <c r="X15" s="423"/>
      <c r="Y15" s="423">
        <f ca="1">T_AI9[[#This Row],[Total coupon 2026, CCY]]*BJ15</f>
        <v>0</v>
      </c>
      <c r="Z15" s="434">
        <v>0</v>
      </c>
      <c r="AA15" s="434">
        <v>0</v>
      </c>
      <c r="AB15" s="434">
        <v>0</v>
      </c>
      <c r="AC15" s="434">
        <v>0</v>
      </c>
      <c r="AD15" s="434">
        <v>0</v>
      </c>
      <c r="AE15" s="434">
        <v>0</v>
      </c>
      <c r="AF15" s="434">
        <v>0</v>
      </c>
      <c r="AG15" s="434">
        <v>0</v>
      </c>
      <c r="AH15" s="434">
        <v>0</v>
      </c>
      <c r="AI15" s="434">
        <v>0</v>
      </c>
      <c r="AJ15" s="434">
        <v>0</v>
      </c>
      <c r="AK15" s="434">
        <v>0</v>
      </c>
      <c r="AL15" s="435">
        <v>0</v>
      </c>
      <c r="AM15" s="435">
        <v>0</v>
      </c>
      <c r="AN15" s="435">
        <v>0</v>
      </c>
      <c r="AO15" s="435">
        <v>0</v>
      </c>
      <c r="AP15" s="435">
        <v>0</v>
      </c>
      <c r="AQ15" s="435">
        <v>0</v>
      </c>
      <c r="AR15" s="435">
        <v>0</v>
      </c>
      <c r="AS15" s="435">
        <v>0</v>
      </c>
      <c r="AT15" s="435">
        <v>0</v>
      </c>
      <c r="AU15" s="435">
        <v>0</v>
      </c>
      <c r="AV15" s="435">
        <v>0</v>
      </c>
      <c r="AW15" s="435">
        <v>0</v>
      </c>
      <c r="AX15" s="458">
        <f ca="1">SUM(T_AI9[[#This Row],[1]],AL15)*$BJ15</f>
        <v>0</v>
      </c>
      <c r="AY15" s="458">
        <f ca="1">SUM(T_AI9[[#This Row],[2]],AM15)*$BJ15</f>
        <v>0</v>
      </c>
      <c r="AZ15" s="458">
        <f ca="1">SUM(T_AI9[[#This Row],[3]],AN15)*$BJ15</f>
        <v>0</v>
      </c>
      <c r="BA15" s="458">
        <f ca="1">SUM(T_AI9[[#This Row],[4]],AO15)*$BJ15</f>
        <v>0</v>
      </c>
      <c r="BB15" s="458">
        <f ca="1">SUM(T_AI9[[#This Row],[5]],AP15)*$BJ15</f>
        <v>0</v>
      </c>
      <c r="BC15" s="458">
        <f ca="1">SUM(T_AI9[[#This Row],[6]],AQ15)*$BJ15</f>
        <v>0</v>
      </c>
      <c r="BD15" s="458">
        <f ca="1">SUM(T_AI9[[#This Row],[7]],AR15)*$BJ15</f>
        <v>0</v>
      </c>
      <c r="BE15" s="458">
        <f ca="1">SUM(T_AI9[[#This Row],[8]],AS15)*$BJ15</f>
        <v>0</v>
      </c>
      <c r="BF15" s="458">
        <f ca="1">SUM(T_AI9[[#This Row],[9]],AT15)*$BJ15</f>
        <v>0</v>
      </c>
      <c r="BG15" s="458">
        <f ca="1">SUM(T_AI9[[#This Row],[10]],AU15)*$BJ15</f>
        <v>0</v>
      </c>
      <c r="BH15" s="458">
        <f ca="1">SUM(T_AI9[[#This Row],[11]],AV15)*$BJ15</f>
        <v>0</v>
      </c>
      <c r="BI15" s="458">
        <f ca="1">SUM(T_AI9[[#This Row],[12]],AW15)*$BJ15</f>
        <v>0</v>
      </c>
      <c r="BJ15" s="70">
        <f ca="1">INDEX('Tech list'!A:C,MATCH(T_AI9[[#This Row],[Risk CCY]],'Tech list'!A:A,0),3)</f>
        <v>1.3373999999999999</v>
      </c>
    </row>
    <row r="16" spans="1:62" s="70" customFormat="1" x14ac:dyDescent="0.25">
      <c r="A16" s="70" t="s">
        <v>1171</v>
      </c>
      <c r="B16" s="70" t="s">
        <v>1162</v>
      </c>
      <c r="C16" s="418" t="s">
        <v>2397</v>
      </c>
      <c r="D16" s="418" t="s">
        <v>19</v>
      </c>
      <c r="E16" s="419"/>
      <c r="F16" s="425">
        <f ca="1">T_AI9[[#This Row],[Market value in CCY]]*BJ16</f>
        <v>2674800</v>
      </c>
      <c r="G16" s="420">
        <v>2000000</v>
      </c>
      <c r="H16" s="423"/>
      <c r="I16" s="423"/>
      <c r="J16" s="615"/>
      <c r="K16" s="615"/>
      <c r="L16" s="420"/>
      <c r="M16" s="465"/>
      <c r="N16" s="465"/>
      <c r="O16" s="465"/>
      <c r="P16" s="727" t="str">
        <f>IFERROR(-SUM(T_AI9[[#This Row],[Market value in CCY]],T_AI9[[#This Row],[Distribuitions, CCY]],T_AI9[[#This Row],[Funded to date, CCY]])/T_AI9[[#This Row],[Funded to date, CCY]],"")</f>
        <v/>
      </c>
      <c r="Q16" s="423">
        <f>SUM(U16,W16)</f>
        <v>0</v>
      </c>
      <c r="R16" s="423">
        <f ca="1">SUM(T_AI9[[#This Row],[2026 Distribution, CCY]:[2026 Capital calls, CCY]])*BJ16</f>
        <v>2674800</v>
      </c>
      <c r="S16" s="424">
        <f ca="1">SUM(T_AI9[[#This Row],[2027+ Distribution, CCY]:[2027 Capital calls, CCY]])*BJ16</f>
        <v>0</v>
      </c>
      <c r="T16" s="425">
        <f>SUM(T_AI9[[#This Row],[1]:[12]])</f>
        <v>2000000</v>
      </c>
      <c r="U16" s="426">
        <f>SUM(AL16:AW16)</f>
        <v>0</v>
      </c>
      <c r="V16" s="423"/>
      <c r="W16" s="423"/>
      <c r="X16" s="423"/>
      <c r="Y16" s="423">
        <f ca="1">T_AI9[[#This Row],[Total coupon 2026, CCY]]*BJ16</f>
        <v>0</v>
      </c>
      <c r="Z16" s="728">
        <f>T_AI9[[#This Row],[Total Commitment, CCY]]-T_AI9[[#This Row],[Funded to date, CCY]]</f>
        <v>0</v>
      </c>
      <c r="AA16" s="728">
        <f>T_AI9[[#This Row],[Total Commitment, CCY]]-T_AI9[[#This Row],[Funded to date, CCY]]</f>
        <v>0</v>
      </c>
      <c r="AB16" s="728">
        <f>T_AI9[[#This Row],[Total Commitment, CCY]]-T_AI9[[#This Row],[Funded to date, CCY]]</f>
        <v>0</v>
      </c>
      <c r="AC16" s="728">
        <f>T_AI9[[#This Row],[Total Commitment, CCY]]-T_AI9[[#This Row],[Funded to date, CCY]]</f>
        <v>0</v>
      </c>
      <c r="AD16" s="728">
        <f>T_AI9[[#This Row],[Total Commitment, CCY]]-T_AI9[[#This Row],[Funded to date, CCY]]</f>
        <v>0</v>
      </c>
      <c r="AE16" s="728">
        <v>2000000</v>
      </c>
      <c r="AF16" s="728">
        <f>T_AI9[[#This Row],[Total Commitment, CCY]]-T_AI9[[#This Row],[Funded to date, CCY]]</f>
        <v>0</v>
      </c>
      <c r="AG16" s="728">
        <f>T_AI9[[#This Row],[Total Commitment, CCY]]-T_AI9[[#This Row],[Funded to date, CCY]]</f>
        <v>0</v>
      </c>
      <c r="AH16" s="728">
        <f>T_AI9[[#This Row],[Total Commitment, CCY]]-T_AI9[[#This Row],[Funded to date, CCY]]</f>
        <v>0</v>
      </c>
      <c r="AI16" s="728">
        <f>T_AI9[[#This Row],[Total Commitment, CCY]]-T_AI9[[#This Row],[Funded to date, CCY]]</f>
        <v>0</v>
      </c>
      <c r="AJ16" s="728">
        <f>T_AI9[[#This Row],[Total Commitment, CCY]]-T_AI9[[#This Row],[Funded to date, CCY]]</f>
        <v>0</v>
      </c>
      <c r="AK16" s="728">
        <f>T_AI9[[#This Row],[Total Commitment, CCY]]-T_AI9[[#This Row],[Funded to date, CCY]]</f>
        <v>0</v>
      </c>
      <c r="AL16" s="435"/>
      <c r="AM16" s="435"/>
      <c r="AN16" s="435"/>
      <c r="AO16" s="435"/>
      <c r="AP16" s="435"/>
      <c r="AQ16" s="435"/>
      <c r="AR16" s="435"/>
      <c r="AS16" s="435"/>
      <c r="AT16" s="435"/>
      <c r="AU16" s="435"/>
      <c r="AV16" s="435"/>
      <c r="AW16" s="435"/>
      <c r="AX16" s="458"/>
      <c r="AY16" s="458"/>
      <c r="AZ16" s="458"/>
      <c r="BA16" s="458"/>
      <c r="BB16" s="458"/>
      <c r="BC16" s="458"/>
      <c r="BD16" s="458"/>
      <c r="BE16" s="458"/>
      <c r="BF16" s="458"/>
      <c r="BG16" s="458"/>
      <c r="BH16" s="458"/>
      <c r="BI16" s="458"/>
      <c r="BJ16" s="70">
        <f ca="1">INDEX('Tech list'!A:C,MATCH(T_AI9[[#This Row],[Risk CCY]],'Tech list'!A:A,0),3)</f>
        <v>1.3373999999999999</v>
      </c>
    </row>
    <row r="17" spans="1:62" s="427" customFormat="1" x14ac:dyDescent="0.25">
      <c r="A17" s="427" t="s">
        <v>1171</v>
      </c>
      <c r="B17" s="427" t="s">
        <v>1162</v>
      </c>
      <c r="C17" s="428" t="s">
        <v>1174</v>
      </c>
      <c r="D17" s="428" t="s">
        <v>19</v>
      </c>
      <c r="E17" s="429" t="s">
        <v>2398</v>
      </c>
      <c r="F17" s="432">
        <f ca="1">T_AI9[[#This Row],[Market value in CCY]]*BJ17</f>
        <v>0</v>
      </c>
      <c r="G17" s="726">
        <f>IF(T_AI9[[#This Row],[MV Valuation]]="Cost",-(T_AI9[[#This Row],[Funded to date, CCY]]+T_AI9[[#This Row],[Distribuitions, CCY]]),SUM(T_AI9[[#This Row],[2026 Distribution, CCY]],T_AI9[[#This Row],[2027+ Distribution, CCY]])*T_AI9[[#This Row],[Val. Mult]]+T_AI9[[#This Row],[+Valuation]])</f>
        <v>0</v>
      </c>
      <c r="H17" s="430">
        <v>1</v>
      </c>
      <c r="I17" s="430"/>
      <c r="J17" s="650" t="s">
        <v>2236</v>
      </c>
      <c r="K17" s="650"/>
      <c r="L17" s="490" t="s">
        <v>1232</v>
      </c>
      <c r="M17" s="449">
        <v>1000000</v>
      </c>
      <c r="N17" s="449">
        <v>0</v>
      </c>
      <c r="O17" s="449">
        <v>0</v>
      </c>
      <c r="P17" s="651" t="str">
        <f>IFERROR(-SUM(T_AI9[[#This Row],[Market value in CCY]],T_AI9[[#This Row],[Distribuitions, CCY]],T_AI9[[#This Row],[Funded to date, CCY]])/T_AI9[[#This Row],[Funded to date, CCY]],"")</f>
        <v/>
      </c>
      <c r="Q17" s="430">
        <f>SUM(U17,W17)</f>
        <v>-1050000</v>
      </c>
      <c r="R17" s="430">
        <f ca="1">SUM(T_AI9[[#This Row],[2026 Distribution, CCY]:[2026 Capital calls, CCY]])*BJ17</f>
        <v>-936180</v>
      </c>
      <c r="S17" s="431">
        <f ca="1">SUM(T_AI9[[#This Row],[2027+ Distribution, CCY]:[2027 Capital calls, CCY]])*BJ17</f>
        <v>-468090</v>
      </c>
      <c r="T17" s="432">
        <f>SUM(T_AI9[[#This Row],[1]:[12]])</f>
        <v>0</v>
      </c>
      <c r="U17" s="433">
        <f t="shared" si="3"/>
        <v>-700000</v>
      </c>
      <c r="V17" s="430"/>
      <c r="W17" s="430">
        <v>-350000</v>
      </c>
      <c r="X17" s="430"/>
      <c r="Y17" s="430">
        <f ca="1">T_AI9[[#This Row],[Total coupon 2026, CCY]]*BJ17</f>
        <v>0</v>
      </c>
      <c r="Z17" s="436">
        <v>0</v>
      </c>
      <c r="AA17" s="436">
        <v>0</v>
      </c>
      <c r="AB17" s="436">
        <v>0</v>
      </c>
      <c r="AC17" s="436">
        <v>0</v>
      </c>
      <c r="AD17" s="436">
        <v>0</v>
      </c>
      <c r="AE17" s="436">
        <v>0</v>
      </c>
      <c r="AF17" s="436">
        <v>0</v>
      </c>
      <c r="AG17" s="436">
        <v>0</v>
      </c>
      <c r="AH17" s="436">
        <v>0</v>
      </c>
      <c r="AI17" s="436">
        <v>0</v>
      </c>
      <c r="AJ17" s="436">
        <v>0</v>
      </c>
      <c r="AK17" s="436">
        <v>0</v>
      </c>
      <c r="AL17" s="437">
        <v>-350000</v>
      </c>
      <c r="AM17" s="437">
        <v>0</v>
      </c>
      <c r="AN17" s="437">
        <v>0</v>
      </c>
      <c r="AO17" s="437">
        <v>0</v>
      </c>
      <c r="AP17" s="437">
        <v>0</v>
      </c>
      <c r="AQ17" s="437">
        <v>0</v>
      </c>
      <c r="AR17" s="437">
        <v>-350000</v>
      </c>
      <c r="AS17" s="437">
        <v>0</v>
      </c>
      <c r="AT17" s="437">
        <v>0</v>
      </c>
      <c r="AU17" s="437">
        <v>0</v>
      </c>
      <c r="AV17" s="437">
        <v>0</v>
      </c>
      <c r="AW17" s="437">
        <v>0</v>
      </c>
      <c r="AX17" s="459">
        <f ca="1">SUM(T_AI9[[#This Row],[1]],AL17)*$BJ17</f>
        <v>-468090</v>
      </c>
      <c r="AY17" s="459">
        <f ca="1">SUM(T_AI9[[#This Row],[2]],AM17)*$BJ17</f>
        <v>0</v>
      </c>
      <c r="AZ17" s="459">
        <f ca="1">SUM(T_AI9[[#This Row],[3]],AN17)*$BJ17</f>
        <v>0</v>
      </c>
      <c r="BA17" s="459">
        <f ca="1">SUM(T_AI9[[#This Row],[4]],AO17)*$BJ17</f>
        <v>0</v>
      </c>
      <c r="BB17" s="459">
        <f ca="1">SUM(T_AI9[[#This Row],[5]],AP17)*$BJ17</f>
        <v>0</v>
      </c>
      <c r="BC17" s="459">
        <f ca="1">SUM(T_AI9[[#This Row],[6]],AQ17)*$BJ17</f>
        <v>0</v>
      </c>
      <c r="BD17" s="459">
        <f ca="1">SUM(T_AI9[[#This Row],[7]],AR17)*$BJ17</f>
        <v>-468090</v>
      </c>
      <c r="BE17" s="459">
        <f ca="1">SUM(T_AI9[[#This Row],[8]],AS17)*$BJ17</f>
        <v>0</v>
      </c>
      <c r="BF17" s="459">
        <f ca="1">SUM(T_AI9[[#This Row],[9]],AT17)*$BJ17</f>
        <v>0</v>
      </c>
      <c r="BG17" s="459">
        <f ca="1">SUM(T_AI9[[#This Row],[10]],AU17)*$BJ17</f>
        <v>0</v>
      </c>
      <c r="BH17" s="459">
        <f ca="1">SUM(T_AI9[[#This Row],[11]],AV17)*$BJ17</f>
        <v>0</v>
      </c>
      <c r="BI17" s="459">
        <f ca="1">SUM(T_AI9[[#This Row],[12]],AW17)*$BJ17</f>
        <v>0</v>
      </c>
      <c r="BJ17" s="427">
        <f ca="1">INDEX('Tech list'!A:C,MATCH(T_AI9[[#This Row],[Risk CCY]],'Tech list'!A:A,0),3)</f>
        <v>1.3373999999999999</v>
      </c>
    </row>
    <row r="18" spans="1:62" s="70" customFormat="1" x14ac:dyDescent="0.25">
      <c r="A18" s="70" t="s">
        <v>1169</v>
      </c>
      <c r="B18" s="70" t="s">
        <v>1162</v>
      </c>
      <c r="C18" s="418" t="s">
        <v>1099</v>
      </c>
      <c r="D18" s="418" t="s">
        <v>18</v>
      </c>
      <c r="E18" s="419">
        <v>41514</v>
      </c>
      <c r="F18" s="425">
        <f>T_AI9[[#This Row],[Market value in CCY]]*BJ18</f>
        <v>227000</v>
      </c>
      <c r="G18" s="420">
        <f>IF(T_AI9[[#This Row],[MV Valuation]]="Cost",-T_AI9[[#This Row],[Funded to date, CCY]],SUM(T_AI9[[#This Row],[2026 Distribution, CCY]],T_AI9[[#This Row],[2027+ Distribution, CCY]])*T_AI9[[#This Row],[Val. Mult]]+T_AI9[[#This Row],[+Valuation]])</f>
        <v>227000</v>
      </c>
      <c r="H18" s="423">
        <v>1</v>
      </c>
      <c r="I18" s="423"/>
      <c r="J18" s="615" t="s">
        <v>2236</v>
      </c>
      <c r="K18" s="615"/>
      <c r="L18" s="488"/>
      <c r="M18" s="450">
        <f>-T_AI9[[#This Row],[Funded to date, CCY]]</f>
        <v>13631969</v>
      </c>
      <c r="N18" s="450">
        <v>-13631969</v>
      </c>
      <c r="O18" s="450">
        <v>6824543.5599999987</v>
      </c>
      <c r="P18" s="616">
        <f>IFERROR(-SUM(T_AI9[[#This Row],[Market value in CCY]],T_AI9[[#This Row],[Distribuitions, CCY]],T_AI9[[#This Row],[Funded to date, CCY]])/T_AI9[[#This Row],[Funded to date, CCY]],"")</f>
        <v>-0.4827201000823873</v>
      </c>
      <c r="Q18" s="423">
        <f t="shared" si="0"/>
        <v>0</v>
      </c>
      <c r="R18" s="423">
        <f>SUM(T_AI9[[#This Row],[2026 Distribution, CCY]:[2026 Capital calls, CCY]])*BJ18</f>
        <v>129000</v>
      </c>
      <c r="S18" s="424">
        <f>SUM(T_AI9[[#This Row],[2027+ Distribution, CCY]:[2027 Capital calls, CCY]])*BJ18</f>
        <v>98000</v>
      </c>
      <c r="T18" s="425">
        <f>SUM(T_AI9[[#This Row],[1]:[12]])</f>
        <v>129000</v>
      </c>
      <c r="U18" s="426">
        <f t="shared" si="3"/>
        <v>0</v>
      </c>
      <c r="V18" s="423">
        <v>98000</v>
      </c>
      <c r="W18" s="423"/>
      <c r="X18" s="423"/>
      <c r="Y18" s="423">
        <f>T_AI9[[#This Row],[Total coupon 2026, CCY]]*BJ18</f>
        <v>0</v>
      </c>
      <c r="Z18" s="434">
        <v>0</v>
      </c>
      <c r="AA18" s="434">
        <v>0</v>
      </c>
      <c r="AB18" s="434">
        <v>0</v>
      </c>
      <c r="AC18" s="434">
        <v>0</v>
      </c>
      <c r="AD18" s="434">
        <v>0</v>
      </c>
      <c r="AE18" s="434">
        <f>40000+89000</f>
        <v>129000</v>
      </c>
      <c r="AF18" s="434">
        <v>0</v>
      </c>
      <c r="AG18" s="434">
        <v>0</v>
      </c>
      <c r="AH18" s="434">
        <v>0</v>
      </c>
      <c r="AI18" s="434">
        <v>0</v>
      </c>
      <c r="AJ18" s="434">
        <v>0</v>
      </c>
      <c r="AK18" s="434">
        <v>0</v>
      </c>
      <c r="AL18" s="435">
        <v>0</v>
      </c>
      <c r="AM18" s="435">
        <v>0</v>
      </c>
      <c r="AN18" s="435">
        <v>0</v>
      </c>
      <c r="AO18" s="435">
        <v>0</v>
      </c>
      <c r="AP18" s="435">
        <v>0</v>
      </c>
      <c r="AQ18" s="435">
        <v>0</v>
      </c>
      <c r="AR18" s="435">
        <v>0</v>
      </c>
      <c r="AS18" s="435">
        <v>0</v>
      </c>
      <c r="AT18" s="435">
        <v>0</v>
      </c>
      <c r="AU18" s="435">
        <v>0</v>
      </c>
      <c r="AV18" s="435">
        <v>0</v>
      </c>
      <c r="AW18" s="435">
        <v>0</v>
      </c>
      <c r="AX18" s="458">
        <f>SUM(T_AI9[[#This Row],[1]],AL18)*$BJ18</f>
        <v>0</v>
      </c>
      <c r="AY18" s="458">
        <f>SUM(T_AI9[[#This Row],[2]],AM18)*$BJ18</f>
        <v>0</v>
      </c>
      <c r="AZ18" s="458">
        <f>SUM(T_AI9[[#This Row],[3]],AN18)*$BJ18</f>
        <v>0</v>
      </c>
      <c r="BA18" s="458">
        <f>SUM(T_AI9[[#This Row],[4]],AO18)*$BJ18</f>
        <v>0</v>
      </c>
      <c r="BB18" s="458">
        <f>SUM(T_AI9[[#This Row],[5]],AP18)*$BJ18</f>
        <v>0</v>
      </c>
      <c r="BC18" s="458">
        <f>SUM(T_AI9[[#This Row],[6]],AQ18)*$BJ18</f>
        <v>129000</v>
      </c>
      <c r="BD18" s="458">
        <f>SUM(T_AI9[[#This Row],[7]],AR18)*$BJ18</f>
        <v>0</v>
      </c>
      <c r="BE18" s="458">
        <f>SUM(T_AI9[[#This Row],[8]],AS18)*$BJ18</f>
        <v>0</v>
      </c>
      <c r="BF18" s="458">
        <f>SUM(T_AI9[[#This Row],[9]],AT18)*$BJ18</f>
        <v>0</v>
      </c>
      <c r="BG18" s="458">
        <f>SUM(T_AI9[[#This Row],[10]],AU18)*$BJ18</f>
        <v>0</v>
      </c>
      <c r="BH18" s="458">
        <f>SUM(T_AI9[[#This Row],[11]],AV18)*$BJ18</f>
        <v>0</v>
      </c>
      <c r="BI18" s="458">
        <f>SUM(T_AI9[[#This Row],[12]],AW18)*$BJ18</f>
        <v>0</v>
      </c>
      <c r="BJ18" s="70">
        <f>INDEX('Tech list'!A:C,MATCH(T_AI9[[#This Row],[Risk CCY]],'Tech list'!A:A,0),3)</f>
        <v>1</v>
      </c>
    </row>
    <row r="19" spans="1:62" s="70" customFormat="1" x14ac:dyDescent="0.25">
      <c r="A19" s="70" t="s">
        <v>1169</v>
      </c>
      <c r="B19" s="70" t="s">
        <v>1162</v>
      </c>
      <c r="C19" s="418" t="s">
        <v>1100</v>
      </c>
      <c r="D19" s="418" t="s">
        <v>18</v>
      </c>
      <c r="E19" s="419">
        <v>41530</v>
      </c>
      <c r="F19" s="425">
        <f>T_AI9[[#This Row],[Market value in CCY]]*BJ19</f>
        <v>0</v>
      </c>
      <c r="G19" s="420">
        <f>IF(T_AI9[[#This Row],[MV Valuation]]="Cost",-T_AI9[[#This Row],[Funded to date, CCY]],SUM(T_AI9[[#This Row],[2026 Distribution, CCY]],T_AI9[[#This Row],[2027+ Distribution, CCY]])*T_AI9[[#This Row],[Val. Mult]]+T_AI9[[#This Row],[+Valuation]])</f>
        <v>0</v>
      </c>
      <c r="H19" s="423">
        <v>1</v>
      </c>
      <c r="I19" s="423"/>
      <c r="J19" s="615" t="s">
        <v>2236</v>
      </c>
      <c r="K19" s="615"/>
      <c r="L19" s="488"/>
      <c r="M19" s="450">
        <f>-T_AI9[[#This Row],[Funded to date, CCY]]</f>
        <v>18996917.380000003</v>
      </c>
      <c r="N19" s="450">
        <v>-18996917.380000003</v>
      </c>
      <c r="O19" s="450">
        <v>10719570.5</v>
      </c>
      <c r="P19" s="616">
        <f>IFERROR(-SUM(T_AI9[[#This Row],[Market value in CCY]],T_AI9[[#This Row],[Distribuitions, CCY]],T_AI9[[#This Row],[Funded to date, CCY]])/T_AI9[[#This Row],[Funded to date, CCY]],"")</f>
        <v>-0.4357205284639713</v>
      </c>
      <c r="Q19" s="423">
        <f t="shared" si="0"/>
        <v>0</v>
      </c>
      <c r="R19" s="423">
        <f>SUM(T_AI9[[#This Row],[2026 Distribution, CCY]:[2026 Capital calls, CCY]])*BJ19</f>
        <v>0</v>
      </c>
      <c r="S19" s="424">
        <f>SUM(T_AI9[[#This Row],[2027+ Distribution, CCY]:[2027 Capital calls, CCY]])*BJ19</f>
        <v>0</v>
      </c>
      <c r="T19" s="425">
        <f>SUM(T_AI9[[#This Row],[1]:[12]])</f>
        <v>0</v>
      </c>
      <c r="U19" s="426">
        <f t="shared" si="3"/>
        <v>0</v>
      </c>
      <c r="V19" s="423"/>
      <c r="W19" s="423"/>
      <c r="X19" s="423"/>
      <c r="Y19" s="423">
        <f>T_AI9[[#This Row],[Total coupon 2026, CCY]]*BJ19</f>
        <v>0</v>
      </c>
      <c r="Z19" s="434">
        <v>0</v>
      </c>
      <c r="AA19" s="434">
        <v>0</v>
      </c>
      <c r="AB19" s="434">
        <v>0</v>
      </c>
      <c r="AC19" s="434">
        <v>0</v>
      </c>
      <c r="AD19" s="434">
        <v>0</v>
      </c>
      <c r="AE19" s="434">
        <v>0</v>
      </c>
      <c r="AF19" s="434">
        <v>0</v>
      </c>
      <c r="AG19" s="434">
        <v>0</v>
      </c>
      <c r="AH19" s="434">
        <v>0</v>
      </c>
      <c r="AI19" s="434">
        <v>0</v>
      </c>
      <c r="AJ19" s="434">
        <v>0</v>
      </c>
      <c r="AK19" s="434">
        <v>0</v>
      </c>
      <c r="AL19" s="435">
        <v>0</v>
      </c>
      <c r="AM19" s="435">
        <v>0</v>
      </c>
      <c r="AN19" s="435">
        <v>0</v>
      </c>
      <c r="AO19" s="435">
        <v>0</v>
      </c>
      <c r="AP19" s="435">
        <v>0</v>
      </c>
      <c r="AQ19" s="435">
        <v>0</v>
      </c>
      <c r="AR19" s="435">
        <v>0</v>
      </c>
      <c r="AS19" s="435">
        <v>0</v>
      </c>
      <c r="AT19" s="435">
        <v>0</v>
      </c>
      <c r="AU19" s="435">
        <v>0</v>
      </c>
      <c r="AV19" s="435">
        <v>0</v>
      </c>
      <c r="AW19" s="435">
        <v>0</v>
      </c>
      <c r="AX19" s="458">
        <f>SUM(T_AI9[[#This Row],[1]],AL19)*$BJ19</f>
        <v>0</v>
      </c>
      <c r="AY19" s="458">
        <f>SUM(T_AI9[[#This Row],[2]],AM19)*$BJ19</f>
        <v>0</v>
      </c>
      <c r="AZ19" s="458">
        <f>SUM(T_AI9[[#This Row],[3]],AN19)*$BJ19</f>
        <v>0</v>
      </c>
      <c r="BA19" s="458">
        <f>SUM(T_AI9[[#This Row],[4]],AO19)*$BJ19</f>
        <v>0</v>
      </c>
      <c r="BB19" s="458">
        <f>SUM(T_AI9[[#This Row],[5]],AP19)*$BJ19</f>
        <v>0</v>
      </c>
      <c r="BC19" s="458">
        <f>SUM(T_AI9[[#This Row],[6]],AQ19)*$BJ19</f>
        <v>0</v>
      </c>
      <c r="BD19" s="458">
        <f>SUM(T_AI9[[#This Row],[7]],AR19)*$BJ19</f>
        <v>0</v>
      </c>
      <c r="BE19" s="458">
        <f>SUM(T_AI9[[#This Row],[8]],AS19)*$BJ19</f>
        <v>0</v>
      </c>
      <c r="BF19" s="458">
        <f>SUM(T_AI9[[#This Row],[9]],AT19)*$BJ19</f>
        <v>0</v>
      </c>
      <c r="BG19" s="458">
        <f>SUM(T_AI9[[#This Row],[10]],AU19)*$BJ19</f>
        <v>0</v>
      </c>
      <c r="BH19" s="458">
        <f>SUM(T_AI9[[#This Row],[11]],AV19)*$BJ19</f>
        <v>0</v>
      </c>
      <c r="BI19" s="458">
        <f>SUM(T_AI9[[#This Row],[12]],AW19)*$BJ19</f>
        <v>0</v>
      </c>
      <c r="BJ19" s="70">
        <f>INDEX('Tech list'!A:C,MATCH(T_AI9[[#This Row],[Risk CCY]],'Tech list'!A:A,0),3)</f>
        <v>1</v>
      </c>
    </row>
    <row r="20" spans="1:62" s="70" customFormat="1" x14ac:dyDescent="0.25">
      <c r="A20" s="70" t="s">
        <v>1169</v>
      </c>
      <c r="B20" s="70" t="s">
        <v>1162</v>
      </c>
      <c r="C20" s="418" t="s">
        <v>1103</v>
      </c>
      <c r="D20" s="418" t="s">
        <v>18</v>
      </c>
      <c r="E20" s="419">
        <v>41673</v>
      </c>
      <c r="F20" s="425">
        <f>T_AI9[[#This Row],[Market value in CCY]]*BJ20</f>
        <v>1425000</v>
      </c>
      <c r="G20" s="420">
        <v>1425000</v>
      </c>
      <c r="H20" s="423">
        <v>1</v>
      </c>
      <c r="I20" s="423"/>
      <c r="J20" s="615" t="s">
        <v>2236</v>
      </c>
      <c r="K20" s="615"/>
      <c r="L20" s="488"/>
      <c r="M20" s="450">
        <f>-T_AI9[[#This Row],[Funded to date, CCY]]</f>
        <v>25633684.57</v>
      </c>
      <c r="N20" s="450">
        <v>-25633684.57</v>
      </c>
      <c r="O20" s="450">
        <v>12021232.199999999</v>
      </c>
      <c r="P20" s="616">
        <f>IFERROR(-SUM(T_AI9[[#This Row],[Market value in CCY]],T_AI9[[#This Row],[Distribuitions, CCY]],T_AI9[[#This Row],[Funded to date, CCY]])/T_AI9[[#This Row],[Funded to date, CCY]],"")</f>
        <v>-0.4754467636799824</v>
      </c>
      <c r="Q20" s="423">
        <f t="shared" si="0"/>
        <v>0</v>
      </c>
      <c r="R20" s="423">
        <f>SUM(T_AI9[[#This Row],[2026 Distribution, CCY]:[2026 Capital calls, CCY]])*BJ20</f>
        <v>1225000</v>
      </c>
      <c r="S20" s="424">
        <f>SUM(T_AI9[[#This Row],[2027+ Distribution, CCY]:[2027 Capital calls, CCY]])*BJ20</f>
        <v>200000</v>
      </c>
      <c r="T20" s="425">
        <f>SUM(T_AI9[[#This Row],[1]:[12]])</f>
        <v>1225000</v>
      </c>
      <c r="U20" s="426">
        <f t="shared" si="3"/>
        <v>0</v>
      </c>
      <c r="V20" s="423">
        <v>200000</v>
      </c>
      <c r="W20" s="423"/>
      <c r="X20" s="423"/>
      <c r="Y20" s="423">
        <f>T_AI9[[#This Row],[Total coupon 2026, CCY]]*BJ20</f>
        <v>0</v>
      </c>
      <c r="Z20" s="434">
        <v>0</v>
      </c>
      <c r="AA20" s="434">
        <v>0</v>
      </c>
      <c r="AB20" s="434">
        <v>0</v>
      </c>
      <c r="AC20" s="434">
        <v>0</v>
      </c>
      <c r="AD20" s="434">
        <v>0</v>
      </c>
      <c r="AE20" s="434">
        <v>675000</v>
      </c>
      <c r="AF20" s="434">
        <v>0</v>
      </c>
      <c r="AG20" s="434">
        <v>0</v>
      </c>
      <c r="AH20" s="434">
        <v>0</v>
      </c>
      <c r="AI20" s="434">
        <v>0</v>
      </c>
      <c r="AJ20" s="434">
        <v>0</v>
      </c>
      <c r="AK20" s="434">
        <v>550000</v>
      </c>
      <c r="AL20" s="435">
        <v>0</v>
      </c>
      <c r="AM20" s="435">
        <v>0</v>
      </c>
      <c r="AN20" s="435">
        <v>0</v>
      </c>
      <c r="AO20" s="435">
        <v>0</v>
      </c>
      <c r="AP20" s="435">
        <v>0</v>
      </c>
      <c r="AQ20" s="435">
        <v>0</v>
      </c>
      <c r="AR20" s="435">
        <v>0</v>
      </c>
      <c r="AS20" s="435">
        <v>0</v>
      </c>
      <c r="AT20" s="435">
        <v>0</v>
      </c>
      <c r="AU20" s="435">
        <v>0</v>
      </c>
      <c r="AV20" s="435">
        <v>0</v>
      </c>
      <c r="AW20" s="435">
        <v>0</v>
      </c>
      <c r="AX20" s="458">
        <f>SUM(T_AI9[[#This Row],[1]],AL20)*$BJ20</f>
        <v>0</v>
      </c>
      <c r="AY20" s="458">
        <f>SUM(T_AI9[[#This Row],[2]],AM20)*$BJ20</f>
        <v>0</v>
      </c>
      <c r="AZ20" s="458">
        <f>SUM(T_AI9[[#This Row],[3]],AN20)*$BJ20</f>
        <v>0</v>
      </c>
      <c r="BA20" s="458">
        <f>SUM(T_AI9[[#This Row],[4]],AO20)*$BJ20</f>
        <v>0</v>
      </c>
      <c r="BB20" s="458">
        <f>SUM(T_AI9[[#This Row],[5]],AP20)*$BJ20</f>
        <v>0</v>
      </c>
      <c r="BC20" s="458">
        <f>SUM(T_AI9[[#This Row],[6]],AQ20)*$BJ20</f>
        <v>675000</v>
      </c>
      <c r="BD20" s="458">
        <f>SUM(T_AI9[[#This Row],[7]],AR20)*$BJ20</f>
        <v>0</v>
      </c>
      <c r="BE20" s="458">
        <f>SUM(T_AI9[[#This Row],[8]],AS20)*$BJ20</f>
        <v>0</v>
      </c>
      <c r="BF20" s="458">
        <f>SUM(T_AI9[[#This Row],[9]],AT20)*$BJ20</f>
        <v>0</v>
      </c>
      <c r="BG20" s="458">
        <f>SUM(T_AI9[[#This Row],[10]],AU20)*$BJ20</f>
        <v>0</v>
      </c>
      <c r="BH20" s="458">
        <f>SUM(T_AI9[[#This Row],[11]],AV20)*$BJ20</f>
        <v>0</v>
      </c>
      <c r="BI20" s="458">
        <f>SUM(T_AI9[[#This Row],[12]],AW20)*$BJ20</f>
        <v>550000</v>
      </c>
      <c r="BJ20" s="70">
        <f>INDEX('Tech list'!A:C,MATCH(T_AI9[[#This Row],[Risk CCY]],'Tech list'!A:A,0),3)</f>
        <v>1</v>
      </c>
    </row>
    <row r="21" spans="1:62" s="70" customFormat="1" x14ac:dyDescent="0.25">
      <c r="A21" s="70" t="s">
        <v>1169</v>
      </c>
      <c r="B21" s="70" t="s">
        <v>1162</v>
      </c>
      <c r="C21" s="418" t="s">
        <v>1101</v>
      </c>
      <c r="D21" s="418" t="s">
        <v>18</v>
      </c>
      <c r="E21" s="419">
        <v>41813</v>
      </c>
      <c r="F21" s="425">
        <f>T_AI9[[#This Row],[Market value in CCY]]*BJ21</f>
        <v>3500000</v>
      </c>
      <c r="G21" s="420">
        <v>3500000</v>
      </c>
      <c r="H21" s="423">
        <v>1</v>
      </c>
      <c r="I21" s="423"/>
      <c r="J21" s="615" t="s">
        <v>2236</v>
      </c>
      <c r="K21" s="615"/>
      <c r="L21" s="420"/>
      <c r="M21" s="450">
        <f>-T_AI9[[#This Row],[Funded to date, CCY]]</f>
        <v>22164561.160000004</v>
      </c>
      <c r="N21" s="450">
        <v>-22164561.160000004</v>
      </c>
      <c r="O21" s="450">
        <v>18354522.609999999</v>
      </c>
      <c r="P21" s="616">
        <f>IFERROR(-SUM(T_AI9[[#This Row],[Market value in CCY]],T_AI9[[#This Row],[Distribuitions, CCY]],T_AI9[[#This Row],[Funded to date, CCY]])/T_AI9[[#This Row],[Funded to date, CCY]],"")</f>
        <v>-1.3988030160485452E-2</v>
      </c>
      <c r="Q21" s="423">
        <f t="shared" si="0"/>
        <v>0</v>
      </c>
      <c r="R21" s="423">
        <f>SUM(T_AI9[[#This Row],[2026 Distribution, CCY]:[2026 Capital calls, CCY]])*BJ21</f>
        <v>2550000</v>
      </c>
      <c r="S21" s="424">
        <f>SUM(T_AI9[[#This Row],[2027+ Distribution, CCY]:[2027 Capital calls, CCY]])*BJ21</f>
        <v>0</v>
      </c>
      <c r="T21" s="425">
        <f>SUM(T_AI9[[#This Row],[1]:[12]])</f>
        <v>2550000</v>
      </c>
      <c r="U21" s="426">
        <f t="shared" si="3"/>
        <v>0</v>
      </c>
      <c r="V21" s="423"/>
      <c r="W21" s="423"/>
      <c r="X21" s="423"/>
      <c r="Y21" s="423">
        <f>T_AI9[[#This Row],[Total coupon 2026, CCY]]*BJ21</f>
        <v>0</v>
      </c>
      <c r="Z21" s="434">
        <v>0</v>
      </c>
      <c r="AA21" s="434">
        <v>0</v>
      </c>
      <c r="AB21" s="434">
        <v>0</v>
      </c>
      <c r="AC21" s="434">
        <v>0</v>
      </c>
      <c r="AD21" s="434">
        <v>0</v>
      </c>
      <c r="AE21" s="434">
        <v>2550000</v>
      </c>
      <c r="AF21" s="434">
        <v>0</v>
      </c>
      <c r="AG21" s="434">
        <v>0</v>
      </c>
      <c r="AH21" s="434">
        <v>0</v>
      </c>
      <c r="AI21" s="434">
        <v>0</v>
      </c>
      <c r="AJ21" s="434">
        <v>0</v>
      </c>
      <c r="AK21" s="434">
        <v>0</v>
      </c>
      <c r="AL21" s="435">
        <v>0</v>
      </c>
      <c r="AM21" s="435">
        <v>0</v>
      </c>
      <c r="AN21" s="435">
        <v>0</v>
      </c>
      <c r="AO21" s="435">
        <v>0</v>
      </c>
      <c r="AP21" s="435">
        <v>0</v>
      </c>
      <c r="AQ21" s="435">
        <v>0</v>
      </c>
      <c r="AR21" s="435">
        <v>0</v>
      </c>
      <c r="AS21" s="435">
        <v>0</v>
      </c>
      <c r="AT21" s="435">
        <v>0</v>
      </c>
      <c r="AU21" s="435">
        <v>0</v>
      </c>
      <c r="AV21" s="435">
        <v>0</v>
      </c>
      <c r="AW21" s="435">
        <v>0</v>
      </c>
      <c r="AX21" s="458">
        <f>SUM(T_AI9[[#This Row],[1]],AL21)*$BJ21</f>
        <v>0</v>
      </c>
      <c r="AY21" s="458">
        <f>SUM(T_AI9[[#This Row],[2]],AM21)*$BJ21</f>
        <v>0</v>
      </c>
      <c r="AZ21" s="458">
        <f>SUM(T_AI9[[#This Row],[3]],AN21)*$BJ21</f>
        <v>0</v>
      </c>
      <c r="BA21" s="458">
        <f>SUM(T_AI9[[#This Row],[4]],AO21)*$BJ21</f>
        <v>0</v>
      </c>
      <c r="BB21" s="458">
        <f>SUM(T_AI9[[#This Row],[5]],AP21)*$BJ21</f>
        <v>0</v>
      </c>
      <c r="BC21" s="458">
        <f>SUM(T_AI9[[#This Row],[6]],AQ21)*$BJ21</f>
        <v>2550000</v>
      </c>
      <c r="BD21" s="458">
        <f>SUM(T_AI9[[#This Row],[7]],AR21)*$BJ21</f>
        <v>0</v>
      </c>
      <c r="BE21" s="458">
        <f>SUM(T_AI9[[#This Row],[8]],AS21)*$BJ21</f>
        <v>0</v>
      </c>
      <c r="BF21" s="458">
        <f>SUM(T_AI9[[#This Row],[9]],AT21)*$BJ21</f>
        <v>0</v>
      </c>
      <c r="BG21" s="458">
        <f>SUM(T_AI9[[#This Row],[10]],AU21)*$BJ21</f>
        <v>0</v>
      </c>
      <c r="BH21" s="458">
        <f>SUM(T_AI9[[#This Row],[11]],AV21)*$BJ21</f>
        <v>0</v>
      </c>
      <c r="BI21" s="458">
        <f>SUM(T_AI9[[#This Row],[12]],AW21)*$BJ21</f>
        <v>0</v>
      </c>
      <c r="BJ21" s="70">
        <f>INDEX('Tech list'!A:C,MATCH(T_AI9[[#This Row],[Risk CCY]],'Tech list'!A:A,0),3)</f>
        <v>1</v>
      </c>
    </row>
    <row r="22" spans="1:62" s="70" customFormat="1" x14ac:dyDescent="0.25">
      <c r="A22" s="70" t="s">
        <v>1169</v>
      </c>
      <c r="B22" s="70" t="s">
        <v>1162</v>
      </c>
      <c r="C22" s="418" t="s">
        <v>1102</v>
      </c>
      <c r="D22" s="418" t="s">
        <v>18</v>
      </c>
      <c r="E22" s="419">
        <v>41934</v>
      </c>
      <c r="F22" s="425">
        <f>T_AI9[[#This Row],[Market value in CCY]]*BJ22</f>
        <v>4800000</v>
      </c>
      <c r="G22" s="420">
        <v>4800000</v>
      </c>
      <c r="H22" s="423">
        <v>1</v>
      </c>
      <c r="I22" s="423"/>
      <c r="J22" s="615" t="s">
        <v>2236</v>
      </c>
      <c r="K22" s="615"/>
      <c r="L22" s="420"/>
      <c r="M22" s="450">
        <f>-T_AI9[[#This Row],[Funded to date, CCY]]</f>
        <v>12713120.92</v>
      </c>
      <c r="N22" s="450">
        <f>-12588120.92-125000</f>
        <v>-12713120.92</v>
      </c>
      <c r="O22" s="450">
        <v>1078528.02</v>
      </c>
      <c r="P22" s="616">
        <f>IFERROR(-SUM(T_AI9[[#This Row],[Market value in CCY]],T_AI9[[#This Row],[Distribuitions, CCY]],T_AI9[[#This Row],[Funded to date, CCY]])/T_AI9[[#This Row],[Funded to date, CCY]],"")</f>
        <v>-0.53760150186630962</v>
      </c>
      <c r="Q22" s="423">
        <f t="shared" si="0"/>
        <v>0</v>
      </c>
      <c r="R22" s="423">
        <f>SUM(T_AI9[[#This Row],[2026 Distribution, CCY]:[2026 Capital calls, CCY]])*BJ22</f>
        <v>4800000</v>
      </c>
      <c r="S22" s="424">
        <f>SUM(T_AI9[[#This Row],[2027+ Distribution, CCY]:[2027 Capital calls, CCY]])*BJ22</f>
        <v>0</v>
      </c>
      <c r="T22" s="425">
        <f>SUM(T_AI9[[#This Row],[1]:[12]])</f>
        <v>4800000</v>
      </c>
      <c r="U22" s="426">
        <f t="shared" si="3"/>
        <v>0</v>
      </c>
      <c r="V22" s="423"/>
      <c r="W22" s="423"/>
      <c r="X22" s="423"/>
      <c r="Y22" s="423">
        <f>T_AI9[[#This Row],[Total coupon 2026, CCY]]*BJ22</f>
        <v>0</v>
      </c>
      <c r="Z22" s="463">
        <v>0</v>
      </c>
      <c r="AA22" s="463">
        <v>0</v>
      </c>
      <c r="AB22" s="463"/>
      <c r="AC22" s="463">
        <v>0</v>
      </c>
      <c r="AD22" s="463">
        <v>0</v>
      </c>
      <c r="AE22" s="434">
        <v>4800000</v>
      </c>
      <c r="AF22" s="463">
        <v>0</v>
      </c>
      <c r="AG22" s="463">
        <v>0</v>
      </c>
      <c r="AH22" s="463">
        <v>0</v>
      </c>
      <c r="AI22" s="463">
        <v>0</v>
      </c>
      <c r="AJ22" s="463">
        <v>0</v>
      </c>
      <c r="AK22" s="463">
        <v>0</v>
      </c>
      <c r="AL22" s="435">
        <v>0</v>
      </c>
      <c r="AM22" s="435">
        <v>0</v>
      </c>
      <c r="AN22" s="435">
        <v>0</v>
      </c>
      <c r="AO22" s="435">
        <v>0</v>
      </c>
      <c r="AP22" s="435">
        <v>0</v>
      </c>
      <c r="AQ22" s="435">
        <v>0</v>
      </c>
      <c r="AR22" s="435">
        <v>0</v>
      </c>
      <c r="AS22" s="435">
        <v>0</v>
      </c>
      <c r="AT22" s="435">
        <v>0</v>
      </c>
      <c r="AU22" s="435">
        <v>0</v>
      </c>
      <c r="AV22" s="435">
        <v>0</v>
      </c>
      <c r="AW22" s="435">
        <v>0</v>
      </c>
      <c r="AX22" s="458">
        <f>SUM(T_AI9[[#This Row],[1]],AL22)*$BJ22</f>
        <v>0</v>
      </c>
      <c r="AY22" s="458">
        <f>SUM(T_AI9[[#This Row],[2]],AM22)*$BJ22</f>
        <v>0</v>
      </c>
      <c r="AZ22" s="458">
        <f>SUM(T_AI9[[#This Row],[3]],AN22)*$BJ22</f>
        <v>0</v>
      </c>
      <c r="BA22" s="458">
        <f>SUM(T_AI9[[#This Row],[4]],AO22)*$BJ22</f>
        <v>0</v>
      </c>
      <c r="BB22" s="458">
        <f>SUM(T_AI9[[#This Row],[5]],AP22)*$BJ22</f>
        <v>0</v>
      </c>
      <c r="BC22" s="458">
        <f>SUM(T_AI9[[#This Row],[6]],AQ22)*$BJ22</f>
        <v>4800000</v>
      </c>
      <c r="BD22" s="458">
        <f>SUM(T_AI9[[#This Row],[7]],AR22)*$BJ22</f>
        <v>0</v>
      </c>
      <c r="BE22" s="458">
        <f>SUM(T_AI9[[#This Row],[8]],AS22)*$BJ22</f>
        <v>0</v>
      </c>
      <c r="BF22" s="458">
        <f>SUM(T_AI9[[#This Row],[9]],AT22)*$BJ22</f>
        <v>0</v>
      </c>
      <c r="BG22" s="458">
        <f>SUM(T_AI9[[#This Row],[10]],AU22)*$BJ22</f>
        <v>0</v>
      </c>
      <c r="BH22" s="458">
        <f>SUM(T_AI9[[#This Row],[11]],AV22)*$BJ22</f>
        <v>0</v>
      </c>
      <c r="BI22" s="458">
        <f>SUM(T_AI9[[#This Row],[12]],AW22)*$BJ22</f>
        <v>0</v>
      </c>
      <c r="BJ22" s="70">
        <f>INDEX('Tech list'!A:C,MATCH(T_AI9[[#This Row],[Risk CCY]],'Tech list'!A:A,0),3)</f>
        <v>1</v>
      </c>
    </row>
    <row r="23" spans="1:62" x14ac:dyDescent="0.25">
      <c r="C23" s="319"/>
      <c r="D23" s="319"/>
      <c r="AX23" s="410">
        <f ca="1">SUM(AX2:AX22)</f>
        <v>-440605.95179999998</v>
      </c>
      <c r="AY23" s="410">
        <f t="shared" ref="AY23:BI23" ca="1" si="4">SUM(AY2:AY22)</f>
        <v>-301573.44180000003</v>
      </c>
      <c r="AZ23" s="410">
        <f t="shared" ca="1" si="4"/>
        <v>43286.212200000002</v>
      </c>
      <c r="BA23" s="410">
        <f t="shared" ca="1" si="4"/>
        <v>153059.00820000001</v>
      </c>
      <c r="BB23" s="410">
        <f t="shared" ca="1" si="4"/>
        <v>137036.45819999999</v>
      </c>
      <c r="BC23" s="410">
        <f t="shared" ca="1" si="4"/>
        <v>9164366.2122000009</v>
      </c>
      <c r="BD23" s="410">
        <f t="shared" ca="1" si="4"/>
        <v>-287260.59179999999</v>
      </c>
      <c r="BE23" s="410">
        <f t="shared" ca="1" si="4"/>
        <v>167121.0582</v>
      </c>
      <c r="BF23" s="410">
        <f t="shared" ca="1" si="4"/>
        <v>1397505.9582928498</v>
      </c>
      <c r="BG23" s="410">
        <f t="shared" ca="1" si="4"/>
        <v>180829.40820000001</v>
      </c>
      <c r="BH23" s="410">
        <f t="shared" ca="1" si="4"/>
        <v>167121.0582</v>
      </c>
      <c r="BI23" s="410">
        <f t="shared" ca="1" si="4"/>
        <v>623115.21219999995</v>
      </c>
    </row>
    <row r="24" spans="1:62" x14ac:dyDescent="0.25">
      <c r="AX24" s="408">
        <f t="shared" ref="AX24:BI24" ca="1" si="5">SUM(AX5:AX12)</f>
        <v>85339.048200000005</v>
      </c>
      <c r="AY24" s="408">
        <f t="shared" ca="1" si="5"/>
        <v>-133793.9418</v>
      </c>
      <c r="AZ24" s="408">
        <f t="shared" ca="1" si="5"/>
        <v>66428.212200000009</v>
      </c>
      <c r="BA24" s="408">
        <f t="shared" ca="1" si="5"/>
        <v>180829.40820000001</v>
      </c>
      <c r="BB24" s="408">
        <f t="shared" ca="1" si="5"/>
        <v>167121.0582</v>
      </c>
      <c r="BC24" s="408">
        <f t="shared" ca="1" si="5"/>
        <v>73115.212200000009</v>
      </c>
      <c r="BD24" s="408">
        <f t="shared" ca="1" si="5"/>
        <v>180829.40820000001</v>
      </c>
      <c r="BE24" s="408">
        <f t="shared" ca="1" si="5"/>
        <v>167121.0582</v>
      </c>
      <c r="BF24" s="408">
        <f t="shared" ca="1" si="5"/>
        <v>1397505.9582928498</v>
      </c>
      <c r="BG24" s="408">
        <f t="shared" ca="1" si="5"/>
        <v>180829.40820000001</v>
      </c>
      <c r="BH24" s="408">
        <f t="shared" ca="1" si="5"/>
        <v>167121.0582</v>
      </c>
      <c r="BI24" s="408">
        <f t="shared" ca="1" si="5"/>
        <v>73115.212200000009</v>
      </c>
    </row>
    <row r="25" spans="1:62" x14ac:dyDescent="0.25">
      <c r="AX25" s="408">
        <f>SUM(AX18:AX22)</f>
        <v>0</v>
      </c>
      <c r="AY25" s="408">
        <f t="shared" ref="AY25:BI25" si="6">SUM(AY18:AY22)</f>
        <v>0</v>
      </c>
      <c r="AZ25" s="408">
        <f t="shared" si="6"/>
        <v>0</v>
      </c>
      <c r="BA25" s="408">
        <f t="shared" si="6"/>
        <v>0</v>
      </c>
      <c r="BB25" s="408">
        <f t="shared" si="6"/>
        <v>0</v>
      </c>
      <c r="BC25" s="408">
        <f t="shared" si="6"/>
        <v>8154000</v>
      </c>
      <c r="BD25" s="408">
        <f t="shared" si="6"/>
        <v>0</v>
      </c>
      <c r="BE25" s="408">
        <f t="shared" si="6"/>
        <v>0</v>
      </c>
      <c r="BF25" s="408">
        <f t="shared" si="6"/>
        <v>0</v>
      </c>
      <c r="BG25" s="408">
        <f t="shared" si="6"/>
        <v>0</v>
      </c>
      <c r="BH25" s="408">
        <f t="shared" si="6"/>
        <v>0</v>
      </c>
      <c r="BI25" s="408">
        <f t="shared" si="6"/>
        <v>550000</v>
      </c>
    </row>
    <row r="26" spans="1:62" x14ac:dyDescent="0.25">
      <c r="Q26" s="462"/>
    </row>
    <row r="27" spans="1:62" x14ac:dyDescent="0.25">
      <c r="Y27">
        <v>1647120</v>
      </c>
      <c r="AW27" t="s">
        <v>1197</v>
      </c>
      <c r="AX27" s="408">
        <f ca="1">SUM(Z2:Z17)*$BJ$5</f>
        <v>133740</v>
      </c>
      <c r="AY27" s="408">
        <f t="shared" ref="AY27:BI27" ca="1" si="7">SUM(AA2:AA17)*$BJ$5</f>
        <v>185096.16</v>
      </c>
      <c r="AZ27" s="408">
        <f t="shared" ca="1" si="7"/>
        <v>185096.16</v>
      </c>
      <c r="BA27" s="408">
        <f t="shared" ca="1" si="7"/>
        <v>185096.16</v>
      </c>
      <c r="BB27" s="408">
        <f t="shared" ca="1" si="7"/>
        <v>185096.16</v>
      </c>
      <c r="BC27" s="408">
        <f t="shared" ca="1" si="7"/>
        <v>3943190.1599999997</v>
      </c>
      <c r="BD27" s="408">
        <f t="shared" ca="1" si="7"/>
        <v>185096.16</v>
      </c>
      <c r="BE27" s="408">
        <f t="shared" ca="1" si="7"/>
        <v>185096.16</v>
      </c>
      <c r="BF27" s="408">
        <f t="shared" ca="1" si="7"/>
        <v>1509486.90609285</v>
      </c>
      <c r="BG27" s="408">
        <f t="shared" ca="1" si="7"/>
        <v>185096.16</v>
      </c>
      <c r="BH27" s="408">
        <f t="shared" ca="1" si="7"/>
        <v>185096.16</v>
      </c>
      <c r="BI27" s="408">
        <f t="shared" ca="1" si="7"/>
        <v>185096.16</v>
      </c>
    </row>
    <row r="28" spans="1:62" x14ac:dyDescent="0.25">
      <c r="Q28" t="s">
        <v>1355</v>
      </c>
      <c r="AW28" t="s">
        <v>1198</v>
      </c>
      <c r="AX28" s="408">
        <f ca="1">SUM(AL2:AL17)*$BJ$5</f>
        <v>-583360.95179999992</v>
      </c>
      <c r="AY28" s="408">
        <f t="shared" ref="AY28:BI28" ca="1" si="8">SUM(AM2:AM17)*$BJ$5</f>
        <v>-512813.10179999995</v>
      </c>
      <c r="AZ28" s="408">
        <f t="shared" ca="1" si="8"/>
        <v>-145415.94779999999</v>
      </c>
      <c r="BA28" s="408">
        <f t="shared" ca="1" si="8"/>
        <v>-36364.351799999997</v>
      </c>
      <c r="BB28" s="408">
        <f t="shared" ca="1" si="8"/>
        <v>-52747.501799999998</v>
      </c>
      <c r="BC28" s="408">
        <f t="shared" ca="1" si="8"/>
        <v>-111980.94779999998</v>
      </c>
      <c r="BD28" s="408">
        <f t="shared" ca="1" si="8"/>
        <v>-472356.75179999997</v>
      </c>
      <c r="BE28" s="408">
        <f t="shared" ca="1" si="8"/>
        <v>-17975.1018</v>
      </c>
      <c r="BF28" s="408">
        <f t="shared" ca="1" si="8"/>
        <v>-111980.94779999998</v>
      </c>
      <c r="BG28" s="408">
        <f t="shared" ca="1" si="8"/>
        <v>-4266.7518</v>
      </c>
      <c r="BH28" s="408">
        <f t="shared" ca="1" si="8"/>
        <v>-17975.1018</v>
      </c>
      <c r="BI28" s="408">
        <f t="shared" ca="1" si="8"/>
        <v>-111980.94779999998</v>
      </c>
    </row>
    <row r="29" spans="1:62" x14ac:dyDescent="0.25">
      <c r="Q29" s="420">
        <v>227000</v>
      </c>
      <c r="AW29" t="s">
        <v>1202</v>
      </c>
      <c r="AX29" s="408">
        <f>SUM(AX18:AX22)</f>
        <v>0</v>
      </c>
      <c r="AY29" s="408">
        <f t="shared" ref="AY29:BI29" si="9">SUM(AY18:AY22)</f>
        <v>0</v>
      </c>
      <c r="AZ29" s="408">
        <f t="shared" si="9"/>
        <v>0</v>
      </c>
      <c r="BA29" s="408">
        <f t="shared" si="9"/>
        <v>0</v>
      </c>
      <c r="BB29" s="408">
        <f t="shared" si="9"/>
        <v>0</v>
      </c>
      <c r="BC29" s="408">
        <f t="shared" si="9"/>
        <v>8154000</v>
      </c>
      <c r="BD29" s="408">
        <f t="shared" si="9"/>
        <v>0</v>
      </c>
      <c r="BE29" s="408">
        <f t="shared" si="9"/>
        <v>0</v>
      </c>
      <c r="BF29" s="408">
        <f t="shared" si="9"/>
        <v>0</v>
      </c>
      <c r="BG29" s="408">
        <f t="shared" si="9"/>
        <v>0</v>
      </c>
      <c r="BH29" s="408">
        <f t="shared" si="9"/>
        <v>0</v>
      </c>
      <c r="BI29" s="408">
        <f t="shared" si="9"/>
        <v>550000</v>
      </c>
    </row>
    <row r="30" spans="1:62" x14ac:dyDescent="0.25">
      <c r="Q30" s="420">
        <v>0</v>
      </c>
    </row>
    <row r="31" spans="1:62" x14ac:dyDescent="0.25">
      <c r="Q31" s="420">
        <v>1425000</v>
      </c>
    </row>
    <row r="32" spans="1:62" ht="15.75" x14ac:dyDescent="0.25">
      <c r="Q32" s="420">
        <v>3500000</v>
      </c>
      <c r="U32" s="462"/>
      <c r="BJ32" s="653"/>
    </row>
    <row r="33" spans="17:17" x14ac:dyDescent="0.25">
      <c r="Q33" s="420">
        <v>4800000</v>
      </c>
    </row>
    <row r="35" spans="17:17" x14ac:dyDescent="0.25">
      <c r="Q35" t="s">
        <v>2506</v>
      </c>
    </row>
    <row r="36" spans="17:17" x14ac:dyDescent="0.25">
      <c r="Q36">
        <f ca="1">27346000/2/BJ2</f>
        <v>11816610.491746608</v>
      </c>
    </row>
    <row r="38" spans="17:17" x14ac:dyDescent="0.25">
      <c r="Q38" s="25">
        <f ca="1">SUM(Q29:Q36)</f>
        <v>21768610.491746608</v>
      </c>
    </row>
    <row r="55" spans="6:6" x14ac:dyDescent="0.25">
      <c r="F55" s="25">
        <f ca="1">SUM(T_AI9[Market value in USD])</f>
        <v>72058224.292171001</v>
      </c>
    </row>
  </sheetData>
  <phoneticPr fontId="11" type="noConversion"/>
  <pageMargins left="0.7" right="0.7" top="0.75" bottom="0.75" header="0.3" footer="0.3"/>
  <ignoredErrors>
    <ignoredError sqref="Z5:AC5 Z9 Z8:AG8 AI7:AK7 Z18:AA21 Z12:AK12 AC9:AJ9 Z22:AA22 AC22:AD22 AF18:AK19 AF21:AK21 AF20:AJ20 AF22:AK22 AE5:AK5 Z11:AC11 AE11:AK11 AI8:AJ8 Z7:AB7 AE7:AG7" calculatedColumn="1"/>
  </ignoredErrors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198EA93-26DF-4C99-BA78-7FD491408829}">
          <x14:formula1>
            <xm:f>'Tech list'!$I$1:$I$2</xm:f>
          </x14:formula1>
          <xm:sqref>J2:K22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A671B-0CAF-478D-8387-3B40A3625D68}">
  <sheetPr>
    <tabColor rgb="FFE3DACF"/>
  </sheetPr>
  <dimension ref="A1:BW500"/>
  <sheetViews>
    <sheetView zoomScale="83" zoomScaleNormal="100" workbookViewId="0">
      <selection activeCell="N6" sqref="N6"/>
    </sheetView>
  </sheetViews>
  <sheetFormatPr defaultColWidth="9.140625" defaultRowHeight="15" x14ac:dyDescent="0.25"/>
  <cols>
    <col min="1" max="1" width="7.85546875" style="497" customWidth="1"/>
    <col min="2" max="2" width="13.140625" style="497" customWidth="1"/>
    <col min="3" max="3" width="11" style="497" customWidth="1"/>
    <col min="4" max="4" width="34.28515625" style="497" customWidth="1"/>
    <col min="5" max="5" width="22.5703125" style="497" customWidth="1"/>
    <col min="6" max="9" width="21.5703125" style="545" hidden="1" customWidth="1"/>
    <col min="10" max="10" width="21.5703125" style="620" customWidth="1"/>
    <col min="11" max="18" width="21.5703125" style="545" customWidth="1"/>
    <col min="19" max="20" width="9.140625" style="497"/>
    <col min="21" max="21" width="17" style="497" customWidth="1"/>
    <col min="22" max="22" width="14" style="497" bestFit="1" customWidth="1"/>
    <col min="23" max="24" width="24.85546875" style="497" bestFit="1" customWidth="1"/>
    <col min="25" max="25" width="14" style="497" hidden="1" customWidth="1"/>
    <col min="26" max="26" width="15.5703125" style="497" bestFit="1" customWidth="1"/>
    <col min="27" max="27" width="16.28515625" style="497" customWidth="1"/>
    <col min="28" max="28" width="22.42578125" style="497" bestFit="1" customWidth="1"/>
    <col min="29" max="30" width="15.85546875" style="497" customWidth="1"/>
    <col min="31" max="31" width="19.5703125" style="497" customWidth="1"/>
    <col min="32" max="38" width="15.5703125" style="497" hidden="1" customWidth="1"/>
    <col min="39" max="40" width="15.5703125" style="497" customWidth="1"/>
    <col min="41" max="41" width="14.5703125" style="497" customWidth="1"/>
    <col min="42" max="42" width="41.28515625" style="497" bestFit="1" customWidth="1"/>
    <col min="43" max="43" width="15.85546875" style="497" bestFit="1" customWidth="1"/>
    <col min="44" max="44" width="13.42578125" style="497" customWidth="1"/>
    <col min="45" max="45" width="21.140625" style="502" customWidth="1"/>
    <col min="46" max="46" width="9.140625" style="497"/>
    <col min="47" max="47" width="19.85546875" style="502" customWidth="1"/>
    <col min="48" max="48" width="14.85546875" style="497" customWidth="1"/>
    <col min="49" max="50" width="9.140625" style="497"/>
    <col min="51" max="51" width="9.140625" style="497" customWidth="1"/>
    <col min="52" max="53" width="14" style="497" customWidth="1"/>
    <col min="54" max="54" width="41.28515625" style="497" bestFit="1" customWidth="1"/>
    <col min="55" max="55" width="15.85546875" style="497" bestFit="1" customWidth="1"/>
    <col min="56" max="56" width="13.42578125" style="497" customWidth="1"/>
    <col min="57" max="57" width="21.140625" style="502" customWidth="1"/>
    <col min="58" max="58" width="9.140625" style="497"/>
    <col min="59" max="59" width="19.85546875" style="502" customWidth="1"/>
    <col min="60" max="60" width="14.85546875" style="497" customWidth="1"/>
    <col min="61" max="62" width="9.140625" style="497"/>
    <col min="63" max="63" width="17" style="497" bestFit="1" customWidth="1"/>
    <col min="64" max="65" width="13.85546875" style="497" customWidth="1"/>
    <col min="66" max="66" width="41.28515625" style="497" bestFit="1" customWidth="1"/>
    <col min="67" max="67" width="15.85546875" style="497" bestFit="1" customWidth="1"/>
    <col min="68" max="68" width="13.42578125" style="497" customWidth="1"/>
    <col min="69" max="69" width="21.140625" style="502" customWidth="1"/>
    <col min="70" max="70" width="9.140625" style="497"/>
    <col min="71" max="71" width="19.85546875" style="502" customWidth="1"/>
    <col min="72" max="72" width="14.85546875" style="497" customWidth="1"/>
    <col min="73" max="74" width="9.140625" style="497"/>
    <col min="75" max="75" width="17" style="497" bestFit="1" customWidth="1"/>
    <col min="76" max="16384" width="9.140625" style="497"/>
  </cols>
  <sheetData>
    <row r="1" spans="1:75" ht="30" x14ac:dyDescent="0.25">
      <c r="A1" s="548" t="s">
        <v>227</v>
      </c>
      <c r="B1" s="548" t="s">
        <v>375</v>
      </c>
      <c r="C1" s="548" t="s">
        <v>231</v>
      </c>
      <c r="D1" s="548" t="s">
        <v>47</v>
      </c>
      <c r="E1" s="548" t="s">
        <v>48</v>
      </c>
      <c r="F1" s="617" t="s">
        <v>2242</v>
      </c>
      <c r="G1" s="495" t="s">
        <v>2226</v>
      </c>
      <c r="H1" s="495" t="s">
        <v>2228</v>
      </c>
      <c r="I1" s="495" t="s">
        <v>2227</v>
      </c>
      <c r="J1" s="618" t="s">
        <v>2243</v>
      </c>
      <c r="K1" s="496" t="s">
        <v>2224</v>
      </c>
      <c r="L1" s="496" t="s">
        <v>2229</v>
      </c>
      <c r="M1" s="496" t="s">
        <v>2225</v>
      </c>
      <c r="N1" s="497"/>
      <c r="O1" s="497"/>
      <c r="P1" s="497"/>
      <c r="Q1" s="497"/>
      <c r="R1" s="497"/>
      <c r="U1" s="629" t="s">
        <v>2211</v>
      </c>
      <c r="V1" s="629" t="s">
        <v>1108</v>
      </c>
      <c r="W1" s="629" t="s">
        <v>2538</v>
      </c>
      <c r="X1" s="629" t="s">
        <v>2537</v>
      </c>
      <c r="Y1" s="629" t="s">
        <v>1236</v>
      </c>
      <c r="Z1" s="642" t="s">
        <v>11</v>
      </c>
      <c r="AA1" s="642" t="s">
        <v>1237</v>
      </c>
      <c r="AB1" s="642" t="s">
        <v>1238</v>
      </c>
      <c r="AC1" s="642" t="s">
        <v>1239</v>
      </c>
      <c r="AD1" s="642" t="s">
        <v>1240</v>
      </c>
      <c r="AE1" s="642" t="s">
        <v>1241</v>
      </c>
      <c r="AF1" s="554" t="s">
        <v>1242</v>
      </c>
      <c r="AG1" s="497" t="s">
        <v>1243</v>
      </c>
      <c r="AH1" s="497" t="s">
        <v>1244</v>
      </c>
      <c r="AI1" s="498">
        <v>46023</v>
      </c>
      <c r="AJ1" s="498">
        <v>45658</v>
      </c>
      <c r="AK1" s="498" t="s">
        <v>2329</v>
      </c>
      <c r="AL1" s="498" t="s">
        <v>2231</v>
      </c>
      <c r="AN1" s="499" t="s">
        <v>1245</v>
      </c>
      <c r="AO1" s="548" t="s">
        <v>2588</v>
      </c>
      <c r="AP1" s="548" t="s">
        <v>47</v>
      </c>
      <c r="AQ1" s="548" t="s">
        <v>48</v>
      </c>
      <c r="AR1" s="548" t="s">
        <v>1246</v>
      </c>
      <c r="AS1" s="548" t="s">
        <v>1247</v>
      </c>
      <c r="AT1" s="560" t="s">
        <v>1248</v>
      </c>
      <c r="AU1" s="548" t="s">
        <v>1249</v>
      </c>
      <c r="AV1" s="560" t="s">
        <v>1250</v>
      </c>
      <c r="AZ1" s="499" t="s">
        <v>2234</v>
      </c>
      <c r="BA1" s="548" t="s">
        <v>2587</v>
      </c>
      <c r="BB1" s="548" t="s">
        <v>47</v>
      </c>
      <c r="BC1" s="548" t="s">
        <v>48</v>
      </c>
      <c r="BD1" s="548" t="s">
        <v>1246</v>
      </c>
      <c r="BE1" s="548" t="s">
        <v>1247</v>
      </c>
      <c r="BF1" s="560" t="s">
        <v>1248</v>
      </c>
      <c r="BG1" s="548" t="s">
        <v>1249</v>
      </c>
      <c r="BH1" s="560" t="s">
        <v>1250</v>
      </c>
      <c r="BL1" s="499" t="s">
        <v>1251</v>
      </c>
      <c r="BM1" s="548" t="s">
        <v>2586</v>
      </c>
      <c r="BN1" s="548" t="s">
        <v>47</v>
      </c>
      <c r="BO1" s="548" t="s">
        <v>48</v>
      </c>
      <c r="BP1" s="548" t="s">
        <v>1246</v>
      </c>
      <c r="BQ1" s="548" t="s">
        <v>1247</v>
      </c>
      <c r="BR1" s="560" t="s">
        <v>1248</v>
      </c>
      <c r="BS1" s="548" t="s">
        <v>1249</v>
      </c>
      <c r="BT1" s="560" t="s">
        <v>1250</v>
      </c>
    </row>
    <row r="2" spans="1:75" x14ac:dyDescent="0.25">
      <c r="A2" s="497" t="s">
        <v>90</v>
      </c>
      <c r="B2" s="497" t="str">
        <f>IFERROR(IF(VLOOKUP(D2,'JPM St'!$C:$G,3,0)="Fixed Income &amp; Cash","Cash",VLOOKUP(D2,'JPM St'!$C:$G,3,0)),"")</f>
        <v>Equity</v>
      </c>
      <c r="C2" s="497" t="str">
        <f>IFERROR(VLOOKUP(D2,'JPM St'!$C:$L,10,0),"")</f>
        <v>USD</v>
      </c>
      <c r="D2" s="497" t="str" cm="1">
        <f t="array" ref="D2:D164">_xlfn.UNIQUE(INDEX(_xlfn._xlws.SORT(_xlfn._xlws.FILTER('JPM St'!$A:$M,('JPM St'!$A:$A=V2)+('JPM St'!$A:$A=V3)+('JPM St'!$A:$A=V4),"ERROR"),13,-1),0,3))</f>
        <v>NVIDIA</v>
      </c>
      <c r="E2" s="500" t="str">
        <f>IFERROR(VLOOKUP(D2,'JPM St'!$C:$D,2,0),"")</f>
        <v>US67066G1040</v>
      </c>
      <c r="F2" s="501">
        <f>SUM(G2:I2)</f>
        <v>886554.06</v>
      </c>
      <c r="G2" s="501">
        <f>SUMIFS('JPM St'!$K:$K,'JPM St'!$A:$A,$V$2,'JPM St'!$C:$C,D2)</f>
        <v>442740.375</v>
      </c>
      <c r="H2" s="501">
        <f>SUMIFS('JPM St'!$K:$K,'JPM St'!$A:$A,$V$3,'JPM St'!$C:$C,D2)</f>
        <v>0</v>
      </c>
      <c r="I2" s="501">
        <f>SUMIFS('JPM St'!$K:$K,'JPM St'!$A:$A,$V$4,'JPM St'!$C:$C,D2)</f>
        <v>443813.685</v>
      </c>
      <c r="J2" s="619">
        <f>SUM(K2:M2)</f>
        <v>886554.06</v>
      </c>
      <c r="K2" s="501">
        <f>IFERROR(SUMIFS('JPM St'!$M:$M,'JPM St'!$A:$A,$V$2,'JPM St'!$C:$C,D2),"")</f>
        <v>442740.375</v>
      </c>
      <c r="L2" s="501">
        <f>IFERROR(SUMIFS('JPM St'!$M:$M,'JPM St'!$A:$A,$V$3,'JPM St'!$C:$C,D2),"")</f>
        <v>0</v>
      </c>
      <c r="M2" s="501">
        <f>IFERROR(SUMIFS('JPM St'!$M:$M,'JPM St'!$A:$A,$V$4,'JPM St'!$C:$C,D2),"")</f>
        <v>443813.685</v>
      </c>
      <c r="N2" s="501"/>
      <c r="O2" s="501"/>
      <c r="P2" s="501"/>
      <c r="Q2" s="501"/>
      <c r="R2" s="501"/>
      <c r="U2" s="497" t="s">
        <v>1245</v>
      </c>
      <c r="V2" s="1052" t="s">
        <v>2588</v>
      </c>
      <c r="W2" s="1052">
        <f>SUM(AO:AO)</f>
        <v>3794226.7083000005</v>
      </c>
      <c r="X2" s="503">
        <v>3921967.7794000013</v>
      </c>
      <c r="Y2" s="504">
        <f>W2/X2-1</f>
        <v>-3.2570657966890071E-2</v>
      </c>
      <c r="Z2" s="497" t="s">
        <v>18</v>
      </c>
      <c r="AA2" s="505">
        <f>(W2+AF2)/AG2-1</f>
        <v>0.47106793449741868</v>
      </c>
      <c r="AB2" s="506">
        <f>W2+AF2-AG2</f>
        <v>1551226.7083000001</v>
      </c>
      <c r="AC2" s="505">
        <f ca="1">AA2/((TODAY()-AD2)/365)</f>
        <v>0.10800238447962175</v>
      </c>
      <c r="AD2" s="498">
        <v>44499</v>
      </c>
      <c r="AE2" s="505">
        <f>(W2+AK2)/AI2-1</f>
        <v>-7.10883408189662E-2</v>
      </c>
      <c r="AF2" s="502">
        <v>1050000</v>
      </c>
      <c r="AG2" s="507">
        <f>2293000+1000000</f>
        <v>3293000</v>
      </c>
      <c r="AH2" s="507">
        <f>AG2-AF2</f>
        <v>2243000</v>
      </c>
      <c r="AI2" s="507">
        <v>4084593.6971500008</v>
      </c>
      <c r="AJ2" s="507">
        <f>1000000+2480288.19</f>
        <v>3480288.19</v>
      </c>
      <c r="AK2" s="502"/>
      <c r="AL2" s="502">
        <v>1050000</v>
      </c>
      <c r="AM2" s="507"/>
      <c r="AN2" s="502" t="s">
        <v>1252</v>
      </c>
      <c r="AO2" s="502">
        <f>SUMIFS(AU:AU,AR:AR,AN2)</f>
        <v>0</v>
      </c>
      <c r="AP2" s="497" t="str" cm="1">
        <f t="array" ref="AP2:AQ43">_xlfn._xlws.FILTER(('JPM St'!$C:$D),'JPM St'!$A:$A=$AO$1,"ERROR")</f>
        <v>ADVANCED MICRO DEVICES</v>
      </c>
      <c r="AQ2" s="497" t="str">
        <v>US0079031078</v>
      </c>
      <c r="AR2" s="497" t="str" cm="1">
        <f t="array" ref="AR2:AR43">_xlfn._xlws.FILTER('JPM St'!$G:$G,'JPM St'!$A:$A=$AO$1,"ERROR")</f>
        <v>Stock</v>
      </c>
      <c r="AS2" s="497" cm="1">
        <f t="array" ref="AS2:AV43">_xlfn._xlws.FILTER('JPM St'!$K:$N,'JPM St'!$A:$A=$AO$1,"ERROR")</f>
        <v>90042.27</v>
      </c>
      <c r="AT2" s="497" t="str">
        <v>USD</v>
      </c>
      <c r="AU2" s="497">
        <v>90042.27</v>
      </c>
      <c r="AV2" s="497" t="str">
        <v>USD</v>
      </c>
      <c r="AZ2" s="502" t="s">
        <v>1252</v>
      </c>
      <c r="BA2" s="502">
        <f>SUMIFS(BG:BG,BD:BD,AZ2)</f>
        <v>0</v>
      </c>
      <c r="BB2" s="497" t="str" cm="1">
        <f t="array" ref="BB2:BC86">_xlfn._xlws.FILTER(('JPM St'!$C:$D),'JPM St'!$A:$A=$BA$1,"ERROR")</f>
        <v>3M</v>
      </c>
      <c r="BC2" s="497" t="str">
        <v>US88579Y1010</v>
      </c>
      <c r="BD2" s="497" t="str" cm="1">
        <f t="array" ref="BD2:BD86">_xlfn._xlws.FILTER('JPM St'!$G:$G,'JPM St'!$A:$A=$BA$1,"ERROR")</f>
        <v>Stock</v>
      </c>
      <c r="BE2" s="497" cm="1">
        <f t="array" ref="BE2:BH86">_xlfn._xlws.FILTER('JPM St'!$K:$N,'JPM St'!$A:$A=$BA$1,"ERROR")</f>
        <v>27248.7</v>
      </c>
      <c r="BF2" s="497" t="str">
        <v>USD</v>
      </c>
      <c r="BG2" s="497">
        <v>27248.7</v>
      </c>
      <c r="BH2" s="497" t="str">
        <v>USD</v>
      </c>
      <c r="BL2" s="502" t="s">
        <v>1252</v>
      </c>
      <c r="BM2" s="502">
        <f>SUMIFS(BS:BS,BP:BP,BL2)</f>
        <v>0</v>
      </c>
      <c r="BN2" s="497" t="str" cm="1">
        <f t="array" ref="BN2:BO74">_xlfn._xlws.FILTER(('JPM St'!$C:$D),'JPM St'!$A:$A=$BM$1,"ERROR")</f>
        <v>3M</v>
      </c>
      <c r="BO2" s="497" t="str">
        <v>US88579Y1010</v>
      </c>
      <c r="BP2" s="497" t="str" cm="1">
        <f t="array" ref="BP2:BP74">_xlfn._xlws.FILTER('JPM St'!$G:$G,'JPM St'!$A:$A=$BM$1,"ERROR")</f>
        <v>Stock</v>
      </c>
      <c r="BQ2" s="497" cm="1">
        <f t="array" ref="BQ2:BT74">_xlfn._xlws.FILTER('JPM St'!$K:$N,'JPM St'!$A:$A=$BM$1,"ERROR")</f>
        <v>77130.2</v>
      </c>
      <c r="BR2" s="497" t="str">
        <v>USD</v>
      </c>
      <c r="BS2" s="497">
        <v>77130.2</v>
      </c>
      <c r="BT2" s="497" t="str">
        <v>USD</v>
      </c>
    </row>
    <row r="3" spans="1:75" x14ac:dyDescent="0.25">
      <c r="A3" s="497" t="s">
        <v>90</v>
      </c>
      <c r="B3" s="497" t="str">
        <f>IFERROR(IF(VLOOKUP(D3,'JPM St'!$C:$G,3,0)="Fixed Income &amp; Cash","Cash",VLOOKUP(D3,'JPM St'!$C:$G,3,0)),"")</f>
        <v>Equity</v>
      </c>
      <c r="C3" s="497" t="str">
        <f>IFERROR(VLOOKUP(D3,'JPM St'!$C:$L,10,0),"")</f>
        <v>USD</v>
      </c>
      <c r="D3" s="497" t="str">
        <v>BROADCOM INC</v>
      </c>
      <c r="E3" s="500" t="str">
        <f>IFERROR(VLOOKUP(D3,'JPM St'!$C:$D,2,0),"")</f>
        <v>US11135F1012</v>
      </c>
      <c r="F3" s="501">
        <f t="shared" ref="F3:F66" si="0">SUM(G3:I3)</f>
        <v>493196.79999999993</v>
      </c>
      <c r="G3" s="501">
        <f>SUMIFS('JPM St'!$K:$K,'JPM St'!$A:$A,$V$2,'JPM St'!$C:$C,D3)</f>
        <v>313081.59999999998</v>
      </c>
      <c r="H3" s="501">
        <f>SUMIFS('JPM St'!$K:$K,'JPM St'!$A:$A,$V$3,'JPM St'!$C:$C,D3)</f>
        <v>0</v>
      </c>
      <c r="I3" s="501">
        <f>SUMIFS('JPM St'!$K:$K,'JPM St'!$A:$A,$V$4,'JPM St'!$C:$C,D3)</f>
        <v>180115.19999999998</v>
      </c>
      <c r="J3" s="619">
        <f t="shared" ref="J3:J66" si="1">SUM(K3:M3)</f>
        <v>493196.79999999993</v>
      </c>
      <c r="K3" s="501">
        <f>IFERROR(SUMIFS('JPM St'!$M:$M,'JPM St'!$A:$A,$V$2,'JPM St'!$C:$C,D3),"")</f>
        <v>313081.59999999998</v>
      </c>
      <c r="L3" s="501">
        <f>IFERROR(SUMIFS('JPM St'!$M:$M,'JPM St'!$A:$A,$V$3,'JPM St'!$C:$C,D3),"")</f>
        <v>0</v>
      </c>
      <c r="M3" s="501">
        <f>IFERROR(SUMIFS('JPM St'!$M:$M,'JPM St'!$A:$A,$V$4,'JPM St'!$C:$C,D3),"")</f>
        <v>180115.19999999998</v>
      </c>
      <c r="N3" s="501"/>
      <c r="O3" s="501"/>
      <c r="P3" s="501"/>
      <c r="Q3" s="501"/>
      <c r="R3" s="501"/>
      <c r="U3" s="497" t="s">
        <v>1253</v>
      </c>
      <c r="V3" s="1052" t="s">
        <v>2587</v>
      </c>
      <c r="W3" s="1052">
        <f>SUM(BA:BA)</f>
        <v>2307577.6591000012</v>
      </c>
      <c r="X3" s="509">
        <v>2462169.3149000001</v>
      </c>
      <c r="Y3" s="510">
        <f>W3/X3-1</f>
        <v>-6.2786768913281499E-2</v>
      </c>
      <c r="Z3" s="497" t="s">
        <v>18</v>
      </c>
      <c r="AA3" s="505">
        <f>(W3+AF3)/AG3-1</f>
        <v>0.12022826378688545</v>
      </c>
      <c r="AB3" s="506">
        <f>W3+AF3-AG3</f>
        <v>733392.40910000168</v>
      </c>
      <c r="AC3" s="505">
        <f ca="1">AA3/((TODAY()-AD3)/365)</f>
        <v>2.3914613777772854E-2</v>
      </c>
      <c r="AD3" s="498">
        <v>44256</v>
      </c>
      <c r="AE3" s="505">
        <f>(W3+AK3)/AI3-1</f>
        <v>-2.0683535064717207E-3</v>
      </c>
      <c r="AF3" s="508">
        <v>4525814.75</v>
      </c>
      <c r="AG3" s="507">
        <v>6100000</v>
      </c>
      <c r="AH3" s="507">
        <f>AG3-AF3</f>
        <v>1574185.25</v>
      </c>
      <c r="AI3" s="507">
        <v>2312360.4379199995</v>
      </c>
      <c r="AJ3" s="507">
        <v>2157259.2999999998</v>
      </c>
      <c r="AK3" s="507"/>
      <c r="AL3" s="507"/>
      <c r="AM3" s="507"/>
      <c r="AN3" s="502" t="s">
        <v>46</v>
      </c>
      <c r="AO3" s="502">
        <f>SUMIFS(AU:AU,AR:AR,AN3)</f>
        <v>18134.060000000001</v>
      </c>
      <c r="AP3" s="497" t="str">
        <v>ALPHABET -A-</v>
      </c>
      <c r="AQ3" s="497" t="str">
        <v>US02079K3059</v>
      </c>
      <c r="AR3" s="497" t="str">
        <v>Stock</v>
      </c>
      <c r="AS3" s="497">
        <v>275423.19999999995</v>
      </c>
      <c r="AT3" s="497" t="str">
        <v>USD</v>
      </c>
      <c r="AU3" s="497">
        <v>275423.19999999995</v>
      </c>
      <c r="AV3" s="497" t="str">
        <v>USD</v>
      </c>
      <c r="AZ3" s="502" t="s">
        <v>46</v>
      </c>
      <c r="BA3" s="502">
        <f>SUMIFS(BG:BG,BD:BD,AZ3)</f>
        <v>68188.27</v>
      </c>
      <c r="BB3" s="497" t="str">
        <v>ABBOTT LABORATORIES</v>
      </c>
      <c r="BC3" s="497" t="str">
        <v>US0028241000</v>
      </c>
      <c r="BD3" s="497" t="str">
        <v>Stock</v>
      </c>
      <c r="BE3" s="497">
        <v>19942.2</v>
      </c>
      <c r="BF3" s="497" t="str">
        <v>USD</v>
      </c>
      <c r="BG3" s="497">
        <v>19942.2</v>
      </c>
      <c r="BH3" s="497" t="str">
        <v>USD</v>
      </c>
      <c r="BL3" s="502" t="s">
        <v>46</v>
      </c>
      <c r="BM3" s="502">
        <f>SUMIFS(BS:BS,BP:BP,BL3)</f>
        <v>235738.06052100001</v>
      </c>
      <c r="BN3" s="497" t="str">
        <v>ABBVIE</v>
      </c>
      <c r="BO3" s="497" t="str">
        <v>US00287Y1091</v>
      </c>
      <c r="BP3" s="497" t="str">
        <v>Stock</v>
      </c>
      <c r="BQ3" s="497">
        <v>110085</v>
      </c>
      <c r="BR3" s="497" t="str">
        <v>USD</v>
      </c>
      <c r="BS3" s="497">
        <v>110085</v>
      </c>
      <c r="BT3" s="497" t="str">
        <v>USD</v>
      </c>
    </row>
    <row r="4" spans="1:75" ht="15.75" thickBot="1" x14ac:dyDescent="0.3">
      <c r="A4" s="497" t="s">
        <v>90</v>
      </c>
      <c r="B4" s="497" t="str">
        <f>IFERROR(IF(VLOOKUP(D4,'JPM St'!$C:$G,3,0)="Fixed Income &amp; Cash","Cash",VLOOKUP(D4,'JPM St'!$C:$G,3,0)),"")</f>
        <v>Equity</v>
      </c>
      <c r="C4" s="497" t="str">
        <f>IFERROR(VLOOKUP(D4,'JPM St'!$C:$L,10,0),"")</f>
        <v>USD</v>
      </c>
      <c r="D4" s="497" t="str">
        <v>ALPHABET -A-</v>
      </c>
      <c r="E4" s="500" t="str">
        <f>IFERROR(VLOOKUP(D4,'JPM St'!$C:$D,2,0),"")</f>
        <v>US02079K3059</v>
      </c>
      <c r="F4" s="501">
        <f t="shared" si="0"/>
        <v>562185.59999999986</v>
      </c>
      <c r="G4" s="501">
        <f>SUMIFS('JPM St'!$K:$K,'JPM St'!$A:$A,$V$2,'JPM St'!$C:$C,D4)</f>
        <v>275423.19999999995</v>
      </c>
      <c r="H4" s="501">
        <f>SUMIFS('JPM St'!$K:$K,'JPM St'!$A:$A,$V$3,'JPM St'!$C:$C,D4)</f>
        <v>0</v>
      </c>
      <c r="I4" s="501">
        <f>SUMIFS('JPM St'!$K:$K,'JPM St'!$A:$A,$V$4,'JPM St'!$C:$C,D4)</f>
        <v>286762.39999999997</v>
      </c>
      <c r="J4" s="619">
        <f t="shared" si="1"/>
        <v>562185.59999999986</v>
      </c>
      <c r="K4" s="501">
        <f>IFERROR(SUMIFS('JPM St'!$M:$M,'JPM St'!$A:$A,$V$2,'JPM St'!$C:$C,D4),"")</f>
        <v>275423.19999999995</v>
      </c>
      <c r="L4" s="501">
        <f>IFERROR(SUMIFS('JPM St'!$M:$M,'JPM St'!$A:$A,$V$3,'JPM St'!$C:$C,D4),"")</f>
        <v>0</v>
      </c>
      <c r="M4" s="501">
        <f>IFERROR(SUMIFS('JPM St'!$M:$M,'JPM St'!$A:$A,$V$4,'JPM St'!$C:$C,D4),"")</f>
        <v>286762.39999999997</v>
      </c>
      <c r="N4" s="501"/>
      <c r="O4" s="501"/>
      <c r="P4" s="501"/>
      <c r="Q4" s="501"/>
      <c r="R4" s="501"/>
      <c r="U4" s="497" t="s">
        <v>1251</v>
      </c>
      <c r="V4" s="1052" t="s">
        <v>2586</v>
      </c>
      <c r="W4" s="1052">
        <f>SUM(BM:BM)</f>
        <v>7191407.6948535005</v>
      </c>
      <c r="X4" s="502">
        <v>7525411.2154477006</v>
      </c>
      <c r="Y4" s="504">
        <f>W4/X4-1</f>
        <v>-4.4383424510886282E-2</v>
      </c>
      <c r="Z4" s="497" t="s">
        <v>18</v>
      </c>
      <c r="AA4" s="505">
        <f>(W4+AF4)/AG4-1</f>
        <v>0.13989173095235685</v>
      </c>
      <c r="AB4" s="506">
        <f>W4+AF4-AG4</f>
        <v>983803.21393850073</v>
      </c>
      <c r="AC4" s="505">
        <f ca="1">AA4/((TODAY()-AD4)/365)</f>
        <v>6.9375654616318269E-2</v>
      </c>
      <c r="AD4" s="498">
        <v>45355</v>
      </c>
      <c r="AE4" s="505">
        <f>(W4+AK4)/AI4-1</f>
        <v>-3.3877128270843215E-2</v>
      </c>
      <c r="AF4" s="502">
        <v>825000</v>
      </c>
      <c r="AG4" s="507">
        <f>3255000+3600000+177604.480915</f>
        <v>7032604.4809149997</v>
      </c>
      <c r="AH4" s="507">
        <f>AG4-AF4</f>
        <v>6207604.4809149997</v>
      </c>
      <c r="AI4" s="507">
        <v>7443574.6272960007</v>
      </c>
      <c r="AJ4" s="507">
        <f>3341851.14+3600000</f>
        <v>6941851.1400000006</v>
      </c>
      <c r="AK4" s="502"/>
      <c r="AL4" s="502">
        <v>825000</v>
      </c>
      <c r="AM4" s="507"/>
      <c r="AN4" s="502" t="s">
        <v>1254</v>
      </c>
      <c r="AO4" s="502">
        <f>SUMIFS(AU:AU,AR:AR,AN4)</f>
        <v>3776092.6483000005</v>
      </c>
      <c r="AP4" s="497" t="str">
        <v>AMAZON.COM</v>
      </c>
      <c r="AQ4" s="497" t="str">
        <v>US0231351067</v>
      </c>
      <c r="AR4" s="497" t="str">
        <v>Stock</v>
      </c>
      <c r="AS4" s="497">
        <v>41199.199999999997</v>
      </c>
      <c r="AT4" s="497" t="str">
        <v>USD</v>
      </c>
      <c r="AU4" s="497">
        <v>41199.199999999997</v>
      </c>
      <c r="AV4" s="497" t="str">
        <v>USD</v>
      </c>
      <c r="AZ4" s="502" t="s">
        <v>1254</v>
      </c>
      <c r="BA4" s="502">
        <f>SUMIFS(BG:BG,BD:BD,AZ4)</f>
        <v>2239389.3891000012</v>
      </c>
      <c r="BB4" s="497" t="str">
        <v>ABBVIE</v>
      </c>
      <c r="BC4" s="497" t="str">
        <v>US00287Y1091</v>
      </c>
      <c r="BD4" s="497" t="str">
        <v>Stock</v>
      </c>
      <c r="BE4" s="497">
        <v>30653.75</v>
      </c>
      <c r="BF4" s="497" t="str">
        <v>USD</v>
      </c>
      <c r="BG4" s="497">
        <v>30653.75</v>
      </c>
      <c r="BH4" s="497" t="str">
        <v>USD</v>
      </c>
      <c r="BL4" s="502" t="s">
        <v>1254</v>
      </c>
      <c r="BM4" s="502">
        <f>SUMIFS(BS:BS,BP:BP,BL4)</f>
        <v>6955669.6343325004</v>
      </c>
      <c r="BN4" s="497" t="str">
        <v>ADIDAS</v>
      </c>
      <c r="BO4" s="497" t="str">
        <v>DE000A1EWWW0</v>
      </c>
      <c r="BP4" s="497" t="str">
        <v>Stock</v>
      </c>
      <c r="BQ4" s="497">
        <v>57170.7</v>
      </c>
      <c r="BR4" s="497" t="str">
        <v>EUR</v>
      </c>
      <c r="BS4" s="497">
        <v>66172.226714999997</v>
      </c>
      <c r="BT4" s="497" t="str">
        <v>USD</v>
      </c>
    </row>
    <row r="5" spans="1:75" ht="15.75" thickBot="1" x14ac:dyDescent="0.3">
      <c r="A5" s="497" t="s">
        <v>90</v>
      </c>
      <c r="B5" s="497" t="str">
        <f>IFERROR(IF(VLOOKUP(D5,'JPM St'!$C:$G,3,0)="Fixed Income &amp; Cash","Cash",VLOOKUP(D5,'JPM St'!$C:$G,3,0)),"")</f>
        <v>Equity</v>
      </c>
      <c r="C5" s="497" t="str">
        <f>IFERROR(VLOOKUP(D5,'JPM St'!$C:$L,10,0),"")</f>
        <v>USD</v>
      </c>
      <c r="D5" s="497" t="str">
        <v>MICROSOFT</v>
      </c>
      <c r="E5" s="500" t="str">
        <f>IFERROR(VLOOKUP(D5,'JPM St'!$C:$D,2,0),"")</f>
        <v>US5949181045</v>
      </c>
      <c r="F5" s="501">
        <f t="shared" si="0"/>
        <v>610760.75549999997</v>
      </c>
      <c r="G5" s="501">
        <f>SUMIFS('JPM St'!$K:$K,'JPM St'!$A:$A,$V$2,'JPM St'!$C:$C,D5)</f>
        <v>285292.23330000002</v>
      </c>
      <c r="H5" s="501">
        <f>SUMIFS('JPM St'!$K:$K,'JPM St'!$A:$A,$V$3,'JPM St'!$C:$C,D5)</f>
        <v>40582.11</v>
      </c>
      <c r="I5" s="501">
        <f>SUMIFS('JPM St'!$K:$K,'JPM St'!$A:$A,$V$4,'JPM St'!$C:$C,D5)</f>
        <v>284886.41220000002</v>
      </c>
      <c r="J5" s="619">
        <f t="shared" si="1"/>
        <v>610760.75549999997</v>
      </c>
      <c r="K5" s="501">
        <f>IFERROR(SUMIFS('JPM St'!$M:$M,'JPM St'!$A:$A,$V$2,'JPM St'!$C:$C,D5),"")</f>
        <v>285292.23330000002</v>
      </c>
      <c r="L5" s="501">
        <f>IFERROR(SUMIFS('JPM St'!$M:$M,'JPM St'!$A:$A,$V$3,'JPM St'!$C:$C,D5),"")</f>
        <v>40582.11</v>
      </c>
      <c r="M5" s="501">
        <f>IFERROR(SUMIFS('JPM St'!$M:$M,'JPM St'!$A:$A,$V$4,'JPM St'!$C:$C,D5),"")</f>
        <v>284886.41220000002</v>
      </c>
      <c r="N5" s="501"/>
      <c r="O5" s="501"/>
      <c r="P5" s="501"/>
      <c r="Q5" s="501"/>
      <c r="R5" s="501"/>
      <c r="U5" s="511" t="s">
        <v>205</v>
      </c>
      <c r="V5" s="511"/>
      <c r="W5" s="512">
        <f>SUM(W2:W4)</f>
        <v>13293212.062253501</v>
      </c>
      <c r="X5" s="512">
        <v>13909548.309747703</v>
      </c>
      <c r="Y5" s="512"/>
      <c r="Z5" s="511"/>
      <c r="AA5" s="513">
        <f>SUMPRODUCT(AH2:AH4,AA2:AA4)/SUM(AH2:AH4)</f>
        <v>0.21090312407719344</v>
      </c>
      <c r="AB5" s="512">
        <f>SUM(AB2:AB4)</f>
        <v>3268422.3313385025</v>
      </c>
      <c r="AC5" s="513">
        <f ca="1">SUMPRODUCT(AH2:AH4,AC2:AC4)/AH5</f>
        <v>7.0879492158088628E-2</v>
      </c>
      <c r="AD5" s="512"/>
      <c r="AE5" s="513">
        <f>(W5+AK5)/AI5-1</f>
        <v>-3.9544493531252667E-2</v>
      </c>
      <c r="AF5" s="512"/>
      <c r="AH5" s="507">
        <f>SUM(AH2:AH4)</f>
        <v>10024789.730914999</v>
      </c>
      <c r="AI5" s="507">
        <v>13840528.762366001</v>
      </c>
      <c r="AJ5" s="507">
        <f>SUM(AJ2:AJ4)</f>
        <v>12579398.630000001</v>
      </c>
      <c r="AN5" s="502" t="s">
        <v>1255</v>
      </c>
      <c r="AO5" s="502">
        <f>SUMIFS(AU:AU,AR:AR,AN5)</f>
        <v>0</v>
      </c>
      <c r="AP5" s="497" t="str">
        <v>AMPHENOL -A-</v>
      </c>
      <c r="AQ5" s="497" t="str">
        <v>US0320951017</v>
      </c>
      <c r="AR5" s="497" t="str">
        <v>Stock</v>
      </c>
      <c r="AS5" s="497">
        <v>82517.399999999994</v>
      </c>
      <c r="AT5" s="497" t="str">
        <v>USD</v>
      </c>
      <c r="AU5" s="497">
        <v>82517.399999999994</v>
      </c>
      <c r="AV5" s="497" t="str">
        <v>USD</v>
      </c>
      <c r="AY5" s="514"/>
      <c r="AZ5" s="502" t="s">
        <v>1255</v>
      </c>
      <c r="BA5" s="502">
        <f>SUMIFS(BG:BG,BD:BD,AZ5)</f>
        <v>0</v>
      </c>
      <c r="BB5" s="497" t="str">
        <v>ACCENTURE -A-</v>
      </c>
      <c r="BC5" s="497" t="str">
        <v>IE00B4BNMY34</v>
      </c>
      <c r="BD5" s="497" t="str">
        <v>Stock</v>
      </c>
      <c r="BE5" s="497">
        <v>8817.06</v>
      </c>
      <c r="BF5" s="497" t="str">
        <v>USD</v>
      </c>
      <c r="BG5" s="497">
        <v>8817.06</v>
      </c>
      <c r="BH5" s="497" t="str">
        <v>USD</v>
      </c>
      <c r="BK5" s="514"/>
      <c r="BL5" s="502" t="s">
        <v>1255</v>
      </c>
      <c r="BM5" s="502">
        <f>SUMIFS(BS:BS,BP:BP,BL5)</f>
        <v>0</v>
      </c>
      <c r="BN5" s="497" t="str">
        <v>ALBEMARLE</v>
      </c>
      <c r="BO5" s="497" t="str">
        <v>US0126531013</v>
      </c>
      <c r="BP5" s="497" t="str">
        <v>Stock</v>
      </c>
      <c r="BQ5" s="497">
        <v>45392.74</v>
      </c>
      <c r="BR5" s="497" t="str">
        <v>USD</v>
      </c>
      <c r="BS5" s="497">
        <v>45392.74</v>
      </c>
      <c r="BT5" s="497" t="str">
        <v>USD</v>
      </c>
      <c r="BW5" s="514"/>
    </row>
    <row r="6" spans="1:75" x14ac:dyDescent="0.25">
      <c r="A6" s="497" t="s">
        <v>90</v>
      </c>
      <c r="B6" s="497" t="str">
        <f>IFERROR(IF(VLOOKUP(D6,'JPM St'!$C:$G,3,0)="Fixed Income &amp; Cash","Cash",VLOOKUP(D6,'JPM St'!$C:$G,3,0)),"")</f>
        <v>Equity</v>
      </c>
      <c r="C6" s="497" t="str">
        <f>IFERROR(VLOOKUP(D6,'JPM St'!$C:$L,10,0),"")</f>
        <v>USD</v>
      </c>
      <c r="D6" s="497" t="str">
        <v>AMAZON.COM</v>
      </c>
      <c r="E6" s="500" t="str">
        <f>IFERROR(VLOOKUP(D6,'JPM St'!$C:$D,2,0),"")</f>
        <v>US0231351067</v>
      </c>
      <c r="F6" s="501">
        <f t="shared" si="0"/>
        <v>323918.2</v>
      </c>
      <c r="G6" s="501">
        <f>SUMIFS('JPM St'!$K:$K,'JPM St'!$A:$A,$V$2,'JPM St'!$C:$C,D6)</f>
        <v>41199.199999999997</v>
      </c>
      <c r="H6" s="501">
        <f>SUMIFS('JPM St'!$K:$K,'JPM St'!$A:$A,$V$3,'JPM St'!$C:$C,D6)</f>
        <v>0</v>
      </c>
      <c r="I6" s="501">
        <f>SUMIFS('JPM St'!$K:$K,'JPM St'!$A:$A,$V$4,'JPM St'!$C:$C,D6)</f>
        <v>282719</v>
      </c>
      <c r="J6" s="619">
        <f t="shared" si="1"/>
        <v>323918.2</v>
      </c>
      <c r="K6" s="501">
        <f>IFERROR(SUMIFS('JPM St'!$M:$M,'JPM St'!$A:$A,$V$2,'JPM St'!$C:$C,D6),"")</f>
        <v>41199.199999999997</v>
      </c>
      <c r="L6" s="501">
        <f>IFERROR(SUMIFS('JPM St'!$M:$M,'JPM St'!$A:$A,$V$3,'JPM St'!$C:$C,D6),"")</f>
        <v>0</v>
      </c>
      <c r="M6" s="501">
        <f>IFERROR(SUMIFS('JPM St'!$M:$M,'JPM St'!$A:$A,$V$4,'JPM St'!$C:$C,D6),"")</f>
        <v>282719</v>
      </c>
      <c r="N6" s="501"/>
      <c r="O6" s="501"/>
      <c r="P6" s="501"/>
      <c r="Q6" s="501"/>
      <c r="R6" s="501"/>
      <c r="AE6" s="507"/>
      <c r="AH6" s="507"/>
      <c r="AN6" s="502" t="s">
        <v>1193</v>
      </c>
      <c r="AO6" s="502">
        <f>SUMIFS(AU:AU,AR:AR,AN6)</f>
        <v>0</v>
      </c>
      <c r="AP6" s="497" t="str">
        <v>APPLE</v>
      </c>
      <c r="AQ6" s="497" t="str">
        <v>US0378331005</v>
      </c>
      <c r="AR6" s="497" t="str">
        <v>Stock</v>
      </c>
      <c r="AS6" s="497">
        <v>196781.52</v>
      </c>
      <c r="AT6" s="497" t="str">
        <v>USD</v>
      </c>
      <c r="AU6" s="497">
        <v>196781.52</v>
      </c>
      <c r="AV6" s="497" t="str">
        <v>USD</v>
      </c>
      <c r="AZ6" s="502" t="s">
        <v>1193</v>
      </c>
      <c r="BA6" s="502">
        <f>SUMIFS(BG:BG,BD:BD,AZ6)</f>
        <v>0</v>
      </c>
      <c r="BB6" s="497" t="str">
        <v>AIR PRODUCTS &amp; CHEMICALS</v>
      </c>
      <c r="BC6" s="497" t="str">
        <v>US0091581068</v>
      </c>
      <c r="BD6" s="497" t="str">
        <v>Stock</v>
      </c>
      <c r="BE6" s="497">
        <v>42273</v>
      </c>
      <c r="BF6" s="497" t="str">
        <v>USD</v>
      </c>
      <c r="BG6" s="497">
        <v>42273</v>
      </c>
      <c r="BH6" s="497" t="str">
        <v>USD</v>
      </c>
      <c r="BL6" s="502" t="s">
        <v>1193</v>
      </c>
      <c r="BM6" s="502">
        <f>SUMIFS(BS:BS,BP:BP,BL6)</f>
        <v>0</v>
      </c>
      <c r="BN6" s="497" t="str">
        <v>ALPHABET -A-</v>
      </c>
      <c r="BO6" s="497" t="str">
        <v>US02079K3059</v>
      </c>
      <c r="BP6" s="497" t="str">
        <v>Stock</v>
      </c>
      <c r="BQ6" s="497">
        <v>286762.39999999997</v>
      </c>
      <c r="BR6" s="497" t="str">
        <v>USD</v>
      </c>
      <c r="BS6" s="497">
        <v>286762.39999999997</v>
      </c>
      <c r="BT6" s="497" t="str">
        <v>USD</v>
      </c>
    </row>
    <row r="7" spans="1:75" x14ac:dyDescent="0.25">
      <c r="A7" s="497" t="s">
        <v>90</v>
      </c>
      <c r="B7" s="497" t="str">
        <f>IFERROR(IF(VLOOKUP(D7,'JPM St'!$C:$G,3,0)="Fixed Income &amp; Cash","Cash",VLOOKUP(D7,'JPM St'!$C:$G,3,0)),"")</f>
        <v>Equity</v>
      </c>
      <c r="C7" s="497" t="str">
        <f>IFERROR(VLOOKUP(D7,'JPM St'!$C:$L,10,0),"")</f>
        <v>USD</v>
      </c>
      <c r="D7" s="497" t="str">
        <v>META PLATFORMS INC-CLASS A</v>
      </c>
      <c r="E7" s="500" t="str">
        <f>IFERROR(VLOOKUP(D7,'JPM St'!$C:$D,2,0),"")</f>
        <v>US30303M1027</v>
      </c>
      <c r="F7" s="501">
        <f t="shared" si="0"/>
        <v>423811.5</v>
      </c>
      <c r="G7" s="501">
        <f>SUMIFS('JPM St'!$K:$K,'JPM St'!$A:$A,$V$2,'JPM St'!$C:$C,D7)</f>
        <v>269871</v>
      </c>
      <c r="H7" s="501">
        <f>SUMIFS('JPM St'!$K:$K,'JPM St'!$A:$A,$V$3,'JPM St'!$C:$C,D7)</f>
        <v>27874</v>
      </c>
      <c r="I7" s="501">
        <f>SUMIFS('JPM St'!$K:$K,'JPM St'!$A:$A,$V$4,'JPM St'!$C:$C,D7)</f>
        <v>126066.5</v>
      </c>
      <c r="J7" s="619">
        <f t="shared" si="1"/>
        <v>423811.5</v>
      </c>
      <c r="K7" s="501">
        <f>IFERROR(SUMIFS('JPM St'!$M:$M,'JPM St'!$A:$A,$V$2,'JPM St'!$C:$C,D7),"")</f>
        <v>269871</v>
      </c>
      <c r="L7" s="501">
        <f>IFERROR(SUMIFS('JPM St'!$M:$M,'JPM St'!$A:$A,$V$3,'JPM St'!$C:$C,D7),"")</f>
        <v>27874</v>
      </c>
      <c r="M7" s="501">
        <f>IFERROR(SUMIFS('JPM St'!$M:$M,'JPM St'!$A:$A,$V$4,'JPM St'!$C:$C,D7),"")</f>
        <v>126066.5</v>
      </c>
      <c r="N7" s="501"/>
      <c r="O7" s="501"/>
      <c r="P7" s="501"/>
      <c r="Q7" s="501"/>
      <c r="R7" s="501"/>
      <c r="AF7" s="514"/>
      <c r="AN7" s="502"/>
      <c r="AP7" s="497" t="str">
        <v>APPLIED MATERIALS</v>
      </c>
      <c r="AQ7" s="497" t="str">
        <v>US0382221051</v>
      </c>
      <c r="AR7" s="497" t="str">
        <v>Stock</v>
      </c>
      <c r="AS7" s="497">
        <v>119862.68</v>
      </c>
      <c r="AT7" s="497" t="str">
        <v>USD</v>
      </c>
      <c r="AU7" s="497">
        <v>119862.68</v>
      </c>
      <c r="AV7" s="497" t="str">
        <v>USD</v>
      </c>
      <c r="BB7" s="497" t="str">
        <v>ALPHABET -C-</v>
      </c>
      <c r="BC7" s="497" t="str">
        <v>US02079K1079</v>
      </c>
      <c r="BD7" s="497" t="str">
        <v>Stock</v>
      </c>
      <c r="BE7" s="497">
        <v>58722.823799999998</v>
      </c>
      <c r="BF7" s="497" t="str">
        <v>USD</v>
      </c>
      <c r="BG7" s="497">
        <v>58722.823799999998</v>
      </c>
      <c r="BH7" s="497" t="str">
        <v>USD</v>
      </c>
      <c r="BN7" s="497" t="str">
        <v>AMAZON.COM</v>
      </c>
      <c r="BO7" s="497" t="str">
        <v>US0231351067</v>
      </c>
      <c r="BP7" s="497" t="str">
        <v>Stock</v>
      </c>
      <c r="BQ7" s="497">
        <v>282719</v>
      </c>
      <c r="BR7" s="497" t="str">
        <v>USD</v>
      </c>
      <c r="BS7" s="497">
        <v>282719</v>
      </c>
      <c r="BT7" s="497" t="str">
        <v>USD</v>
      </c>
    </row>
    <row r="8" spans="1:75" x14ac:dyDescent="0.25">
      <c r="A8" s="497" t="s">
        <v>90</v>
      </c>
      <c r="B8" s="497" t="str">
        <f>IFERROR(IF(VLOOKUP(D8,'JPM St'!$C:$G,3,0)="Fixed Income &amp; Cash","Cash",VLOOKUP(D8,'JPM St'!$C:$G,3,0)),"")</f>
        <v>Equity</v>
      </c>
      <c r="C8" s="497" t="str">
        <f>IFERROR(VLOOKUP(D8,'JPM St'!$C:$L,10,0),"")</f>
        <v>USD</v>
      </c>
      <c r="D8" s="497" t="str">
        <v>MICRON TECHNOLOGY</v>
      </c>
      <c r="E8" s="500" t="str">
        <f>IFERROR(VLOOKUP(D8,'JPM St'!$C:$D,2,0),"")</f>
        <v>US5951121038</v>
      </c>
      <c r="F8" s="501">
        <f t="shared" si="0"/>
        <v>204336.715</v>
      </c>
      <c r="G8" s="501">
        <f>SUMIFS('JPM St'!$K:$K,'JPM St'!$A:$A,$V$2,'JPM St'!$C:$C,D8)</f>
        <v>204336.715</v>
      </c>
      <c r="H8" s="501">
        <f>SUMIFS('JPM St'!$K:$K,'JPM St'!$A:$A,$V$3,'JPM St'!$C:$C,D8)</f>
        <v>0</v>
      </c>
      <c r="I8" s="501">
        <f>SUMIFS('JPM St'!$K:$K,'JPM St'!$A:$A,$V$4,'JPM St'!$C:$C,D8)</f>
        <v>0</v>
      </c>
      <c r="J8" s="619">
        <f t="shared" si="1"/>
        <v>204336.715</v>
      </c>
      <c r="K8" s="501">
        <f>IFERROR(SUMIFS('JPM St'!$M:$M,'JPM St'!$A:$A,$V$2,'JPM St'!$C:$C,D8),"")</f>
        <v>204336.715</v>
      </c>
      <c r="L8" s="501">
        <f>IFERROR(SUMIFS('JPM St'!$M:$M,'JPM St'!$A:$A,$V$3,'JPM St'!$C:$C,D8),"")</f>
        <v>0</v>
      </c>
      <c r="M8" s="501">
        <f>IFERROR(SUMIFS('JPM St'!$M:$M,'JPM St'!$A:$A,$V$4,'JPM St'!$C:$C,D8),"")</f>
        <v>0</v>
      </c>
      <c r="N8" s="501"/>
      <c r="O8" s="501"/>
      <c r="P8" s="501"/>
      <c r="Q8" s="501"/>
      <c r="R8" s="501"/>
      <c r="W8" s="555" t="s">
        <v>1256</v>
      </c>
      <c r="X8" s="556" t="s">
        <v>1257</v>
      </c>
      <c r="Y8" s="557" t="s">
        <v>1258</v>
      </c>
      <c r="Z8" s="556" t="s">
        <v>1245</v>
      </c>
      <c r="AA8" s="558" t="s">
        <v>1253</v>
      </c>
      <c r="AB8" s="558" t="s">
        <v>1251</v>
      </c>
      <c r="AC8" s="559" t="s">
        <v>1259</v>
      </c>
      <c r="AE8" s="515"/>
      <c r="AN8" s="502"/>
      <c r="AP8" s="497" t="str">
        <v>APPLOVIN CORP-CLASS A</v>
      </c>
      <c r="AQ8" s="497" t="str">
        <v>US03831W1080</v>
      </c>
      <c r="AR8" s="516" t="str">
        <v>Stock</v>
      </c>
      <c r="AS8" s="502">
        <v>94844.53</v>
      </c>
      <c r="AT8" s="497" t="str">
        <v>USD</v>
      </c>
      <c r="AU8" s="502">
        <v>94844.53</v>
      </c>
      <c r="AV8" s="497" t="str">
        <v>USD</v>
      </c>
      <c r="BB8" s="497" t="str">
        <v>AMERICAN EXPRESS</v>
      </c>
      <c r="BC8" s="497" t="str">
        <v>US0258161092</v>
      </c>
      <c r="BD8" s="497" t="str">
        <v>Stock</v>
      </c>
      <c r="BE8" s="502">
        <v>30392.724999999999</v>
      </c>
      <c r="BF8" s="497" t="str">
        <v>USD</v>
      </c>
      <c r="BG8" s="502">
        <v>30392.724999999999</v>
      </c>
      <c r="BH8" s="497" t="str">
        <v>USD</v>
      </c>
      <c r="BN8" s="497" t="str">
        <v>AMERICAN EXPRESS</v>
      </c>
      <c r="BO8" s="497" t="str">
        <v>US0258161092</v>
      </c>
      <c r="BP8" s="497" t="str">
        <v>Stock</v>
      </c>
      <c r="BQ8" s="497">
        <v>98259.974999999991</v>
      </c>
      <c r="BR8" s="497" t="str">
        <v>USD</v>
      </c>
      <c r="BS8" s="497">
        <v>98259.974999999991</v>
      </c>
      <c r="BT8" s="497" t="str">
        <v>USD</v>
      </c>
    </row>
    <row r="9" spans="1:75" x14ac:dyDescent="0.25">
      <c r="A9" s="497" t="s">
        <v>90</v>
      </c>
      <c r="B9" s="497" t="str">
        <f>IFERROR(IF(VLOOKUP(D9,'JPM St'!$C:$G,3,0)="Fixed Income &amp; Cash","Cash",VLOOKUP(D9,'JPM St'!$C:$G,3,0)),"")</f>
        <v>Equity</v>
      </c>
      <c r="C9" s="497" t="str">
        <f>IFERROR(VLOOKUP(D9,'JPM St'!$C:$L,10,0),"")</f>
        <v>USD</v>
      </c>
      <c r="D9" s="497" t="str">
        <v>APPLE</v>
      </c>
      <c r="E9" s="500" t="str">
        <f>IFERROR(VLOOKUP(D9,'JPM St'!$C:$D,2,0),"")</f>
        <v>US0378331005</v>
      </c>
      <c r="F9" s="501">
        <f t="shared" si="0"/>
        <v>369702.95999999996</v>
      </c>
      <c r="G9" s="501">
        <f>SUMIFS('JPM St'!$K:$K,'JPM St'!$A:$A,$V$2,'JPM St'!$C:$C,D9)</f>
        <v>196781.52</v>
      </c>
      <c r="H9" s="501">
        <f>SUMIFS('JPM St'!$K:$K,'JPM St'!$A:$A,$V$3,'JPM St'!$C:$C,D9)</f>
        <v>0</v>
      </c>
      <c r="I9" s="501">
        <f>SUMIFS('JPM St'!$K:$K,'JPM St'!$A:$A,$V$4,'JPM St'!$C:$C,D9)</f>
        <v>172921.44</v>
      </c>
      <c r="J9" s="619">
        <f t="shared" si="1"/>
        <v>369702.95999999996</v>
      </c>
      <c r="K9" s="501">
        <f>IFERROR(SUMIFS('JPM St'!$M:$M,'JPM St'!$A:$A,$V$2,'JPM St'!$C:$C,D9),"")</f>
        <v>196781.52</v>
      </c>
      <c r="L9" s="501">
        <f>IFERROR(SUMIFS('JPM St'!$M:$M,'JPM St'!$A:$A,$V$3,'JPM St'!$C:$C,D9),"")</f>
        <v>0</v>
      </c>
      <c r="M9" s="501">
        <f>IFERROR(SUMIFS('JPM St'!$M:$M,'JPM St'!$A:$A,$V$4,'JPM St'!$C:$C,D9),"")</f>
        <v>172921.44</v>
      </c>
      <c r="N9" s="501"/>
      <c r="O9" s="501"/>
      <c r="P9" s="501"/>
      <c r="Q9" s="501"/>
      <c r="R9" s="501"/>
      <c r="W9" s="517" t="s">
        <v>2539</v>
      </c>
      <c r="X9" s="518">
        <f>SUM(Y9:AB9)</f>
        <v>13293212.062253501</v>
      </c>
      <c r="Y9" s="519">
        <v>0</v>
      </c>
      <c r="Z9" s="520">
        <f>W2</f>
        <v>3794226.7083000005</v>
      </c>
      <c r="AA9" s="521">
        <f>W3</f>
        <v>2307577.6591000012</v>
      </c>
      <c r="AB9" s="521">
        <f>W4</f>
        <v>7191407.6948535005</v>
      </c>
      <c r="AC9" s="522">
        <f t="shared" ref="AC9:AC11" si="2">X9/X10-1</f>
        <v>-4.4310299210958415E-2</v>
      </c>
      <c r="AE9" s="515"/>
      <c r="AN9" s="502"/>
      <c r="AP9" s="497" t="str">
        <v>ARISTA NETWORKS INC</v>
      </c>
      <c r="AQ9" s="497" t="str">
        <v>US0404132054</v>
      </c>
      <c r="AR9" s="516" t="str">
        <v>Stock</v>
      </c>
      <c r="AS9" s="502">
        <v>80937.48</v>
      </c>
      <c r="AT9" s="497" t="str">
        <v>USD</v>
      </c>
      <c r="AU9" s="502">
        <v>80937.48</v>
      </c>
      <c r="AV9" s="497" t="str">
        <v>USD</v>
      </c>
      <c r="BB9" s="497" t="str">
        <v>AMERICAN TOWER</v>
      </c>
      <c r="BC9" s="497" t="str">
        <v>US03027X1000</v>
      </c>
      <c r="BD9" s="497" t="str">
        <v>Stock</v>
      </c>
      <c r="BE9" s="502">
        <v>10991.7</v>
      </c>
      <c r="BF9" s="497" t="str">
        <v>USD</v>
      </c>
      <c r="BG9" s="502">
        <v>10991.7</v>
      </c>
      <c r="BH9" s="497" t="str">
        <v>USD</v>
      </c>
      <c r="BN9" s="497" t="str">
        <v>AMPHENOL -A-</v>
      </c>
      <c r="BO9" s="497" t="str">
        <v>US0320951017</v>
      </c>
      <c r="BP9" s="497" t="str">
        <v>Stock</v>
      </c>
      <c r="BQ9" s="502">
        <v>32744.999999999996</v>
      </c>
      <c r="BR9" s="497" t="str">
        <v>USD</v>
      </c>
      <c r="BS9" s="502">
        <v>32744.999999999996</v>
      </c>
      <c r="BT9" s="497" t="str">
        <v>USD</v>
      </c>
    </row>
    <row r="10" spans="1:75" x14ac:dyDescent="0.25">
      <c r="A10" s="497" t="s">
        <v>90</v>
      </c>
      <c r="B10" s="497" t="str">
        <f>IFERROR(IF(VLOOKUP(D10,'JPM St'!$C:$G,3,0)="Fixed Income &amp; Cash","Cash",VLOOKUP(D10,'JPM St'!$C:$G,3,0)),"")</f>
        <v>Equity</v>
      </c>
      <c r="C10" s="497" t="str">
        <f>IFERROR(VLOOKUP(D10,'JPM St'!$C:$L,10,0),"")</f>
        <v>USD</v>
      </c>
      <c r="D10" s="497" t="str">
        <v>LINDE PLC</v>
      </c>
      <c r="E10" s="500" t="str">
        <f>IFERROR(VLOOKUP(D10,'JPM St'!$C:$D,2,0),"")</f>
        <v>IE000S9YS762</v>
      </c>
      <c r="F10" s="501">
        <f t="shared" si="0"/>
        <v>193112.76</v>
      </c>
      <c r="G10" s="501">
        <f>SUMIFS('JPM St'!$K:$K,'JPM St'!$A:$A,$V$2,'JPM St'!$C:$C,D10)</f>
        <v>0</v>
      </c>
      <c r="H10" s="501">
        <f>SUMIFS('JPM St'!$K:$K,'JPM St'!$A:$A,$V$3,'JPM St'!$C:$C,D10)</f>
        <v>0</v>
      </c>
      <c r="I10" s="501">
        <f>SUMIFS('JPM St'!$K:$K,'JPM St'!$A:$A,$V$4,'JPM St'!$C:$C,D10)</f>
        <v>193112.76</v>
      </c>
      <c r="J10" s="619">
        <f t="shared" si="1"/>
        <v>193112.76</v>
      </c>
      <c r="K10" s="501">
        <f>IFERROR(SUMIFS('JPM St'!$M:$M,'JPM St'!$A:$A,$V$2,'JPM St'!$C:$C,D10),"")</f>
        <v>0</v>
      </c>
      <c r="L10" s="501">
        <f>IFERROR(SUMIFS('JPM St'!$M:$M,'JPM St'!$A:$A,$V$3,'JPM St'!$C:$C,D10),"")</f>
        <v>0</v>
      </c>
      <c r="M10" s="501">
        <f>IFERROR(SUMIFS('JPM St'!$M:$M,'JPM St'!$A:$A,$V$4,'JPM St'!$C:$C,D10),"")</f>
        <v>193112.76</v>
      </c>
      <c r="N10" s="501"/>
      <c r="O10" s="501"/>
      <c r="P10" s="501"/>
      <c r="Q10" s="501"/>
      <c r="R10" s="501"/>
      <c r="W10" s="523">
        <v>46062</v>
      </c>
      <c r="X10" s="524">
        <v>13909548.309747703</v>
      </c>
      <c r="Y10" s="525">
        <v>0</v>
      </c>
      <c r="Z10" s="526">
        <v>3921967.7794000013</v>
      </c>
      <c r="AA10" s="527">
        <v>2462169.3149000001</v>
      </c>
      <c r="AB10" s="528">
        <v>7525411.2154477006</v>
      </c>
      <c r="AC10" s="522">
        <f t="shared" si="2"/>
        <v>4.9867709945716765E-3</v>
      </c>
      <c r="AE10" s="515"/>
      <c r="AN10" s="502"/>
      <c r="AP10" s="497" t="str">
        <v>ASTERA LABS INC</v>
      </c>
      <c r="AQ10" s="497" t="str">
        <v>US04626A1034</v>
      </c>
      <c r="AR10" s="516" t="str">
        <v>Stock</v>
      </c>
      <c r="AS10" s="502">
        <v>35528.630000000005</v>
      </c>
      <c r="AT10" s="497" t="str">
        <v>USD</v>
      </c>
      <c r="AU10" s="502">
        <v>35528.630000000005</v>
      </c>
      <c r="AV10" s="497" t="str">
        <v>USD</v>
      </c>
      <c r="BB10" s="497" t="str">
        <v>ANALOG DEVICES</v>
      </c>
      <c r="BC10" s="497" t="str">
        <v>US0326541051</v>
      </c>
      <c r="BD10" s="497" t="str">
        <v>Stock</v>
      </c>
      <c r="BE10" s="502">
        <v>37274.400000000001</v>
      </c>
      <c r="BF10" s="497" t="str">
        <v>USD</v>
      </c>
      <c r="BG10" s="502">
        <v>37274.400000000001</v>
      </c>
      <c r="BH10" s="497" t="str">
        <v>USD</v>
      </c>
      <c r="BN10" s="497" t="str">
        <v>ANALOG DEVICES</v>
      </c>
      <c r="BO10" s="497" t="str">
        <v>US0326541051</v>
      </c>
      <c r="BP10" s="497" t="str">
        <v>Stock</v>
      </c>
      <c r="BQ10" s="502">
        <v>160590.54</v>
      </c>
      <c r="BR10" s="497" t="str">
        <v>USD</v>
      </c>
      <c r="BS10" s="502">
        <v>160590.54</v>
      </c>
      <c r="BT10" s="497" t="str">
        <v>USD</v>
      </c>
    </row>
    <row r="11" spans="1:75" x14ac:dyDescent="0.25">
      <c r="A11" s="497" t="s">
        <v>90</v>
      </c>
      <c r="B11" s="497" t="str">
        <f>IFERROR(IF(VLOOKUP(D11,'JPM St'!$C:$G,3,0)="Fixed Income &amp; Cash","Cash",VLOOKUP(D11,'JPM St'!$C:$G,3,0)),"")</f>
        <v>Equity</v>
      </c>
      <c r="C11" s="497" t="str">
        <f>IFERROR(VLOOKUP(D11,'JPM St'!$C:$L,10,0),"")</f>
        <v>USD</v>
      </c>
      <c r="D11" s="497" t="str">
        <v>WALT DISNEY CO/THE</v>
      </c>
      <c r="E11" s="500" t="str">
        <f>IFERROR(VLOOKUP(D11,'JPM St'!$C:$D,2,0),"")</f>
        <v>US2546871060</v>
      </c>
      <c r="F11" s="501">
        <f t="shared" si="0"/>
        <v>196178.43</v>
      </c>
      <c r="G11" s="501">
        <f>SUMIFS('JPM St'!$K:$K,'JPM St'!$A:$A,$V$2,'JPM St'!$C:$C,D11)</f>
        <v>0</v>
      </c>
      <c r="H11" s="501">
        <f>SUMIFS('JPM St'!$K:$K,'JPM St'!$A:$A,$V$3,'JPM St'!$C:$C,D11)</f>
        <v>27827.43</v>
      </c>
      <c r="I11" s="501">
        <f>SUMIFS('JPM St'!$K:$K,'JPM St'!$A:$A,$V$4,'JPM St'!$C:$C,D11)</f>
        <v>168351</v>
      </c>
      <c r="J11" s="619">
        <f t="shared" si="1"/>
        <v>196178.43</v>
      </c>
      <c r="K11" s="501">
        <f>IFERROR(SUMIFS('JPM St'!$M:$M,'JPM St'!$A:$A,$V$2,'JPM St'!$C:$C,D11),"")</f>
        <v>0</v>
      </c>
      <c r="L11" s="501">
        <f>IFERROR(SUMIFS('JPM St'!$M:$M,'JPM St'!$A:$A,$V$3,'JPM St'!$C:$C,D11),"")</f>
        <v>27827.43</v>
      </c>
      <c r="M11" s="501">
        <f>IFERROR(SUMIFS('JPM St'!$M:$M,'JPM St'!$A:$A,$V$4,'JPM St'!$C:$C,D11),"")</f>
        <v>168351</v>
      </c>
      <c r="N11" s="501"/>
      <c r="O11" s="501"/>
      <c r="P11" s="501"/>
      <c r="Q11" s="501"/>
      <c r="R11" s="501"/>
      <c r="W11" s="523">
        <v>46022</v>
      </c>
      <c r="X11" s="524">
        <v>13840528.762366001</v>
      </c>
      <c r="Y11" s="525">
        <v>0</v>
      </c>
      <c r="Z11" s="526">
        <v>4084593.6971500008</v>
      </c>
      <c r="AA11" s="527">
        <v>2312360.4379199995</v>
      </c>
      <c r="AB11" s="528">
        <v>7443574.6272960007</v>
      </c>
      <c r="AC11" s="522">
        <f t="shared" si="2"/>
        <v>6.2979788519101909E-4</v>
      </c>
      <c r="AN11" s="502"/>
      <c r="AP11" s="497" t="str">
        <v>BROADCOM INC</v>
      </c>
      <c r="AQ11" s="497" t="str">
        <v>US11135F1012</v>
      </c>
      <c r="AR11" s="516" t="str">
        <v>Stock</v>
      </c>
      <c r="AS11" s="502">
        <v>313081.59999999998</v>
      </c>
      <c r="AT11" s="497" t="str">
        <v>USD</v>
      </c>
      <c r="AU11" s="502">
        <v>313081.59999999998</v>
      </c>
      <c r="AV11" s="497" t="str">
        <v>USD</v>
      </c>
      <c r="BB11" s="497" t="str">
        <v>ARES MANAGEMENT CORP</v>
      </c>
      <c r="BC11" s="497" t="str">
        <v>US03990B1017</v>
      </c>
      <c r="BD11" s="497" t="str">
        <v>Stock</v>
      </c>
      <c r="BE11" s="502">
        <v>7293.68</v>
      </c>
      <c r="BF11" s="497" t="str">
        <v>USD</v>
      </c>
      <c r="BG11" s="502">
        <v>7293.68</v>
      </c>
      <c r="BH11" s="497" t="str">
        <v>USD</v>
      </c>
      <c r="BN11" s="497" t="str">
        <v>APPLE</v>
      </c>
      <c r="BO11" s="497" t="str">
        <v>US0378331005</v>
      </c>
      <c r="BP11" s="497" t="str">
        <v>Stock</v>
      </c>
      <c r="BQ11" s="502">
        <v>172921.44</v>
      </c>
      <c r="BR11" s="497" t="str">
        <v>USD</v>
      </c>
      <c r="BS11" s="502">
        <v>172921.44</v>
      </c>
      <c r="BT11" s="497" t="str">
        <v>USD</v>
      </c>
    </row>
    <row r="12" spans="1:75" x14ac:dyDescent="0.25">
      <c r="A12" s="497" t="s">
        <v>90</v>
      </c>
      <c r="B12" s="497" t="str">
        <f>IFERROR(IF(VLOOKUP(D12,'JPM St'!$C:$G,3,0)="Fixed Income &amp; Cash","Cash",VLOOKUP(D12,'JPM St'!$C:$G,3,0)),"")</f>
        <v>Equity</v>
      </c>
      <c r="C12" s="497" t="str">
        <f>IFERROR(VLOOKUP(D12,'JPM St'!$C:$L,10,0),"")</f>
        <v>USD</v>
      </c>
      <c r="D12" s="497" t="str">
        <v>ANALOG DEVICES</v>
      </c>
      <c r="E12" s="500" t="str">
        <f>IFERROR(VLOOKUP(D12,'JPM St'!$C:$D,2,0),"")</f>
        <v>US0326541051</v>
      </c>
      <c r="F12" s="501">
        <f t="shared" si="0"/>
        <v>197864.94</v>
      </c>
      <c r="G12" s="501">
        <f>SUMIFS('JPM St'!$K:$K,'JPM St'!$A:$A,$V$2,'JPM St'!$C:$C,D12)</f>
        <v>0</v>
      </c>
      <c r="H12" s="501">
        <f>SUMIFS('JPM St'!$K:$K,'JPM St'!$A:$A,$V$3,'JPM St'!$C:$C,D12)</f>
        <v>37274.400000000001</v>
      </c>
      <c r="I12" s="501">
        <f>SUMIFS('JPM St'!$K:$K,'JPM St'!$A:$A,$V$4,'JPM St'!$C:$C,D12)</f>
        <v>160590.54</v>
      </c>
      <c r="J12" s="619">
        <f t="shared" si="1"/>
        <v>197864.94</v>
      </c>
      <c r="K12" s="501">
        <f>IFERROR(SUMIFS('JPM St'!$M:$M,'JPM St'!$A:$A,$V$2,'JPM St'!$C:$C,D12),"")</f>
        <v>0</v>
      </c>
      <c r="L12" s="501">
        <f>IFERROR(SUMIFS('JPM St'!$M:$M,'JPM St'!$A:$A,$V$3,'JPM St'!$C:$C,D12),"")</f>
        <v>37274.400000000001</v>
      </c>
      <c r="M12" s="501">
        <f>IFERROR(SUMIFS('JPM St'!$M:$M,'JPM St'!$A:$A,$V$4,'JPM St'!$C:$C,D12),"")</f>
        <v>160590.54</v>
      </c>
      <c r="N12" s="501"/>
      <c r="O12" s="501"/>
      <c r="P12" s="501"/>
      <c r="Q12" s="501"/>
      <c r="R12" s="501"/>
      <c r="W12" s="523">
        <v>46000</v>
      </c>
      <c r="X12" s="524">
        <v>13831817.512947999</v>
      </c>
      <c r="Y12" s="525">
        <v>0</v>
      </c>
      <c r="Z12" s="526">
        <v>4173802.9989300002</v>
      </c>
      <c r="AA12" s="527">
        <v>2291001.2590899998</v>
      </c>
      <c r="AB12" s="528">
        <v>7367013.2549279993</v>
      </c>
      <c r="AC12" s="522">
        <f>X12/X13-1</f>
        <v>3.8868949677253184E-3</v>
      </c>
      <c r="AN12" s="502"/>
      <c r="AP12" s="497" t="str">
        <v>CELESTICA INC</v>
      </c>
      <c r="AQ12" s="497" t="str">
        <v>CA15101Q2071</v>
      </c>
      <c r="AR12" s="516" t="str">
        <v>Stock</v>
      </c>
      <c r="AS12" s="502">
        <v>49041.26</v>
      </c>
      <c r="AT12" s="497" t="str">
        <v>USD</v>
      </c>
      <c r="AU12" s="502">
        <v>49041.26</v>
      </c>
      <c r="AV12" s="497" t="str">
        <v>USD</v>
      </c>
      <c r="BB12" s="497" t="str">
        <v>ARTHUR J.GALLAGHER &amp; CO</v>
      </c>
      <c r="BC12" s="497" t="str">
        <v>US3635761097</v>
      </c>
      <c r="BD12" s="497" t="str">
        <v>Stock</v>
      </c>
      <c r="BE12" s="502">
        <v>20518.59</v>
      </c>
      <c r="BF12" s="497" t="str">
        <v>USD</v>
      </c>
      <c r="BG12" s="502">
        <v>20518.59</v>
      </c>
      <c r="BH12" s="497" t="str">
        <v>USD</v>
      </c>
      <c r="BN12" s="497" t="str">
        <v>ASML HOLDING</v>
      </c>
      <c r="BO12" s="497" t="str">
        <v>NL0010273215</v>
      </c>
      <c r="BP12" s="497" t="str">
        <v>Stock</v>
      </c>
      <c r="BQ12" s="502">
        <v>113483.59999999999</v>
      </c>
      <c r="BR12" s="497" t="str">
        <v>EUR</v>
      </c>
      <c r="BS12" s="502">
        <v>131351.59281999999</v>
      </c>
      <c r="BT12" s="497" t="str">
        <v>USD</v>
      </c>
    </row>
    <row r="13" spans="1:75" x14ac:dyDescent="0.25">
      <c r="A13" s="497" t="s">
        <v>90</v>
      </c>
      <c r="B13" s="497" t="str">
        <f>IFERROR(IF(VLOOKUP(D13,'JPM St'!$C:$G,3,0)="Fixed Income &amp; Cash","Cash",VLOOKUP(D13,'JPM St'!$C:$G,3,0)),"")</f>
        <v>Equity</v>
      </c>
      <c r="C13" s="497" t="str">
        <f>IFERROR(VLOOKUP(D13,'JPM St'!$C:$L,10,0),"")</f>
        <v>USD</v>
      </c>
      <c r="D13" s="497" t="str">
        <v>MC DONALD S</v>
      </c>
      <c r="E13" s="500" t="str">
        <f>IFERROR(VLOOKUP(D13,'JPM St'!$C:$D,2,0),"")</f>
        <v>US5801351017</v>
      </c>
      <c r="F13" s="501">
        <f t="shared" si="0"/>
        <v>199618.56</v>
      </c>
      <c r="G13" s="501">
        <f>SUMIFS('JPM St'!$K:$K,'JPM St'!$A:$A,$V$2,'JPM St'!$C:$C,D13)</f>
        <v>0</v>
      </c>
      <c r="H13" s="501">
        <f>SUMIFS('JPM St'!$K:$K,'JPM St'!$A:$A,$V$3,'JPM St'!$C:$C,D13)</f>
        <v>39398.400000000001</v>
      </c>
      <c r="I13" s="501">
        <f>SUMIFS('JPM St'!$K:$K,'JPM St'!$A:$A,$V$4,'JPM St'!$C:$C,D13)</f>
        <v>160220.16</v>
      </c>
      <c r="J13" s="619">
        <f t="shared" si="1"/>
        <v>199618.56</v>
      </c>
      <c r="K13" s="501">
        <f>IFERROR(SUMIFS('JPM St'!$M:$M,'JPM St'!$A:$A,$V$2,'JPM St'!$C:$C,D13),"")</f>
        <v>0</v>
      </c>
      <c r="L13" s="501">
        <f>IFERROR(SUMIFS('JPM St'!$M:$M,'JPM St'!$A:$A,$V$3,'JPM St'!$C:$C,D13),"")</f>
        <v>39398.400000000001</v>
      </c>
      <c r="M13" s="501">
        <f>IFERROR(SUMIFS('JPM St'!$M:$M,'JPM St'!$A:$A,$V$4,'JPM St'!$C:$C,D13),"")</f>
        <v>160220.16</v>
      </c>
      <c r="N13" s="501"/>
      <c r="O13" s="501"/>
      <c r="P13" s="501"/>
      <c r="Q13" s="501"/>
      <c r="R13" s="501"/>
      <c r="W13" s="523">
        <v>45994</v>
      </c>
      <c r="X13" s="524">
        <v>13778262.852402998</v>
      </c>
      <c r="Y13" s="525">
        <v>0</v>
      </c>
      <c r="Z13" s="526">
        <v>4095291.2712899996</v>
      </c>
      <c r="AA13" s="527">
        <v>2302900.2029699995</v>
      </c>
      <c r="AB13" s="528">
        <v>7380071.3781429995</v>
      </c>
      <c r="AC13" s="522"/>
      <c r="AP13" s="497" t="str">
        <v>CIRCLE INTERNET GROUP INC</v>
      </c>
      <c r="AQ13" s="497" t="str">
        <v>US1725731079</v>
      </c>
      <c r="AR13" s="516" t="str">
        <v>Stock</v>
      </c>
      <c r="AS13" s="502">
        <v>37974.160000000003</v>
      </c>
      <c r="AT13" s="497" t="str">
        <v>USD</v>
      </c>
      <c r="AU13" s="502">
        <v>37974.160000000003</v>
      </c>
      <c r="AV13" s="497" t="str">
        <v>USD</v>
      </c>
      <c r="BB13" s="497" t="str">
        <v>AVALONBAY COMMUNITIES</v>
      </c>
      <c r="BC13" s="497" t="str">
        <v>US0534841012</v>
      </c>
      <c r="BD13" s="497" t="str">
        <v>Stock</v>
      </c>
      <c r="BE13" s="502">
        <v>7971.8</v>
      </c>
      <c r="BF13" s="497" t="str">
        <v>USD</v>
      </c>
      <c r="BG13" s="502">
        <v>7971.8</v>
      </c>
      <c r="BH13" s="497" t="str">
        <v>USD</v>
      </c>
      <c r="BN13" s="497" t="str">
        <v>BAKER HUGHES CO</v>
      </c>
      <c r="BO13" s="497" t="str">
        <v>US05722G1004</v>
      </c>
      <c r="BP13" s="497" t="str">
        <v>Stock</v>
      </c>
      <c r="BQ13" s="502">
        <v>130023.28</v>
      </c>
      <c r="BR13" s="497" t="str">
        <v>USD</v>
      </c>
      <c r="BS13" s="502">
        <v>130023.28</v>
      </c>
      <c r="BT13" s="497" t="str">
        <v>USD</v>
      </c>
    </row>
    <row r="14" spans="1:75" x14ac:dyDescent="0.25">
      <c r="A14" s="497" t="s">
        <v>90</v>
      </c>
      <c r="B14" s="497" t="str">
        <f>IFERROR(IF(VLOOKUP(D14,'JPM St'!$C:$G,3,0)="Fixed Income &amp; Cash","Cash",VLOOKUP(D14,'JPM St'!$C:$G,3,0)),"")</f>
        <v>Equity</v>
      </c>
      <c r="C14" s="497" t="str">
        <f>IFERROR(VLOOKUP(D14,'JPM St'!$C:$L,10,0),"")</f>
        <v>EUR</v>
      </c>
      <c r="D14" s="497" t="str">
        <v>SAFRAN</v>
      </c>
      <c r="E14" s="500" t="str">
        <f>IFERROR(VLOOKUP(D14,'JPM St'!$C:$D,2,0),"")</f>
        <v>FR0000073272</v>
      </c>
      <c r="F14" s="501">
        <f t="shared" si="0"/>
        <v>130476.59999999999</v>
      </c>
      <c r="G14" s="501">
        <f>SUMIFS('JPM St'!$K:$K,'JPM St'!$A:$A,$V$2,'JPM St'!$C:$C,D14)</f>
        <v>0</v>
      </c>
      <c r="H14" s="501">
        <f>SUMIFS('JPM St'!$K:$K,'JPM St'!$A:$A,$V$3,'JPM St'!$C:$C,D14)</f>
        <v>0</v>
      </c>
      <c r="I14" s="501">
        <f>SUMIFS('JPM St'!$K:$K,'JPM St'!$A:$A,$V$4,'JPM St'!$C:$C,D14)</f>
        <v>130476.59999999999</v>
      </c>
      <c r="J14" s="619">
        <f t="shared" si="1"/>
        <v>151020.14066999999</v>
      </c>
      <c r="K14" s="501">
        <f>IFERROR(SUMIFS('JPM St'!$M:$M,'JPM St'!$A:$A,$V$2,'JPM St'!$C:$C,D14),"")</f>
        <v>0</v>
      </c>
      <c r="L14" s="501">
        <f>IFERROR(SUMIFS('JPM St'!$M:$M,'JPM St'!$A:$A,$V$3,'JPM St'!$C:$C,D14),"")</f>
        <v>0</v>
      </c>
      <c r="M14" s="501">
        <f>IFERROR(SUMIFS('JPM St'!$M:$M,'JPM St'!$A:$A,$V$4,'JPM St'!$C:$C,D14),"")</f>
        <v>151020.14066999999</v>
      </c>
      <c r="N14" s="501"/>
      <c r="O14" s="501"/>
      <c r="P14" s="501"/>
      <c r="Q14" s="501"/>
      <c r="R14" s="501"/>
      <c r="W14" s="523">
        <v>45973</v>
      </c>
      <c r="X14" s="524">
        <v>15718191.530865002</v>
      </c>
      <c r="Y14" s="525">
        <v>0</v>
      </c>
      <c r="Z14" s="526">
        <v>5181570.0977700008</v>
      </c>
      <c r="AA14" s="527">
        <v>2279781.5189699996</v>
      </c>
      <c r="AB14" s="528">
        <v>8256839.9141250011</v>
      </c>
      <c r="AC14" s="522">
        <f t="shared" ref="AC14:AC26" si="3">X14/X15-1</f>
        <v>1.3403485736818599E-2</v>
      </c>
      <c r="AP14" s="497" t="str">
        <v>COHERENT CORP</v>
      </c>
      <c r="AQ14" s="497" t="str">
        <v>US19247G1076</v>
      </c>
      <c r="AR14" s="516" t="str">
        <v>Stock</v>
      </c>
      <c r="AS14" s="502">
        <v>63132.6</v>
      </c>
      <c r="AT14" s="497" t="str">
        <v>USD</v>
      </c>
      <c r="AU14" s="502">
        <v>63132.6</v>
      </c>
      <c r="AV14" s="497" t="str">
        <v>USD</v>
      </c>
      <c r="BB14" s="497" t="str">
        <v>BANK OF AMERICA</v>
      </c>
      <c r="BC14" s="497" t="str">
        <v>US0605051046</v>
      </c>
      <c r="BD14" s="497" t="str">
        <v>Stock</v>
      </c>
      <c r="BE14" s="502">
        <v>48337.275000000001</v>
      </c>
      <c r="BF14" s="497" t="str">
        <v>USD</v>
      </c>
      <c r="BG14" s="502">
        <v>48337.275000000001</v>
      </c>
      <c r="BH14" s="497" t="str">
        <v>USD</v>
      </c>
      <c r="BN14" s="497" t="str">
        <v>BANK OF AMERICA</v>
      </c>
      <c r="BO14" s="497" t="str">
        <v>US0605051046</v>
      </c>
      <c r="BP14" s="497" t="str">
        <v>Stock</v>
      </c>
      <c r="BQ14" s="502">
        <v>60597.75</v>
      </c>
      <c r="BR14" s="497" t="str">
        <v>USD</v>
      </c>
      <c r="BS14" s="502">
        <v>60597.75</v>
      </c>
      <c r="BT14" s="497" t="str">
        <v>USD</v>
      </c>
    </row>
    <row r="15" spans="1:75" x14ac:dyDescent="0.25">
      <c r="A15" s="497" t="s">
        <v>90</v>
      </c>
      <c r="B15" s="497" t="str">
        <f>IFERROR(IF(VLOOKUP(D15,'JPM St'!$C:$G,3,0)="Fixed Income &amp; Cash","Cash",VLOOKUP(D15,'JPM St'!$C:$G,3,0)),"")</f>
        <v>Equity</v>
      </c>
      <c r="C15" s="497" t="str">
        <f>IFERROR(VLOOKUP(D15,'JPM St'!$C:$L,10,0),"")</f>
        <v>SEK</v>
      </c>
      <c r="D15" s="497" t="str">
        <v>VOLVO -B- FRIA</v>
      </c>
      <c r="E15" s="500" t="str">
        <f>IFERROR(VLOOKUP(D15,'JPM St'!$C:$D,2,0),"")</f>
        <v>SE0000115446</v>
      </c>
      <c r="F15" s="501">
        <f t="shared" si="0"/>
        <v>1264457.23841</v>
      </c>
      <c r="G15" s="501">
        <f>SUMIFS('JPM St'!$K:$K,'JPM St'!$A:$A,$V$2,'JPM St'!$C:$C,D15)</f>
        <v>0</v>
      </c>
      <c r="H15" s="501">
        <f>SUMIFS('JPM St'!$K:$K,'JPM St'!$A:$A,$V$3,'JPM St'!$C:$C,D15)</f>
        <v>0</v>
      </c>
      <c r="I15" s="501">
        <f>SUMIFS('JPM St'!$K:$K,'JPM St'!$A:$A,$V$4,'JPM St'!$C:$C,D15)</f>
        <v>1264457.23841</v>
      </c>
      <c r="J15" s="619">
        <f t="shared" si="1"/>
        <v>136951.25184899999</v>
      </c>
      <c r="K15" s="501">
        <f>IFERROR(SUMIFS('JPM St'!$M:$M,'JPM St'!$A:$A,$V$2,'JPM St'!$C:$C,D15),"")</f>
        <v>0</v>
      </c>
      <c r="L15" s="501">
        <f>IFERROR(SUMIFS('JPM St'!$M:$M,'JPM St'!$A:$A,$V$3,'JPM St'!$C:$C,D15),"")</f>
        <v>0</v>
      </c>
      <c r="M15" s="501">
        <f>IFERROR(SUMIFS('JPM St'!$M:$M,'JPM St'!$A:$A,$V$4,'JPM St'!$C:$C,D15),"")</f>
        <v>136951.25184899999</v>
      </c>
      <c r="N15" s="501"/>
      <c r="O15" s="501"/>
      <c r="P15" s="501"/>
      <c r="Q15" s="501"/>
      <c r="R15" s="501"/>
      <c r="W15" s="523">
        <v>45950</v>
      </c>
      <c r="X15" s="524">
        <v>15510299.453368001</v>
      </c>
      <c r="Y15" s="525">
        <v>0</v>
      </c>
      <c r="Z15" s="526">
        <v>5050528.8269499997</v>
      </c>
      <c r="AA15" s="527">
        <v>2242445.1515700007</v>
      </c>
      <c r="AB15" s="528">
        <v>8217325.4748480003</v>
      </c>
      <c r="AC15" s="522">
        <f t="shared" si="3"/>
        <v>-3.7827207387767237E-3</v>
      </c>
      <c r="AP15" s="497" t="str">
        <v>CORE SCIENTIFIC INC</v>
      </c>
      <c r="AQ15" s="497" t="str">
        <v>US21874A1060</v>
      </c>
      <c r="AR15" s="516" t="str">
        <v>Stock</v>
      </c>
      <c r="AS15" s="502">
        <v>34233.675000000003</v>
      </c>
      <c r="AT15" s="497" t="str">
        <v>USD</v>
      </c>
      <c r="AU15" s="502">
        <v>34233.675000000003</v>
      </c>
      <c r="AV15" s="497" t="str">
        <v>USD</v>
      </c>
      <c r="BB15" s="497" t="str">
        <v>BANK OF NEW YORK MELLON</v>
      </c>
      <c r="BC15" s="497" t="str">
        <v>US0640581007</v>
      </c>
      <c r="BD15" s="497" t="str">
        <v>Stock</v>
      </c>
      <c r="BE15" s="502">
        <v>40026.25</v>
      </c>
      <c r="BF15" s="497" t="str">
        <v>USD</v>
      </c>
      <c r="BG15" s="502">
        <v>40026.25</v>
      </c>
      <c r="BH15" s="497" t="str">
        <v>USD</v>
      </c>
      <c r="BN15" s="497" t="str">
        <v>BIOGEN</v>
      </c>
      <c r="BO15" s="497" t="str">
        <v>US09062X1037</v>
      </c>
      <c r="BP15" s="497" t="str">
        <v>Stock</v>
      </c>
      <c r="BQ15" s="502">
        <v>66972.510000000009</v>
      </c>
      <c r="BR15" s="497" t="str">
        <v>USD</v>
      </c>
      <c r="BS15" s="502">
        <v>66972.510000000009</v>
      </c>
      <c r="BT15" s="497" t="str">
        <v>USD</v>
      </c>
    </row>
    <row r="16" spans="1:75" x14ac:dyDescent="0.25">
      <c r="A16" s="497" t="s">
        <v>90</v>
      </c>
      <c r="B16" s="497" t="str">
        <f>IFERROR(IF(VLOOKUP(D16,'JPM St'!$C:$G,3,0)="Fixed Income &amp; Cash","Cash",VLOOKUP(D16,'JPM St'!$C:$G,3,0)),"")</f>
        <v>Equity</v>
      </c>
      <c r="C16" s="497" t="str">
        <f>IFERROR(VLOOKUP(D16,'JPM St'!$C:$L,10,0),"")</f>
        <v>USD</v>
      </c>
      <c r="D16" s="497" t="str">
        <v>MASTERCARD INC - A</v>
      </c>
      <c r="E16" s="500" t="str">
        <f>IFERROR(VLOOKUP(D16,'JPM St'!$C:$D,2,0),"")</f>
        <v>US57636Q1040</v>
      </c>
      <c r="F16" s="501">
        <f t="shared" si="0"/>
        <v>133973.90999999997</v>
      </c>
      <c r="G16" s="501">
        <f>SUMIFS('JPM St'!$K:$K,'JPM St'!$A:$A,$V$2,'JPM St'!$C:$C,D16)</f>
        <v>0</v>
      </c>
      <c r="H16" s="501">
        <f>SUMIFS('JPM St'!$K:$K,'JPM St'!$A:$A,$V$3,'JPM St'!$C:$C,D16)</f>
        <v>0</v>
      </c>
      <c r="I16" s="501">
        <f>SUMIFS('JPM St'!$K:$K,'JPM St'!$A:$A,$V$4,'JPM St'!$C:$C,D16)</f>
        <v>133973.90999999997</v>
      </c>
      <c r="J16" s="619">
        <f t="shared" si="1"/>
        <v>133973.90999999997</v>
      </c>
      <c r="K16" s="501">
        <f>IFERROR(SUMIFS('JPM St'!$M:$M,'JPM St'!$A:$A,$V$2,'JPM St'!$C:$C,D16),"")</f>
        <v>0</v>
      </c>
      <c r="L16" s="501">
        <f>IFERROR(SUMIFS('JPM St'!$M:$M,'JPM St'!$A:$A,$V$3,'JPM St'!$C:$C,D16),"")</f>
        <v>0</v>
      </c>
      <c r="M16" s="501">
        <f>IFERROR(SUMIFS('JPM St'!$M:$M,'JPM St'!$A:$A,$V$4,'JPM St'!$C:$C,D16),"")</f>
        <v>133973.90999999997</v>
      </c>
      <c r="N16" s="501"/>
      <c r="O16" s="501"/>
      <c r="P16" s="501"/>
      <c r="Q16" s="501"/>
      <c r="R16" s="501"/>
      <c r="W16" s="523">
        <v>45933</v>
      </c>
      <c r="X16" s="524">
        <v>15569193.363991998</v>
      </c>
      <c r="Y16" s="525">
        <v>0</v>
      </c>
      <c r="Z16" s="526">
        <v>5035702.8713100012</v>
      </c>
      <c r="AA16" s="527">
        <v>2261129.2010899992</v>
      </c>
      <c r="AB16" s="528">
        <v>8272361.2915919991</v>
      </c>
      <c r="AC16" s="522">
        <f t="shared" si="3"/>
        <v>1.8496799502888184E-2</v>
      </c>
      <c r="AP16" s="497" t="str">
        <v>CROWDSTRIKE HOLDINGS INC - A</v>
      </c>
      <c r="AQ16" s="497" t="str">
        <v>US22788C1053</v>
      </c>
      <c r="AR16" s="516" t="str">
        <v>Stock</v>
      </c>
      <c r="AS16" s="502">
        <v>41472.959999999999</v>
      </c>
      <c r="AT16" s="497" t="str">
        <v>USD</v>
      </c>
      <c r="AU16" s="502">
        <v>41472.959999999999</v>
      </c>
      <c r="AV16" s="497" t="str">
        <v>USD</v>
      </c>
      <c r="BB16" s="497" t="str">
        <v>BECTON DICKINSON</v>
      </c>
      <c r="BC16" s="497" t="str">
        <v>US0758871091</v>
      </c>
      <c r="BD16" s="497" t="str">
        <v>Stock</v>
      </c>
      <c r="BE16" s="502">
        <v>12158.250000000002</v>
      </c>
      <c r="BF16" s="497" t="str">
        <v>USD</v>
      </c>
      <c r="BG16" s="502">
        <v>12158.250000000002</v>
      </c>
      <c r="BH16" s="497" t="str">
        <v>USD</v>
      </c>
      <c r="BN16" s="497" t="str">
        <v>BOLIDEN AB</v>
      </c>
      <c r="BO16" s="497" t="str">
        <v>SE0020050417</v>
      </c>
      <c r="BP16" s="497" t="str">
        <v>Stock</v>
      </c>
      <c r="BQ16" s="502">
        <v>844561.78659000003</v>
      </c>
      <c r="BR16" s="497" t="str">
        <v>SEK</v>
      </c>
      <c r="BS16" s="502">
        <v>91473.076686999993</v>
      </c>
      <c r="BT16" s="497" t="str">
        <v>USD</v>
      </c>
    </row>
    <row r="17" spans="1:75" x14ac:dyDescent="0.25">
      <c r="A17" s="497" t="s">
        <v>90</v>
      </c>
      <c r="B17" s="497" t="str">
        <f>IFERROR(IF(VLOOKUP(D17,'JPM St'!$C:$G,3,0)="Fixed Income &amp; Cash","Cash",VLOOKUP(D17,'JPM St'!$C:$G,3,0)),"")</f>
        <v>Equity</v>
      </c>
      <c r="C17" s="497" t="str">
        <f>IFERROR(VLOOKUP(D17,'JPM St'!$C:$L,10,0),"")</f>
        <v>EUR</v>
      </c>
      <c r="D17" s="497" t="str">
        <v>ASML HOLDING</v>
      </c>
      <c r="E17" s="500" t="str">
        <f>IFERROR(VLOOKUP(D17,'JPM St'!$C:$D,2,0),"")</f>
        <v>NL0010273215</v>
      </c>
      <c r="F17" s="501">
        <f t="shared" si="0"/>
        <v>113483.59999999999</v>
      </c>
      <c r="G17" s="501">
        <f>SUMIFS('JPM St'!$K:$K,'JPM St'!$A:$A,$V$2,'JPM St'!$C:$C,D17)</f>
        <v>0</v>
      </c>
      <c r="H17" s="501">
        <f>SUMIFS('JPM St'!$K:$K,'JPM St'!$A:$A,$V$3,'JPM St'!$C:$C,D17)</f>
        <v>0</v>
      </c>
      <c r="I17" s="501">
        <f>SUMIFS('JPM St'!$K:$K,'JPM St'!$A:$A,$V$4,'JPM St'!$C:$C,D17)</f>
        <v>113483.59999999999</v>
      </c>
      <c r="J17" s="619">
        <f t="shared" si="1"/>
        <v>131351.59281999999</v>
      </c>
      <c r="K17" s="501">
        <f>IFERROR(SUMIFS('JPM St'!$M:$M,'JPM St'!$A:$A,$V$2,'JPM St'!$C:$C,D17),"")</f>
        <v>0</v>
      </c>
      <c r="L17" s="501">
        <f>IFERROR(SUMIFS('JPM St'!$M:$M,'JPM St'!$A:$A,$V$3,'JPM St'!$C:$C,D17),"")</f>
        <v>0</v>
      </c>
      <c r="M17" s="501">
        <f>IFERROR(SUMIFS('JPM St'!$M:$M,'JPM St'!$A:$A,$V$4,'JPM St'!$C:$C,D17),"")</f>
        <v>131351.59281999999</v>
      </c>
      <c r="N17" s="501"/>
      <c r="O17" s="501"/>
      <c r="P17" s="501"/>
      <c r="Q17" s="501"/>
      <c r="R17" s="501"/>
      <c r="W17" s="523">
        <v>45915</v>
      </c>
      <c r="X17" s="524">
        <v>15286443.091024999</v>
      </c>
      <c r="Y17" s="525">
        <v>0</v>
      </c>
      <c r="Z17" s="526">
        <v>4903610.191039999</v>
      </c>
      <c r="AA17" s="527">
        <v>2256288.5729100001</v>
      </c>
      <c r="AB17" s="528">
        <v>8126544.327074999</v>
      </c>
      <c r="AC17" s="522">
        <f t="shared" si="3"/>
        <v>1.115040006750001E-2</v>
      </c>
      <c r="AP17" s="497" t="str">
        <v>DYNATRACE INC</v>
      </c>
      <c r="AQ17" s="497" t="str">
        <v>US2681501092</v>
      </c>
      <c r="AR17" s="516" t="str">
        <v>Stock</v>
      </c>
      <c r="AS17" s="502">
        <v>45960.69</v>
      </c>
      <c r="AT17" s="497" t="str">
        <v>USD</v>
      </c>
      <c r="AU17" s="502">
        <v>45960.69</v>
      </c>
      <c r="AV17" s="497" t="str">
        <v>USD</v>
      </c>
      <c r="BB17" s="497" t="str">
        <v>BLACKROCK INC</v>
      </c>
      <c r="BC17" s="497" t="str">
        <v>US09290D1019</v>
      </c>
      <c r="BD17" s="497" t="str">
        <v>Stock</v>
      </c>
      <c r="BE17" s="502">
        <v>10187.43</v>
      </c>
      <c r="BF17" s="497" t="str">
        <v>USD</v>
      </c>
      <c r="BG17" s="502">
        <v>10187.43</v>
      </c>
      <c r="BH17" s="497" t="str">
        <v>USD</v>
      </c>
      <c r="BN17" s="497" t="str">
        <v>BRISTOL MYERS SQUIBB</v>
      </c>
      <c r="BO17" s="497" t="str">
        <v>US1101221083</v>
      </c>
      <c r="BP17" s="497" t="str">
        <v>Stock</v>
      </c>
      <c r="BQ17" s="502">
        <v>118718.59999999999</v>
      </c>
      <c r="BR17" s="497" t="str">
        <v>USD</v>
      </c>
      <c r="BS17" s="502">
        <v>118718.59999999999</v>
      </c>
      <c r="BT17" s="497" t="str">
        <v>USD</v>
      </c>
    </row>
    <row r="18" spans="1:75" s="536" customFormat="1" x14ac:dyDescent="0.25">
      <c r="A18" s="497" t="s">
        <v>90</v>
      </c>
      <c r="B18" s="497" t="str">
        <f>IFERROR(IF(VLOOKUP(D18,'JPM St'!$C:$G,3,0)="Fixed Income &amp; Cash","Cash",VLOOKUP(D18,'JPM St'!$C:$G,3,0)),"")</f>
        <v>Equity</v>
      </c>
      <c r="C18" s="497" t="str">
        <f>IFERROR(VLOOKUP(D18,'JPM St'!$C:$L,10,0),"")</f>
        <v>USD</v>
      </c>
      <c r="D18" s="536" t="str">
        <v>BAKER HUGHES CO</v>
      </c>
      <c r="E18" s="500" t="str">
        <f>IFERROR(VLOOKUP(D18,'JPM St'!$C:$D,2,0),"")</f>
        <v>US05722G1004</v>
      </c>
      <c r="F18" s="501">
        <f t="shared" si="0"/>
        <v>130023.28</v>
      </c>
      <c r="G18" s="501">
        <f>SUMIFS('JPM St'!$K:$K,'JPM St'!$A:$A,$V$2,'JPM St'!$C:$C,D18)</f>
        <v>0</v>
      </c>
      <c r="H18" s="501">
        <f>SUMIFS('JPM St'!$K:$K,'JPM St'!$A:$A,$V$3,'JPM St'!$C:$C,D18)</f>
        <v>0</v>
      </c>
      <c r="I18" s="501">
        <f>SUMIFS('JPM St'!$K:$K,'JPM St'!$A:$A,$V$4,'JPM St'!$C:$C,D18)</f>
        <v>130023.28</v>
      </c>
      <c r="J18" s="619">
        <f t="shared" si="1"/>
        <v>130023.28</v>
      </c>
      <c r="K18" s="501">
        <f>IFERROR(SUMIFS('JPM St'!$M:$M,'JPM St'!$A:$A,$V$2,'JPM St'!$C:$C,D18),"")</f>
        <v>0</v>
      </c>
      <c r="L18" s="501">
        <f>IFERROR(SUMIFS('JPM St'!$M:$M,'JPM St'!$A:$A,$V$3,'JPM St'!$C:$C,D18),"")</f>
        <v>0</v>
      </c>
      <c r="M18" s="501">
        <f>IFERROR(SUMIFS('JPM St'!$M:$M,'JPM St'!$A:$A,$V$4,'JPM St'!$C:$C,D18),"")</f>
        <v>130023.28</v>
      </c>
      <c r="N18" s="501"/>
      <c r="O18" s="501"/>
      <c r="P18" s="501"/>
      <c r="Q18" s="501"/>
      <c r="R18" s="501"/>
      <c r="U18" s="497"/>
      <c r="V18" s="537"/>
      <c r="W18" s="523">
        <v>45898</v>
      </c>
      <c r="X18" s="524">
        <v>15117872.761563998</v>
      </c>
      <c r="Y18" s="525">
        <v>0</v>
      </c>
      <c r="Z18" s="526">
        <v>4736164.8919000002</v>
      </c>
      <c r="AA18" s="527">
        <v>2249362.8018599995</v>
      </c>
      <c r="AB18" s="528">
        <v>8132345.0678039985</v>
      </c>
      <c r="AC18" s="522">
        <f t="shared" si="3"/>
        <v>8.9959412840070474E-3</v>
      </c>
      <c r="AD18" s="497"/>
      <c r="AP18" s="497" t="str">
        <v>GUIDEWIRE SOFTWARE</v>
      </c>
      <c r="AQ18" s="497" t="str">
        <v>US40171V1008</v>
      </c>
      <c r="AR18" s="516" t="str">
        <v>Stock</v>
      </c>
      <c r="AS18" s="502">
        <v>58456.03</v>
      </c>
      <c r="AT18" s="497" t="str">
        <v>USD</v>
      </c>
      <c r="AU18" s="502">
        <v>58456.03</v>
      </c>
      <c r="AV18" s="497" t="str">
        <v>USD</v>
      </c>
      <c r="AW18" s="497"/>
      <c r="AX18" s="497"/>
      <c r="AY18" s="497"/>
      <c r="AZ18" s="497"/>
      <c r="BB18" s="497" t="str">
        <v>BLACKSTONE INC</v>
      </c>
      <c r="BC18" s="497" t="str">
        <v>US09260D1072</v>
      </c>
      <c r="BD18" s="497" t="str">
        <v>Stock</v>
      </c>
      <c r="BE18" s="502">
        <v>8263.64</v>
      </c>
      <c r="BF18" s="497" t="str">
        <v>USD</v>
      </c>
      <c r="BG18" s="502">
        <v>8263.64</v>
      </c>
      <c r="BH18" s="497" t="str">
        <v>USD</v>
      </c>
      <c r="BI18" s="497"/>
      <c r="BJ18" s="497"/>
      <c r="BK18" s="497"/>
      <c r="BM18" s="497"/>
      <c r="BN18" s="497" t="str">
        <v>BROADCOM INC</v>
      </c>
      <c r="BO18" s="497" t="str">
        <v>US11135F1012</v>
      </c>
      <c r="BP18" s="497" t="str">
        <v>Stock</v>
      </c>
      <c r="BQ18" s="502">
        <v>180115.19999999998</v>
      </c>
      <c r="BR18" s="497" t="str">
        <v>USD</v>
      </c>
      <c r="BS18" s="502">
        <v>180115.19999999998</v>
      </c>
      <c r="BT18" s="497" t="str">
        <v>USD</v>
      </c>
      <c r="BU18" s="497"/>
      <c r="BV18" s="497"/>
      <c r="BW18" s="497"/>
    </row>
    <row r="19" spans="1:75" x14ac:dyDescent="0.25">
      <c r="A19" s="497" t="s">
        <v>90</v>
      </c>
      <c r="B19" s="497" t="str">
        <f>IFERROR(IF(VLOOKUP(D19,'JPM St'!$C:$G,3,0)="Fixed Income &amp; Cash","Cash",VLOOKUP(D19,'JPM St'!$C:$G,3,0)),"")</f>
        <v>Equity</v>
      </c>
      <c r="C19" s="497" t="str">
        <f>IFERROR(VLOOKUP(D19,'JPM St'!$C:$L,10,0),"")</f>
        <v>USD</v>
      </c>
      <c r="D19" s="497" t="str">
        <v>OMMNICOM GRP</v>
      </c>
      <c r="E19" s="500" t="str">
        <f>IFERROR(VLOOKUP(D19,'JPM St'!$C:$D,2,0),"")</f>
        <v>US6819191064</v>
      </c>
      <c r="F19" s="501">
        <f t="shared" si="0"/>
        <v>129104.98</v>
      </c>
      <c r="G19" s="501">
        <f>SUMIFS('JPM St'!$K:$K,'JPM St'!$A:$A,$V$2,'JPM St'!$C:$C,D19)</f>
        <v>0</v>
      </c>
      <c r="H19" s="501">
        <f>SUMIFS('JPM St'!$K:$K,'JPM St'!$A:$A,$V$3,'JPM St'!$C:$C,D19)</f>
        <v>0</v>
      </c>
      <c r="I19" s="501">
        <f>SUMIFS('JPM St'!$K:$K,'JPM St'!$A:$A,$V$4,'JPM St'!$C:$C,D19)</f>
        <v>129104.98</v>
      </c>
      <c r="J19" s="619">
        <f t="shared" si="1"/>
        <v>129104.98</v>
      </c>
      <c r="K19" s="501">
        <f>IFERROR(SUMIFS('JPM St'!$M:$M,'JPM St'!$A:$A,$V$2,'JPM St'!$C:$C,D19),"")</f>
        <v>0</v>
      </c>
      <c r="L19" s="501">
        <f>IFERROR(SUMIFS('JPM St'!$M:$M,'JPM St'!$A:$A,$V$3,'JPM St'!$C:$C,D19),"")</f>
        <v>0</v>
      </c>
      <c r="M19" s="501">
        <f>IFERROR(SUMIFS('JPM St'!$M:$M,'JPM St'!$A:$A,$V$4,'JPM St'!$C:$C,D19),"")</f>
        <v>129104.98</v>
      </c>
      <c r="N19" s="501"/>
      <c r="O19" s="501"/>
      <c r="P19" s="501"/>
      <c r="Q19" s="501"/>
      <c r="R19" s="501"/>
      <c r="V19" s="537"/>
      <c r="W19" s="523">
        <v>45884</v>
      </c>
      <c r="X19" s="524">
        <v>14983085.801440995</v>
      </c>
      <c r="Y19" s="525">
        <v>0</v>
      </c>
      <c r="Z19" s="526">
        <v>4674885.4604400005</v>
      </c>
      <c r="AA19" s="527">
        <v>2209219.3258199994</v>
      </c>
      <c r="AB19" s="528">
        <v>8098981.0151809957</v>
      </c>
      <c r="AC19" s="522">
        <f t="shared" si="3"/>
        <v>1.7700636804872438E-2</v>
      </c>
      <c r="AD19" s="536"/>
      <c r="AP19" s="497" t="str">
        <v>HUT 8 CORP</v>
      </c>
      <c r="AQ19" s="497" t="str">
        <v>US44812J1043</v>
      </c>
      <c r="AR19" s="516" t="str">
        <v>Stock</v>
      </c>
      <c r="AS19" s="502">
        <v>28215.739999999998</v>
      </c>
      <c r="AT19" s="497" t="str">
        <v>USD</v>
      </c>
      <c r="AU19" s="502">
        <v>28215.739999999998</v>
      </c>
      <c r="AV19" s="497" t="str">
        <v>USD</v>
      </c>
      <c r="BB19" s="497" t="str">
        <v>BRISTOL MYERS SQUIBB</v>
      </c>
      <c r="BC19" s="497" t="str">
        <v>US1101221083</v>
      </c>
      <c r="BD19" s="497" t="str">
        <v>Stock</v>
      </c>
      <c r="BE19" s="502">
        <v>18916.7</v>
      </c>
      <c r="BF19" s="497" t="str">
        <v>USD</v>
      </c>
      <c r="BG19" s="502">
        <v>18916.7</v>
      </c>
      <c r="BH19" s="497" t="str">
        <v>USD</v>
      </c>
      <c r="BN19" s="497" t="str">
        <v>BURLINGTON STORES</v>
      </c>
      <c r="BO19" s="497" t="str">
        <v>US1220171060</v>
      </c>
      <c r="BP19" s="497" t="str">
        <v>Stock</v>
      </c>
      <c r="BQ19" s="502">
        <v>58242.764999999999</v>
      </c>
      <c r="BR19" s="497" t="str">
        <v>USD</v>
      </c>
      <c r="BS19" s="502">
        <v>58242.764999999999</v>
      </c>
      <c r="BT19" s="497" t="str">
        <v>USD</v>
      </c>
    </row>
    <row r="20" spans="1:75" x14ac:dyDescent="0.25">
      <c r="A20" s="497" t="s">
        <v>90</v>
      </c>
      <c r="B20" s="497" t="str">
        <f>IFERROR(IF(VLOOKUP(D20,'JPM St'!$C:$G,3,0)="Fixed Income &amp; Cash","Cash",VLOOKUP(D20,'JPM St'!$C:$G,3,0)),"")</f>
        <v>Equity</v>
      </c>
      <c r="C20" s="497" t="str">
        <f>IFERROR(VLOOKUP(D20,'JPM St'!$C:$L,10,0),"")</f>
        <v>USD</v>
      </c>
      <c r="D20" s="497" t="str">
        <v>THE SOUTHERN COMPANY</v>
      </c>
      <c r="E20" s="500" t="str">
        <f>IFERROR(VLOOKUP(D20,'JPM St'!$C:$D,2,0),"")</f>
        <v>US8425871071</v>
      </c>
      <c r="F20" s="501">
        <f t="shared" si="0"/>
        <v>122957.95999999999</v>
      </c>
      <c r="G20" s="501">
        <f>SUMIFS('JPM St'!$K:$K,'JPM St'!$A:$A,$V$2,'JPM St'!$C:$C,D20)</f>
        <v>0</v>
      </c>
      <c r="H20" s="501">
        <f>SUMIFS('JPM St'!$K:$K,'JPM St'!$A:$A,$V$3,'JPM St'!$C:$C,D20)</f>
        <v>0</v>
      </c>
      <c r="I20" s="501">
        <f>SUMIFS('JPM St'!$K:$K,'JPM St'!$A:$A,$V$4,'JPM St'!$C:$C,D20)</f>
        <v>122957.95999999999</v>
      </c>
      <c r="J20" s="619">
        <f t="shared" si="1"/>
        <v>122957.95999999999</v>
      </c>
      <c r="K20" s="501">
        <f>IFERROR(SUMIFS('JPM St'!$M:$M,'JPM St'!$A:$A,$V$2,'JPM St'!$C:$C,D20),"")</f>
        <v>0</v>
      </c>
      <c r="L20" s="501">
        <f>IFERROR(SUMIFS('JPM St'!$M:$M,'JPM St'!$A:$A,$V$3,'JPM St'!$C:$C,D20),"")</f>
        <v>0</v>
      </c>
      <c r="M20" s="501">
        <f>IFERROR(SUMIFS('JPM St'!$M:$M,'JPM St'!$A:$A,$V$4,'JPM St'!$C:$C,D20),"")</f>
        <v>122957.95999999999</v>
      </c>
      <c r="N20" s="501"/>
      <c r="O20" s="501"/>
      <c r="P20" s="501"/>
      <c r="Q20" s="501"/>
      <c r="R20" s="501"/>
      <c r="V20" s="537"/>
      <c r="W20" s="523">
        <v>45870</v>
      </c>
      <c r="X20" s="524">
        <f>SUM(Y20:AB20)</f>
        <v>14722488.381732002</v>
      </c>
      <c r="Y20" s="525">
        <v>0</v>
      </c>
      <c r="Z20" s="526">
        <v>4619993.6307199998</v>
      </c>
      <c r="AA20" s="527">
        <v>2177387.91047</v>
      </c>
      <c r="AB20" s="528">
        <v>7925106.8405420016</v>
      </c>
      <c r="AC20" s="522">
        <f t="shared" si="3"/>
        <v>-2.0059427982471734E-3</v>
      </c>
      <c r="AP20" s="497" t="str">
        <v>INTEL</v>
      </c>
      <c r="AQ20" s="497" t="str">
        <v>US4581401001</v>
      </c>
      <c r="AR20" s="516" t="str">
        <v>Stock</v>
      </c>
      <c r="AS20" s="502">
        <v>24865.68</v>
      </c>
      <c r="AT20" s="497" t="str">
        <v>USD</v>
      </c>
      <c r="AU20" s="502">
        <v>24865.68</v>
      </c>
      <c r="AV20" s="497" t="str">
        <v>USD</v>
      </c>
      <c r="BB20" s="497" t="str">
        <v>CAPITAL ONE FINANCIAL</v>
      </c>
      <c r="BC20" s="497" t="str">
        <v>US14040H1059</v>
      </c>
      <c r="BD20" s="497" t="str">
        <v>Stock</v>
      </c>
      <c r="BE20" s="502">
        <v>32585.43</v>
      </c>
      <c r="BF20" s="497" t="str">
        <v>USD</v>
      </c>
      <c r="BG20" s="502">
        <v>32585.43</v>
      </c>
      <c r="BH20" s="497" t="str">
        <v>USD</v>
      </c>
      <c r="BN20" s="497" t="str">
        <v>CAPGEMINI SE</v>
      </c>
      <c r="BO20" s="497" t="str">
        <v>FR0000125338</v>
      </c>
      <c r="BP20" s="497" t="str">
        <v>Stock</v>
      </c>
      <c r="BQ20" s="502">
        <v>60483.8</v>
      </c>
      <c r="BR20" s="497" t="str">
        <v>EUR</v>
      </c>
      <c r="BS20" s="502">
        <v>70006.974310000005</v>
      </c>
      <c r="BT20" s="497" t="str">
        <v>USD</v>
      </c>
    </row>
    <row r="21" spans="1:75" x14ac:dyDescent="0.25">
      <c r="A21" s="497" t="s">
        <v>90</v>
      </c>
      <c r="B21" s="497" t="str">
        <f>IFERROR(IF(VLOOKUP(D21,'JPM St'!$C:$G,3,0)="Fixed Income &amp; Cash","Cash",VLOOKUP(D21,'JPM St'!$C:$G,3,0)),"")</f>
        <v>Equity</v>
      </c>
      <c r="C21" s="497" t="str">
        <f>IFERROR(VLOOKUP(D21,'JPM St'!$C:$L,10,0),"")</f>
        <v>USD</v>
      </c>
      <c r="D21" s="497" t="str">
        <v>APPLIED MATERIALS</v>
      </c>
      <c r="E21" s="500" t="str">
        <f>IFERROR(VLOOKUP(D21,'JPM St'!$C:$D,2,0),"")</f>
        <v>US0382221051</v>
      </c>
      <c r="F21" s="501">
        <f t="shared" si="0"/>
        <v>119862.68</v>
      </c>
      <c r="G21" s="501">
        <f>SUMIFS('JPM St'!$K:$K,'JPM St'!$A:$A,$V$2,'JPM St'!$C:$C,D21)</f>
        <v>119862.68</v>
      </c>
      <c r="H21" s="501">
        <f>SUMIFS('JPM St'!$K:$K,'JPM St'!$A:$A,$V$3,'JPM St'!$C:$C,D21)</f>
        <v>0</v>
      </c>
      <c r="I21" s="501">
        <f>SUMIFS('JPM St'!$K:$K,'JPM St'!$A:$A,$V$4,'JPM St'!$C:$C,D21)</f>
        <v>0</v>
      </c>
      <c r="J21" s="619">
        <f t="shared" si="1"/>
        <v>119862.68</v>
      </c>
      <c r="K21" s="501">
        <f>IFERROR(SUMIFS('JPM St'!$M:$M,'JPM St'!$A:$A,$V$2,'JPM St'!$C:$C,D21),"")</f>
        <v>119862.68</v>
      </c>
      <c r="L21" s="501">
        <f>IFERROR(SUMIFS('JPM St'!$M:$M,'JPM St'!$A:$A,$V$3,'JPM St'!$C:$C,D21),"")</f>
        <v>0</v>
      </c>
      <c r="M21" s="501">
        <f>IFERROR(SUMIFS('JPM St'!$M:$M,'JPM St'!$A:$A,$V$4,'JPM St'!$C:$C,D21),"")</f>
        <v>0</v>
      </c>
      <c r="N21" s="501"/>
      <c r="O21" s="501"/>
      <c r="P21" s="501"/>
      <c r="Q21" s="501"/>
      <c r="R21" s="501"/>
      <c r="V21" s="537"/>
      <c r="W21" s="529">
        <v>45859</v>
      </c>
      <c r="X21" s="530">
        <f t="shared" ref="X21:X26" si="4">SUM(Y21:AB21)</f>
        <v>14752080.210790001</v>
      </c>
      <c r="Y21" s="531">
        <v>0</v>
      </c>
      <c r="Z21" s="532">
        <v>4531478.2671699999</v>
      </c>
      <c r="AA21" s="533">
        <v>2197284.7836499996</v>
      </c>
      <c r="AB21" s="534">
        <v>8023317.1599700004</v>
      </c>
      <c r="AC21" s="535">
        <f t="shared" si="3"/>
        <v>2.8609775108995317E-2</v>
      </c>
      <c r="AP21" s="497" t="str">
        <v>KLAVIYO INC-A</v>
      </c>
      <c r="AQ21" s="497" t="str">
        <v>US49845K1016</v>
      </c>
      <c r="AR21" s="516" t="str">
        <v>Stock</v>
      </c>
      <c r="AS21" s="502">
        <v>46743.839999999997</v>
      </c>
      <c r="AT21" s="497" t="str">
        <v>USD</v>
      </c>
      <c r="AU21" s="502">
        <v>46743.839999999997</v>
      </c>
      <c r="AV21" s="497" t="str">
        <v>USD</v>
      </c>
      <c r="BB21" s="497" t="str">
        <v>CARRIER GLOBAL CORP</v>
      </c>
      <c r="BC21" s="497" t="str">
        <v>US14448C1045</v>
      </c>
      <c r="BD21" s="497" t="str">
        <v>Stock</v>
      </c>
      <c r="BE21" s="502">
        <v>20867.62</v>
      </c>
      <c r="BF21" s="497" t="str">
        <v>USD</v>
      </c>
      <c r="BG21" s="502">
        <v>20867.62</v>
      </c>
      <c r="BH21" s="497" t="str">
        <v>USD</v>
      </c>
      <c r="BN21" s="497" t="str">
        <v>CARLSBERG -B-</v>
      </c>
      <c r="BO21" s="497" t="str">
        <v>DK0010181759</v>
      </c>
      <c r="BP21" s="497" t="str">
        <v>Stock</v>
      </c>
      <c r="BQ21" s="502">
        <v>560633.98770000006</v>
      </c>
      <c r="BR21" s="497" t="str">
        <v>DKK</v>
      </c>
      <c r="BS21" s="502">
        <v>86863.435903999998</v>
      </c>
      <c r="BT21" s="497" t="str">
        <v>USD</v>
      </c>
    </row>
    <row r="22" spans="1:75" x14ac:dyDescent="0.25">
      <c r="A22" s="497" t="s">
        <v>90</v>
      </c>
      <c r="B22" s="497" t="str">
        <f>IFERROR(IF(VLOOKUP(D22,'JPM St'!$C:$G,3,0)="Fixed Income &amp; Cash","Cash",VLOOKUP(D22,'JPM St'!$C:$G,3,0)),"")</f>
        <v>Equity</v>
      </c>
      <c r="C22" s="497" t="str">
        <f>IFERROR(VLOOKUP(D22,'JPM St'!$C:$L,10,0),"")</f>
        <v>USD</v>
      </c>
      <c r="D22" s="497" t="str">
        <v>BRISTOL MYERS SQUIBB</v>
      </c>
      <c r="E22" s="500" t="str">
        <f>IFERROR(VLOOKUP(D22,'JPM St'!$C:$D,2,0),"")</f>
        <v>US1101221083</v>
      </c>
      <c r="F22" s="501">
        <f t="shared" si="0"/>
        <v>137635.29999999999</v>
      </c>
      <c r="G22" s="501">
        <f>SUMIFS('JPM St'!$K:$K,'JPM St'!$A:$A,$V$2,'JPM St'!$C:$C,D22)</f>
        <v>0</v>
      </c>
      <c r="H22" s="501">
        <f>SUMIFS('JPM St'!$K:$K,'JPM St'!$A:$A,$V$3,'JPM St'!$C:$C,D22)</f>
        <v>18916.7</v>
      </c>
      <c r="I22" s="501">
        <f>SUMIFS('JPM St'!$K:$K,'JPM St'!$A:$A,$V$4,'JPM St'!$C:$C,D22)</f>
        <v>118718.59999999999</v>
      </c>
      <c r="J22" s="619">
        <f t="shared" si="1"/>
        <v>137635.29999999999</v>
      </c>
      <c r="K22" s="501">
        <f>IFERROR(SUMIFS('JPM St'!$M:$M,'JPM St'!$A:$A,$V$2,'JPM St'!$C:$C,D22),"")</f>
        <v>0</v>
      </c>
      <c r="L22" s="501">
        <f>IFERROR(SUMIFS('JPM St'!$M:$M,'JPM St'!$A:$A,$V$3,'JPM St'!$C:$C,D22),"")</f>
        <v>18916.7</v>
      </c>
      <c r="M22" s="501">
        <f>IFERROR(SUMIFS('JPM St'!$M:$M,'JPM St'!$A:$A,$V$4,'JPM St'!$C:$C,D22),"")</f>
        <v>118718.59999999999</v>
      </c>
      <c r="N22" s="501"/>
      <c r="O22" s="501"/>
      <c r="P22" s="501"/>
      <c r="Q22" s="501"/>
      <c r="R22" s="501"/>
      <c r="V22" s="537"/>
      <c r="W22" s="529">
        <v>45839</v>
      </c>
      <c r="X22" s="530">
        <f t="shared" si="4"/>
        <v>14341765.524468999</v>
      </c>
      <c r="Y22" s="531">
        <v>0</v>
      </c>
      <c r="Z22" s="532">
        <v>4417509.1345499987</v>
      </c>
      <c r="AA22" s="533">
        <v>2166951.2662199996</v>
      </c>
      <c r="AB22" s="534">
        <v>7757305.1236990001</v>
      </c>
      <c r="AC22" s="535">
        <f t="shared" si="3"/>
        <v>9.1650784682257846E-3</v>
      </c>
      <c r="AP22" s="497" t="str">
        <v>META PLATFORMS INC-CLASS A</v>
      </c>
      <c r="AQ22" s="497" t="str">
        <v>US30303M1027</v>
      </c>
      <c r="AR22" s="516" t="str">
        <v>Stock</v>
      </c>
      <c r="AS22" s="502">
        <v>269871</v>
      </c>
      <c r="AT22" s="497" t="str">
        <v>USD</v>
      </c>
      <c r="AU22" s="502">
        <v>269871</v>
      </c>
      <c r="AV22" s="497" t="str">
        <v>USD</v>
      </c>
      <c r="BB22" s="497" t="str">
        <v>CENCORA INC</v>
      </c>
      <c r="BC22" s="497" t="str">
        <v>US03073E1055</v>
      </c>
      <c r="BD22" s="497" t="str">
        <v>Stock</v>
      </c>
      <c r="BE22" s="502">
        <v>18105.764999999999</v>
      </c>
      <c r="BF22" s="497" t="str">
        <v>USD</v>
      </c>
      <c r="BG22" s="502">
        <v>18105.764999999999</v>
      </c>
      <c r="BH22" s="497" t="str">
        <v>USD</v>
      </c>
      <c r="BN22" s="497" t="str">
        <v>CHARLES SCHWAB</v>
      </c>
      <c r="BO22" s="497" t="str">
        <v>US8085131055</v>
      </c>
      <c r="BP22" s="497" t="str">
        <v>Stock</v>
      </c>
      <c r="BQ22" s="502">
        <v>116614.6</v>
      </c>
      <c r="BR22" s="497" t="str">
        <v>USD</v>
      </c>
      <c r="BS22" s="502">
        <v>116614.6</v>
      </c>
      <c r="BT22" s="497" t="str">
        <v>USD</v>
      </c>
    </row>
    <row r="23" spans="1:75" x14ac:dyDescent="0.25">
      <c r="A23" s="497" t="s">
        <v>90</v>
      </c>
      <c r="B23" s="497" t="str">
        <f>IFERROR(IF(VLOOKUP(D23,'JPM St'!$C:$G,3,0)="Fixed Income &amp; Cash","Cash",VLOOKUP(D23,'JPM St'!$C:$G,3,0)),"")</f>
        <v>Equity</v>
      </c>
      <c r="C23" s="497" t="str">
        <f>IFERROR(VLOOKUP(D23,'JPM St'!$C:$L,10,0),"")</f>
        <v>USD</v>
      </c>
      <c r="D23" s="497" t="str">
        <v>CHARLES SCHWAB</v>
      </c>
      <c r="E23" s="500" t="str">
        <f>IFERROR(VLOOKUP(D23,'JPM St'!$C:$D,2,0),"")</f>
        <v>US8085131055</v>
      </c>
      <c r="F23" s="501">
        <f t="shared" si="0"/>
        <v>159079.04000000001</v>
      </c>
      <c r="G23" s="501">
        <f>SUMIFS('JPM St'!$K:$K,'JPM St'!$A:$A,$V$2,'JPM St'!$C:$C,D23)</f>
        <v>0</v>
      </c>
      <c r="H23" s="501">
        <f>SUMIFS('JPM St'!$K:$K,'JPM St'!$A:$A,$V$3,'JPM St'!$C:$C,D23)</f>
        <v>42464.44</v>
      </c>
      <c r="I23" s="501">
        <f>SUMIFS('JPM St'!$K:$K,'JPM St'!$A:$A,$V$4,'JPM St'!$C:$C,D23)</f>
        <v>116614.6</v>
      </c>
      <c r="J23" s="619">
        <f t="shared" si="1"/>
        <v>159079.04000000001</v>
      </c>
      <c r="K23" s="501">
        <f>IFERROR(SUMIFS('JPM St'!$M:$M,'JPM St'!$A:$A,$V$2,'JPM St'!$C:$C,D23),"")</f>
        <v>0</v>
      </c>
      <c r="L23" s="501">
        <f>IFERROR(SUMIFS('JPM St'!$M:$M,'JPM St'!$A:$A,$V$3,'JPM St'!$C:$C,D23),"")</f>
        <v>42464.44</v>
      </c>
      <c r="M23" s="501">
        <f>IFERROR(SUMIFS('JPM St'!$M:$M,'JPM St'!$A:$A,$V$4,'JPM St'!$C:$C,D23),"")</f>
        <v>116614.6</v>
      </c>
      <c r="N23" s="501"/>
      <c r="O23" s="501"/>
      <c r="P23" s="501"/>
      <c r="Q23" s="501"/>
      <c r="R23" s="501"/>
      <c r="V23" s="537"/>
      <c r="W23" s="529">
        <v>45825</v>
      </c>
      <c r="X23" s="530">
        <f t="shared" si="4"/>
        <v>14211515.866400998</v>
      </c>
      <c r="Y23" s="531">
        <v>177604.48091499999</v>
      </c>
      <c r="Z23" s="532">
        <v>4266251.4473199993</v>
      </c>
      <c r="AA23" s="534">
        <v>2131543.25404</v>
      </c>
      <c r="AB23" s="534">
        <v>7636116.6841259999</v>
      </c>
      <c r="AC23" s="535">
        <f t="shared" si="3"/>
        <v>3.0329881126246017E-2</v>
      </c>
      <c r="AP23" s="497" t="str">
        <v>MICROCHIP TECH</v>
      </c>
      <c r="AQ23" s="497" t="str">
        <v>US5950171042</v>
      </c>
      <c r="AR23" s="516" t="str">
        <v>Stock</v>
      </c>
      <c r="AS23" s="502">
        <v>62029.760000000002</v>
      </c>
      <c r="AT23" s="497" t="str">
        <v>USD</v>
      </c>
      <c r="AU23" s="502">
        <v>62029.760000000002</v>
      </c>
      <c r="AV23" s="497" t="str">
        <v>USD</v>
      </c>
      <c r="BB23" s="497" t="str">
        <v>CHARLES SCHWAB</v>
      </c>
      <c r="BC23" s="497" t="str">
        <v>US8085131055</v>
      </c>
      <c r="BD23" s="497" t="str">
        <v>Stock</v>
      </c>
      <c r="BE23" s="502">
        <v>42464.44</v>
      </c>
      <c r="BF23" s="497" t="str">
        <v>USD</v>
      </c>
      <c r="BG23" s="502">
        <v>42464.44</v>
      </c>
      <c r="BH23" s="497" t="str">
        <v>USD</v>
      </c>
      <c r="BN23" s="497" t="str">
        <v>CHEVRON</v>
      </c>
      <c r="BO23" s="497" t="str">
        <v>US1667641005</v>
      </c>
      <c r="BP23" s="497" t="str">
        <v>Stock</v>
      </c>
      <c r="BQ23" s="502">
        <v>81476.759999999995</v>
      </c>
      <c r="BR23" s="497" t="str">
        <v>USD</v>
      </c>
      <c r="BS23" s="502">
        <v>81476.759999999995</v>
      </c>
      <c r="BT23" s="497" t="str">
        <v>USD</v>
      </c>
    </row>
    <row r="24" spans="1:75" x14ac:dyDescent="0.25">
      <c r="A24" s="497" t="s">
        <v>90</v>
      </c>
      <c r="B24" s="497" t="str">
        <f>IFERROR(IF(VLOOKUP(D24,'JPM St'!$C:$G,3,0)="Fixed Income &amp; Cash","Cash",VLOOKUP(D24,'JPM St'!$C:$G,3,0)),"")</f>
        <v>Equity</v>
      </c>
      <c r="C24" s="497" t="str">
        <f>IFERROR(VLOOKUP(D24,'JPM St'!$C:$L,10,0),"")</f>
        <v>USD</v>
      </c>
      <c r="D24" s="497" t="str">
        <v>TRANE TECHNOLOGIES PLC</v>
      </c>
      <c r="E24" s="500" t="str">
        <f>IFERROR(VLOOKUP(D24,'JPM St'!$C:$D,2,0),"")</f>
        <v>IE00BK9ZQ967</v>
      </c>
      <c r="F24" s="501">
        <f t="shared" si="0"/>
        <v>113007.15000000001</v>
      </c>
      <c r="G24" s="501">
        <f>SUMIFS('JPM St'!$K:$K,'JPM St'!$A:$A,$V$2,'JPM St'!$C:$C,D24)</f>
        <v>0</v>
      </c>
      <c r="H24" s="501">
        <f>SUMIFS('JPM St'!$K:$K,'JPM St'!$A:$A,$V$3,'JPM St'!$C:$C,D24)</f>
        <v>0</v>
      </c>
      <c r="I24" s="501">
        <f>SUMIFS('JPM St'!$K:$K,'JPM St'!$A:$A,$V$4,'JPM St'!$C:$C,D24)</f>
        <v>113007.15000000001</v>
      </c>
      <c r="J24" s="619">
        <f t="shared" si="1"/>
        <v>113007.15000000001</v>
      </c>
      <c r="K24" s="501">
        <f>IFERROR(SUMIFS('JPM St'!$M:$M,'JPM St'!$A:$A,$V$2,'JPM St'!$C:$C,D24),"")</f>
        <v>0</v>
      </c>
      <c r="L24" s="501">
        <f>IFERROR(SUMIFS('JPM St'!$M:$M,'JPM St'!$A:$A,$V$3,'JPM St'!$C:$C,D24),"")</f>
        <v>0</v>
      </c>
      <c r="M24" s="501">
        <f>IFERROR(SUMIFS('JPM St'!$M:$M,'JPM St'!$A:$A,$V$4,'JPM St'!$C:$C,D24),"")</f>
        <v>113007.15000000001</v>
      </c>
      <c r="N24" s="501"/>
      <c r="O24" s="501"/>
      <c r="P24" s="501"/>
      <c r="Q24" s="501"/>
      <c r="R24" s="501"/>
      <c r="V24" s="537"/>
      <c r="W24" s="538">
        <v>45805</v>
      </c>
      <c r="X24" s="530">
        <f t="shared" si="4"/>
        <v>13793170.640520001</v>
      </c>
      <c r="Y24" s="531">
        <v>3748862.88913</v>
      </c>
      <c r="Z24" s="532">
        <v>3063064.7275299998</v>
      </c>
      <c r="AA24" s="534">
        <v>2086982.51829</v>
      </c>
      <c r="AB24" s="534">
        <v>4894260.50557</v>
      </c>
      <c r="AC24" s="535"/>
      <c r="AP24" s="497" t="str">
        <v>MICRON TECHNOLOGY</v>
      </c>
      <c r="AQ24" s="497" t="str">
        <v>US5951121038</v>
      </c>
      <c r="AR24" s="516" t="str">
        <v>Stock</v>
      </c>
      <c r="AS24" s="502">
        <v>204336.715</v>
      </c>
      <c r="AT24" s="497" t="str">
        <v>USD</v>
      </c>
      <c r="AU24" s="502">
        <v>204336.715</v>
      </c>
      <c r="AV24" s="497" t="str">
        <v>USD</v>
      </c>
      <c r="BB24" s="497" t="str">
        <v>CHEVRON</v>
      </c>
      <c r="BC24" s="497" t="str">
        <v>US1667641005</v>
      </c>
      <c r="BD24" s="497" t="str">
        <v>Stock</v>
      </c>
      <c r="BE24" s="502">
        <v>52596.5</v>
      </c>
      <c r="BF24" s="497" t="str">
        <v>USD</v>
      </c>
      <c r="BG24" s="502">
        <v>52596.5</v>
      </c>
      <c r="BH24" s="497" t="str">
        <v>USD</v>
      </c>
      <c r="BN24" s="497" t="str">
        <v>CHIPOTLE MEXICAN GRILL -A-</v>
      </c>
      <c r="BO24" s="497" t="str">
        <v>US1696561059</v>
      </c>
      <c r="BP24" s="497" t="str">
        <v>Stock</v>
      </c>
      <c r="BQ24" s="502">
        <v>47093.85</v>
      </c>
      <c r="BR24" s="497" t="str">
        <v>USD</v>
      </c>
      <c r="BS24" s="502">
        <v>47093.85</v>
      </c>
      <c r="BT24" s="497" t="str">
        <v>USD</v>
      </c>
    </row>
    <row r="25" spans="1:75" x14ac:dyDescent="0.25">
      <c r="A25" s="497" t="s">
        <v>90</v>
      </c>
      <c r="B25" s="497" t="str">
        <f>IFERROR(IF(VLOOKUP(D25,'JPM St'!$C:$G,3,0)="Fixed Income &amp; Cash","Cash",VLOOKUP(D25,'JPM St'!$C:$G,3,0)),"")</f>
        <v>Equity</v>
      </c>
      <c r="C25" s="497" t="str">
        <f>IFERROR(VLOOKUP(D25,'JPM St'!$C:$L,10,0),"")</f>
        <v>JPY</v>
      </c>
      <c r="D25" s="497" t="str">
        <v>SHIN-ETSU CHEMICAL</v>
      </c>
      <c r="E25" s="500" t="str">
        <f>IFERROR(VLOOKUP(D25,'JPM St'!$C:$D,2,0),"")</f>
        <v>JP3371200001</v>
      </c>
      <c r="F25" s="501">
        <f t="shared" si="0"/>
        <v>17910000</v>
      </c>
      <c r="G25" s="501">
        <f>SUMIFS('JPM St'!$K:$K,'JPM St'!$A:$A,$V$2,'JPM St'!$C:$C,D25)</f>
        <v>0</v>
      </c>
      <c r="H25" s="501">
        <f>SUMIFS('JPM St'!$K:$K,'JPM St'!$A:$A,$V$3,'JPM St'!$C:$C,D25)</f>
        <v>0</v>
      </c>
      <c r="I25" s="501">
        <f>SUMIFS('JPM St'!$K:$K,'JPM St'!$A:$A,$V$4,'JPM St'!$C:$C,D25)</f>
        <v>17910000</v>
      </c>
      <c r="J25" s="619">
        <f t="shared" si="1"/>
        <v>112958.37</v>
      </c>
      <c r="K25" s="501">
        <f>IFERROR(SUMIFS('JPM St'!$M:$M,'JPM St'!$A:$A,$V$2,'JPM St'!$C:$C,D25),"")</f>
        <v>0</v>
      </c>
      <c r="L25" s="501">
        <f>IFERROR(SUMIFS('JPM St'!$M:$M,'JPM St'!$A:$A,$V$3,'JPM St'!$C:$C,D25),"")</f>
        <v>0</v>
      </c>
      <c r="M25" s="501">
        <f>IFERROR(SUMIFS('JPM St'!$M:$M,'JPM St'!$A:$A,$V$4,'JPM St'!$C:$C,D25),"")</f>
        <v>112958.37</v>
      </c>
      <c r="N25" s="501"/>
      <c r="O25" s="501"/>
      <c r="P25" s="501"/>
      <c r="Q25" s="501"/>
      <c r="R25" s="501"/>
      <c r="V25" s="537"/>
      <c r="W25" s="538">
        <v>45792</v>
      </c>
      <c r="X25" s="530">
        <f t="shared" si="4"/>
        <v>15482236.585594</v>
      </c>
      <c r="Y25" s="531">
        <v>6733182.6963780001</v>
      </c>
      <c r="Z25" s="532">
        <v>3053471.2635600003</v>
      </c>
      <c r="AA25" s="534">
        <v>2112519.1492399997</v>
      </c>
      <c r="AB25" s="534">
        <v>3583063.4764159997</v>
      </c>
      <c r="AC25" s="535">
        <f t="shared" si="3"/>
        <v>4.7042116196354788E-2</v>
      </c>
      <c r="AP25" s="497" t="str">
        <v>MICROSOFT</v>
      </c>
      <c r="AQ25" s="497" t="str">
        <v>US5949181045</v>
      </c>
      <c r="AR25" s="516" t="str">
        <v>Stock</v>
      </c>
      <c r="AS25" s="502">
        <v>285292.23330000002</v>
      </c>
      <c r="AT25" s="497" t="str">
        <v>USD</v>
      </c>
      <c r="AU25" s="502">
        <v>285292.23330000002</v>
      </c>
      <c r="AV25" s="497" t="str">
        <v>USD</v>
      </c>
      <c r="BB25" s="497" t="str">
        <v>CHUBB</v>
      </c>
      <c r="BC25" s="497" t="str">
        <v>CH0044328745</v>
      </c>
      <c r="BD25" s="497" t="str">
        <v>Stock</v>
      </c>
      <c r="BE25" s="502">
        <v>13596.66</v>
      </c>
      <c r="BF25" s="497" t="str">
        <v>USD</v>
      </c>
      <c r="BG25" s="502">
        <v>13596.66</v>
      </c>
      <c r="BH25" s="497" t="str">
        <v>USD</v>
      </c>
      <c r="BN25" s="497" t="str">
        <v>DANAHER</v>
      </c>
      <c r="BO25" s="497" t="str">
        <v>US2358511028</v>
      </c>
      <c r="BP25" s="497" t="str">
        <v>Stock</v>
      </c>
      <c r="BQ25" s="502">
        <v>90883.98</v>
      </c>
      <c r="BR25" s="497" t="str">
        <v>USD</v>
      </c>
      <c r="BS25" s="502">
        <v>90883.98</v>
      </c>
      <c r="BT25" s="497" t="str">
        <v>USD</v>
      </c>
    </row>
    <row r="26" spans="1:75" x14ac:dyDescent="0.25">
      <c r="A26" s="497" t="s">
        <v>90</v>
      </c>
      <c r="B26" s="497" t="str">
        <f>IFERROR(IF(VLOOKUP(D26,'JPM St'!$C:$G,3,0)="Fixed Income &amp; Cash","Cash",VLOOKUP(D26,'JPM St'!$C:$G,3,0)),"")</f>
        <v>Equity</v>
      </c>
      <c r="C26" s="497" t="str">
        <f>IFERROR(VLOOKUP(D26,'JPM St'!$C:$L,10,0),"")</f>
        <v>USD</v>
      </c>
      <c r="D26" s="497" t="str">
        <v>TEXAS INSTRUMENTS</v>
      </c>
      <c r="E26" s="500" t="str">
        <f>IFERROR(VLOOKUP(D26,'JPM St'!$C:$D,2,0),"")</f>
        <v>US8825081040</v>
      </c>
      <c r="F26" s="501">
        <f t="shared" si="0"/>
        <v>143835.04</v>
      </c>
      <c r="G26" s="501">
        <f>SUMIFS('JPM St'!$K:$K,'JPM St'!$A:$A,$V$2,'JPM St'!$C:$C,D26)</f>
        <v>110362.79000000001</v>
      </c>
      <c r="H26" s="501">
        <f>SUMIFS('JPM St'!$K:$K,'JPM St'!$A:$A,$V$3,'JPM St'!$C:$C,D26)</f>
        <v>33472.25</v>
      </c>
      <c r="I26" s="501">
        <f>SUMIFS('JPM St'!$K:$K,'JPM St'!$A:$A,$V$4,'JPM St'!$C:$C,D26)</f>
        <v>0</v>
      </c>
      <c r="J26" s="619">
        <f t="shared" si="1"/>
        <v>143835.04</v>
      </c>
      <c r="K26" s="501">
        <f>IFERROR(SUMIFS('JPM St'!$M:$M,'JPM St'!$A:$A,$V$2,'JPM St'!$C:$C,D26),"")</f>
        <v>110362.79000000001</v>
      </c>
      <c r="L26" s="501">
        <f>IFERROR(SUMIFS('JPM St'!$M:$M,'JPM St'!$A:$A,$V$3,'JPM St'!$C:$C,D26),"")</f>
        <v>33472.25</v>
      </c>
      <c r="M26" s="501">
        <f>IFERROR(SUMIFS('JPM St'!$M:$M,'JPM St'!$A:$A,$V$4,'JPM St'!$C:$C,D26),"")</f>
        <v>0</v>
      </c>
      <c r="N26" s="501"/>
      <c r="O26" s="501"/>
      <c r="P26" s="501"/>
      <c r="Q26" s="501"/>
      <c r="R26" s="501"/>
      <c r="W26" s="538">
        <v>45779</v>
      </c>
      <c r="X26" s="530">
        <f t="shared" si="4"/>
        <v>14786641.669999998</v>
      </c>
      <c r="Y26" s="531">
        <v>6634147</v>
      </c>
      <c r="Z26" s="532">
        <v>2781833.29</v>
      </c>
      <c r="AA26" s="534">
        <v>2065710.53</v>
      </c>
      <c r="AB26" s="534">
        <v>3304950.85</v>
      </c>
      <c r="AC26" s="535">
        <f t="shared" si="3"/>
        <v>6.7752912363574058E-2</v>
      </c>
      <c r="AP26" s="497" t="str">
        <v>MONGODB INC</v>
      </c>
      <c r="AQ26" s="497" t="str">
        <v>US60937P1066</v>
      </c>
      <c r="AR26" s="516" t="str">
        <v>Stock</v>
      </c>
      <c r="AS26" s="502">
        <v>55080.63</v>
      </c>
      <c r="AT26" s="497" t="str">
        <v>USD</v>
      </c>
      <c r="AU26" s="502">
        <v>55080.63</v>
      </c>
      <c r="AV26" s="497" t="str">
        <v>USD</v>
      </c>
      <c r="BB26" s="497" t="str">
        <v>CITIGROUP</v>
      </c>
      <c r="BC26" s="497" t="str">
        <v>US1729674242</v>
      </c>
      <c r="BD26" s="497" t="str">
        <v>Stock</v>
      </c>
      <c r="BE26" s="502">
        <v>32196.744999999999</v>
      </c>
      <c r="BF26" s="497" t="str">
        <v>USD</v>
      </c>
      <c r="BG26" s="502">
        <v>32196.744999999999</v>
      </c>
      <c r="BH26" s="497" t="str">
        <v>USD</v>
      </c>
      <c r="BN26" s="497" t="str">
        <v>ECOLAB INC</v>
      </c>
      <c r="BO26" s="497" t="str">
        <v>US2788651006</v>
      </c>
      <c r="BP26" s="497" t="str">
        <v>Stock</v>
      </c>
      <c r="BQ26" s="502">
        <v>73934.5</v>
      </c>
      <c r="BR26" s="497" t="str">
        <v>USD</v>
      </c>
      <c r="BS26" s="502">
        <v>73934.5</v>
      </c>
      <c r="BT26" s="497" t="str">
        <v>USD</v>
      </c>
    </row>
    <row r="27" spans="1:75" x14ac:dyDescent="0.25">
      <c r="A27" s="497" t="s">
        <v>90</v>
      </c>
      <c r="B27" s="497" t="str">
        <f>IFERROR(IF(VLOOKUP(D27,'JPM St'!$C:$G,3,0)="Fixed Income &amp; Cash","Cash",VLOOKUP(D27,'JPM St'!$C:$G,3,0)),"")</f>
        <v>Equity</v>
      </c>
      <c r="C27" s="497" t="str">
        <f>IFERROR(VLOOKUP(D27,'JPM St'!$C:$L,10,0),"")</f>
        <v>USD</v>
      </c>
      <c r="D27" s="497" t="str">
        <v>ABBVIE</v>
      </c>
      <c r="E27" s="500" t="str">
        <f>IFERROR(VLOOKUP(D27,'JPM St'!$C:$D,2,0),"")</f>
        <v>US00287Y1091</v>
      </c>
      <c r="F27" s="501">
        <f t="shared" si="0"/>
        <v>140738.75</v>
      </c>
      <c r="G27" s="501">
        <f>SUMIFS('JPM St'!$K:$K,'JPM St'!$A:$A,$V$2,'JPM St'!$C:$C,D27)</f>
        <v>0</v>
      </c>
      <c r="H27" s="501">
        <f>SUMIFS('JPM St'!$K:$K,'JPM St'!$A:$A,$V$3,'JPM St'!$C:$C,D27)</f>
        <v>30653.75</v>
      </c>
      <c r="I27" s="501">
        <f>SUMIFS('JPM St'!$K:$K,'JPM St'!$A:$A,$V$4,'JPM St'!$C:$C,D27)</f>
        <v>110085</v>
      </c>
      <c r="J27" s="619">
        <f t="shared" si="1"/>
        <v>140738.75</v>
      </c>
      <c r="K27" s="501">
        <f>IFERROR(SUMIFS('JPM St'!$M:$M,'JPM St'!$A:$A,$V$2,'JPM St'!$C:$C,D27),"")</f>
        <v>0</v>
      </c>
      <c r="L27" s="501">
        <f>IFERROR(SUMIFS('JPM St'!$M:$M,'JPM St'!$A:$A,$V$3,'JPM St'!$C:$C,D27),"")</f>
        <v>30653.75</v>
      </c>
      <c r="M27" s="501">
        <f>IFERROR(SUMIFS('JPM St'!$M:$M,'JPM St'!$A:$A,$V$4,'JPM St'!$C:$C,D27),"")</f>
        <v>110085</v>
      </c>
      <c r="N27" s="501"/>
      <c r="O27" s="501"/>
      <c r="P27" s="501"/>
      <c r="Q27" s="501"/>
      <c r="R27" s="501"/>
      <c r="W27" s="539">
        <v>45757</v>
      </c>
      <c r="X27" s="540">
        <v>13848374</v>
      </c>
      <c r="Y27" s="541">
        <v>6299206</v>
      </c>
      <c r="Z27" s="542">
        <v>2495832</v>
      </c>
      <c r="AA27" s="543">
        <v>1966825</v>
      </c>
      <c r="AB27" s="543">
        <v>3086511</v>
      </c>
      <c r="AC27" s="544"/>
      <c r="AP27" s="497" t="str">
        <v>NVIDIA</v>
      </c>
      <c r="AQ27" s="497" t="str">
        <v>US67066G1040</v>
      </c>
      <c r="AR27" s="516" t="str">
        <v>Stock</v>
      </c>
      <c r="AS27" s="502">
        <v>442740.375</v>
      </c>
      <c r="AT27" s="497" t="str">
        <v>USD</v>
      </c>
      <c r="AU27" s="502">
        <v>442740.375</v>
      </c>
      <c r="AV27" s="497" t="str">
        <v>USD</v>
      </c>
      <c r="BB27" s="497" t="str">
        <v>CME GROUP INC -A-</v>
      </c>
      <c r="BC27" s="497" t="str">
        <v>US12572Q1058</v>
      </c>
      <c r="BD27" s="497" t="str">
        <v>Stock</v>
      </c>
      <c r="BE27" s="502">
        <v>34723.700000000004</v>
      </c>
      <c r="BF27" s="497" t="str">
        <v>USD</v>
      </c>
      <c r="BG27" s="502">
        <v>34723.700000000004</v>
      </c>
      <c r="BH27" s="497" t="str">
        <v>USD</v>
      </c>
      <c r="BN27" s="497" t="str">
        <v>FIDELITY NATIONAL INFORMATION SVCS</v>
      </c>
      <c r="BO27" s="497" t="str">
        <v>US31620M1062</v>
      </c>
      <c r="BP27" s="497" t="str">
        <v>Stock</v>
      </c>
      <c r="BQ27" s="502">
        <v>81631.680000000008</v>
      </c>
      <c r="BR27" s="497" t="str">
        <v>USD</v>
      </c>
      <c r="BS27" s="502">
        <v>81631.680000000008</v>
      </c>
      <c r="BT27" s="497" t="str">
        <v>USD</v>
      </c>
    </row>
    <row r="28" spans="1:75" x14ac:dyDescent="0.25">
      <c r="A28" s="497" t="s">
        <v>90</v>
      </c>
      <c r="B28" s="497" t="str">
        <f>IFERROR(IF(VLOOKUP(D28,'JPM St'!$C:$G,3,0)="Fixed Income &amp; Cash","Cash",VLOOKUP(D28,'JPM St'!$C:$G,3,0)),"")</f>
        <v>Equity</v>
      </c>
      <c r="C28" s="497" t="str">
        <f>IFERROR(VLOOKUP(D28,'JPM St'!$C:$L,10,0),"")</f>
        <v>USD</v>
      </c>
      <c r="D28" s="497" t="str">
        <v>LOWE S COMPANIES</v>
      </c>
      <c r="E28" s="500" t="str">
        <f>IFERROR(VLOOKUP(D28,'JPM St'!$C:$D,2,0),"")</f>
        <v>US5486611073</v>
      </c>
      <c r="F28" s="501">
        <f t="shared" si="0"/>
        <v>147774.64000000001</v>
      </c>
      <c r="G28" s="501">
        <f>SUMIFS('JPM St'!$K:$K,'JPM St'!$A:$A,$V$2,'JPM St'!$C:$C,D28)</f>
        <v>0</v>
      </c>
      <c r="H28" s="501">
        <f>SUMIFS('JPM St'!$K:$K,'JPM St'!$A:$A,$V$3,'JPM St'!$C:$C,D28)</f>
        <v>37922.300000000003</v>
      </c>
      <c r="I28" s="501">
        <f>SUMIFS('JPM St'!$K:$K,'JPM St'!$A:$A,$V$4,'JPM St'!$C:$C,D28)</f>
        <v>109852.34</v>
      </c>
      <c r="J28" s="619">
        <f t="shared" si="1"/>
        <v>147774.64000000001</v>
      </c>
      <c r="K28" s="501">
        <f>IFERROR(SUMIFS('JPM St'!$M:$M,'JPM St'!$A:$A,$V$2,'JPM St'!$C:$C,D28),"")</f>
        <v>0</v>
      </c>
      <c r="L28" s="501">
        <f>IFERROR(SUMIFS('JPM St'!$M:$M,'JPM St'!$A:$A,$V$3,'JPM St'!$C:$C,D28),"")</f>
        <v>37922.300000000003</v>
      </c>
      <c r="M28" s="501">
        <f>IFERROR(SUMIFS('JPM St'!$M:$M,'JPM St'!$A:$A,$V$4,'JPM St'!$C:$C,D28),"")</f>
        <v>109852.34</v>
      </c>
      <c r="N28" s="501"/>
      <c r="O28" s="501"/>
      <c r="P28" s="501"/>
      <c r="Q28" s="501"/>
      <c r="R28" s="501"/>
      <c r="W28" s="628"/>
      <c r="AP28" s="497" t="str">
        <v>PALANTIR TECHNOLOGIES INC-A</v>
      </c>
      <c r="AQ28" s="497" t="str">
        <v>US69608A1088</v>
      </c>
      <c r="AR28" s="516" t="str">
        <v>Stock</v>
      </c>
      <c r="AS28" s="502">
        <v>67290.365000000005</v>
      </c>
      <c r="AT28" s="497" t="str">
        <v>USD</v>
      </c>
      <c r="AU28" s="502">
        <v>67290.365000000005</v>
      </c>
      <c r="AV28" s="497" t="str">
        <v>USD</v>
      </c>
      <c r="BB28" s="497" t="str">
        <v>CMS ENERGY</v>
      </c>
      <c r="BC28" s="497" t="str">
        <v>US1258961002</v>
      </c>
      <c r="BD28" s="497" t="str">
        <v>Stock</v>
      </c>
      <c r="BE28" s="502">
        <v>19108.259999999998</v>
      </c>
      <c r="BF28" s="497" t="str">
        <v>USD</v>
      </c>
      <c r="BG28" s="502">
        <v>19108.259999999998</v>
      </c>
      <c r="BH28" s="497" t="str">
        <v>USD</v>
      </c>
      <c r="BN28" s="497" t="str">
        <v>FIFTH THIRD BANCORP</v>
      </c>
      <c r="BO28" s="497" t="str">
        <v>US3167731005</v>
      </c>
      <c r="BP28" s="497" t="str">
        <v>Stock</v>
      </c>
      <c r="BQ28" s="502">
        <v>71884.58</v>
      </c>
      <c r="BR28" s="497" t="str">
        <v>USD</v>
      </c>
      <c r="BS28" s="502">
        <v>71884.58</v>
      </c>
      <c r="BT28" s="497" t="str">
        <v>USD</v>
      </c>
    </row>
    <row r="29" spans="1:75" x14ac:dyDescent="0.25">
      <c r="A29" s="497" t="s">
        <v>90</v>
      </c>
      <c r="B29" s="497" t="str">
        <f>IFERROR(IF(VLOOKUP(D29,'JPM St'!$C:$G,3,0)="Fixed Income &amp; Cash","Cash",VLOOKUP(D29,'JPM St'!$C:$G,3,0)),"")</f>
        <v>Equity</v>
      </c>
      <c r="C29" s="497" t="str">
        <f>IFERROR(VLOOKUP(D29,'JPM St'!$C:$L,10,0),"")</f>
        <v>EUR</v>
      </c>
      <c r="D29" s="497" t="str">
        <v>UNICREDIT SPA</v>
      </c>
      <c r="E29" s="500" t="str">
        <f>IFERROR(VLOOKUP(D29,'JPM St'!$C:$D,2,0),"")</f>
        <v>IT0005239360</v>
      </c>
      <c r="F29" s="501">
        <f t="shared" si="0"/>
        <v>91311.72</v>
      </c>
      <c r="G29" s="501">
        <f>SUMIFS('JPM St'!$K:$K,'JPM St'!$A:$A,$V$2,'JPM St'!$C:$C,D29)</f>
        <v>0</v>
      </c>
      <c r="H29" s="501">
        <f>SUMIFS('JPM St'!$K:$K,'JPM St'!$A:$A,$V$3,'JPM St'!$C:$C,D29)</f>
        <v>0</v>
      </c>
      <c r="I29" s="501">
        <f>SUMIFS('JPM St'!$K:$K,'JPM St'!$A:$A,$V$4,'JPM St'!$C:$C,D29)</f>
        <v>91311.72</v>
      </c>
      <c r="J29" s="619">
        <f t="shared" si="1"/>
        <v>105702.447072</v>
      </c>
      <c r="K29" s="501">
        <f>IFERROR(SUMIFS('JPM St'!$M:$M,'JPM St'!$A:$A,$V$2,'JPM St'!$C:$C,D29),"")</f>
        <v>0</v>
      </c>
      <c r="L29" s="501">
        <f>IFERROR(SUMIFS('JPM St'!$M:$M,'JPM St'!$A:$A,$V$3,'JPM St'!$C:$C,D29),"")</f>
        <v>0</v>
      </c>
      <c r="M29" s="501">
        <f>IFERROR(SUMIFS('JPM St'!$M:$M,'JPM St'!$A:$A,$V$4,'JPM St'!$C:$C,D29),"")</f>
        <v>105702.447072</v>
      </c>
      <c r="N29" s="501"/>
      <c r="O29" s="501"/>
      <c r="P29" s="501"/>
      <c r="Q29" s="501"/>
      <c r="R29" s="501"/>
      <c r="W29" s="628"/>
      <c r="AP29" s="497" t="str">
        <v>PALO ALTO NETWORKS INC</v>
      </c>
      <c r="AQ29" s="497" t="str">
        <v>US6974351057</v>
      </c>
      <c r="AR29" s="516" t="str">
        <v>Stock</v>
      </c>
      <c r="AS29" s="502">
        <v>44447.799999999996</v>
      </c>
      <c r="AT29" s="497" t="str">
        <v>USD</v>
      </c>
      <c r="AU29" s="502">
        <v>44447.799999999996</v>
      </c>
      <c r="AV29" s="497" t="str">
        <v>USD</v>
      </c>
      <c r="BB29" s="497" t="str">
        <v>COMCAST -A-</v>
      </c>
      <c r="BC29" s="497" t="str">
        <v>US20030N1019</v>
      </c>
      <c r="BD29" s="497" t="str">
        <v>Stock</v>
      </c>
      <c r="BE29" s="502">
        <v>19022.64</v>
      </c>
      <c r="BF29" s="497" t="str">
        <v>USD</v>
      </c>
      <c r="BG29" s="502">
        <v>19022.64</v>
      </c>
      <c r="BH29" s="497" t="str">
        <v>USD</v>
      </c>
      <c r="BN29" s="497" t="str">
        <v>HILTON WORLDWIDE HLDGS</v>
      </c>
      <c r="BO29" s="497" t="str">
        <v>US43300A2033</v>
      </c>
      <c r="BP29" s="497" t="str">
        <v>Stock</v>
      </c>
      <c r="BQ29" s="502">
        <v>53614.425000000003</v>
      </c>
      <c r="BR29" s="497" t="str">
        <v>USD</v>
      </c>
      <c r="BS29" s="502">
        <v>53614.425000000003</v>
      </c>
      <c r="BT29" s="497" t="str">
        <v>USD</v>
      </c>
    </row>
    <row r="30" spans="1:75" x14ac:dyDescent="0.25">
      <c r="A30" s="497" t="s">
        <v>90</v>
      </c>
      <c r="B30" s="497" t="str">
        <f>IFERROR(IF(VLOOKUP(D30,'JPM St'!$C:$G,3,0)="Fixed Income &amp; Cash","Cash",VLOOKUP(D30,'JPM St'!$C:$G,3,0)),"")</f>
        <v>Equity</v>
      </c>
      <c r="C30" s="497" t="str">
        <f>IFERROR(VLOOKUP(D30,'JPM St'!$C:$L,10,0),"")</f>
        <v>USD</v>
      </c>
      <c r="D30" s="497" t="str">
        <v>NEXTERA ENERGY</v>
      </c>
      <c r="E30" s="500" t="str">
        <f>IFERROR(VLOOKUP(D30,'JPM St'!$C:$D,2,0),"")</f>
        <v>US65339F1012</v>
      </c>
      <c r="F30" s="501">
        <f t="shared" si="0"/>
        <v>136288.04</v>
      </c>
      <c r="G30" s="501">
        <f>SUMIFS('JPM St'!$K:$K,'JPM St'!$A:$A,$V$2,'JPM St'!$C:$C,D30)</f>
        <v>0</v>
      </c>
      <c r="H30" s="501">
        <f>SUMIFS('JPM St'!$K:$K,'JPM St'!$A:$A,$V$3,'JPM St'!$C:$C,D30)</f>
        <v>32479.86</v>
      </c>
      <c r="I30" s="501">
        <f>SUMIFS('JPM St'!$K:$K,'JPM St'!$A:$A,$V$4,'JPM St'!$C:$C,D30)</f>
        <v>103808.18000000001</v>
      </c>
      <c r="J30" s="619">
        <f t="shared" si="1"/>
        <v>136288.04</v>
      </c>
      <c r="K30" s="501">
        <f>IFERROR(SUMIFS('JPM St'!$M:$M,'JPM St'!$A:$A,$V$2,'JPM St'!$C:$C,D30),"")</f>
        <v>0</v>
      </c>
      <c r="L30" s="501">
        <f>IFERROR(SUMIFS('JPM St'!$M:$M,'JPM St'!$A:$A,$V$3,'JPM St'!$C:$C,D30),"")</f>
        <v>32479.86</v>
      </c>
      <c r="M30" s="501">
        <f>IFERROR(SUMIFS('JPM St'!$M:$M,'JPM St'!$A:$A,$V$4,'JPM St'!$C:$C,D30),"")</f>
        <v>103808.18000000001</v>
      </c>
      <c r="N30" s="501"/>
      <c r="O30" s="501"/>
      <c r="P30" s="501"/>
      <c r="Q30" s="501"/>
      <c r="R30" s="501"/>
      <c r="W30" s="629" t="s">
        <v>11</v>
      </c>
      <c r="X30" s="629" t="s">
        <v>2249</v>
      </c>
      <c r="Y30" s="629"/>
      <c r="AA30" s="628"/>
      <c r="AB30" s="628"/>
      <c r="AP30" s="497" t="str">
        <v>REDDIT INC-CL A</v>
      </c>
      <c r="AQ30" s="497" t="str">
        <v>US75734B1008</v>
      </c>
      <c r="AR30" s="516" t="str">
        <v>Stock</v>
      </c>
      <c r="AS30" s="502">
        <v>25295.4</v>
      </c>
      <c r="AT30" s="497" t="str">
        <v>USD</v>
      </c>
      <c r="AU30" s="502">
        <v>25295.4</v>
      </c>
      <c r="AV30" s="497" t="str">
        <v>USD</v>
      </c>
      <c r="BB30" s="497" t="str">
        <v>CONOCOPHILLIPS</v>
      </c>
      <c r="BC30" s="497" t="str">
        <v>US20825C1045</v>
      </c>
      <c r="BD30" s="497" t="str">
        <v>Stock</v>
      </c>
      <c r="BE30" s="502">
        <v>60582.61</v>
      </c>
      <c r="BF30" s="497" t="str">
        <v>USD</v>
      </c>
      <c r="BG30" s="502">
        <v>60582.61</v>
      </c>
      <c r="BH30" s="497" t="str">
        <v>USD</v>
      </c>
      <c r="BN30" s="497" t="str">
        <v>HOWMET AEROSPACE INC</v>
      </c>
      <c r="BO30" s="497" t="str">
        <v>US4432011082</v>
      </c>
      <c r="BP30" s="497" t="str">
        <v>Stock</v>
      </c>
      <c r="BQ30" s="502">
        <v>87737.98000000001</v>
      </c>
      <c r="BR30" s="497" t="str">
        <v>USD</v>
      </c>
      <c r="BS30" s="502">
        <v>87737.98000000001</v>
      </c>
      <c r="BT30" s="497" t="str">
        <v>USD</v>
      </c>
    </row>
    <row r="31" spans="1:75" x14ac:dyDescent="0.25">
      <c r="A31" s="497" t="s">
        <v>90</v>
      </c>
      <c r="B31" s="497" t="str">
        <f>IFERROR(IF(VLOOKUP(D31,'JPM St'!$C:$G,3,0)="Fixed Income &amp; Cash","Cash",VLOOKUP(D31,'JPM St'!$C:$G,3,0)),"")</f>
        <v>Equity</v>
      </c>
      <c r="C31" s="497" t="str">
        <f>IFERROR(VLOOKUP(D31,'JPM St'!$C:$L,10,0),"")</f>
        <v>USD</v>
      </c>
      <c r="D31" s="497" t="str">
        <v>REGENERON PHARMACEUTICALS</v>
      </c>
      <c r="E31" s="500" t="str">
        <f>IFERROR(VLOOKUP(D31,'JPM St'!$C:$D,2,0),"")</f>
        <v>US75886F1075</v>
      </c>
      <c r="F31" s="501">
        <f t="shared" si="0"/>
        <v>98796.1</v>
      </c>
      <c r="G31" s="501">
        <f>SUMIFS('JPM St'!$K:$K,'JPM St'!$A:$A,$V$2,'JPM St'!$C:$C,D31)</f>
        <v>0</v>
      </c>
      <c r="H31" s="501">
        <f>SUMIFS('JPM St'!$K:$K,'JPM St'!$A:$A,$V$3,'JPM St'!$C:$C,D31)</f>
        <v>0</v>
      </c>
      <c r="I31" s="501">
        <f>SUMIFS('JPM St'!$K:$K,'JPM St'!$A:$A,$V$4,'JPM St'!$C:$C,D31)</f>
        <v>98796.1</v>
      </c>
      <c r="J31" s="619">
        <f t="shared" si="1"/>
        <v>98796.1</v>
      </c>
      <c r="K31" s="501">
        <f>IFERROR(SUMIFS('JPM St'!$M:$M,'JPM St'!$A:$A,$V$2,'JPM St'!$C:$C,D31),"")</f>
        <v>0</v>
      </c>
      <c r="L31" s="501">
        <f>IFERROR(SUMIFS('JPM St'!$M:$M,'JPM St'!$A:$A,$V$3,'JPM St'!$C:$C,D31),"")</f>
        <v>0</v>
      </c>
      <c r="M31" s="501">
        <f>IFERROR(SUMIFS('JPM St'!$M:$M,'JPM St'!$A:$A,$V$4,'JPM St'!$C:$C,D31),"")</f>
        <v>98796.1</v>
      </c>
      <c r="N31" s="501"/>
      <c r="O31" s="501"/>
      <c r="P31" s="501"/>
      <c r="Q31" s="501"/>
      <c r="R31" s="501"/>
      <c r="W31" s="628" t="s">
        <v>18</v>
      </c>
      <c r="X31" s="545">
        <f t="shared" ref="X31:X36" si="5">SUMIFS(J:J,C:C,W31)</f>
        <v>11740376.432099998</v>
      </c>
      <c r="AA31" s="628"/>
      <c r="AB31" s="628"/>
      <c r="AP31" s="497" t="str">
        <v>ROBLOX CORP -CLASS A</v>
      </c>
      <c r="AQ31" s="497" t="str">
        <v>US7710491033</v>
      </c>
      <c r="AR31" s="516" t="str">
        <v>Stock</v>
      </c>
      <c r="AS31" s="502">
        <v>47067.9</v>
      </c>
      <c r="AT31" s="497" t="str">
        <v>USD</v>
      </c>
      <c r="AU31" s="502">
        <v>47067.9</v>
      </c>
      <c r="AV31" s="497" t="str">
        <v>USD</v>
      </c>
      <c r="BB31" s="497" t="str">
        <v>CORNING</v>
      </c>
      <c r="BC31" s="497" t="str">
        <v>US2193501051</v>
      </c>
      <c r="BD31" s="497" t="str">
        <v>Stock</v>
      </c>
      <c r="BE31" s="502">
        <v>36557.4</v>
      </c>
      <c r="BF31" s="497" t="str">
        <v>USD</v>
      </c>
      <c r="BG31" s="502">
        <v>36557.4</v>
      </c>
      <c r="BH31" s="497" t="str">
        <v>USD</v>
      </c>
      <c r="BN31" s="497" t="str">
        <v>HOYA HD</v>
      </c>
      <c r="BO31" s="497" t="str">
        <v>JP3837800006</v>
      </c>
      <c r="BP31" s="497" t="str">
        <v>Stock</v>
      </c>
      <c r="BQ31" s="502">
        <v>8029500</v>
      </c>
      <c r="BR31" s="497" t="str">
        <v>JPY</v>
      </c>
      <c r="BS31" s="502">
        <v>50642.056499999999</v>
      </c>
      <c r="BT31" s="497" t="str">
        <v>USD</v>
      </c>
    </row>
    <row r="32" spans="1:75" x14ac:dyDescent="0.25">
      <c r="A32" s="497" t="s">
        <v>90</v>
      </c>
      <c r="B32" s="497" t="str">
        <f>IFERROR(IF(VLOOKUP(D32,'JPM St'!$C:$G,3,0)="Fixed Income &amp; Cash","Cash",VLOOKUP(D32,'JPM St'!$C:$G,3,0)),"")</f>
        <v>Equity</v>
      </c>
      <c r="C32" s="497" t="str">
        <f>IFERROR(VLOOKUP(D32,'JPM St'!$C:$L,10,0),"")</f>
        <v>USD</v>
      </c>
      <c r="D32" s="497" t="str">
        <v>AMERICAN EXPRESS</v>
      </c>
      <c r="E32" s="500" t="str">
        <f>IFERROR(VLOOKUP(D32,'JPM St'!$C:$D,2,0),"")</f>
        <v>US0258161092</v>
      </c>
      <c r="F32" s="501">
        <f t="shared" si="0"/>
        <v>128652.69999999998</v>
      </c>
      <c r="G32" s="501">
        <f>SUMIFS('JPM St'!$K:$K,'JPM St'!$A:$A,$V$2,'JPM St'!$C:$C,D32)</f>
        <v>0</v>
      </c>
      <c r="H32" s="501">
        <f>SUMIFS('JPM St'!$K:$K,'JPM St'!$A:$A,$V$3,'JPM St'!$C:$C,D32)</f>
        <v>30392.724999999999</v>
      </c>
      <c r="I32" s="501">
        <f>SUMIFS('JPM St'!$K:$K,'JPM St'!$A:$A,$V$4,'JPM St'!$C:$C,D32)</f>
        <v>98259.974999999991</v>
      </c>
      <c r="J32" s="619">
        <f t="shared" si="1"/>
        <v>128652.69999999998</v>
      </c>
      <c r="K32" s="501">
        <f>IFERROR(SUMIFS('JPM St'!$M:$M,'JPM St'!$A:$A,$V$2,'JPM St'!$C:$C,D32),"")</f>
        <v>0</v>
      </c>
      <c r="L32" s="501">
        <f>IFERROR(SUMIFS('JPM St'!$M:$M,'JPM St'!$A:$A,$V$3,'JPM St'!$C:$C,D32),"")</f>
        <v>30392.724999999999</v>
      </c>
      <c r="M32" s="501">
        <f>IFERROR(SUMIFS('JPM St'!$M:$M,'JPM St'!$A:$A,$V$4,'JPM St'!$C:$C,D32),"")</f>
        <v>98259.974999999991</v>
      </c>
      <c r="N32" s="501"/>
      <c r="O32" s="501"/>
      <c r="P32" s="501"/>
      <c r="Q32" s="501"/>
      <c r="R32" s="501"/>
      <c r="W32" s="628" t="s">
        <v>19</v>
      </c>
      <c r="X32" s="545">
        <f t="shared" si="5"/>
        <v>0</v>
      </c>
      <c r="AA32" s="628"/>
      <c r="AB32" s="628"/>
      <c r="AP32" s="497" t="str">
        <v>SALESFORCE INC</v>
      </c>
      <c r="AQ32" s="497" t="str">
        <v>US79466L3024</v>
      </c>
      <c r="AR32" s="516" t="str">
        <v>Stock</v>
      </c>
      <c r="AS32" s="502">
        <v>83458.2</v>
      </c>
      <c r="AT32" s="497" t="str">
        <v>USD</v>
      </c>
      <c r="AU32" s="502">
        <v>83458.2</v>
      </c>
      <c r="AV32" s="497" t="str">
        <v>USD</v>
      </c>
      <c r="BB32" s="497" t="str">
        <v>CVS HEALTH</v>
      </c>
      <c r="BC32" s="497" t="str">
        <v>US1266501006</v>
      </c>
      <c r="BD32" s="497" t="str">
        <v>Stock</v>
      </c>
      <c r="BE32" s="502">
        <v>24570.945</v>
      </c>
      <c r="BF32" s="497" t="str">
        <v>USD</v>
      </c>
      <c r="BG32" s="502">
        <v>24570.945</v>
      </c>
      <c r="BH32" s="497" t="str">
        <v>USD</v>
      </c>
      <c r="BN32" s="497" t="str">
        <v>INDRA SISTEMAS</v>
      </c>
      <c r="BO32" s="497" t="str">
        <v>ES0118594417</v>
      </c>
      <c r="BP32" s="497" t="str">
        <v>Stock</v>
      </c>
      <c r="BQ32" s="502">
        <v>40106.550000000003</v>
      </c>
      <c r="BR32" s="497" t="str">
        <v>EUR</v>
      </c>
      <c r="BS32" s="502">
        <v>46427.342279999997</v>
      </c>
      <c r="BT32" s="497" t="str">
        <v>USD</v>
      </c>
    </row>
    <row r="33" spans="1:72" x14ac:dyDescent="0.25">
      <c r="A33" s="497" t="s">
        <v>90</v>
      </c>
      <c r="B33" s="497" t="str">
        <f>IFERROR(IF(VLOOKUP(D33,'JPM St'!$C:$G,3,0)="Fixed Income &amp; Cash","Cash",VLOOKUP(D33,'JPM St'!$C:$G,3,0)),"")</f>
        <v>Cash</v>
      </c>
      <c r="C33" s="497" t="str">
        <f>IFERROR(VLOOKUP(D33,'JPM St'!$C:$L,10,0),"")</f>
        <v>EUR</v>
      </c>
      <c r="D33" s="497" t="str">
        <v>Cash Account - EUR</v>
      </c>
      <c r="E33" s="500">
        <f>IFERROR(VLOOKUP(D33,'JPM St'!$C:$D,2,0),"")</f>
        <v>0</v>
      </c>
      <c r="F33" s="501">
        <f t="shared" si="0"/>
        <v>83556.350000000006</v>
      </c>
      <c r="G33" s="501">
        <f>SUMIFS('JPM St'!$K:$K,'JPM St'!$A:$A,$V$2,'JPM St'!$C:$C,D33)</f>
        <v>0</v>
      </c>
      <c r="H33" s="501">
        <f>SUMIFS('JPM St'!$K:$K,'JPM St'!$A:$A,$V$3,'JPM St'!$C:$C,D33)</f>
        <v>0</v>
      </c>
      <c r="I33" s="501">
        <f>SUMIFS('JPM St'!$K:$K,'JPM St'!$A:$A,$V$4,'JPM St'!$C:$C,D33)</f>
        <v>83556.350000000006</v>
      </c>
      <c r="J33" s="619">
        <f t="shared" si="1"/>
        <v>96724.830759999997</v>
      </c>
      <c r="K33" s="501">
        <f>IFERROR(SUMIFS('JPM St'!$M:$M,'JPM St'!$A:$A,$V$2,'JPM St'!$C:$C,D33),"")</f>
        <v>0</v>
      </c>
      <c r="L33" s="501">
        <f>IFERROR(SUMIFS('JPM St'!$M:$M,'JPM St'!$A:$A,$V$3,'JPM St'!$C:$C,D33),"")</f>
        <v>0</v>
      </c>
      <c r="M33" s="501">
        <f>IFERROR(SUMIFS('JPM St'!$M:$M,'JPM St'!$A:$A,$V$4,'JPM St'!$C:$C,D33),"")</f>
        <v>96724.830759999997</v>
      </c>
      <c r="N33" s="501"/>
      <c r="O33" s="501"/>
      <c r="P33" s="501"/>
      <c r="Q33" s="501"/>
      <c r="R33" s="501"/>
      <c r="W33" s="628" t="s">
        <v>21</v>
      </c>
      <c r="X33" s="545">
        <f t="shared" si="5"/>
        <v>900549.26131449989</v>
      </c>
      <c r="AA33" s="628"/>
      <c r="AB33" s="628"/>
      <c r="AP33" s="497" t="str">
        <v>SANDISK CORP</v>
      </c>
      <c r="AQ33" s="497" t="str">
        <v>US80004C2008</v>
      </c>
      <c r="AR33" s="516" t="str">
        <v>Stock</v>
      </c>
      <c r="AS33" s="502">
        <v>54235.200000000004</v>
      </c>
      <c r="AT33" s="497" t="str">
        <v>USD</v>
      </c>
      <c r="AU33" s="502">
        <v>54235.200000000004</v>
      </c>
      <c r="AV33" s="497" t="str">
        <v>USD</v>
      </c>
      <c r="BB33" s="497" t="str">
        <v>DANAHER</v>
      </c>
      <c r="BC33" s="497" t="str">
        <v>US2358511028</v>
      </c>
      <c r="BD33" s="497" t="str">
        <v>Stock</v>
      </c>
      <c r="BE33" s="502">
        <v>18527.849999999999</v>
      </c>
      <c r="BF33" s="497" t="str">
        <v>USD</v>
      </c>
      <c r="BG33" s="502">
        <v>18527.849999999999</v>
      </c>
      <c r="BH33" s="497" t="str">
        <v>USD</v>
      </c>
      <c r="BN33" s="497" t="str">
        <v>INFINEON TECHNOLOGIES REG</v>
      </c>
      <c r="BO33" s="497" t="str">
        <v>DE0006231004</v>
      </c>
      <c r="BP33" s="497" t="str">
        <v>Stock</v>
      </c>
      <c r="BQ33" s="502">
        <v>34839.35</v>
      </c>
      <c r="BR33" s="497" t="str">
        <v>EUR</v>
      </c>
      <c r="BS33" s="502">
        <v>40324.805657500001</v>
      </c>
      <c r="BT33" s="497" t="str">
        <v>USD</v>
      </c>
    </row>
    <row r="34" spans="1:72" x14ac:dyDescent="0.25">
      <c r="A34" s="497" t="s">
        <v>90</v>
      </c>
      <c r="B34" s="497" t="str">
        <f>IFERROR(IF(VLOOKUP(D34,'JPM St'!$C:$G,3,0)="Fixed Income &amp; Cash","Cash",VLOOKUP(D34,'JPM St'!$C:$G,3,0)),"")</f>
        <v>Equity</v>
      </c>
      <c r="C34" s="497" t="str">
        <f>IFERROR(VLOOKUP(D34,'JPM St'!$C:$L,10,0),"")</f>
        <v>USD</v>
      </c>
      <c r="D34" s="497" t="str">
        <v>APPLOVIN CORP-CLASS A</v>
      </c>
      <c r="E34" s="500" t="str">
        <f>IFERROR(VLOOKUP(D34,'JPM St'!$C:$D,2,0),"")</f>
        <v>US03831W1080</v>
      </c>
      <c r="F34" s="501">
        <f t="shared" si="0"/>
        <v>94844.53</v>
      </c>
      <c r="G34" s="501">
        <f>SUMIFS('JPM St'!$K:$K,'JPM St'!$A:$A,$V$2,'JPM St'!$C:$C,D34)</f>
        <v>94844.53</v>
      </c>
      <c r="H34" s="501">
        <f>SUMIFS('JPM St'!$K:$K,'JPM St'!$A:$A,$V$3,'JPM St'!$C:$C,D34)</f>
        <v>0</v>
      </c>
      <c r="I34" s="501">
        <f>SUMIFS('JPM St'!$K:$K,'JPM St'!$A:$A,$V$4,'JPM St'!$C:$C,D34)</f>
        <v>0</v>
      </c>
      <c r="J34" s="619">
        <f t="shared" si="1"/>
        <v>94844.53</v>
      </c>
      <c r="K34" s="501">
        <f>IFERROR(SUMIFS('JPM St'!$M:$M,'JPM St'!$A:$A,$V$2,'JPM St'!$C:$C,D34),"")</f>
        <v>94844.53</v>
      </c>
      <c r="L34" s="501">
        <f>IFERROR(SUMIFS('JPM St'!$M:$M,'JPM St'!$A:$A,$V$3,'JPM St'!$C:$C,D34),"")</f>
        <v>0</v>
      </c>
      <c r="M34" s="501">
        <f>IFERROR(SUMIFS('JPM St'!$M:$M,'JPM St'!$A:$A,$V$4,'JPM St'!$C:$C,D34),"")</f>
        <v>0</v>
      </c>
      <c r="N34" s="501"/>
      <c r="O34" s="501"/>
      <c r="P34" s="501"/>
      <c r="Q34" s="501"/>
      <c r="R34" s="501"/>
      <c r="W34" s="628" t="s">
        <v>23</v>
      </c>
      <c r="X34" s="545">
        <f t="shared" si="5"/>
        <v>0</v>
      </c>
      <c r="AA34" s="628"/>
      <c r="AB34" s="628"/>
      <c r="AP34" s="497" t="str">
        <v>SEAGATE TECHNOLOGY HOLDINGS</v>
      </c>
      <c r="AQ34" s="497" t="str">
        <v>IE00BKVD2N49</v>
      </c>
      <c r="AR34" s="516" t="str">
        <v>Stock</v>
      </c>
      <c r="AS34" s="502">
        <v>54260.960000000006</v>
      </c>
      <c r="AT34" s="497" t="str">
        <v>USD</v>
      </c>
      <c r="AU34" s="502">
        <v>54260.960000000006</v>
      </c>
      <c r="AV34" s="497" t="str">
        <v>USD</v>
      </c>
      <c r="BB34" s="497" t="str">
        <v>DEERE</v>
      </c>
      <c r="BC34" s="497" t="str">
        <v>US2441991054</v>
      </c>
      <c r="BD34" s="497" t="str">
        <v>Stock</v>
      </c>
      <c r="BE34" s="502">
        <v>42093.36</v>
      </c>
      <c r="BF34" s="497" t="str">
        <v>USD</v>
      </c>
      <c r="BG34" s="502">
        <v>42093.36</v>
      </c>
      <c r="BH34" s="497" t="str">
        <v>USD</v>
      </c>
      <c r="BN34" s="497" t="str">
        <v>INGERSOLL RAND INC</v>
      </c>
      <c r="BO34" s="497" t="str">
        <v>US45687V1061</v>
      </c>
      <c r="BP34" s="497" t="str">
        <v>Stock</v>
      </c>
      <c r="BQ34" s="502">
        <v>40267.199999999997</v>
      </c>
      <c r="BR34" s="497" t="str">
        <v>USD</v>
      </c>
      <c r="BS34" s="502">
        <v>40267.199999999997</v>
      </c>
      <c r="BT34" s="497" t="str">
        <v>USD</v>
      </c>
    </row>
    <row r="35" spans="1:72" x14ac:dyDescent="0.25">
      <c r="A35" s="497" t="s">
        <v>90</v>
      </c>
      <c r="B35" s="497" t="str">
        <f>IFERROR(IF(VLOOKUP(D35,'JPM St'!$C:$G,3,0)="Fixed Income &amp; Cash","Cash",VLOOKUP(D35,'JPM St'!$C:$G,3,0)),"")</f>
        <v>Cash</v>
      </c>
      <c r="C35" s="497" t="str">
        <f>IFERROR(VLOOKUP(D35,'JPM St'!$C:$L,10,0),"")</f>
        <v>USD</v>
      </c>
      <c r="D35" s="497" t="str">
        <v>Cash Account - USD</v>
      </c>
      <c r="E35" s="500">
        <f>IFERROR(VLOOKUP(D35,'JPM St'!$C:$D,2,0),"")</f>
        <v>0</v>
      </c>
      <c r="F35" s="501">
        <f t="shared" si="0"/>
        <v>180720.86</v>
      </c>
      <c r="G35" s="501">
        <f>SUMIFS('JPM St'!$K:$K,'JPM St'!$A:$A,$V$2,'JPM St'!$C:$C,D35)</f>
        <v>18134.060000000001</v>
      </c>
      <c r="H35" s="501">
        <f>SUMIFS('JPM St'!$K:$K,'JPM St'!$A:$A,$V$3,'JPM St'!$C:$C,D35)</f>
        <v>68188.27</v>
      </c>
      <c r="I35" s="501">
        <f>SUMIFS('JPM St'!$K:$K,'JPM St'!$A:$A,$V$4,'JPM St'!$C:$C,D35)</f>
        <v>94398.53</v>
      </c>
      <c r="J35" s="619">
        <f t="shared" si="1"/>
        <v>180720.86</v>
      </c>
      <c r="K35" s="501">
        <f>IFERROR(SUMIFS('JPM St'!$M:$M,'JPM St'!$A:$A,$V$2,'JPM St'!$C:$C,D35),"")</f>
        <v>18134.060000000001</v>
      </c>
      <c r="L35" s="501">
        <f>IFERROR(SUMIFS('JPM St'!$M:$M,'JPM St'!$A:$A,$V$3,'JPM St'!$C:$C,D35),"")</f>
        <v>68188.27</v>
      </c>
      <c r="M35" s="501">
        <f>IFERROR(SUMIFS('JPM St'!$M:$M,'JPM St'!$A:$A,$V$4,'JPM St'!$C:$C,D35),"")</f>
        <v>94398.53</v>
      </c>
      <c r="N35" s="501"/>
      <c r="O35" s="501"/>
      <c r="P35" s="501"/>
      <c r="Q35" s="501"/>
      <c r="R35" s="501"/>
      <c r="W35" s="628" t="s">
        <v>458</v>
      </c>
      <c r="X35" s="545">
        <f t="shared" si="5"/>
        <v>0</v>
      </c>
      <c r="AA35" s="628"/>
      <c r="AB35" s="628"/>
      <c r="AP35" s="497" t="str">
        <v>SHOPIFY INC - CLASS A</v>
      </c>
      <c r="AQ35" s="497" t="str">
        <v>CA82509L1076</v>
      </c>
      <c r="AR35" s="516" t="str">
        <v>Stock</v>
      </c>
      <c r="AS35" s="502">
        <v>60638.25</v>
      </c>
      <c r="AT35" s="497" t="str">
        <v>USD</v>
      </c>
      <c r="AU35" s="502">
        <v>60638.25</v>
      </c>
      <c r="AV35" s="497" t="str">
        <v>USD</v>
      </c>
      <c r="BB35" s="497" t="str">
        <v>DOMINION ENERGY INC</v>
      </c>
      <c r="BC35" s="497" t="str">
        <v>US25746U1097</v>
      </c>
      <c r="BD35" s="497" t="str">
        <v>Stock</v>
      </c>
      <c r="BE35" s="502">
        <v>32510.399999999998</v>
      </c>
      <c r="BF35" s="497" t="str">
        <v>USD</v>
      </c>
      <c r="BG35" s="502">
        <v>32510.399999999998</v>
      </c>
      <c r="BH35" s="497" t="str">
        <v>USD</v>
      </c>
      <c r="BN35" s="497" t="str">
        <v>INTUIT</v>
      </c>
      <c r="BO35" s="497" t="str">
        <v>US4612021034</v>
      </c>
      <c r="BP35" s="497" t="str">
        <v>Stock</v>
      </c>
      <c r="BQ35" s="502">
        <v>51001.919999999998</v>
      </c>
      <c r="BR35" s="497" t="str">
        <v>USD</v>
      </c>
      <c r="BS35" s="502">
        <v>51001.919999999998</v>
      </c>
      <c r="BT35" s="497" t="str">
        <v>USD</v>
      </c>
    </row>
    <row r="36" spans="1:72" x14ac:dyDescent="0.25">
      <c r="A36" s="497" t="s">
        <v>90</v>
      </c>
      <c r="B36" s="497" t="str">
        <f>IFERROR(IF(VLOOKUP(D36,'JPM St'!$C:$G,3,0)="Fixed Income &amp; Cash","Cash",VLOOKUP(D36,'JPM St'!$C:$G,3,0)),"")</f>
        <v>Equity</v>
      </c>
      <c r="C36" s="497" t="str">
        <f>IFERROR(VLOOKUP(D36,'JPM St'!$C:$L,10,0),"")</f>
        <v>JPY</v>
      </c>
      <c r="D36" s="497" t="str">
        <v>JAPAN EXCHANGE GROUP</v>
      </c>
      <c r="E36" s="500" t="str">
        <f>IFERROR(VLOOKUP(D36,'JPM St'!$C:$D,2,0),"")</f>
        <v>JP3183200009</v>
      </c>
      <c r="F36" s="501">
        <f t="shared" si="0"/>
        <v>14632134</v>
      </c>
      <c r="G36" s="501">
        <f>SUMIFS('JPM St'!$K:$K,'JPM St'!$A:$A,$V$2,'JPM St'!$C:$C,D36)</f>
        <v>0</v>
      </c>
      <c r="H36" s="501">
        <f>SUMIFS('JPM St'!$K:$K,'JPM St'!$A:$A,$V$3,'JPM St'!$C:$C,D36)</f>
        <v>0</v>
      </c>
      <c r="I36" s="501">
        <f>SUMIFS('JPM St'!$K:$K,'JPM St'!$A:$A,$V$4,'JPM St'!$C:$C,D36)</f>
        <v>14632134</v>
      </c>
      <c r="J36" s="619">
        <f t="shared" si="1"/>
        <v>92284.869137999995</v>
      </c>
      <c r="K36" s="501">
        <f>IFERROR(SUMIFS('JPM St'!$M:$M,'JPM St'!$A:$A,$V$2,'JPM St'!$C:$C,D36),"")</f>
        <v>0</v>
      </c>
      <c r="L36" s="501">
        <f>IFERROR(SUMIFS('JPM St'!$M:$M,'JPM St'!$A:$A,$V$3,'JPM St'!$C:$C,D36),"")</f>
        <v>0</v>
      </c>
      <c r="M36" s="501">
        <f>IFERROR(SUMIFS('JPM St'!$M:$M,'JPM St'!$A:$A,$V$4,'JPM St'!$C:$C,D36),"")</f>
        <v>92284.869137999995</v>
      </c>
      <c r="N36" s="501"/>
      <c r="O36" s="501"/>
      <c r="P36" s="501"/>
      <c r="Q36" s="501"/>
      <c r="R36" s="501"/>
      <c r="W36" s="628" t="s">
        <v>976</v>
      </c>
      <c r="X36" s="545">
        <f t="shared" si="5"/>
        <v>0</v>
      </c>
      <c r="AA36" s="628"/>
      <c r="AB36" s="628"/>
      <c r="AP36" s="497" t="str">
        <v>SNOWFLAKE INC</v>
      </c>
      <c r="AQ36" s="497" t="str">
        <v>US8334451098</v>
      </c>
      <c r="AR36" s="516" t="str">
        <v>Stock</v>
      </c>
      <c r="AS36" s="502">
        <v>45289.47</v>
      </c>
      <c r="AT36" s="497" t="str">
        <v>USD</v>
      </c>
      <c r="AU36" s="502">
        <v>45289.47</v>
      </c>
      <c r="AV36" s="497" t="str">
        <v>USD</v>
      </c>
      <c r="BB36" s="497" t="str">
        <v>DOVER</v>
      </c>
      <c r="BC36" s="497" t="str">
        <v>US2600031080</v>
      </c>
      <c r="BD36" s="497" t="str">
        <v>Stock</v>
      </c>
      <c r="BE36" s="502">
        <v>36867.89</v>
      </c>
      <c r="BF36" s="497" t="str">
        <v>USD</v>
      </c>
      <c r="BG36" s="502">
        <v>36867.89</v>
      </c>
      <c r="BH36" s="497" t="str">
        <v>USD</v>
      </c>
      <c r="BN36" s="497" t="str">
        <v>JAPAN EXCHANGE GROUP</v>
      </c>
      <c r="BO36" s="497" t="str">
        <v>JP3183200009</v>
      </c>
      <c r="BP36" s="497" t="str">
        <v>Stock</v>
      </c>
      <c r="BQ36" s="502">
        <v>14632134</v>
      </c>
      <c r="BR36" s="497" t="str">
        <v>JPY</v>
      </c>
      <c r="BS36" s="502">
        <v>92284.869137999995</v>
      </c>
      <c r="BT36" s="497" t="str">
        <v>USD</v>
      </c>
    </row>
    <row r="37" spans="1:72" x14ac:dyDescent="0.25">
      <c r="A37" s="497" t="s">
        <v>90</v>
      </c>
      <c r="B37" s="497" t="str">
        <f>IFERROR(IF(VLOOKUP(D37,'JPM St'!$C:$G,3,0)="Fixed Income &amp; Cash","Cash",VLOOKUP(D37,'JPM St'!$C:$G,3,0)),"")</f>
        <v>Equity</v>
      </c>
      <c r="C37" s="497" t="str">
        <f>IFERROR(VLOOKUP(D37,'JPM St'!$C:$L,10,0),"")</f>
        <v>SEK</v>
      </c>
      <c r="D37" s="497" t="str">
        <v>BOLIDEN AB</v>
      </c>
      <c r="E37" s="500" t="str">
        <f>IFERROR(VLOOKUP(D37,'JPM St'!$C:$D,2,0),"")</f>
        <v>SE0020050417</v>
      </c>
      <c r="F37" s="501">
        <f t="shared" si="0"/>
        <v>844561.78659000003</v>
      </c>
      <c r="G37" s="501">
        <f>SUMIFS('JPM St'!$K:$K,'JPM St'!$A:$A,$V$2,'JPM St'!$C:$C,D37)</f>
        <v>0</v>
      </c>
      <c r="H37" s="501">
        <f>SUMIFS('JPM St'!$K:$K,'JPM St'!$A:$A,$V$3,'JPM St'!$C:$C,D37)</f>
        <v>0</v>
      </c>
      <c r="I37" s="501">
        <f>SUMIFS('JPM St'!$K:$K,'JPM St'!$A:$A,$V$4,'JPM St'!$C:$C,D37)</f>
        <v>844561.78659000003</v>
      </c>
      <c r="J37" s="619">
        <f t="shared" si="1"/>
        <v>91473.076686999993</v>
      </c>
      <c r="K37" s="501">
        <f>IFERROR(SUMIFS('JPM St'!$M:$M,'JPM St'!$A:$A,$V$2,'JPM St'!$C:$C,D37),"")</f>
        <v>0</v>
      </c>
      <c r="L37" s="501">
        <f>IFERROR(SUMIFS('JPM St'!$M:$M,'JPM St'!$A:$A,$V$3,'JPM St'!$C:$C,D37),"")</f>
        <v>0</v>
      </c>
      <c r="M37" s="501">
        <f>IFERROR(SUMIFS('JPM St'!$M:$M,'JPM St'!$A:$A,$V$4,'JPM St'!$C:$C,D37),"")</f>
        <v>91473.076686999993</v>
      </c>
      <c r="N37" s="501"/>
      <c r="O37" s="501"/>
      <c r="P37" s="501"/>
      <c r="Q37" s="501"/>
      <c r="R37" s="501"/>
      <c r="W37" s="628" t="s">
        <v>2247</v>
      </c>
      <c r="X37" s="545">
        <f>SUM(J:J)-SUM(X31:X36)</f>
        <v>652286.36883899756</v>
      </c>
      <c r="AA37" s="628"/>
      <c r="AB37" s="628"/>
      <c r="AP37" s="497" t="str">
        <v>TAKE-TWO INTERACTIVE SOFTWARE</v>
      </c>
      <c r="AQ37" s="497" t="str">
        <v>US8740541094</v>
      </c>
      <c r="AR37" s="516" t="str">
        <v>Stock</v>
      </c>
      <c r="AS37" s="502">
        <v>35253.699999999997</v>
      </c>
      <c r="AT37" s="497" t="str">
        <v>USD</v>
      </c>
      <c r="AU37" s="502">
        <v>35253.699999999997</v>
      </c>
      <c r="AV37" s="497" t="str">
        <v>USD</v>
      </c>
      <c r="BB37" s="497" t="str">
        <v>EATON CORPORATION</v>
      </c>
      <c r="BC37" s="497" t="str">
        <v>IE00B8KQN827</v>
      </c>
      <c r="BD37" s="497" t="str">
        <v>Stock</v>
      </c>
      <c r="BE37" s="502">
        <v>43580.049999999996</v>
      </c>
      <c r="BF37" s="497" t="str">
        <v>USD</v>
      </c>
      <c r="BG37" s="502">
        <v>43580.049999999996</v>
      </c>
      <c r="BH37" s="497" t="str">
        <v>USD</v>
      </c>
      <c r="BN37" s="497" t="str">
        <v>KEYENCE</v>
      </c>
      <c r="BO37" s="497" t="str">
        <v>JP3236200006</v>
      </c>
      <c r="BP37" s="497" t="str">
        <v>Stock</v>
      </c>
      <c r="BQ37" s="502">
        <v>5787000</v>
      </c>
      <c r="BR37" s="497" t="str">
        <v>JPY</v>
      </c>
      <c r="BS37" s="502">
        <v>36498.609000000004</v>
      </c>
      <c r="BT37" s="497" t="str">
        <v>USD</v>
      </c>
    </row>
    <row r="38" spans="1:72" x14ac:dyDescent="0.25">
      <c r="A38" s="497" t="s">
        <v>90</v>
      </c>
      <c r="B38" s="497" t="str">
        <f>IFERROR(IF(VLOOKUP(D38,'JPM St'!$C:$G,3,0)="Fixed Income &amp; Cash","Cash",VLOOKUP(D38,'JPM St'!$C:$G,3,0)),"")</f>
        <v>Equity</v>
      </c>
      <c r="C38" s="497" t="str">
        <f>IFERROR(VLOOKUP(D38,'JPM St'!$C:$L,10,0),"")</f>
        <v>USD</v>
      </c>
      <c r="D38" s="497" t="str">
        <v>UNITEDHEALTH GROUP</v>
      </c>
      <c r="E38" s="500" t="str">
        <f>IFERROR(VLOOKUP(D38,'JPM St'!$C:$D,2,0),"")</f>
        <v>US91324P1021</v>
      </c>
      <c r="F38" s="501">
        <f t="shared" si="0"/>
        <v>114847.92000000001</v>
      </c>
      <c r="G38" s="501">
        <f>SUMIFS('JPM St'!$K:$K,'JPM St'!$A:$A,$V$2,'JPM St'!$C:$C,D38)</f>
        <v>0</v>
      </c>
      <c r="H38" s="501">
        <f>SUMIFS('JPM St'!$K:$K,'JPM St'!$A:$A,$V$3,'JPM St'!$C:$C,D38)</f>
        <v>23645.16</v>
      </c>
      <c r="I38" s="501">
        <f>SUMIFS('JPM St'!$K:$K,'JPM St'!$A:$A,$V$4,'JPM St'!$C:$C,D38)</f>
        <v>91202.760000000009</v>
      </c>
      <c r="J38" s="619">
        <f t="shared" si="1"/>
        <v>114847.92000000001</v>
      </c>
      <c r="K38" s="501">
        <f>IFERROR(SUMIFS('JPM St'!$M:$M,'JPM St'!$A:$A,$V$2,'JPM St'!$C:$C,D38),"")</f>
        <v>0</v>
      </c>
      <c r="L38" s="501">
        <f>IFERROR(SUMIFS('JPM St'!$M:$M,'JPM St'!$A:$A,$V$3,'JPM St'!$C:$C,D38),"")</f>
        <v>23645.16</v>
      </c>
      <c r="M38" s="501">
        <f>IFERROR(SUMIFS('JPM St'!$M:$M,'JPM St'!$A:$A,$V$4,'JPM St'!$C:$C,D38),"")</f>
        <v>91202.760000000009</v>
      </c>
      <c r="N38" s="501"/>
      <c r="O38" s="501"/>
      <c r="P38" s="501"/>
      <c r="Q38" s="501"/>
      <c r="R38" s="501"/>
      <c r="W38" s="628"/>
      <c r="AP38" s="497" t="str">
        <v>TEXAS INSTRUMENTS</v>
      </c>
      <c r="AQ38" s="497" t="str">
        <v>US8825081040</v>
      </c>
      <c r="AR38" s="516" t="str">
        <v>Stock</v>
      </c>
      <c r="AS38" s="502">
        <v>110362.79000000001</v>
      </c>
      <c r="AT38" s="497" t="str">
        <v>USD</v>
      </c>
      <c r="AU38" s="502">
        <v>110362.79000000001</v>
      </c>
      <c r="AV38" s="497" t="str">
        <v>USD</v>
      </c>
      <c r="BB38" s="497" t="str">
        <v>ELI LILLY AND COMPANY</v>
      </c>
      <c r="BC38" s="497" t="str">
        <v>US5324571083</v>
      </c>
      <c r="BD38" s="497" t="str">
        <v>Stock</v>
      </c>
      <c r="BE38" s="502">
        <v>11849.039999999999</v>
      </c>
      <c r="BF38" s="497" t="str">
        <v>USD</v>
      </c>
      <c r="BG38" s="502">
        <v>11849.039999999999</v>
      </c>
      <c r="BH38" s="497" t="str">
        <v>USD</v>
      </c>
      <c r="BN38" s="497" t="str">
        <v>KINGSPAN GROUP PLC</v>
      </c>
      <c r="BO38" s="497" t="str">
        <v>IE0004927939</v>
      </c>
      <c r="BP38" s="497" t="str">
        <v>Stock</v>
      </c>
      <c r="BQ38" s="502">
        <v>32961.599999999999</v>
      </c>
      <c r="BR38" s="497" t="str">
        <v>EUR</v>
      </c>
      <c r="BS38" s="502">
        <v>38151.403920000004</v>
      </c>
      <c r="BT38" s="497" t="str">
        <v>USD</v>
      </c>
    </row>
    <row r="39" spans="1:72" x14ac:dyDescent="0.25">
      <c r="A39" s="497" t="s">
        <v>90</v>
      </c>
      <c r="B39" s="497" t="str">
        <f>IFERROR(IF(VLOOKUP(D39,'JPM St'!$C:$G,3,0)="Fixed Income &amp; Cash","Cash",VLOOKUP(D39,'JPM St'!$C:$G,3,0)),"")</f>
        <v>Equity</v>
      </c>
      <c r="C39" s="497" t="str">
        <f>IFERROR(VLOOKUP(D39,'JPM St'!$C:$L,10,0),"")</f>
        <v>USD</v>
      </c>
      <c r="D39" s="497" t="str">
        <v>DANAHER</v>
      </c>
      <c r="E39" s="500" t="str">
        <f>IFERROR(VLOOKUP(D39,'JPM St'!$C:$D,2,0),"")</f>
        <v>US2358511028</v>
      </c>
      <c r="F39" s="501">
        <f t="shared" si="0"/>
        <v>109411.82999999999</v>
      </c>
      <c r="G39" s="501">
        <f>SUMIFS('JPM St'!$K:$K,'JPM St'!$A:$A,$V$2,'JPM St'!$C:$C,D39)</f>
        <v>0</v>
      </c>
      <c r="H39" s="501">
        <f>SUMIFS('JPM St'!$K:$K,'JPM St'!$A:$A,$V$3,'JPM St'!$C:$C,D39)</f>
        <v>18527.849999999999</v>
      </c>
      <c r="I39" s="501">
        <f>SUMIFS('JPM St'!$K:$K,'JPM St'!$A:$A,$V$4,'JPM St'!$C:$C,D39)</f>
        <v>90883.98</v>
      </c>
      <c r="J39" s="619">
        <f t="shared" si="1"/>
        <v>109411.82999999999</v>
      </c>
      <c r="K39" s="501">
        <f>IFERROR(SUMIFS('JPM St'!$M:$M,'JPM St'!$A:$A,$V$2,'JPM St'!$C:$C,D39),"")</f>
        <v>0</v>
      </c>
      <c r="L39" s="501">
        <f>IFERROR(SUMIFS('JPM St'!$M:$M,'JPM St'!$A:$A,$V$3,'JPM St'!$C:$C,D39),"")</f>
        <v>18527.849999999999</v>
      </c>
      <c r="M39" s="501">
        <f>IFERROR(SUMIFS('JPM St'!$M:$M,'JPM St'!$A:$A,$V$4,'JPM St'!$C:$C,D39),"")</f>
        <v>90883.98</v>
      </c>
      <c r="N39" s="501"/>
      <c r="O39" s="501"/>
      <c r="P39" s="501"/>
      <c r="Q39" s="501"/>
      <c r="R39" s="501"/>
      <c r="W39" s="629" t="str" cm="1">
        <f t="array" ref="W39:W48">_xlfn.UNIQUE(C:C)</f>
        <v>Risk CCY</v>
      </c>
      <c r="X39" s="629" t="s">
        <v>46</v>
      </c>
      <c r="Y39" s="629"/>
      <c r="AP39" s="497" t="str">
        <v>TOAST INC-CLASS A</v>
      </c>
      <c r="AQ39" s="497" t="str">
        <v>US8887871080</v>
      </c>
      <c r="AR39" s="516" t="str">
        <v>Stock</v>
      </c>
      <c r="AS39" s="502">
        <v>42867.08</v>
      </c>
      <c r="AT39" s="497" t="str">
        <v>USD</v>
      </c>
      <c r="AU39" s="502">
        <v>42867.08</v>
      </c>
      <c r="AV39" s="497" t="str">
        <v>USD</v>
      </c>
      <c r="BB39" s="497" t="str">
        <v>EOG RESOURCES</v>
      </c>
      <c r="BC39" s="497" t="str">
        <v>US26875P1012</v>
      </c>
      <c r="BD39" s="497" t="str">
        <v>Stock</v>
      </c>
      <c r="BE39" s="502">
        <v>35624.475000000006</v>
      </c>
      <c r="BF39" s="497" t="str">
        <v>USD</v>
      </c>
      <c r="BG39" s="502">
        <v>35624.475000000006</v>
      </c>
      <c r="BH39" s="497" t="str">
        <v>USD</v>
      </c>
      <c r="BN39" s="497" t="str">
        <v>LAM RESEARCH CORP</v>
      </c>
      <c r="BO39" s="497" t="str">
        <v>US5128073062</v>
      </c>
      <c r="BP39" s="497" t="str">
        <v>Stock</v>
      </c>
      <c r="BQ39" s="502">
        <v>61322.400000000001</v>
      </c>
      <c r="BR39" s="497" t="str">
        <v>USD</v>
      </c>
      <c r="BS39" s="502">
        <v>61322.400000000001</v>
      </c>
      <c r="BT39" s="497" t="str">
        <v>USD</v>
      </c>
    </row>
    <row r="40" spans="1:72" x14ac:dyDescent="0.25">
      <c r="A40" s="497" t="s">
        <v>90</v>
      </c>
      <c r="B40" s="497" t="str">
        <f>IFERROR(IF(VLOOKUP(D40,'JPM St'!$C:$G,3,0)="Fixed Income &amp; Cash","Cash",VLOOKUP(D40,'JPM St'!$C:$G,3,0)),"")</f>
        <v>Equity</v>
      </c>
      <c r="C40" s="497" t="str">
        <f>IFERROR(VLOOKUP(D40,'JPM St'!$C:$L,10,0),"")</f>
        <v>USD</v>
      </c>
      <c r="D40" s="497" t="str">
        <v>ADVANCED MICRO DEVICES</v>
      </c>
      <c r="E40" s="500" t="str">
        <f>IFERROR(VLOOKUP(D40,'JPM St'!$C:$D,2,0),"")</f>
        <v>US0079031078</v>
      </c>
      <c r="F40" s="501">
        <f t="shared" si="0"/>
        <v>90042.27</v>
      </c>
      <c r="G40" s="501">
        <f>SUMIFS('JPM St'!$K:$K,'JPM St'!$A:$A,$V$2,'JPM St'!$C:$C,D40)</f>
        <v>90042.27</v>
      </c>
      <c r="H40" s="501">
        <f>SUMIFS('JPM St'!$K:$K,'JPM St'!$A:$A,$V$3,'JPM St'!$C:$C,D40)</f>
        <v>0</v>
      </c>
      <c r="I40" s="501">
        <f>SUMIFS('JPM St'!$K:$K,'JPM St'!$A:$A,$V$4,'JPM St'!$C:$C,D40)</f>
        <v>0</v>
      </c>
      <c r="J40" s="619">
        <f t="shared" si="1"/>
        <v>90042.27</v>
      </c>
      <c r="K40" s="501">
        <f>IFERROR(SUMIFS('JPM St'!$M:$M,'JPM St'!$A:$A,$V$2,'JPM St'!$C:$C,D40),"")</f>
        <v>90042.27</v>
      </c>
      <c r="L40" s="501">
        <f>IFERROR(SUMIFS('JPM St'!$M:$M,'JPM St'!$A:$A,$V$3,'JPM St'!$C:$C,D40),"")</f>
        <v>0</v>
      </c>
      <c r="M40" s="501">
        <f>IFERROR(SUMIFS('JPM St'!$M:$M,'JPM St'!$A:$A,$V$4,'JPM St'!$C:$C,D40),"")</f>
        <v>0</v>
      </c>
      <c r="N40" s="501"/>
      <c r="O40" s="501"/>
      <c r="P40" s="501"/>
      <c r="Q40" s="501"/>
      <c r="R40" s="501"/>
      <c r="W40" s="628" t="str">
        <v>USD</v>
      </c>
      <c r="X40" s="545">
        <f t="shared" ref="X40:X62" si="6">IFERROR(SUMIFS(F:F,C:C,W40,B:B,"Cash"),"")</f>
        <v>180720.86</v>
      </c>
      <c r="AP40" s="497" t="str">
        <v>ZOOMINFO TECHNOLOGIES INC</v>
      </c>
      <c r="AQ40" s="497" t="str">
        <v>US98980F1049</v>
      </c>
      <c r="AR40" s="516" t="str">
        <v>Stock</v>
      </c>
      <c r="AS40" s="502">
        <v>25959.675000000003</v>
      </c>
      <c r="AT40" s="497" t="str">
        <v>USD</v>
      </c>
      <c r="AU40" s="502">
        <v>25959.675000000003</v>
      </c>
      <c r="AV40" s="497" t="str">
        <v>USD</v>
      </c>
      <c r="BB40" s="497" t="str">
        <v>FIDELITY NATIONAL INFORMATION SVCS</v>
      </c>
      <c r="BC40" s="497" t="str">
        <v>US31620M1062</v>
      </c>
      <c r="BD40" s="497" t="str">
        <v>Stock</v>
      </c>
      <c r="BE40" s="502">
        <v>13672.8</v>
      </c>
      <c r="BF40" s="497" t="str">
        <v>USD</v>
      </c>
      <c r="BG40" s="502">
        <v>13672.8</v>
      </c>
      <c r="BH40" s="497" t="str">
        <v>USD</v>
      </c>
      <c r="BN40" s="497" t="str">
        <v>LEGRAND</v>
      </c>
      <c r="BO40" s="497" t="str">
        <v>FR0010307819</v>
      </c>
      <c r="BP40" s="497" t="str">
        <v>Stock</v>
      </c>
      <c r="BQ40" s="502">
        <v>64831.799999999996</v>
      </c>
      <c r="BR40" s="497" t="str">
        <v>EUR</v>
      </c>
      <c r="BS40" s="502">
        <v>75039.566909999994</v>
      </c>
      <c r="BT40" s="497" t="str">
        <v>USD</v>
      </c>
    </row>
    <row r="41" spans="1:72" x14ac:dyDescent="0.25">
      <c r="A41" s="497" t="s">
        <v>90</v>
      </c>
      <c r="B41" s="497" t="str">
        <f>IFERROR(IF(VLOOKUP(D41,'JPM St'!$C:$G,3,0)="Fixed Income &amp; Cash","Cash",VLOOKUP(D41,'JPM St'!$C:$G,3,0)),"")</f>
        <v>Equity</v>
      </c>
      <c r="C41" s="497" t="str">
        <f>IFERROR(VLOOKUP(D41,'JPM St'!$C:$L,10,0),"")</f>
        <v>USD</v>
      </c>
      <c r="D41" s="497" t="str">
        <v>HOWMET AEROSPACE INC</v>
      </c>
      <c r="E41" s="500" t="str">
        <f>IFERROR(VLOOKUP(D41,'JPM St'!$C:$D,2,0),"")</f>
        <v>US4432011082</v>
      </c>
      <c r="F41" s="501">
        <f t="shared" si="0"/>
        <v>87737.98000000001</v>
      </c>
      <c r="G41" s="501">
        <f>SUMIFS('JPM St'!$K:$K,'JPM St'!$A:$A,$V$2,'JPM St'!$C:$C,D41)</f>
        <v>0</v>
      </c>
      <c r="H41" s="501">
        <f>SUMIFS('JPM St'!$K:$K,'JPM St'!$A:$A,$V$3,'JPM St'!$C:$C,D41)</f>
        <v>0</v>
      </c>
      <c r="I41" s="501">
        <f>SUMIFS('JPM St'!$K:$K,'JPM St'!$A:$A,$V$4,'JPM St'!$C:$C,D41)</f>
        <v>87737.98000000001</v>
      </c>
      <c r="J41" s="619">
        <f t="shared" si="1"/>
        <v>87737.98000000001</v>
      </c>
      <c r="K41" s="501">
        <f>IFERROR(SUMIFS('JPM St'!$M:$M,'JPM St'!$A:$A,$V$2,'JPM St'!$C:$C,D41),"")</f>
        <v>0</v>
      </c>
      <c r="L41" s="501">
        <f>IFERROR(SUMIFS('JPM St'!$M:$M,'JPM St'!$A:$A,$V$3,'JPM St'!$C:$C,D41),"")</f>
        <v>0</v>
      </c>
      <c r="M41" s="501">
        <f>IFERROR(SUMIFS('JPM St'!$M:$M,'JPM St'!$A:$A,$V$4,'JPM St'!$C:$C,D41),"")</f>
        <v>87737.98000000001</v>
      </c>
      <c r="N41" s="501"/>
      <c r="O41" s="501"/>
      <c r="P41" s="501"/>
      <c r="Q41" s="501"/>
      <c r="R41" s="501"/>
      <c r="W41" s="628" t="str">
        <v>EUR</v>
      </c>
      <c r="X41" s="545">
        <f t="shared" si="6"/>
        <v>83556.350000000006</v>
      </c>
      <c r="AP41" s="497" t="str">
        <v>Cash Account - EUR</v>
      </c>
      <c r="AQ41" s="497">
        <v>0</v>
      </c>
      <c r="AR41" s="516" t="str">
        <v>Cash</v>
      </c>
      <c r="AS41" s="502">
        <v>0</v>
      </c>
      <c r="AT41" s="497" t="str">
        <v>EUR</v>
      </c>
      <c r="AU41" s="502">
        <v>0</v>
      </c>
      <c r="AV41" s="497" t="str">
        <v>USD</v>
      </c>
      <c r="BB41" s="497" t="str">
        <v>GOLDMAN SACHS GRP</v>
      </c>
      <c r="BC41" s="497" t="str">
        <v>US38141G1040</v>
      </c>
      <c r="BD41" s="497" t="str">
        <v>Stock</v>
      </c>
      <c r="BE41" s="502">
        <v>28140</v>
      </c>
      <c r="BF41" s="497" t="str">
        <v>USD</v>
      </c>
      <c r="BG41" s="502">
        <v>28140</v>
      </c>
      <c r="BH41" s="497" t="str">
        <v>USD</v>
      </c>
      <c r="BN41" s="497" t="str">
        <v>LINDE PLC</v>
      </c>
      <c r="BO41" s="497" t="str">
        <v>IE000S9YS762</v>
      </c>
      <c r="BP41" s="497" t="str">
        <v>Stock</v>
      </c>
      <c r="BQ41" s="502">
        <v>193112.76</v>
      </c>
      <c r="BR41" s="497" t="str">
        <v>USD</v>
      </c>
      <c r="BS41" s="502">
        <v>193112.76</v>
      </c>
      <c r="BT41" s="497" t="str">
        <v>USD</v>
      </c>
    </row>
    <row r="42" spans="1:72" x14ac:dyDescent="0.25">
      <c r="A42" s="497" t="s">
        <v>90</v>
      </c>
      <c r="B42" s="497" t="str">
        <f>IFERROR(IF(VLOOKUP(D42,'JPM St'!$C:$G,3,0)="Fixed Income &amp; Cash","Cash",VLOOKUP(D42,'JPM St'!$C:$G,3,0)),"")</f>
        <v>Equity</v>
      </c>
      <c r="C42" s="497" t="str">
        <f>IFERROR(VLOOKUP(D42,'JPM St'!$C:$L,10,0),"")</f>
        <v>DKK</v>
      </c>
      <c r="D42" s="497" t="str">
        <v>CARLSBERG -B-</v>
      </c>
      <c r="E42" s="500" t="str">
        <f>IFERROR(VLOOKUP(D42,'JPM St'!$C:$D,2,0),"")</f>
        <v>DK0010181759</v>
      </c>
      <c r="F42" s="501">
        <f t="shared" si="0"/>
        <v>560633.98770000006</v>
      </c>
      <c r="G42" s="501">
        <f>SUMIFS('JPM St'!$K:$K,'JPM St'!$A:$A,$V$2,'JPM St'!$C:$C,D42)</f>
        <v>0</v>
      </c>
      <c r="H42" s="501">
        <f>SUMIFS('JPM St'!$K:$K,'JPM St'!$A:$A,$V$3,'JPM St'!$C:$C,D42)</f>
        <v>0</v>
      </c>
      <c r="I42" s="501">
        <f>SUMIFS('JPM St'!$K:$K,'JPM St'!$A:$A,$V$4,'JPM St'!$C:$C,D42)</f>
        <v>560633.98770000006</v>
      </c>
      <c r="J42" s="619">
        <f t="shared" si="1"/>
        <v>86863.435903999998</v>
      </c>
      <c r="K42" s="501">
        <f>IFERROR(SUMIFS('JPM St'!$M:$M,'JPM St'!$A:$A,$V$2,'JPM St'!$C:$C,D42),"")</f>
        <v>0</v>
      </c>
      <c r="L42" s="501">
        <f>IFERROR(SUMIFS('JPM St'!$M:$M,'JPM St'!$A:$A,$V$3,'JPM St'!$C:$C,D42),"")</f>
        <v>0</v>
      </c>
      <c r="M42" s="501">
        <f>IFERROR(SUMIFS('JPM St'!$M:$M,'JPM St'!$A:$A,$V$4,'JPM St'!$C:$C,D42),"")</f>
        <v>86863.435903999998</v>
      </c>
      <c r="N42" s="501"/>
      <c r="O42" s="501"/>
      <c r="P42" s="501"/>
      <c r="Q42" s="501"/>
      <c r="R42" s="501"/>
      <c r="W42" s="628" t="str">
        <v>SEK</v>
      </c>
      <c r="X42" s="545">
        <f t="shared" si="6"/>
        <v>17844.45</v>
      </c>
      <c r="AP42" s="497" t="str">
        <v>Cash Account - GBP</v>
      </c>
      <c r="AQ42" s="497">
        <v>0</v>
      </c>
      <c r="AR42" s="516" t="str">
        <v>Cash</v>
      </c>
      <c r="AS42" s="502">
        <v>0</v>
      </c>
      <c r="AT42" s="497" t="str">
        <v>GBP</v>
      </c>
      <c r="AU42" s="502">
        <v>0</v>
      </c>
      <c r="AV42" s="497" t="str">
        <v>USD</v>
      </c>
      <c r="BB42" s="497" t="str">
        <v>HEWLETT PACKARD ENTERPRISE</v>
      </c>
      <c r="BC42" s="497" t="str">
        <v>US42824C1099</v>
      </c>
      <c r="BD42" s="497" t="str">
        <v>Stock</v>
      </c>
      <c r="BE42" s="502">
        <v>26872.435000000001</v>
      </c>
      <c r="BF42" s="497" t="str">
        <v>USD</v>
      </c>
      <c r="BG42" s="502">
        <v>26872.435000000001</v>
      </c>
      <c r="BH42" s="497" t="str">
        <v>USD</v>
      </c>
      <c r="BN42" s="497" t="str">
        <v>LOWE S COMPANIES</v>
      </c>
      <c r="BO42" s="497" t="str">
        <v>US5486611073</v>
      </c>
      <c r="BP42" s="497" t="str">
        <v>Stock</v>
      </c>
      <c r="BQ42" s="502">
        <v>109852.34</v>
      </c>
      <c r="BR42" s="497" t="str">
        <v>USD</v>
      </c>
      <c r="BS42" s="502">
        <v>109852.34</v>
      </c>
      <c r="BT42" s="497" t="str">
        <v>USD</v>
      </c>
    </row>
    <row r="43" spans="1:72" x14ac:dyDescent="0.25">
      <c r="A43" s="497" t="s">
        <v>90</v>
      </c>
      <c r="B43" s="497" t="str">
        <f>IFERROR(IF(VLOOKUP(D43,'JPM St'!$C:$G,3,0)="Fixed Income &amp; Cash","Cash",VLOOKUP(D43,'JPM St'!$C:$G,3,0)),"")</f>
        <v>Equity</v>
      </c>
      <c r="C43" s="497" t="str">
        <f>IFERROR(VLOOKUP(D43,'JPM St'!$C:$L,10,0),"")</f>
        <v>USD</v>
      </c>
      <c r="D43" s="497" t="str">
        <v>THERMO FISHER SCIENTIFIC</v>
      </c>
      <c r="E43" s="500" t="str">
        <f>IFERROR(VLOOKUP(D43,'JPM St'!$C:$D,2,0),"")</f>
        <v>US8835561023</v>
      </c>
      <c r="F43" s="501">
        <f t="shared" si="0"/>
        <v>84594.554999999993</v>
      </c>
      <c r="G43" s="501">
        <f>SUMIFS('JPM St'!$K:$K,'JPM St'!$A:$A,$V$2,'JPM St'!$C:$C,D43)</f>
        <v>0</v>
      </c>
      <c r="H43" s="501">
        <f>SUMIFS('JPM St'!$K:$K,'JPM St'!$A:$A,$V$3,'JPM St'!$C:$C,D43)</f>
        <v>0</v>
      </c>
      <c r="I43" s="501">
        <f>SUMIFS('JPM St'!$K:$K,'JPM St'!$A:$A,$V$4,'JPM St'!$C:$C,D43)</f>
        <v>84594.554999999993</v>
      </c>
      <c r="J43" s="619">
        <f t="shared" si="1"/>
        <v>84594.554999999993</v>
      </c>
      <c r="K43" s="501">
        <f>IFERROR(SUMIFS('JPM St'!$M:$M,'JPM St'!$A:$A,$V$2,'JPM St'!$C:$C,D43),"")</f>
        <v>0</v>
      </c>
      <c r="L43" s="501">
        <f>IFERROR(SUMIFS('JPM St'!$M:$M,'JPM St'!$A:$A,$V$3,'JPM St'!$C:$C,D43),"")</f>
        <v>0</v>
      </c>
      <c r="M43" s="501">
        <f>IFERROR(SUMIFS('JPM St'!$M:$M,'JPM St'!$A:$A,$V$4,'JPM St'!$C:$C,D43),"")</f>
        <v>84594.554999999993</v>
      </c>
      <c r="N43" s="501"/>
      <c r="O43" s="501"/>
      <c r="P43" s="501"/>
      <c r="Q43" s="501"/>
      <c r="R43" s="501"/>
      <c r="W43" s="628" t="str">
        <v>JPY</v>
      </c>
      <c r="X43" s="545">
        <f t="shared" si="6"/>
        <v>6217062</v>
      </c>
      <c r="AP43" s="497" t="str">
        <v>Cash Account - USD</v>
      </c>
      <c r="AQ43" s="497">
        <v>0</v>
      </c>
      <c r="AR43" s="516" t="str">
        <v>Cash</v>
      </c>
      <c r="AS43" s="502">
        <v>18134.060000000001</v>
      </c>
      <c r="AT43" s="497" t="str">
        <v>USD</v>
      </c>
      <c r="AU43" s="502">
        <v>18134.060000000001</v>
      </c>
      <c r="AV43" s="497" t="str">
        <v>USD</v>
      </c>
      <c r="BB43" s="497" t="str">
        <v>HOME DEPOT</v>
      </c>
      <c r="BC43" s="497" t="str">
        <v>US4370761029</v>
      </c>
      <c r="BD43" s="497" t="str">
        <v>Stock</v>
      </c>
      <c r="BE43" s="502">
        <v>33086.6</v>
      </c>
      <c r="BF43" s="497" t="str">
        <v>USD</v>
      </c>
      <c r="BG43" s="502">
        <v>33086.6</v>
      </c>
      <c r="BH43" s="497" t="str">
        <v>USD</v>
      </c>
      <c r="BN43" s="497" t="str">
        <v>MASTERCARD INC - A</v>
      </c>
      <c r="BO43" s="497" t="str">
        <v>US57636Q1040</v>
      </c>
      <c r="BP43" s="497" t="str">
        <v>Stock</v>
      </c>
      <c r="BQ43" s="502">
        <v>133973.90999999997</v>
      </c>
      <c r="BR43" s="497" t="str">
        <v>USD</v>
      </c>
      <c r="BS43" s="502">
        <v>133973.90999999997</v>
      </c>
      <c r="BT43" s="497" t="str">
        <v>USD</v>
      </c>
    </row>
    <row r="44" spans="1:72" x14ac:dyDescent="0.25">
      <c r="A44" s="497" t="s">
        <v>90</v>
      </c>
      <c r="B44" s="497" t="str">
        <f>IFERROR(IF(VLOOKUP(D44,'JPM St'!$C:$G,3,0)="Fixed Income &amp; Cash","Cash",VLOOKUP(D44,'JPM St'!$C:$G,3,0)),"")</f>
        <v>Equity</v>
      </c>
      <c r="C44" s="497" t="str">
        <f>IFERROR(VLOOKUP(D44,'JPM St'!$C:$L,10,0),"")</f>
        <v>USD</v>
      </c>
      <c r="D44" s="497" t="str">
        <v>WELLS FARGO</v>
      </c>
      <c r="E44" s="500" t="str">
        <f>IFERROR(VLOOKUP(D44,'JPM St'!$C:$D,2,0),"")</f>
        <v>US9497461015</v>
      </c>
      <c r="F44" s="501">
        <f t="shared" si="0"/>
        <v>147606.40000000002</v>
      </c>
      <c r="G44" s="501">
        <f>SUMIFS('JPM St'!$K:$K,'JPM St'!$A:$A,$V$2,'JPM St'!$C:$C,D44)</f>
        <v>0</v>
      </c>
      <c r="H44" s="501">
        <f>SUMIFS('JPM St'!$K:$K,'JPM St'!$A:$A,$V$3,'JPM St'!$C:$C,D44)</f>
        <v>63921.600000000006</v>
      </c>
      <c r="I44" s="501">
        <f>SUMIFS('JPM St'!$K:$K,'JPM St'!$A:$A,$V$4,'JPM St'!$C:$C,D44)</f>
        <v>83684.800000000003</v>
      </c>
      <c r="J44" s="619">
        <f t="shared" si="1"/>
        <v>147606.40000000002</v>
      </c>
      <c r="K44" s="501">
        <f>IFERROR(SUMIFS('JPM St'!$M:$M,'JPM St'!$A:$A,$V$2,'JPM St'!$C:$C,D44),"")</f>
        <v>0</v>
      </c>
      <c r="L44" s="501">
        <f>IFERROR(SUMIFS('JPM St'!$M:$M,'JPM St'!$A:$A,$V$3,'JPM St'!$C:$C,D44),"")</f>
        <v>63921.600000000006</v>
      </c>
      <c r="M44" s="501">
        <f>IFERROR(SUMIFS('JPM St'!$M:$M,'JPM St'!$A:$A,$V$4,'JPM St'!$C:$C,D44),"")</f>
        <v>83684.800000000003</v>
      </c>
      <c r="N44" s="501"/>
      <c r="O44" s="501"/>
      <c r="P44" s="501"/>
      <c r="Q44" s="501"/>
      <c r="R44" s="501"/>
      <c r="W44" s="628" t="str">
        <v>DKK</v>
      </c>
      <c r="X44" s="545">
        <f t="shared" si="6"/>
        <v>20658.93</v>
      </c>
      <c r="AR44" s="516"/>
      <c r="BB44" s="497" t="str">
        <v>INTERNATIONAL BUSINESS MACHINES COR</v>
      </c>
      <c r="BC44" s="497" t="str">
        <v>US4592001014</v>
      </c>
      <c r="BD44" s="497" t="str">
        <v>Stock</v>
      </c>
      <c r="BE44" s="502">
        <v>11157.960000000001</v>
      </c>
      <c r="BF44" s="497" t="str">
        <v>USD</v>
      </c>
      <c r="BG44" s="502">
        <v>11157.960000000001</v>
      </c>
      <c r="BH44" s="497" t="str">
        <v>USD</v>
      </c>
      <c r="BN44" s="497" t="str">
        <v>MC DONALD S</v>
      </c>
      <c r="BO44" s="497" t="str">
        <v>US5801351017</v>
      </c>
      <c r="BP44" s="497" t="str">
        <v>Stock</v>
      </c>
      <c r="BQ44" s="502">
        <v>160220.16</v>
      </c>
      <c r="BR44" s="497" t="str">
        <v>USD</v>
      </c>
      <c r="BS44" s="502">
        <v>160220.16</v>
      </c>
      <c r="BT44" s="497" t="str">
        <v>USD</v>
      </c>
    </row>
    <row r="45" spans="1:72" x14ac:dyDescent="0.25">
      <c r="A45" s="497" t="s">
        <v>90</v>
      </c>
      <c r="B45" s="497" t="str">
        <f>IFERROR(IF(VLOOKUP(D45,'JPM St'!$C:$G,3,0)="Fixed Income &amp; Cash","Cash",VLOOKUP(D45,'JPM St'!$C:$G,3,0)),"")</f>
        <v>Equity</v>
      </c>
      <c r="C45" s="497" t="str">
        <f>IFERROR(VLOOKUP(D45,'JPM St'!$C:$L,10,0),"")</f>
        <v>USD</v>
      </c>
      <c r="D45" s="497" t="str">
        <v>SALESFORCE INC</v>
      </c>
      <c r="E45" s="500" t="str">
        <f>IFERROR(VLOOKUP(D45,'JPM St'!$C:$D,2,0),"")</f>
        <v>US79466L3024</v>
      </c>
      <c r="F45" s="501">
        <f t="shared" si="0"/>
        <v>83458.2</v>
      </c>
      <c r="G45" s="501">
        <f>SUMIFS('JPM St'!$K:$K,'JPM St'!$A:$A,$V$2,'JPM St'!$C:$C,D45)</f>
        <v>83458.2</v>
      </c>
      <c r="H45" s="501">
        <f>SUMIFS('JPM St'!$K:$K,'JPM St'!$A:$A,$V$3,'JPM St'!$C:$C,D45)</f>
        <v>0</v>
      </c>
      <c r="I45" s="501">
        <f>SUMIFS('JPM St'!$K:$K,'JPM St'!$A:$A,$V$4,'JPM St'!$C:$C,D45)</f>
        <v>0</v>
      </c>
      <c r="J45" s="619">
        <f t="shared" si="1"/>
        <v>83458.2</v>
      </c>
      <c r="K45" s="501">
        <f>IFERROR(SUMIFS('JPM St'!$M:$M,'JPM St'!$A:$A,$V$2,'JPM St'!$C:$C,D45),"")</f>
        <v>83458.2</v>
      </c>
      <c r="L45" s="501">
        <f>IFERROR(SUMIFS('JPM St'!$M:$M,'JPM St'!$A:$A,$V$3,'JPM St'!$C:$C,D45),"")</f>
        <v>0</v>
      </c>
      <c r="M45" s="501">
        <f>IFERROR(SUMIFS('JPM St'!$M:$M,'JPM St'!$A:$A,$V$4,'JPM St'!$C:$C,D45),"")</f>
        <v>0</v>
      </c>
      <c r="N45" s="501"/>
      <c r="O45" s="501"/>
      <c r="P45" s="501"/>
      <c r="Q45" s="501"/>
      <c r="R45" s="501"/>
      <c r="W45" s="628" t="str">
        <v>CHF</v>
      </c>
      <c r="X45" s="545">
        <f t="shared" si="6"/>
        <v>166.31</v>
      </c>
      <c r="AR45" s="516"/>
      <c r="BB45" s="497" t="str">
        <v>JOHNSON &amp; JOHNSON</v>
      </c>
      <c r="BC45" s="497" t="str">
        <v>US4781601046</v>
      </c>
      <c r="BD45" s="497" t="str">
        <v>Stock</v>
      </c>
      <c r="BE45" s="502">
        <v>54620.172500000001</v>
      </c>
      <c r="BF45" s="497" t="str">
        <v>USD</v>
      </c>
      <c r="BG45" s="502">
        <v>54620.172500000001</v>
      </c>
      <c r="BH45" s="497" t="str">
        <v>USD</v>
      </c>
      <c r="BN45" s="497" t="str">
        <v>META PLATFORMS INC-CLASS A</v>
      </c>
      <c r="BO45" s="497" t="str">
        <v>US30303M1027</v>
      </c>
      <c r="BP45" s="497" t="str">
        <v>Stock</v>
      </c>
      <c r="BQ45" s="502">
        <v>126066.5</v>
      </c>
      <c r="BR45" s="497" t="str">
        <v>USD</v>
      </c>
      <c r="BS45" s="502">
        <v>126066.5</v>
      </c>
      <c r="BT45" s="497" t="str">
        <v>USD</v>
      </c>
    </row>
    <row r="46" spans="1:72" x14ac:dyDescent="0.25">
      <c r="A46" s="497" t="s">
        <v>90</v>
      </c>
      <c r="B46" s="497" t="str">
        <f>IFERROR(IF(VLOOKUP(D46,'JPM St'!$C:$G,3,0)="Fixed Income &amp; Cash","Cash",VLOOKUP(D46,'JPM St'!$C:$G,3,0)),"")</f>
        <v>Equity</v>
      </c>
      <c r="C46" s="497" t="str">
        <f>IFERROR(VLOOKUP(D46,'JPM St'!$C:$L,10,0),"")</f>
        <v>USD</v>
      </c>
      <c r="D46" s="497" t="str">
        <v>AMPHENOL -A-</v>
      </c>
      <c r="E46" s="500" t="str">
        <f>IFERROR(VLOOKUP(D46,'JPM St'!$C:$D,2,0),"")</f>
        <v>US0320951017</v>
      </c>
      <c r="F46" s="501">
        <f t="shared" si="0"/>
        <v>115262.39999999999</v>
      </c>
      <c r="G46" s="501">
        <f>SUMIFS('JPM St'!$K:$K,'JPM St'!$A:$A,$V$2,'JPM St'!$C:$C,D46)</f>
        <v>82517.399999999994</v>
      </c>
      <c r="H46" s="501">
        <f>SUMIFS('JPM St'!$K:$K,'JPM St'!$A:$A,$V$3,'JPM St'!$C:$C,D46)</f>
        <v>0</v>
      </c>
      <c r="I46" s="501">
        <f>SUMIFS('JPM St'!$K:$K,'JPM St'!$A:$A,$V$4,'JPM St'!$C:$C,D46)</f>
        <v>32744.999999999996</v>
      </c>
      <c r="J46" s="619">
        <f t="shared" si="1"/>
        <v>115262.39999999999</v>
      </c>
      <c r="K46" s="501">
        <f>IFERROR(SUMIFS('JPM St'!$M:$M,'JPM St'!$A:$A,$V$2,'JPM St'!$C:$C,D46),"")</f>
        <v>82517.399999999994</v>
      </c>
      <c r="L46" s="501">
        <f>IFERROR(SUMIFS('JPM St'!$M:$M,'JPM St'!$A:$A,$V$3,'JPM St'!$C:$C,D46),"")</f>
        <v>0</v>
      </c>
      <c r="M46" s="501">
        <f>IFERROR(SUMIFS('JPM St'!$M:$M,'JPM St'!$A:$A,$V$4,'JPM St'!$C:$C,D46),"")</f>
        <v>32744.999999999996</v>
      </c>
      <c r="N46" s="501"/>
      <c r="O46" s="501"/>
      <c r="P46" s="501"/>
      <c r="Q46" s="501"/>
      <c r="R46" s="501"/>
      <c r="W46" s="628" t="str">
        <v>GBP</v>
      </c>
      <c r="X46" s="545">
        <f t="shared" si="6"/>
        <v>0</v>
      </c>
      <c r="AR46" s="516"/>
      <c r="BB46" s="497" t="str">
        <v>LAM RESEARCH CORP</v>
      </c>
      <c r="BC46" s="497" t="str">
        <v>US5128073062</v>
      </c>
      <c r="BD46" s="497" t="str">
        <v>Stock</v>
      </c>
      <c r="BE46" s="502">
        <v>13426.800000000001</v>
      </c>
      <c r="BF46" s="497" t="str">
        <v>USD</v>
      </c>
      <c r="BG46" s="502">
        <v>13426.800000000001</v>
      </c>
      <c r="BH46" s="497" t="str">
        <v>USD</v>
      </c>
      <c r="BN46" s="497" t="str">
        <v>MICROSOFT</v>
      </c>
      <c r="BO46" s="497" t="str">
        <v>US5949181045</v>
      </c>
      <c r="BP46" s="497" t="str">
        <v>Stock</v>
      </c>
      <c r="BQ46" s="502">
        <v>284886.41220000002</v>
      </c>
      <c r="BR46" s="497" t="str">
        <v>USD</v>
      </c>
      <c r="BS46" s="502">
        <v>284886.41220000002</v>
      </c>
      <c r="BT46" s="497" t="str">
        <v>USD</v>
      </c>
    </row>
    <row r="47" spans="1:72" x14ac:dyDescent="0.25">
      <c r="A47" s="497" t="s">
        <v>90</v>
      </c>
      <c r="B47" s="497" t="str">
        <f>IFERROR(IF(VLOOKUP(D47,'JPM St'!$C:$G,3,0)="Fixed Income &amp; Cash","Cash",VLOOKUP(D47,'JPM St'!$C:$G,3,0)),"")</f>
        <v>Equity</v>
      </c>
      <c r="C47" s="497" t="str">
        <f>IFERROR(VLOOKUP(D47,'JPM St'!$C:$L,10,0),"")</f>
        <v>USD</v>
      </c>
      <c r="D47" s="497" t="str">
        <v>NXP SEMICONDUCTORS</v>
      </c>
      <c r="E47" s="500" t="str">
        <f>IFERROR(VLOOKUP(D47,'JPM St'!$C:$D,2,0),"")</f>
        <v>NL0009538784</v>
      </c>
      <c r="F47" s="501">
        <f t="shared" si="0"/>
        <v>105020.29000000001</v>
      </c>
      <c r="G47" s="501">
        <f>SUMIFS('JPM St'!$K:$K,'JPM St'!$A:$A,$V$2,'JPM St'!$C:$C,D47)</f>
        <v>0</v>
      </c>
      <c r="H47" s="501">
        <f>SUMIFS('JPM St'!$K:$K,'JPM St'!$A:$A,$V$3,'JPM St'!$C:$C,D47)</f>
        <v>23034.190000000002</v>
      </c>
      <c r="I47" s="501">
        <f>SUMIFS('JPM St'!$K:$K,'JPM St'!$A:$A,$V$4,'JPM St'!$C:$C,D47)</f>
        <v>81986.100000000006</v>
      </c>
      <c r="J47" s="619">
        <f t="shared" si="1"/>
        <v>105020.29000000001</v>
      </c>
      <c r="K47" s="501">
        <f>IFERROR(SUMIFS('JPM St'!$M:$M,'JPM St'!$A:$A,$V$2,'JPM St'!$C:$C,D47),"")</f>
        <v>0</v>
      </c>
      <c r="L47" s="501">
        <f>IFERROR(SUMIFS('JPM St'!$M:$M,'JPM St'!$A:$A,$V$3,'JPM St'!$C:$C,D47),"")</f>
        <v>23034.190000000002</v>
      </c>
      <c r="M47" s="501">
        <f>IFERROR(SUMIFS('JPM St'!$M:$M,'JPM St'!$A:$A,$V$4,'JPM St'!$C:$C,D47),"")</f>
        <v>81986.100000000006</v>
      </c>
      <c r="N47" s="501"/>
      <c r="O47" s="501"/>
      <c r="P47" s="501"/>
      <c r="Q47" s="501"/>
      <c r="R47" s="501"/>
      <c r="W47" s="628" t="str">
        <v/>
      </c>
      <c r="X47" s="545">
        <f t="shared" si="6"/>
        <v>0</v>
      </c>
      <c r="AR47" s="516"/>
      <c r="BB47" s="497" t="str">
        <v>LOWE S COMPANIES</v>
      </c>
      <c r="BC47" s="497" t="str">
        <v>US5486611073</v>
      </c>
      <c r="BD47" s="497" t="str">
        <v>Stock</v>
      </c>
      <c r="BE47" s="502">
        <v>37922.300000000003</v>
      </c>
      <c r="BF47" s="497" t="str">
        <v>USD</v>
      </c>
      <c r="BG47" s="502">
        <v>37922.300000000003</v>
      </c>
      <c r="BH47" s="497" t="str">
        <v>USD</v>
      </c>
      <c r="BN47" s="497" t="str">
        <v>MORGAN STANLEY</v>
      </c>
      <c r="BO47" s="497" t="str">
        <v>US6174464486</v>
      </c>
      <c r="BP47" s="497" t="str">
        <v>Stock</v>
      </c>
      <c r="BQ47" s="502">
        <v>70461.884999999995</v>
      </c>
      <c r="BR47" s="497" t="str">
        <v>USD</v>
      </c>
      <c r="BS47" s="502">
        <v>70461.884999999995</v>
      </c>
      <c r="BT47" s="497" t="str">
        <v>USD</v>
      </c>
    </row>
    <row r="48" spans="1:72" x14ac:dyDescent="0.25">
      <c r="A48" s="497" t="s">
        <v>90</v>
      </c>
      <c r="B48" s="497" t="str">
        <f>IFERROR(IF(VLOOKUP(D48,'JPM St'!$C:$G,3,0)="Fixed Income &amp; Cash","Cash",VLOOKUP(D48,'JPM St'!$C:$G,3,0)),"")</f>
        <v>Equity</v>
      </c>
      <c r="C48" s="497" t="str">
        <f>IFERROR(VLOOKUP(D48,'JPM St'!$C:$L,10,0),"")</f>
        <v>USD</v>
      </c>
      <c r="D48" s="497" t="str">
        <v>FIDELITY NATIONAL INFORMATION SVCS</v>
      </c>
      <c r="E48" s="500" t="str">
        <f>IFERROR(VLOOKUP(D48,'JPM St'!$C:$D,2,0),"")</f>
        <v>US31620M1062</v>
      </c>
      <c r="F48" s="501">
        <f t="shared" si="0"/>
        <v>95304.48000000001</v>
      </c>
      <c r="G48" s="501">
        <f>SUMIFS('JPM St'!$K:$K,'JPM St'!$A:$A,$V$2,'JPM St'!$C:$C,D48)</f>
        <v>0</v>
      </c>
      <c r="H48" s="501">
        <f>SUMIFS('JPM St'!$K:$K,'JPM St'!$A:$A,$V$3,'JPM St'!$C:$C,D48)</f>
        <v>13672.8</v>
      </c>
      <c r="I48" s="501">
        <f>SUMIFS('JPM St'!$K:$K,'JPM St'!$A:$A,$V$4,'JPM St'!$C:$C,D48)</f>
        <v>81631.680000000008</v>
      </c>
      <c r="J48" s="619">
        <f t="shared" si="1"/>
        <v>95304.48000000001</v>
      </c>
      <c r="K48" s="501">
        <f>IFERROR(SUMIFS('JPM St'!$M:$M,'JPM St'!$A:$A,$V$2,'JPM St'!$C:$C,D48),"")</f>
        <v>0</v>
      </c>
      <c r="L48" s="501">
        <f>IFERROR(SUMIFS('JPM St'!$M:$M,'JPM St'!$A:$A,$V$3,'JPM St'!$C:$C,D48),"")</f>
        <v>13672.8</v>
      </c>
      <c r="M48" s="501">
        <f>IFERROR(SUMIFS('JPM St'!$M:$M,'JPM St'!$A:$A,$V$4,'JPM St'!$C:$C,D48),"")</f>
        <v>81631.680000000008</v>
      </c>
      <c r="N48" s="501"/>
      <c r="O48" s="501"/>
      <c r="P48" s="501"/>
      <c r="Q48" s="501"/>
      <c r="R48" s="501"/>
      <c r="W48" s="628">
        <v>0</v>
      </c>
      <c r="X48" s="545">
        <f t="shared" si="6"/>
        <v>0</v>
      </c>
      <c r="AR48" s="516"/>
      <c r="BB48" s="497" t="str">
        <v>MC DONALD S</v>
      </c>
      <c r="BC48" s="497" t="str">
        <v>US5801351017</v>
      </c>
      <c r="BD48" s="497" t="str">
        <v>Stock</v>
      </c>
      <c r="BE48" s="502">
        <v>39398.400000000001</v>
      </c>
      <c r="BF48" s="497" t="str">
        <v>USD</v>
      </c>
      <c r="BG48" s="502">
        <v>39398.400000000001</v>
      </c>
      <c r="BH48" s="497" t="str">
        <v>USD</v>
      </c>
      <c r="BN48" s="497" t="str">
        <v>MUENCHENER RUECKVER. REG</v>
      </c>
      <c r="BO48" s="497" t="str">
        <v>DE0008430026</v>
      </c>
      <c r="BP48" s="497" t="str">
        <v>Stock</v>
      </c>
      <c r="BQ48" s="502">
        <v>68796</v>
      </c>
      <c r="BR48" s="497" t="str">
        <v>EUR</v>
      </c>
      <c r="BS48" s="502">
        <v>79627.930200000003</v>
      </c>
      <c r="BT48" s="497" t="str">
        <v>USD</v>
      </c>
    </row>
    <row r="49" spans="1:72" x14ac:dyDescent="0.25">
      <c r="A49" s="497" t="s">
        <v>90</v>
      </c>
      <c r="B49" s="497" t="str">
        <f>IFERROR(IF(VLOOKUP(D49,'JPM St'!$C:$G,3,0)="Fixed Income &amp; Cash","Cash",VLOOKUP(D49,'JPM St'!$C:$G,3,0)),"")</f>
        <v>Equity</v>
      </c>
      <c r="C49" s="497" t="str">
        <f>IFERROR(VLOOKUP(D49,'JPM St'!$C:$L,10,0),"")</f>
        <v>USD</v>
      </c>
      <c r="D49" s="497" t="str">
        <v>CHEVRON</v>
      </c>
      <c r="E49" s="500" t="str">
        <f>IFERROR(VLOOKUP(D49,'JPM St'!$C:$D,2,0),"")</f>
        <v>US1667641005</v>
      </c>
      <c r="F49" s="501">
        <f t="shared" si="0"/>
        <v>134073.26</v>
      </c>
      <c r="G49" s="501">
        <f>SUMIFS('JPM St'!$K:$K,'JPM St'!$A:$A,$V$2,'JPM St'!$C:$C,D49)</f>
        <v>0</v>
      </c>
      <c r="H49" s="501">
        <f>SUMIFS('JPM St'!$K:$K,'JPM St'!$A:$A,$V$3,'JPM St'!$C:$C,D49)</f>
        <v>52596.5</v>
      </c>
      <c r="I49" s="501">
        <f>SUMIFS('JPM St'!$K:$K,'JPM St'!$A:$A,$V$4,'JPM St'!$C:$C,D49)</f>
        <v>81476.759999999995</v>
      </c>
      <c r="J49" s="619">
        <f t="shared" si="1"/>
        <v>134073.26</v>
      </c>
      <c r="K49" s="501">
        <f>IFERROR(SUMIFS('JPM St'!$M:$M,'JPM St'!$A:$A,$V$2,'JPM St'!$C:$C,D49),"")</f>
        <v>0</v>
      </c>
      <c r="L49" s="501">
        <f>IFERROR(SUMIFS('JPM St'!$M:$M,'JPM St'!$A:$A,$V$3,'JPM St'!$C:$C,D49),"")</f>
        <v>52596.5</v>
      </c>
      <c r="M49" s="501">
        <f>IFERROR(SUMIFS('JPM St'!$M:$M,'JPM St'!$A:$A,$V$4,'JPM St'!$C:$C,D49),"")</f>
        <v>81476.759999999995</v>
      </c>
      <c r="N49" s="501"/>
      <c r="O49" s="501"/>
      <c r="P49" s="501"/>
      <c r="Q49" s="501"/>
      <c r="R49" s="501"/>
      <c r="W49" s="628"/>
      <c r="X49" s="545">
        <f t="shared" si="6"/>
        <v>0</v>
      </c>
      <c r="AR49" s="516"/>
      <c r="BB49" s="497" t="str">
        <v>MEDTRONIC</v>
      </c>
      <c r="BC49" s="497" t="str">
        <v>IE00BTN1Y115</v>
      </c>
      <c r="BD49" s="497" t="str">
        <v>Stock</v>
      </c>
      <c r="BE49" s="502">
        <v>21770.734999999997</v>
      </c>
      <c r="BF49" s="497" t="str">
        <v>USD</v>
      </c>
      <c r="BG49" s="502">
        <v>21770.734999999997</v>
      </c>
      <c r="BH49" s="497" t="str">
        <v>USD</v>
      </c>
      <c r="BN49" s="497" t="str">
        <v>NEXTERA ENERGY</v>
      </c>
      <c r="BO49" s="497" t="str">
        <v>US65339F1012</v>
      </c>
      <c r="BP49" s="497" t="str">
        <v>Stock</v>
      </c>
      <c r="BQ49" s="502">
        <v>103808.18000000001</v>
      </c>
      <c r="BR49" s="497" t="str">
        <v>USD</v>
      </c>
      <c r="BS49" s="502">
        <v>103808.18000000001</v>
      </c>
      <c r="BT49" s="497" t="str">
        <v>USD</v>
      </c>
    </row>
    <row r="50" spans="1:72" x14ac:dyDescent="0.25">
      <c r="A50" s="497" t="s">
        <v>90</v>
      </c>
      <c r="B50" s="497" t="str">
        <f>IFERROR(IF(VLOOKUP(D50,'JPM St'!$C:$G,3,0)="Fixed Income &amp; Cash","Cash",VLOOKUP(D50,'JPM St'!$C:$G,3,0)),"")</f>
        <v>Equity</v>
      </c>
      <c r="C50" s="497" t="str">
        <f>IFERROR(VLOOKUP(D50,'JPM St'!$C:$L,10,0),"")</f>
        <v>USD</v>
      </c>
      <c r="D50" s="497" t="str">
        <v>ARISTA NETWORKS INC</v>
      </c>
      <c r="E50" s="500" t="str">
        <f>IFERROR(VLOOKUP(D50,'JPM St'!$C:$D,2,0),"")</f>
        <v>US0404132054</v>
      </c>
      <c r="F50" s="501">
        <f t="shared" si="0"/>
        <v>80937.48</v>
      </c>
      <c r="G50" s="501">
        <f>SUMIFS('JPM St'!$K:$K,'JPM St'!$A:$A,$V$2,'JPM St'!$C:$C,D50)</f>
        <v>80937.48</v>
      </c>
      <c r="H50" s="501">
        <f>SUMIFS('JPM St'!$K:$K,'JPM St'!$A:$A,$V$3,'JPM St'!$C:$C,D50)</f>
        <v>0</v>
      </c>
      <c r="I50" s="501">
        <f>SUMIFS('JPM St'!$K:$K,'JPM St'!$A:$A,$V$4,'JPM St'!$C:$C,D50)</f>
        <v>0</v>
      </c>
      <c r="J50" s="619">
        <f t="shared" si="1"/>
        <v>80937.48</v>
      </c>
      <c r="K50" s="501">
        <f>IFERROR(SUMIFS('JPM St'!$M:$M,'JPM St'!$A:$A,$V$2,'JPM St'!$C:$C,D50),"")</f>
        <v>80937.48</v>
      </c>
      <c r="L50" s="501">
        <f>IFERROR(SUMIFS('JPM St'!$M:$M,'JPM St'!$A:$A,$V$3,'JPM St'!$C:$C,D50),"")</f>
        <v>0</v>
      </c>
      <c r="M50" s="501">
        <f>IFERROR(SUMIFS('JPM St'!$M:$M,'JPM St'!$A:$A,$V$4,'JPM St'!$C:$C,D50),"")</f>
        <v>0</v>
      </c>
      <c r="N50" s="501"/>
      <c r="O50" s="501"/>
      <c r="P50" s="501"/>
      <c r="Q50" s="501"/>
      <c r="R50" s="501"/>
      <c r="W50" s="628"/>
      <c r="X50" s="545">
        <f t="shared" si="6"/>
        <v>0</v>
      </c>
      <c r="AR50" s="516"/>
      <c r="BB50" s="497" t="str">
        <v>MERCK &amp; CO</v>
      </c>
      <c r="BC50" s="497" t="str">
        <v>US58933Y1055</v>
      </c>
      <c r="BD50" s="497" t="str">
        <v>Stock</v>
      </c>
      <c r="BE50" s="502">
        <v>32822.79</v>
      </c>
      <c r="BF50" s="497" t="str">
        <v>USD</v>
      </c>
      <c r="BG50" s="502">
        <v>32822.79</v>
      </c>
      <c r="BH50" s="497" t="str">
        <v>USD</v>
      </c>
      <c r="BN50" s="497" t="str">
        <v>NVIDIA</v>
      </c>
      <c r="BO50" s="497" t="str">
        <v>US67066G1040</v>
      </c>
      <c r="BP50" s="497" t="str">
        <v>Stock</v>
      </c>
      <c r="BQ50" s="502">
        <v>443813.685</v>
      </c>
      <c r="BR50" s="497" t="str">
        <v>USD</v>
      </c>
      <c r="BS50" s="502">
        <v>443813.685</v>
      </c>
      <c r="BT50" s="497" t="str">
        <v>USD</v>
      </c>
    </row>
    <row r="51" spans="1:72" x14ac:dyDescent="0.25">
      <c r="A51" s="497" t="s">
        <v>90</v>
      </c>
      <c r="B51" s="497" t="str">
        <f>IFERROR(IF(VLOOKUP(D51,'JPM St'!$C:$G,3,0)="Fixed Income &amp; Cash","Cash",VLOOKUP(D51,'JPM St'!$C:$G,3,0)),"")</f>
        <v>Equity</v>
      </c>
      <c r="C51" s="497" t="str">
        <f>IFERROR(VLOOKUP(D51,'JPM St'!$C:$L,10,0),"")</f>
        <v>EUR</v>
      </c>
      <c r="D51" s="497" t="str">
        <v>MUENCHENER RUECKVER. REG</v>
      </c>
      <c r="E51" s="500" t="str">
        <f>IFERROR(VLOOKUP(D51,'JPM St'!$C:$D,2,0),"")</f>
        <v>DE0008430026</v>
      </c>
      <c r="F51" s="501">
        <f t="shared" si="0"/>
        <v>68796</v>
      </c>
      <c r="G51" s="501">
        <f>SUMIFS('JPM St'!$K:$K,'JPM St'!$A:$A,$V$2,'JPM St'!$C:$C,D51)</f>
        <v>0</v>
      </c>
      <c r="H51" s="501">
        <f>SUMIFS('JPM St'!$K:$K,'JPM St'!$A:$A,$V$3,'JPM St'!$C:$C,D51)</f>
        <v>0</v>
      </c>
      <c r="I51" s="501">
        <f>SUMIFS('JPM St'!$K:$K,'JPM St'!$A:$A,$V$4,'JPM St'!$C:$C,D51)</f>
        <v>68796</v>
      </c>
      <c r="J51" s="619">
        <f t="shared" si="1"/>
        <v>79627.930200000003</v>
      </c>
      <c r="K51" s="501">
        <f>IFERROR(SUMIFS('JPM St'!$M:$M,'JPM St'!$A:$A,$V$2,'JPM St'!$C:$C,D51),"")</f>
        <v>0</v>
      </c>
      <c r="L51" s="501">
        <f>IFERROR(SUMIFS('JPM St'!$M:$M,'JPM St'!$A:$A,$V$3,'JPM St'!$C:$C,D51),"")</f>
        <v>0</v>
      </c>
      <c r="M51" s="501">
        <f>IFERROR(SUMIFS('JPM St'!$M:$M,'JPM St'!$A:$A,$V$4,'JPM St'!$C:$C,D51),"")</f>
        <v>79627.930200000003</v>
      </c>
      <c r="N51" s="501"/>
      <c r="O51" s="501"/>
      <c r="P51" s="501"/>
      <c r="Q51" s="501"/>
      <c r="R51" s="501"/>
      <c r="W51" s="628"/>
      <c r="X51" s="545">
        <f t="shared" si="6"/>
        <v>0</v>
      </c>
      <c r="AR51" s="516"/>
      <c r="BB51" s="497" t="str">
        <v>META PLATFORMS INC-CLASS A</v>
      </c>
      <c r="BC51" s="497" t="str">
        <v>US30303M1027</v>
      </c>
      <c r="BD51" s="497" t="str">
        <v>Stock</v>
      </c>
      <c r="BE51" s="502">
        <v>27874</v>
      </c>
      <c r="BF51" s="497" t="str">
        <v>USD</v>
      </c>
      <c r="BG51" s="502">
        <v>27874</v>
      </c>
      <c r="BH51" s="497" t="str">
        <v>USD</v>
      </c>
      <c r="BN51" s="497" t="str">
        <v>NXP SEMICONDUCTORS</v>
      </c>
      <c r="BO51" s="497" t="str">
        <v>NL0009538784</v>
      </c>
      <c r="BP51" s="497" t="str">
        <v>Stock</v>
      </c>
      <c r="BQ51" s="502">
        <v>81986.100000000006</v>
      </c>
      <c r="BR51" s="497" t="str">
        <v>USD</v>
      </c>
      <c r="BS51" s="502">
        <v>81986.100000000006</v>
      </c>
      <c r="BT51" s="497" t="str">
        <v>USD</v>
      </c>
    </row>
    <row r="52" spans="1:72" x14ac:dyDescent="0.25">
      <c r="A52" s="497" t="s">
        <v>90</v>
      </c>
      <c r="B52" s="497" t="str">
        <f>IFERROR(IF(VLOOKUP(D52,'JPM St'!$C:$G,3,0)="Fixed Income &amp; Cash","Cash",VLOOKUP(D52,'JPM St'!$C:$G,3,0)),"")</f>
        <v>Equity</v>
      </c>
      <c r="C52" s="497" t="str">
        <f>IFERROR(VLOOKUP(D52,'JPM St'!$C:$L,10,0),"")</f>
        <v>USD</v>
      </c>
      <c r="D52" s="497" t="str">
        <v>3M</v>
      </c>
      <c r="E52" s="500" t="str">
        <f>IFERROR(VLOOKUP(D52,'JPM St'!$C:$D,2,0),"")</f>
        <v>US88579Y1010</v>
      </c>
      <c r="F52" s="501">
        <f t="shared" si="0"/>
        <v>104378.9</v>
      </c>
      <c r="G52" s="501">
        <f>SUMIFS('JPM St'!$K:$K,'JPM St'!$A:$A,$V$2,'JPM St'!$C:$C,D52)</f>
        <v>0</v>
      </c>
      <c r="H52" s="501">
        <f>SUMIFS('JPM St'!$K:$K,'JPM St'!$A:$A,$V$3,'JPM St'!$C:$C,D52)</f>
        <v>27248.7</v>
      </c>
      <c r="I52" s="501">
        <f>SUMIFS('JPM St'!$K:$K,'JPM St'!$A:$A,$V$4,'JPM St'!$C:$C,D52)</f>
        <v>77130.2</v>
      </c>
      <c r="J52" s="619">
        <f t="shared" si="1"/>
        <v>104378.9</v>
      </c>
      <c r="K52" s="501">
        <f>IFERROR(SUMIFS('JPM St'!$M:$M,'JPM St'!$A:$A,$V$2,'JPM St'!$C:$C,D52),"")</f>
        <v>0</v>
      </c>
      <c r="L52" s="501">
        <f>IFERROR(SUMIFS('JPM St'!$M:$M,'JPM St'!$A:$A,$V$3,'JPM St'!$C:$C,D52),"")</f>
        <v>27248.7</v>
      </c>
      <c r="M52" s="501">
        <f>IFERROR(SUMIFS('JPM St'!$M:$M,'JPM St'!$A:$A,$V$4,'JPM St'!$C:$C,D52),"")</f>
        <v>77130.2</v>
      </c>
      <c r="N52" s="501"/>
      <c r="O52" s="501"/>
      <c r="P52" s="501"/>
      <c r="Q52" s="501"/>
      <c r="R52" s="501"/>
      <c r="W52" s="628"/>
      <c r="X52" s="545">
        <f t="shared" si="6"/>
        <v>0</v>
      </c>
      <c r="AR52" s="516"/>
      <c r="BB52" s="497" t="str">
        <v>MICROSOFT</v>
      </c>
      <c r="BC52" s="497" t="str">
        <v>US5949181045</v>
      </c>
      <c r="BD52" s="497" t="str">
        <v>Stock</v>
      </c>
      <c r="BE52" s="502">
        <v>40582.11</v>
      </c>
      <c r="BF52" s="497" t="str">
        <v>USD</v>
      </c>
      <c r="BG52" s="502">
        <v>40582.11</v>
      </c>
      <c r="BH52" s="497" t="str">
        <v>USD</v>
      </c>
      <c r="BN52" s="497" t="str">
        <v>OMMNICOM GRP</v>
      </c>
      <c r="BO52" s="497" t="str">
        <v>US6819191064</v>
      </c>
      <c r="BP52" s="497" t="str">
        <v>Stock</v>
      </c>
      <c r="BQ52" s="502">
        <v>129104.98</v>
      </c>
      <c r="BR52" s="497" t="str">
        <v>USD</v>
      </c>
      <c r="BS52" s="502">
        <v>129104.98</v>
      </c>
      <c r="BT52" s="497" t="str">
        <v>USD</v>
      </c>
    </row>
    <row r="53" spans="1:72" x14ac:dyDescent="0.25">
      <c r="A53" s="497" t="s">
        <v>90</v>
      </c>
      <c r="B53" s="497" t="str">
        <f>IFERROR(IF(VLOOKUP(D53,'JPM St'!$C:$G,3,0)="Fixed Income &amp; Cash","Cash",VLOOKUP(D53,'JPM St'!$C:$G,3,0)),"")</f>
        <v>Equity</v>
      </c>
      <c r="C53" s="497" t="str">
        <f>IFERROR(VLOOKUP(D53,'JPM St'!$C:$L,10,0),"")</f>
        <v>EUR</v>
      </c>
      <c r="D53" s="497" t="str">
        <v>LEGRAND</v>
      </c>
      <c r="E53" s="500" t="str">
        <f>IFERROR(VLOOKUP(D53,'JPM St'!$C:$D,2,0),"")</f>
        <v>FR0010307819</v>
      </c>
      <c r="F53" s="501">
        <f t="shared" si="0"/>
        <v>64831.799999999996</v>
      </c>
      <c r="G53" s="501">
        <f>SUMIFS('JPM St'!$K:$K,'JPM St'!$A:$A,$V$2,'JPM St'!$C:$C,D53)</f>
        <v>0</v>
      </c>
      <c r="H53" s="501">
        <f>SUMIFS('JPM St'!$K:$K,'JPM St'!$A:$A,$V$3,'JPM St'!$C:$C,D53)</f>
        <v>0</v>
      </c>
      <c r="I53" s="501">
        <f>SUMIFS('JPM St'!$K:$K,'JPM St'!$A:$A,$V$4,'JPM St'!$C:$C,D53)</f>
        <v>64831.799999999996</v>
      </c>
      <c r="J53" s="619">
        <f t="shared" si="1"/>
        <v>75039.566909999994</v>
      </c>
      <c r="K53" s="501">
        <f>IFERROR(SUMIFS('JPM St'!$M:$M,'JPM St'!$A:$A,$V$2,'JPM St'!$C:$C,D53),"")</f>
        <v>0</v>
      </c>
      <c r="L53" s="501">
        <f>IFERROR(SUMIFS('JPM St'!$M:$M,'JPM St'!$A:$A,$V$3,'JPM St'!$C:$C,D53),"")</f>
        <v>0</v>
      </c>
      <c r="M53" s="501">
        <f>IFERROR(SUMIFS('JPM St'!$M:$M,'JPM St'!$A:$A,$V$4,'JPM St'!$C:$C,D53),"")</f>
        <v>75039.566909999994</v>
      </c>
      <c r="N53" s="501"/>
      <c r="O53" s="501"/>
      <c r="P53" s="501"/>
      <c r="Q53" s="501"/>
      <c r="R53" s="501"/>
      <c r="W53" s="628"/>
      <c r="X53" s="545">
        <f t="shared" si="6"/>
        <v>0</v>
      </c>
      <c r="BB53" s="497" t="str">
        <v>MONDELEZ INTERNATIONAL</v>
      </c>
      <c r="BC53" s="497" t="str">
        <v>US6092071058</v>
      </c>
      <c r="BD53" s="497" t="str">
        <v>Stock</v>
      </c>
      <c r="BE53" s="502">
        <v>20049.66</v>
      </c>
      <c r="BF53" s="497" t="str">
        <v>USD</v>
      </c>
      <c r="BG53" s="502">
        <v>20049.66</v>
      </c>
      <c r="BH53" s="497" t="str">
        <v>USD</v>
      </c>
      <c r="BN53" s="497" t="str">
        <v>ORACLE</v>
      </c>
      <c r="BO53" s="497" t="str">
        <v>US68389X1054</v>
      </c>
      <c r="BP53" s="497" t="str">
        <v>Stock</v>
      </c>
      <c r="BQ53" s="502">
        <v>46493.979999999996</v>
      </c>
      <c r="BR53" s="497" t="str">
        <v>USD</v>
      </c>
      <c r="BS53" s="502">
        <v>46493.979999999996</v>
      </c>
      <c r="BT53" s="497" t="str">
        <v>USD</v>
      </c>
    </row>
    <row r="54" spans="1:72" x14ac:dyDescent="0.25">
      <c r="A54" s="497" t="s">
        <v>90</v>
      </c>
      <c r="B54" s="497" t="str">
        <f>IFERROR(IF(VLOOKUP(D54,'JPM St'!$C:$G,3,0)="Fixed Income &amp; Cash","Cash",VLOOKUP(D54,'JPM St'!$C:$G,3,0)),"")</f>
        <v>Equity</v>
      </c>
      <c r="C54" s="497" t="str">
        <f>IFERROR(VLOOKUP(D54,'JPM St'!$C:$L,10,0),"")</f>
        <v>USD</v>
      </c>
      <c r="D54" s="497" t="str">
        <v>ECOLAB INC</v>
      </c>
      <c r="E54" s="500" t="str">
        <f>IFERROR(VLOOKUP(D54,'JPM St'!$C:$D,2,0),"")</f>
        <v>US2788651006</v>
      </c>
      <c r="F54" s="501">
        <f t="shared" si="0"/>
        <v>73934.5</v>
      </c>
      <c r="G54" s="501">
        <f>SUMIFS('JPM St'!$K:$K,'JPM St'!$A:$A,$V$2,'JPM St'!$C:$C,D54)</f>
        <v>0</v>
      </c>
      <c r="H54" s="501">
        <f>SUMIFS('JPM St'!$K:$K,'JPM St'!$A:$A,$V$3,'JPM St'!$C:$C,D54)</f>
        <v>0</v>
      </c>
      <c r="I54" s="501">
        <f>SUMIFS('JPM St'!$K:$K,'JPM St'!$A:$A,$V$4,'JPM St'!$C:$C,D54)</f>
        <v>73934.5</v>
      </c>
      <c r="J54" s="619">
        <f t="shared" si="1"/>
        <v>73934.5</v>
      </c>
      <c r="K54" s="501">
        <f>IFERROR(SUMIFS('JPM St'!$M:$M,'JPM St'!$A:$A,$V$2,'JPM St'!$C:$C,D54),"")</f>
        <v>0</v>
      </c>
      <c r="L54" s="501">
        <f>IFERROR(SUMIFS('JPM St'!$M:$M,'JPM St'!$A:$A,$V$3,'JPM St'!$C:$C,D54),"")</f>
        <v>0</v>
      </c>
      <c r="M54" s="501">
        <f>IFERROR(SUMIFS('JPM St'!$M:$M,'JPM St'!$A:$A,$V$4,'JPM St'!$C:$C,D54),"")</f>
        <v>73934.5</v>
      </c>
      <c r="N54" s="501"/>
      <c r="O54" s="501"/>
      <c r="P54" s="501"/>
      <c r="Q54" s="501"/>
      <c r="R54" s="501"/>
      <c r="W54" s="628"/>
      <c r="X54" s="545">
        <f t="shared" si="6"/>
        <v>0</v>
      </c>
      <c r="BB54" s="497" t="str">
        <v>MORGAN STANLEY</v>
      </c>
      <c r="BC54" s="497" t="str">
        <v>US6174464486</v>
      </c>
      <c r="BD54" s="497" t="str">
        <v>Stock</v>
      </c>
      <c r="BE54" s="502">
        <v>37175.254999999997</v>
      </c>
      <c r="BF54" s="497" t="str">
        <v>USD</v>
      </c>
      <c r="BG54" s="502">
        <v>37175.254999999997</v>
      </c>
      <c r="BH54" s="497" t="str">
        <v>USD</v>
      </c>
      <c r="BN54" s="497" t="str">
        <v>REGENERON PHARMACEUTICALS</v>
      </c>
      <c r="BO54" s="497" t="str">
        <v>US75886F1075</v>
      </c>
      <c r="BP54" s="497" t="str">
        <v>Stock</v>
      </c>
      <c r="BQ54" s="502">
        <v>98796.1</v>
      </c>
      <c r="BR54" s="497" t="str">
        <v>USD</v>
      </c>
      <c r="BS54" s="502">
        <v>98796.1</v>
      </c>
      <c r="BT54" s="497" t="str">
        <v>USD</v>
      </c>
    </row>
    <row r="55" spans="1:72" x14ac:dyDescent="0.25">
      <c r="A55" s="497" t="s">
        <v>90</v>
      </c>
      <c r="B55" s="497" t="str">
        <f>IFERROR(IF(VLOOKUP(D55,'JPM St'!$C:$G,3,0)="Fixed Income &amp; Cash","Cash",VLOOKUP(D55,'JPM St'!$C:$G,3,0)),"")</f>
        <v>Equity</v>
      </c>
      <c r="C55" s="497" t="str">
        <f>IFERROR(VLOOKUP(D55,'JPM St'!$C:$L,10,0),"")</f>
        <v>USD</v>
      </c>
      <c r="D55" s="497" t="str">
        <v>FIFTH THIRD BANCORP</v>
      </c>
      <c r="E55" s="500" t="str">
        <f>IFERROR(VLOOKUP(D55,'JPM St'!$C:$D,2,0),"")</f>
        <v>US3167731005</v>
      </c>
      <c r="F55" s="501">
        <f t="shared" si="0"/>
        <v>71884.58</v>
      </c>
      <c r="G55" s="501">
        <f>SUMIFS('JPM St'!$K:$K,'JPM St'!$A:$A,$V$2,'JPM St'!$C:$C,D55)</f>
        <v>0</v>
      </c>
      <c r="H55" s="501">
        <f>SUMIFS('JPM St'!$K:$K,'JPM St'!$A:$A,$V$3,'JPM St'!$C:$C,D55)</f>
        <v>0</v>
      </c>
      <c r="I55" s="501">
        <f>SUMIFS('JPM St'!$K:$K,'JPM St'!$A:$A,$V$4,'JPM St'!$C:$C,D55)</f>
        <v>71884.58</v>
      </c>
      <c r="J55" s="619">
        <f t="shared" si="1"/>
        <v>71884.58</v>
      </c>
      <c r="K55" s="501">
        <f>IFERROR(SUMIFS('JPM St'!$M:$M,'JPM St'!$A:$A,$V$2,'JPM St'!$C:$C,D55),"")</f>
        <v>0</v>
      </c>
      <c r="L55" s="501">
        <f>IFERROR(SUMIFS('JPM St'!$M:$M,'JPM St'!$A:$A,$V$3,'JPM St'!$C:$C,D55),"")</f>
        <v>0</v>
      </c>
      <c r="M55" s="501">
        <f>IFERROR(SUMIFS('JPM St'!$M:$M,'JPM St'!$A:$A,$V$4,'JPM St'!$C:$C,D55),"")</f>
        <v>71884.58</v>
      </c>
      <c r="N55" s="501"/>
      <c r="O55" s="501"/>
      <c r="P55" s="501"/>
      <c r="Q55" s="501"/>
      <c r="R55" s="501"/>
      <c r="W55" s="628"/>
      <c r="X55" s="545">
        <f t="shared" si="6"/>
        <v>0</v>
      </c>
      <c r="BB55" s="497" t="str">
        <v>NEXTERA ENERGY</v>
      </c>
      <c r="BC55" s="497" t="str">
        <v>US65339F1012</v>
      </c>
      <c r="BD55" s="497" t="str">
        <v>Stock</v>
      </c>
      <c r="BE55" s="502">
        <v>32479.86</v>
      </c>
      <c r="BF55" s="497" t="str">
        <v>USD</v>
      </c>
      <c r="BG55" s="502">
        <v>32479.86</v>
      </c>
      <c r="BH55" s="497" t="str">
        <v>USD</v>
      </c>
      <c r="BN55" s="497" t="str">
        <v>SAFRAN</v>
      </c>
      <c r="BO55" s="497" t="str">
        <v>FR0000073272</v>
      </c>
      <c r="BP55" s="497" t="str">
        <v>Stock</v>
      </c>
      <c r="BQ55" s="502">
        <v>130476.59999999999</v>
      </c>
      <c r="BR55" s="497" t="str">
        <v>EUR</v>
      </c>
      <c r="BS55" s="502">
        <v>151020.14066999999</v>
      </c>
      <c r="BT55" s="497" t="str">
        <v>USD</v>
      </c>
    </row>
    <row r="56" spans="1:72" x14ac:dyDescent="0.25">
      <c r="A56" s="497" t="s">
        <v>90</v>
      </c>
      <c r="B56" s="497" t="str">
        <f>IFERROR(IF(VLOOKUP(D56,'JPM St'!$C:$G,3,0)="Fixed Income &amp; Cash","Cash",VLOOKUP(D56,'JPM St'!$C:$G,3,0)),"")</f>
        <v>Equity</v>
      </c>
      <c r="C56" s="497" t="str">
        <f>IFERROR(VLOOKUP(D56,'JPM St'!$C:$L,10,0),"")</f>
        <v>USD</v>
      </c>
      <c r="D56" s="497" t="str">
        <v>MORGAN STANLEY</v>
      </c>
      <c r="E56" s="500" t="str">
        <f>IFERROR(VLOOKUP(D56,'JPM St'!$C:$D,2,0),"")</f>
        <v>US6174464486</v>
      </c>
      <c r="F56" s="501">
        <f t="shared" si="0"/>
        <v>107637.13999999998</v>
      </c>
      <c r="G56" s="501">
        <f>SUMIFS('JPM St'!$K:$K,'JPM St'!$A:$A,$V$2,'JPM St'!$C:$C,D56)</f>
        <v>0</v>
      </c>
      <c r="H56" s="501">
        <f>SUMIFS('JPM St'!$K:$K,'JPM St'!$A:$A,$V$3,'JPM St'!$C:$C,D56)</f>
        <v>37175.254999999997</v>
      </c>
      <c r="I56" s="501">
        <f>SUMIFS('JPM St'!$K:$K,'JPM St'!$A:$A,$V$4,'JPM St'!$C:$C,D56)</f>
        <v>70461.884999999995</v>
      </c>
      <c r="J56" s="619">
        <f t="shared" si="1"/>
        <v>107637.13999999998</v>
      </c>
      <c r="K56" s="501">
        <f>IFERROR(SUMIFS('JPM St'!$M:$M,'JPM St'!$A:$A,$V$2,'JPM St'!$C:$C,D56),"")</f>
        <v>0</v>
      </c>
      <c r="L56" s="501">
        <f>IFERROR(SUMIFS('JPM St'!$M:$M,'JPM St'!$A:$A,$V$3,'JPM St'!$C:$C,D56),"")</f>
        <v>37175.254999999997</v>
      </c>
      <c r="M56" s="501">
        <f>IFERROR(SUMIFS('JPM St'!$M:$M,'JPM St'!$A:$A,$V$4,'JPM St'!$C:$C,D56),"")</f>
        <v>70461.884999999995</v>
      </c>
      <c r="N56" s="501"/>
      <c r="O56" s="501"/>
      <c r="P56" s="501"/>
      <c r="Q56" s="501"/>
      <c r="R56" s="501"/>
      <c r="W56" s="628"/>
      <c r="X56" s="545">
        <f t="shared" si="6"/>
        <v>0</v>
      </c>
      <c r="BB56" s="497" t="str">
        <v>NIKE -B-</v>
      </c>
      <c r="BC56" s="497" t="str">
        <v>US6541061031</v>
      </c>
      <c r="BD56" s="497" t="str">
        <v>Stock</v>
      </c>
      <c r="BE56" s="502">
        <v>13114.52</v>
      </c>
      <c r="BF56" s="497" t="str">
        <v>USD</v>
      </c>
      <c r="BG56" s="502">
        <v>13114.52</v>
      </c>
      <c r="BH56" s="497" t="str">
        <v>USD</v>
      </c>
      <c r="BN56" s="497" t="str">
        <v>SERVICENOW</v>
      </c>
      <c r="BO56" s="497" t="str">
        <v>US81762P1021</v>
      </c>
      <c r="BP56" s="497" t="str">
        <v>Stock</v>
      </c>
      <c r="BQ56" s="502">
        <v>64155</v>
      </c>
      <c r="BR56" s="497" t="str">
        <v>USD</v>
      </c>
      <c r="BS56" s="502">
        <v>64155</v>
      </c>
      <c r="BT56" s="497" t="str">
        <v>USD</v>
      </c>
    </row>
    <row r="57" spans="1:72" x14ac:dyDescent="0.25">
      <c r="A57" s="497" t="s">
        <v>90</v>
      </c>
      <c r="B57" s="497" t="str">
        <f>IFERROR(IF(VLOOKUP(D57,'JPM St'!$C:$G,3,0)="Fixed Income &amp; Cash","Cash",VLOOKUP(D57,'JPM St'!$C:$G,3,0)),"")</f>
        <v>Equity</v>
      </c>
      <c r="C57" s="497" t="str">
        <f>IFERROR(VLOOKUP(D57,'JPM St'!$C:$L,10,0),"")</f>
        <v>EUR</v>
      </c>
      <c r="D57" s="497" t="str">
        <v>CAPGEMINI SE</v>
      </c>
      <c r="E57" s="500" t="str">
        <f>IFERROR(VLOOKUP(D57,'JPM St'!$C:$D,2,0),"")</f>
        <v>FR0000125338</v>
      </c>
      <c r="F57" s="501">
        <f t="shared" si="0"/>
        <v>60483.8</v>
      </c>
      <c r="G57" s="501">
        <f>SUMIFS('JPM St'!$K:$K,'JPM St'!$A:$A,$V$2,'JPM St'!$C:$C,D57)</f>
        <v>0</v>
      </c>
      <c r="H57" s="501">
        <f>SUMIFS('JPM St'!$K:$K,'JPM St'!$A:$A,$V$3,'JPM St'!$C:$C,D57)</f>
        <v>0</v>
      </c>
      <c r="I57" s="501">
        <f>SUMIFS('JPM St'!$K:$K,'JPM St'!$A:$A,$V$4,'JPM St'!$C:$C,D57)</f>
        <v>60483.8</v>
      </c>
      <c r="J57" s="619">
        <f t="shared" si="1"/>
        <v>70006.974310000005</v>
      </c>
      <c r="K57" s="501">
        <f>IFERROR(SUMIFS('JPM St'!$M:$M,'JPM St'!$A:$A,$V$2,'JPM St'!$C:$C,D57),"")</f>
        <v>0</v>
      </c>
      <c r="L57" s="501">
        <f>IFERROR(SUMIFS('JPM St'!$M:$M,'JPM St'!$A:$A,$V$3,'JPM St'!$C:$C,D57),"")</f>
        <v>0</v>
      </c>
      <c r="M57" s="501">
        <f>IFERROR(SUMIFS('JPM St'!$M:$M,'JPM St'!$A:$A,$V$4,'JPM St'!$C:$C,D57),"")</f>
        <v>70006.974310000005</v>
      </c>
      <c r="N57" s="501"/>
      <c r="O57" s="501"/>
      <c r="P57" s="501"/>
      <c r="Q57" s="501"/>
      <c r="R57" s="501"/>
      <c r="W57" s="628"/>
      <c r="X57" s="545">
        <f t="shared" si="6"/>
        <v>0</v>
      </c>
      <c r="BB57" s="497" t="str">
        <v>NORFOLK SOUTHERN</v>
      </c>
      <c r="BC57" s="497" t="str">
        <v>US6558441084</v>
      </c>
      <c r="BD57" s="497" t="str">
        <v>Stock</v>
      </c>
      <c r="BE57" s="502">
        <v>8313.4800000000014</v>
      </c>
      <c r="BF57" s="497" t="str">
        <v>USD</v>
      </c>
      <c r="BG57" s="502">
        <v>8313.4800000000014</v>
      </c>
      <c r="BH57" s="497" t="str">
        <v>USD</v>
      </c>
      <c r="BN57" s="497" t="str">
        <v>SHIN-ETSU CHEMICAL</v>
      </c>
      <c r="BO57" s="497" t="str">
        <v>JP3371200001</v>
      </c>
      <c r="BP57" s="497" t="str">
        <v>Stock</v>
      </c>
      <c r="BQ57" s="502">
        <v>17910000</v>
      </c>
      <c r="BR57" s="497" t="str">
        <v>JPY</v>
      </c>
      <c r="BS57" s="502">
        <v>112958.37</v>
      </c>
      <c r="BT57" s="497" t="str">
        <v>USD</v>
      </c>
    </row>
    <row r="58" spans="1:72" x14ac:dyDescent="0.25">
      <c r="A58" s="497" t="s">
        <v>90</v>
      </c>
      <c r="B58" s="497" t="str">
        <f>IFERROR(IF(VLOOKUP(D58,'JPM St'!$C:$G,3,0)="Fixed Income &amp; Cash","Cash",VLOOKUP(D58,'JPM St'!$C:$G,3,0)),"")</f>
        <v>Equity</v>
      </c>
      <c r="C58" s="497" t="str">
        <f>IFERROR(VLOOKUP(D58,'JPM St'!$C:$L,10,0),"")</f>
        <v>USD</v>
      </c>
      <c r="D58" s="497" t="str">
        <v>PALANTIR TECHNOLOGIES INC-A</v>
      </c>
      <c r="E58" s="500" t="str">
        <f>IFERROR(VLOOKUP(D58,'JPM St'!$C:$D,2,0),"")</f>
        <v>US69608A1088</v>
      </c>
      <c r="F58" s="501">
        <f t="shared" si="0"/>
        <v>67290.365000000005</v>
      </c>
      <c r="G58" s="501">
        <f>SUMIFS('JPM St'!$K:$K,'JPM St'!$A:$A,$V$2,'JPM St'!$C:$C,D58)</f>
        <v>67290.365000000005</v>
      </c>
      <c r="H58" s="501">
        <f>SUMIFS('JPM St'!$K:$K,'JPM St'!$A:$A,$V$3,'JPM St'!$C:$C,D58)</f>
        <v>0</v>
      </c>
      <c r="I58" s="501">
        <f>SUMIFS('JPM St'!$K:$K,'JPM St'!$A:$A,$V$4,'JPM St'!$C:$C,D58)</f>
        <v>0</v>
      </c>
      <c r="J58" s="619">
        <f t="shared" si="1"/>
        <v>67290.365000000005</v>
      </c>
      <c r="K58" s="501">
        <f>IFERROR(SUMIFS('JPM St'!$M:$M,'JPM St'!$A:$A,$V$2,'JPM St'!$C:$C,D58),"")</f>
        <v>67290.365000000005</v>
      </c>
      <c r="L58" s="501">
        <f>IFERROR(SUMIFS('JPM St'!$M:$M,'JPM St'!$A:$A,$V$3,'JPM St'!$C:$C,D58),"")</f>
        <v>0</v>
      </c>
      <c r="M58" s="501">
        <f>IFERROR(SUMIFS('JPM St'!$M:$M,'JPM St'!$A:$A,$V$4,'JPM St'!$C:$C,D58),"")</f>
        <v>0</v>
      </c>
      <c r="N58" s="501"/>
      <c r="O58" s="501"/>
      <c r="P58" s="501"/>
      <c r="Q58" s="501"/>
      <c r="R58" s="501"/>
      <c r="W58" s="628"/>
      <c r="X58" s="545">
        <f t="shared" si="6"/>
        <v>0</v>
      </c>
      <c r="BB58" s="497" t="str">
        <v>NXP SEMICONDUCTORS</v>
      </c>
      <c r="BC58" s="497" t="str">
        <v>NL0009538784</v>
      </c>
      <c r="BD58" s="497" t="str">
        <v>Stock</v>
      </c>
      <c r="BE58" s="502">
        <v>23034.190000000002</v>
      </c>
      <c r="BF58" s="497" t="str">
        <v>USD</v>
      </c>
      <c r="BG58" s="502">
        <v>23034.190000000002</v>
      </c>
      <c r="BH58" s="497" t="str">
        <v>USD</v>
      </c>
      <c r="BN58" s="497" t="str">
        <v>STRYKER</v>
      </c>
      <c r="BO58" s="497" t="str">
        <v>US8636671013</v>
      </c>
      <c r="BP58" s="497" t="str">
        <v>Stock</v>
      </c>
      <c r="BQ58" s="502">
        <v>50620.762499999997</v>
      </c>
      <c r="BR58" s="497" t="str">
        <v>USD</v>
      </c>
      <c r="BS58" s="502">
        <v>50620.762499999997</v>
      </c>
      <c r="BT58" s="497" t="str">
        <v>USD</v>
      </c>
    </row>
    <row r="59" spans="1:72" x14ac:dyDescent="0.25">
      <c r="A59" s="497" t="s">
        <v>90</v>
      </c>
      <c r="B59" s="497" t="str">
        <f>IFERROR(IF(VLOOKUP(D59,'JPM St'!$C:$G,3,0)="Fixed Income &amp; Cash","Cash",VLOOKUP(D59,'JPM St'!$C:$G,3,0)),"")</f>
        <v>Equity</v>
      </c>
      <c r="C59" s="497" t="str">
        <f>IFERROR(VLOOKUP(D59,'JPM St'!$C:$L,10,0),"")</f>
        <v>USD</v>
      </c>
      <c r="D59" s="497" t="str">
        <v>BIOGEN</v>
      </c>
      <c r="E59" s="500" t="str">
        <f>IFERROR(VLOOKUP(D59,'JPM St'!$C:$D,2,0),"")</f>
        <v>US09062X1037</v>
      </c>
      <c r="F59" s="501">
        <f t="shared" si="0"/>
        <v>66972.510000000009</v>
      </c>
      <c r="G59" s="501">
        <f>SUMIFS('JPM St'!$K:$K,'JPM St'!$A:$A,$V$2,'JPM St'!$C:$C,D59)</f>
        <v>0</v>
      </c>
      <c r="H59" s="501">
        <f>SUMIFS('JPM St'!$K:$K,'JPM St'!$A:$A,$V$3,'JPM St'!$C:$C,D59)</f>
        <v>0</v>
      </c>
      <c r="I59" s="501">
        <f>SUMIFS('JPM St'!$K:$K,'JPM St'!$A:$A,$V$4,'JPM St'!$C:$C,D59)</f>
        <v>66972.510000000009</v>
      </c>
      <c r="J59" s="619">
        <f t="shared" si="1"/>
        <v>66972.510000000009</v>
      </c>
      <c r="K59" s="501">
        <f>IFERROR(SUMIFS('JPM St'!$M:$M,'JPM St'!$A:$A,$V$2,'JPM St'!$C:$C,D59),"")</f>
        <v>0</v>
      </c>
      <c r="L59" s="501">
        <f>IFERROR(SUMIFS('JPM St'!$M:$M,'JPM St'!$A:$A,$V$3,'JPM St'!$C:$C,D59),"")</f>
        <v>0</v>
      </c>
      <c r="M59" s="501">
        <f>IFERROR(SUMIFS('JPM St'!$M:$M,'JPM St'!$A:$A,$V$4,'JPM St'!$C:$C,D59),"")</f>
        <v>66972.510000000009</v>
      </c>
      <c r="N59" s="501"/>
      <c r="O59" s="501"/>
      <c r="P59" s="501"/>
      <c r="Q59" s="501"/>
      <c r="R59" s="501"/>
      <c r="W59" s="628"/>
      <c r="X59" s="545">
        <f t="shared" si="6"/>
        <v>0</v>
      </c>
      <c r="BB59" s="497" t="str">
        <v>PACKAGING CORP OF AMERICA</v>
      </c>
      <c r="BC59" s="497" t="str">
        <v>US6951561090</v>
      </c>
      <c r="BD59" s="497" t="str">
        <v>Stock</v>
      </c>
      <c r="BE59" s="502">
        <v>11675.61</v>
      </c>
      <c r="BF59" s="497" t="str">
        <v>USD</v>
      </c>
      <c r="BG59" s="502">
        <v>11675.61</v>
      </c>
      <c r="BH59" s="497" t="str">
        <v>USD</v>
      </c>
      <c r="BN59" s="497" t="str">
        <v>THE SOUTHERN COMPANY</v>
      </c>
      <c r="BO59" s="497" t="str">
        <v>US8425871071</v>
      </c>
      <c r="BP59" s="497" t="str">
        <v>Stock</v>
      </c>
      <c r="BQ59" s="502">
        <v>122957.95999999999</v>
      </c>
      <c r="BR59" s="497" t="str">
        <v>USD</v>
      </c>
      <c r="BS59" s="502">
        <v>122957.95999999999</v>
      </c>
      <c r="BT59" s="497" t="str">
        <v>USD</v>
      </c>
    </row>
    <row r="60" spans="1:72" x14ac:dyDescent="0.25">
      <c r="A60" s="497" t="s">
        <v>90</v>
      </c>
      <c r="B60" s="497" t="str">
        <f>IFERROR(IF(VLOOKUP(D60,'JPM St'!$C:$G,3,0)="Fixed Income &amp; Cash","Cash",VLOOKUP(D60,'JPM St'!$C:$G,3,0)),"")</f>
        <v>Equity</v>
      </c>
      <c r="C60" s="497" t="str">
        <f>IFERROR(VLOOKUP(D60,'JPM St'!$C:$L,10,0),"")</f>
        <v>EUR</v>
      </c>
      <c r="D60" s="497" t="str">
        <v>ADIDAS</v>
      </c>
      <c r="E60" s="500" t="str">
        <f>IFERROR(VLOOKUP(D60,'JPM St'!$C:$D,2,0),"")</f>
        <v>DE000A1EWWW0</v>
      </c>
      <c r="F60" s="501">
        <f t="shared" si="0"/>
        <v>57170.7</v>
      </c>
      <c r="G60" s="501">
        <f>SUMIFS('JPM St'!$K:$K,'JPM St'!$A:$A,$V$2,'JPM St'!$C:$C,D60)</f>
        <v>0</v>
      </c>
      <c r="H60" s="501">
        <f>SUMIFS('JPM St'!$K:$K,'JPM St'!$A:$A,$V$3,'JPM St'!$C:$C,D60)</f>
        <v>0</v>
      </c>
      <c r="I60" s="501">
        <f>SUMIFS('JPM St'!$K:$K,'JPM St'!$A:$A,$V$4,'JPM St'!$C:$C,D60)</f>
        <v>57170.7</v>
      </c>
      <c r="J60" s="619">
        <f t="shared" si="1"/>
        <v>66172.226714999997</v>
      </c>
      <c r="K60" s="501">
        <f>IFERROR(SUMIFS('JPM St'!$M:$M,'JPM St'!$A:$A,$V$2,'JPM St'!$C:$C,D60),"")</f>
        <v>0</v>
      </c>
      <c r="L60" s="501">
        <f>IFERROR(SUMIFS('JPM St'!$M:$M,'JPM St'!$A:$A,$V$3,'JPM St'!$C:$C,D60),"")</f>
        <v>0</v>
      </c>
      <c r="M60" s="501">
        <f>IFERROR(SUMIFS('JPM St'!$M:$M,'JPM St'!$A:$A,$V$4,'JPM St'!$C:$C,D60),"")</f>
        <v>66172.226714999997</v>
      </c>
      <c r="N60" s="501"/>
      <c r="O60" s="501"/>
      <c r="P60" s="501"/>
      <c r="Q60" s="501"/>
      <c r="R60" s="501"/>
      <c r="W60" s="628"/>
      <c r="X60" s="545">
        <f t="shared" si="6"/>
        <v>0</v>
      </c>
      <c r="BB60" s="497" t="str">
        <v>PEPSICO INC</v>
      </c>
      <c r="BC60" s="497" t="str">
        <v>US7134481081</v>
      </c>
      <c r="BD60" s="497" t="str">
        <v>Stock</v>
      </c>
      <c r="BE60" s="502">
        <v>8105.6850000000004</v>
      </c>
      <c r="BF60" s="497" t="str">
        <v>USD</v>
      </c>
      <c r="BG60" s="502">
        <v>8105.6850000000004</v>
      </c>
      <c r="BH60" s="497" t="str">
        <v>USD</v>
      </c>
      <c r="BN60" s="497" t="str">
        <v>THERMO FISHER SCIENTIFIC</v>
      </c>
      <c r="BO60" s="497" t="str">
        <v>US8835561023</v>
      </c>
      <c r="BP60" s="497" t="str">
        <v>Stock</v>
      </c>
      <c r="BQ60" s="502">
        <v>84594.554999999993</v>
      </c>
      <c r="BR60" s="497" t="str">
        <v>USD</v>
      </c>
      <c r="BS60" s="502">
        <v>84594.554999999993</v>
      </c>
      <c r="BT60" s="497" t="str">
        <v>USD</v>
      </c>
    </row>
    <row r="61" spans="1:72" x14ac:dyDescent="0.25">
      <c r="A61" s="497" t="s">
        <v>90</v>
      </c>
      <c r="B61" s="497" t="str">
        <f>IFERROR(IF(VLOOKUP(D61,'JPM St'!$C:$G,3,0)="Fixed Income &amp; Cash","Cash",VLOOKUP(D61,'JPM St'!$C:$G,3,0)),"")</f>
        <v>Equity</v>
      </c>
      <c r="C61" s="497" t="str">
        <f>IFERROR(VLOOKUP(D61,'JPM St'!$C:$L,10,0),"")</f>
        <v>USD</v>
      </c>
      <c r="D61" s="497" t="str">
        <v>SERVICENOW</v>
      </c>
      <c r="E61" s="500" t="str">
        <f>IFERROR(VLOOKUP(D61,'JPM St'!$C:$D,2,0),"")</f>
        <v>US81762P1021</v>
      </c>
      <c r="F61" s="501">
        <f t="shared" si="0"/>
        <v>64155</v>
      </c>
      <c r="G61" s="501">
        <f>SUMIFS('JPM St'!$K:$K,'JPM St'!$A:$A,$V$2,'JPM St'!$C:$C,D61)</f>
        <v>0</v>
      </c>
      <c r="H61" s="501">
        <f>SUMIFS('JPM St'!$K:$K,'JPM St'!$A:$A,$V$3,'JPM St'!$C:$C,D61)</f>
        <v>0</v>
      </c>
      <c r="I61" s="501">
        <f>SUMIFS('JPM St'!$K:$K,'JPM St'!$A:$A,$V$4,'JPM St'!$C:$C,D61)</f>
        <v>64155</v>
      </c>
      <c r="J61" s="619">
        <f t="shared" si="1"/>
        <v>64155</v>
      </c>
      <c r="K61" s="501">
        <f>IFERROR(SUMIFS('JPM St'!$M:$M,'JPM St'!$A:$A,$V$2,'JPM St'!$C:$C,D61),"")</f>
        <v>0</v>
      </c>
      <c r="L61" s="501">
        <f>IFERROR(SUMIFS('JPM St'!$M:$M,'JPM St'!$A:$A,$V$3,'JPM St'!$C:$C,D61),"")</f>
        <v>0</v>
      </c>
      <c r="M61" s="501">
        <f>IFERROR(SUMIFS('JPM St'!$M:$M,'JPM St'!$A:$A,$V$4,'JPM St'!$C:$C,D61),"")</f>
        <v>64155</v>
      </c>
      <c r="N61" s="501"/>
      <c r="O61" s="501"/>
      <c r="P61" s="501"/>
      <c r="Q61" s="501"/>
      <c r="R61" s="501"/>
      <c r="W61" s="628"/>
      <c r="X61" s="545">
        <f t="shared" si="6"/>
        <v>0</v>
      </c>
      <c r="BB61" s="497" t="str">
        <v>PHILIP MORRIS INTERNATIONAL</v>
      </c>
      <c r="BC61" s="497" t="str">
        <v>US7181721090</v>
      </c>
      <c r="BD61" s="497" t="str">
        <v>Stock</v>
      </c>
      <c r="BE61" s="502">
        <v>56152.799999999996</v>
      </c>
      <c r="BF61" s="497" t="str">
        <v>USD</v>
      </c>
      <c r="BG61" s="502">
        <v>56152.799999999996</v>
      </c>
      <c r="BH61" s="497" t="str">
        <v>USD</v>
      </c>
      <c r="BN61" s="497" t="str">
        <v>TRANE TECHNOLOGIES PLC</v>
      </c>
      <c r="BO61" s="497" t="str">
        <v>IE00BK9ZQ967</v>
      </c>
      <c r="BP61" s="497" t="str">
        <v>Stock</v>
      </c>
      <c r="BQ61" s="502">
        <v>113007.15000000001</v>
      </c>
      <c r="BR61" s="497" t="str">
        <v>USD</v>
      </c>
      <c r="BS61" s="502">
        <v>113007.15000000001</v>
      </c>
      <c r="BT61" s="497" t="str">
        <v>USD</v>
      </c>
    </row>
    <row r="62" spans="1:72" x14ac:dyDescent="0.25">
      <c r="A62" s="497" t="s">
        <v>90</v>
      </c>
      <c r="B62" s="497" t="str">
        <f>IFERROR(IF(VLOOKUP(D62,'JPM St'!$C:$G,3,0)="Fixed Income &amp; Cash","Cash",VLOOKUP(D62,'JPM St'!$C:$G,3,0)),"")</f>
        <v>Equity</v>
      </c>
      <c r="C62" s="497" t="str">
        <f>IFERROR(VLOOKUP(D62,'JPM St'!$C:$L,10,0),"")</f>
        <v>USD</v>
      </c>
      <c r="D62" s="497" t="str">
        <v>COHERENT CORP</v>
      </c>
      <c r="E62" s="500" t="str">
        <f>IFERROR(VLOOKUP(D62,'JPM St'!$C:$D,2,0),"")</f>
        <v>US19247G1076</v>
      </c>
      <c r="F62" s="501">
        <f t="shared" si="0"/>
        <v>63132.6</v>
      </c>
      <c r="G62" s="501">
        <f>SUMIFS('JPM St'!$K:$K,'JPM St'!$A:$A,$V$2,'JPM St'!$C:$C,D62)</f>
        <v>63132.6</v>
      </c>
      <c r="H62" s="501">
        <f>SUMIFS('JPM St'!$K:$K,'JPM St'!$A:$A,$V$3,'JPM St'!$C:$C,D62)</f>
        <v>0</v>
      </c>
      <c r="I62" s="501">
        <f>SUMIFS('JPM St'!$K:$K,'JPM St'!$A:$A,$V$4,'JPM St'!$C:$C,D62)</f>
        <v>0</v>
      </c>
      <c r="J62" s="619">
        <f t="shared" si="1"/>
        <v>63132.6</v>
      </c>
      <c r="K62" s="501">
        <f>IFERROR(SUMIFS('JPM St'!$M:$M,'JPM St'!$A:$A,$V$2,'JPM St'!$C:$C,D62),"")</f>
        <v>63132.6</v>
      </c>
      <c r="L62" s="501">
        <f>IFERROR(SUMIFS('JPM St'!$M:$M,'JPM St'!$A:$A,$V$3,'JPM St'!$C:$C,D62),"")</f>
        <v>0</v>
      </c>
      <c r="M62" s="501">
        <f>IFERROR(SUMIFS('JPM St'!$M:$M,'JPM St'!$A:$A,$V$4,'JPM St'!$C:$C,D62),"")</f>
        <v>0</v>
      </c>
      <c r="N62" s="501"/>
      <c r="O62" s="501"/>
      <c r="P62" s="501"/>
      <c r="Q62" s="501"/>
      <c r="R62" s="501"/>
      <c r="W62" s="628"/>
      <c r="X62" s="545">
        <f t="shared" si="6"/>
        <v>0</v>
      </c>
      <c r="BB62" s="497" t="str">
        <v>PROCTER &amp; GAMBLE</v>
      </c>
      <c r="BC62" s="497" t="str">
        <v>US7427181091</v>
      </c>
      <c r="BD62" s="497" t="str">
        <v>Stock</v>
      </c>
      <c r="BE62" s="502">
        <v>29318.9</v>
      </c>
      <c r="BF62" s="497" t="str">
        <v>USD</v>
      </c>
      <c r="BG62" s="502">
        <v>29318.9</v>
      </c>
      <c r="BH62" s="497" t="str">
        <v>USD</v>
      </c>
      <c r="BN62" s="497" t="str">
        <v>UNICREDIT SPA</v>
      </c>
      <c r="BO62" s="497" t="str">
        <v>IT0005239360</v>
      </c>
      <c r="BP62" s="497" t="str">
        <v>Stock</v>
      </c>
      <c r="BQ62" s="502">
        <v>91311.72</v>
      </c>
      <c r="BR62" s="497" t="str">
        <v>EUR</v>
      </c>
      <c r="BS62" s="502">
        <v>105702.447072</v>
      </c>
      <c r="BT62" s="497" t="str">
        <v>USD</v>
      </c>
    </row>
    <row r="63" spans="1:72" x14ac:dyDescent="0.25">
      <c r="A63" s="497" t="s">
        <v>90</v>
      </c>
      <c r="B63" s="497" t="str">
        <f>IFERROR(IF(VLOOKUP(D63,'JPM St'!$C:$G,3,0)="Fixed Income &amp; Cash","Cash",VLOOKUP(D63,'JPM St'!$C:$G,3,0)),"")</f>
        <v>Equity</v>
      </c>
      <c r="C63" s="497" t="str">
        <f>IFERROR(VLOOKUP(D63,'JPM St'!$C:$L,10,0),"")</f>
        <v>USD</v>
      </c>
      <c r="D63" s="497" t="str">
        <v>MICROCHIP TECH</v>
      </c>
      <c r="E63" s="500" t="str">
        <f>IFERROR(VLOOKUP(D63,'JPM St'!$C:$D,2,0),"")</f>
        <v>US5950171042</v>
      </c>
      <c r="F63" s="501">
        <f t="shared" si="0"/>
        <v>62029.760000000002</v>
      </c>
      <c r="G63" s="501">
        <f>SUMIFS('JPM St'!$K:$K,'JPM St'!$A:$A,$V$2,'JPM St'!$C:$C,D63)</f>
        <v>62029.760000000002</v>
      </c>
      <c r="H63" s="501">
        <f>SUMIFS('JPM St'!$K:$K,'JPM St'!$A:$A,$V$3,'JPM St'!$C:$C,D63)</f>
        <v>0</v>
      </c>
      <c r="I63" s="501">
        <f>SUMIFS('JPM St'!$K:$K,'JPM St'!$A:$A,$V$4,'JPM St'!$C:$C,D63)</f>
        <v>0</v>
      </c>
      <c r="J63" s="619">
        <f t="shared" si="1"/>
        <v>62029.760000000002</v>
      </c>
      <c r="K63" s="501">
        <f>IFERROR(SUMIFS('JPM St'!$M:$M,'JPM St'!$A:$A,$V$2,'JPM St'!$C:$C,D63),"")</f>
        <v>62029.760000000002</v>
      </c>
      <c r="L63" s="501">
        <f>IFERROR(SUMIFS('JPM St'!$M:$M,'JPM St'!$A:$A,$V$3,'JPM St'!$C:$C,D63),"")</f>
        <v>0</v>
      </c>
      <c r="M63" s="501">
        <f>IFERROR(SUMIFS('JPM St'!$M:$M,'JPM St'!$A:$A,$V$4,'JPM St'!$C:$C,D63),"")</f>
        <v>0</v>
      </c>
      <c r="N63" s="501"/>
      <c r="O63" s="501"/>
      <c r="P63" s="501"/>
      <c r="Q63" s="501"/>
      <c r="R63" s="501"/>
      <c r="BB63" s="497" t="str">
        <v>PROGRESSIVE</v>
      </c>
      <c r="BC63" s="497" t="str">
        <v>US7433151039</v>
      </c>
      <c r="BD63" s="497" t="str">
        <v>Stock</v>
      </c>
      <c r="BE63" s="502">
        <v>17298.12</v>
      </c>
      <c r="BF63" s="497" t="str">
        <v>USD</v>
      </c>
      <c r="BG63" s="502">
        <v>17298.12</v>
      </c>
      <c r="BH63" s="497" t="str">
        <v>USD</v>
      </c>
      <c r="BN63" s="497" t="str">
        <v>UNITEDHEALTH GROUP</v>
      </c>
      <c r="BO63" s="497" t="str">
        <v>US91324P1021</v>
      </c>
      <c r="BP63" s="497" t="str">
        <v>Stock</v>
      </c>
      <c r="BQ63" s="502">
        <v>91202.760000000009</v>
      </c>
      <c r="BR63" s="497" t="str">
        <v>USD</v>
      </c>
      <c r="BS63" s="502">
        <v>91202.760000000009</v>
      </c>
      <c r="BT63" s="497" t="str">
        <v>USD</v>
      </c>
    </row>
    <row r="64" spans="1:72" x14ac:dyDescent="0.25">
      <c r="A64" s="497" t="s">
        <v>90</v>
      </c>
      <c r="B64" s="497" t="str">
        <f>IFERROR(IF(VLOOKUP(D64,'JPM St'!$C:$G,3,0)="Fixed Income &amp; Cash","Cash",VLOOKUP(D64,'JPM St'!$C:$G,3,0)),"")</f>
        <v>Equity</v>
      </c>
      <c r="C64" s="497" t="str">
        <f>IFERROR(VLOOKUP(D64,'JPM St'!$C:$L,10,0),"")</f>
        <v>USD</v>
      </c>
      <c r="D64" s="497" t="str">
        <v>LAM RESEARCH CORP</v>
      </c>
      <c r="E64" s="500" t="str">
        <f>IFERROR(VLOOKUP(D64,'JPM St'!$C:$D,2,0),"")</f>
        <v>US5128073062</v>
      </c>
      <c r="F64" s="501">
        <f t="shared" si="0"/>
        <v>74749.2</v>
      </c>
      <c r="G64" s="501">
        <f>SUMIFS('JPM St'!$K:$K,'JPM St'!$A:$A,$V$2,'JPM St'!$C:$C,D64)</f>
        <v>0</v>
      </c>
      <c r="H64" s="501">
        <f>SUMIFS('JPM St'!$K:$K,'JPM St'!$A:$A,$V$3,'JPM St'!$C:$C,D64)</f>
        <v>13426.800000000001</v>
      </c>
      <c r="I64" s="501">
        <f>SUMIFS('JPM St'!$K:$K,'JPM St'!$A:$A,$V$4,'JPM St'!$C:$C,D64)</f>
        <v>61322.400000000001</v>
      </c>
      <c r="J64" s="619">
        <f t="shared" si="1"/>
        <v>74749.2</v>
      </c>
      <c r="K64" s="501">
        <f>IFERROR(SUMIFS('JPM St'!$M:$M,'JPM St'!$A:$A,$V$2,'JPM St'!$C:$C,D64),"")</f>
        <v>0</v>
      </c>
      <c r="L64" s="501">
        <f>IFERROR(SUMIFS('JPM St'!$M:$M,'JPM St'!$A:$A,$V$3,'JPM St'!$C:$C,D64),"")</f>
        <v>13426.800000000001</v>
      </c>
      <c r="M64" s="501">
        <f>IFERROR(SUMIFS('JPM St'!$M:$M,'JPM St'!$A:$A,$V$4,'JPM St'!$C:$C,D64),"")</f>
        <v>61322.400000000001</v>
      </c>
      <c r="N64" s="501"/>
      <c r="O64" s="501"/>
      <c r="P64" s="501"/>
      <c r="Q64" s="501"/>
      <c r="R64" s="501"/>
      <c r="BB64" s="497" t="str">
        <v>PROLOGIS</v>
      </c>
      <c r="BC64" s="497" t="str">
        <v>US74340W1036</v>
      </c>
      <c r="BD64" s="497" t="str">
        <v>Stock</v>
      </c>
      <c r="BE64" s="502">
        <v>18405.435000000001</v>
      </c>
      <c r="BF64" s="497" t="str">
        <v>USD</v>
      </c>
      <c r="BG64" s="502">
        <v>18405.435000000001</v>
      </c>
      <c r="BH64" s="497" t="str">
        <v>USD</v>
      </c>
      <c r="BN64" s="497" t="str">
        <v>VERTEX PHARMA</v>
      </c>
      <c r="BO64" s="497" t="str">
        <v>US92532F1003</v>
      </c>
      <c r="BP64" s="497" t="str">
        <v>Stock</v>
      </c>
      <c r="BQ64" s="502">
        <v>44282.28</v>
      </c>
      <c r="BR64" s="497" t="str">
        <v>USD</v>
      </c>
      <c r="BS64" s="502">
        <v>44282.28</v>
      </c>
      <c r="BT64" s="497" t="str">
        <v>USD</v>
      </c>
    </row>
    <row r="65" spans="1:72" x14ac:dyDescent="0.25">
      <c r="A65" s="497" t="s">
        <v>90</v>
      </c>
      <c r="B65" s="497" t="str">
        <f>IFERROR(IF(VLOOKUP(D65,'JPM St'!$C:$G,3,0)="Fixed Income &amp; Cash","Cash",VLOOKUP(D65,'JPM St'!$C:$G,3,0)),"")</f>
        <v>Equity</v>
      </c>
      <c r="C65" s="497" t="str">
        <f>IFERROR(VLOOKUP(D65,'JPM St'!$C:$L,10,0),"")</f>
        <v>USD</v>
      </c>
      <c r="D65" s="497" t="str">
        <v>SHOPIFY INC - CLASS A</v>
      </c>
      <c r="E65" s="500" t="str">
        <f>IFERROR(VLOOKUP(D65,'JPM St'!$C:$D,2,0),"")</f>
        <v>CA82509L1076</v>
      </c>
      <c r="F65" s="501">
        <f t="shared" si="0"/>
        <v>60638.25</v>
      </c>
      <c r="G65" s="501">
        <f>SUMIFS('JPM St'!$K:$K,'JPM St'!$A:$A,$V$2,'JPM St'!$C:$C,D65)</f>
        <v>60638.25</v>
      </c>
      <c r="H65" s="501">
        <f>SUMIFS('JPM St'!$K:$K,'JPM St'!$A:$A,$V$3,'JPM St'!$C:$C,D65)</f>
        <v>0</v>
      </c>
      <c r="I65" s="501">
        <f>SUMIFS('JPM St'!$K:$K,'JPM St'!$A:$A,$V$4,'JPM St'!$C:$C,D65)</f>
        <v>0</v>
      </c>
      <c r="J65" s="619">
        <f t="shared" si="1"/>
        <v>60638.25</v>
      </c>
      <c r="K65" s="501">
        <f>IFERROR(SUMIFS('JPM St'!$M:$M,'JPM St'!$A:$A,$V$2,'JPM St'!$C:$C,D65),"")</f>
        <v>60638.25</v>
      </c>
      <c r="L65" s="501">
        <f>IFERROR(SUMIFS('JPM St'!$M:$M,'JPM St'!$A:$A,$V$3,'JPM St'!$C:$C,D65),"")</f>
        <v>0</v>
      </c>
      <c r="M65" s="501">
        <f>IFERROR(SUMIFS('JPM St'!$M:$M,'JPM St'!$A:$A,$V$4,'JPM St'!$C:$C,D65),"")</f>
        <v>0</v>
      </c>
      <c r="N65" s="501"/>
      <c r="O65" s="501"/>
      <c r="P65" s="501"/>
      <c r="Q65" s="501"/>
      <c r="R65" s="501"/>
      <c r="BB65" s="497" t="str">
        <v>QUEST DIAGNOSTICS</v>
      </c>
      <c r="BC65" s="497" t="str">
        <v>US74834L1008</v>
      </c>
      <c r="BD65" s="497" t="str">
        <v>Stock</v>
      </c>
      <c r="BE65" s="502">
        <v>11026.12</v>
      </c>
      <c r="BF65" s="497" t="str">
        <v>USD</v>
      </c>
      <c r="BG65" s="502">
        <v>11026.12</v>
      </c>
      <c r="BH65" s="497" t="str">
        <v>USD</v>
      </c>
      <c r="BN65" s="497" t="str">
        <v>VOLVO -B- FRIA</v>
      </c>
      <c r="BO65" s="497" t="str">
        <v>SE0000115446</v>
      </c>
      <c r="BP65" s="497" t="str">
        <v>Stock</v>
      </c>
      <c r="BQ65" s="502">
        <v>1264457.23841</v>
      </c>
      <c r="BR65" s="497" t="str">
        <v>SEK</v>
      </c>
      <c r="BS65" s="502">
        <v>136951.25184899999</v>
      </c>
      <c r="BT65" s="497" t="str">
        <v>USD</v>
      </c>
    </row>
    <row r="66" spans="1:72" x14ac:dyDescent="0.25">
      <c r="A66" s="497" t="s">
        <v>90</v>
      </c>
      <c r="B66" s="497" t="str">
        <f>IFERROR(IF(VLOOKUP(D66,'JPM St'!$C:$G,3,0)="Fixed Income &amp; Cash","Cash",VLOOKUP(D66,'JPM St'!$C:$G,3,0)),"")</f>
        <v>Equity</v>
      </c>
      <c r="C66" s="497" t="str">
        <f>IFERROR(VLOOKUP(D66,'JPM St'!$C:$L,10,0),"")</f>
        <v>USD</v>
      </c>
      <c r="D66" s="497" t="str">
        <v>BANK OF AMERICA</v>
      </c>
      <c r="E66" s="500" t="str">
        <f>IFERROR(VLOOKUP(D66,'JPM St'!$C:$D,2,0),"")</f>
        <v>US0605051046</v>
      </c>
      <c r="F66" s="501">
        <f t="shared" si="0"/>
        <v>108935.02499999999</v>
      </c>
      <c r="G66" s="501">
        <f>SUMIFS('JPM St'!$K:$K,'JPM St'!$A:$A,$V$2,'JPM St'!$C:$C,D66)</f>
        <v>0</v>
      </c>
      <c r="H66" s="501">
        <f>SUMIFS('JPM St'!$K:$K,'JPM St'!$A:$A,$V$3,'JPM St'!$C:$C,D66)</f>
        <v>48337.275000000001</v>
      </c>
      <c r="I66" s="501">
        <f>SUMIFS('JPM St'!$K:$K,'JPM St'!$A:$A,$V$4,'JPM St'!$C:$C,D66)</f>
        <v>60597.75</v>
      </c>
      <c r="J66" s="619">
        <f t="shared" si="1"/>
        <v>108935.02499999999</v>
      </c>
      <c r="K66" s="501">
        <f>IFERROR(SUMIFS('JPM St'!$M:$M,'JPM St'!$A:$A,$V$2,'JPM St'!$C:$C,D66),"")</f>
        <v>0</v>
      </c>
      <c r="L66" s="501">
        <f>IFERROR(SUMIFS('JPM St'!$M:$M,'JPM St'!$A:$A,$V$3,'JPM St'!$C:$C,D66),"")</f>
        <v>48337.275000000001</v>
      </c>
      <c r="M66" s="501">
        <f>IFERROR(SUMIFS('JPM St'!$M:$M,'JPM St'!$A:$A,$V$4,'JPM St'!$C:$C,D66),"")</f>
        <v>60597.75</v>
      </c>
      <c r="N66" s="501"/>
      <c r="O66" s="501"/>
      <c r="P66" s="501"/>
      <c r="Q66" s="501"/>
      <c r="R66" s="501"/>
      <c r="BB66" s="497" t="str">
        <v>REPUBLIC SERVICES</v>
      </c>
      <c r="BC66" s="497" t="str">
        <v>US7607591002</v>
      </c>
      <c r="BD66" s="497" t="str">
        <v>Stock</v>
      </c>
      <c r="BE66" s="502">
        <v>14203.89</v>
      </c>
      <c r="BF66" s="497" t="str">
        <v>USD</v>
      </c>
      <c r="BG66" s="502">
        <v>14203.89</v>
      </c>
      <c r="BH66" s="497" t="str">
        <v>USD</v>
      </c>
      <c r="BN66" s="497" t="str">
        <v>WALT DISNEY CO/THE</v>
      </c>
      <c r="BO66" s="497" t="str">
        <v>US2546871060</v>
      </c>
      <c r="BP66" s="497" t="str">
        <v>Stock</v>
      </c>
      <c r="BQ66" s="502">
        <v>168351</v>
      </c>
      <c r="BR66" s="497" t="str">
        <v>USD</v>
      </c>
      <c r="BS66" s="502">
        <v>168351</v>
      </c>
      <c r="BT66" s="497" t="str">
        <v>USD</v>
      </c>
    </row>
    <row r="67" spans="1:72" x14ac:dyDescent="0.25">
      <c r="A67" s="497" t="s">
        <v>90</v>
      </c>
      <c r="B67" s="497" t="str">
        <f>IFERROR(IF(VLOOKUP(D67,'JPM St'!$C:$G,3,0)="Fixed Income &amp; Cash","Cash",VLOOKUP(D67,'JPM St'!$C:$G,3,0)),"")</f>
        <v>Equity</v>
      </c>
      <c r="C67" s="497" t="str">
        <f>IFERROR(VLOOKUP(D67,'JPM St'!$C:$L,10,0),"")</f>
        <v>USD</v>
      </c>
      <c r="D67" s="497" t="str">
        <v>CONOCOPHILLIPS</v>
      </c>
      <c r="E67" s="500" t="str">
        <f>IFERROR(VLOOKUP(D67,'JPM St'!$C:$D,2,0),"")</f>
        <v>US20825C1045</v>
      </c>
      <c r="F67" s="501">
        <f t="shared" ref="F67:F130" si="7">SUM(G67:I67)</f>
        <v>60582.61</v>
      </c>
      <c r="G67" s="501">
        <f>SUMIFS('JPM St'!$K:$K,'JPM St'!$A:$A,$V$2,'JPM St'!$C:$C,D67)</f>
        <v>0</v>
      </c>
      <c r="H67" s="501">
        <f>SUMIFS('JPM St'!$K:$K,'JPM St'!$A:$A,$V$3,'JPM St'!$C:$C,D67)</f>
        <v>60582.61</v>
      </c>
      <c r="I67" s="501">
        <f>SUMIFS('JPM St'!$K:$K,'JPM St'!$A:$A,$V$4,'JPM St'!$C:$C,D67)</f>
        <v>0</v>
      </c>
      <c r="J67" s="619">
        <f t="shared" ref="J67:J130" si="8">SUM(K67:M67)</f>
        <v>60582.61</v>
      </c>
      <c r="K67" s="501">
        <f>IFERROR(SUMIFS('JPM St'!$M:$M,'JPM St'!$A:$A,$V$2,'JPM St'!$C:$C,D67),"")</f>
        <v>0</v>
      </c>
      <c r="L67" s="501">
        <f>IFERROR(SUMIFS('JPM St'!$M:$M,'JPM St'!$A:$A,$V$3,'JPM St'!$C:$C,D67),"")</f>
        <v>60582.61</v>
      </c>
      <c r="M67" s="501">
        <f>IFERROR(SUMIFS('JPM St'!$M:$M,'JPM St'!$A:$A,$V$4,'JPM St'!$C:$C,D67),"")</f>
        <v>0</v>
      </c>
      <c r="N67" s="501"/>
      <c r="O67" s="501"/>
      <c r="P67" s="501"/>
      <c r="Q67" s="501"/>
      <c r="R67" s="501"/>
      <c r="BB67" s="497" t="str">
        <v>RTX CORP</v>
      </c>
      <c r="BC67" s="497" t="str">
        <v>US75513E1010</v>
      </c>
      <c r="BD67" s="497" t="str">
        <v>Stock</v>
      </c>
      <c r="BE67" s="502">
        <v>43705.200000000004</v>
      </c>
      <c r="BF67" s="497" t="str">
        <v>USD</v>
      </c>
      <c r="BG67" s="502">
        <v>43705.200000000004</v>
      </c>
      <c r="BH67" s="497" t="str">
        <v>USD</v>
      </c>
      <c r="BN67" s="497" t="str">
        <v>WELLS FARGO</v>
      </c>
      <c r="BO67" s="497" t="str">
        <v>US9497461015</v>
      </c>
      <c r="BP67" s="497" t="str">
        <v>Stock</v>
      </c>
      <c r="BQ67" s="502">
        <v>83684.800000000003</v>
      </c>
      <c r="BR67" s="497" t="str">
        <v>USD</v>
      </c>
      <c r="BS67" s="502">
        <v>83684.800000000003</v>
      </c>
      <c r="BT67" s="497" t="str">
        <v>USD</v>
      </c>
    </row>
    <row r="68" spans="1:72" x14ac:dyDescent="0.25">
      <c r="A68" s="497" t="s">
        <v>90</v>
      </c>
      <c r="B68" s="497" t="str">
        <f>IFERROR(IF(VLOOKUP(D68,'JPM St'!$C:$G,3,0)="Fixed Income &amp; Cash","Cash",VLOOKUP(D68,'JPM St'!$C:$G,3,0)),"")</f>
        <v>Equity</v>
      </c>
      <c r="C68" s="497" t="str">
        <f>IFERROR(VLOOKUP(D68,'JPM St'!$C:$L,10,0),"")</f>
        <v>USD</v>
      </c>
      <c r="D68" s="497" t="str">
        <v>ALPHABET -C-</v>
      </c>
      <c r="E68" s="500" t="str">
        <f>IFERROR(VLOOKUP(D68,'JPM St'!$C:$D,2,0),"")</f>
        <v>US02079K1079</v>
      </c>
      <c r="F68" s="501">
        <f t="shared" si="7"/>
        <v>58722.823799999998</v>
      </c>
      <c r="G68" s="501">
        <f>SUMIFS('JPM St'!$K:$K,'JPM St'!$A:$A,$V$2,'JPM St'!$C:$C,D68)</f>
        <v>0</v>
      </c>
      <c r="H68" s="501">
        <f>SUMIFS('JPM St'!$K:$K,'JPM St'!$A:$A,$V$3,'JPM St'!$C:$C,D68)</f>
        <v>58722.823799999998</v>
      </c>
      <c r="I68" s="501">
        <f>SUMIFS('JPM St'!$K:$K,'JPM St'!$A:$A,$V$4,'JPM St'!$C:$C,D68)</f>
        <v>0</v>
      </c>
      <c r="J68" s="619">
        <f t="shared" si="8"/>
        <v>58722.823799999998</v>
      </c>
      <c r="K68" s="501">
        <f>IFERROR(SUMIFS('JPM St'!$M:$M,'JPM St'!$A:$A,$V$2,'JPM St'!$C:$C,D68),"")</f>
        <v>0</v>
      </c>
      <c r="L68" s="501">
        <f>IFERROR(SUMIFS('JPM St'!$M:$M,'JPM St'!$A:$A,$V$3,'JPM St'!$C:$C,D68),"")</f>
        <v>58722.823799999998</v>
      </c>
      <c r="M68" s="501">
        <f>IFERROR(SUMIFS('JPM St'!$M:$M,'JPM St'!$A:$A,$V$4,'JPM St'!$C:$C,D68),"")</f>
        <v>0</v>
      </c>
      <c r="N68" s="501"/>
      <c r="O68" s="501"/>
      <c r="P68" s="501"/>
      <c r="Q68" s="501"/>
      <c r="R68" s="501"/>
      <c r="BB68" s="497" t="str">
        <v>SEAGATE TECHNOLOGY HOLDINGS</v>
      </c>
      <c r="BC68" s="497" t="str">
        <v>IE00BKVD2N49</v>
      </c>
      <c r="BD68" s="497" t="str">
        <v>Stock</v>
      </c>
      <c r="BE68" s="502">
        <v>20704.84</v>
      </c>
      <c r="BF68" s="497" t="str">
        <v>USD</v>
      </c>
      <c r="BG68" s="502">
        <v>20704.84</v>
      </c>
      <c r="BH68" s="497" t="str">
        <v>USD</v>
      </c>
      <c r="BN68" s="497" t="str">
        <v>Cash Account - CHF</v>
      </c>
      <c r="BO68" s="497">
        <v>0</v>
      </c>
      <c r="BP68" s="497" t="str">
        <v>Cash</v>
      </c>
      <c r="BQ68" s="502">
        <v>166.31</v>
      </c>
      <c r="BR68" s="497" t="str">
        <v>CHF</v>
      </c>
      <c r="BS68" s="502">
        <v>213.43693200000001</v>
      </c>
      <c r="BT68" s="497" t="str">
        <v>USD</v>
      </c>
    </row>
    <row r="69" spans="1:72" x14ac:dyDescent="0.25">
      <c r="A69" s="497" t="s">
        <v>90</v>
      </c>
      <c r="B69" s="497" t="str">
        <f>IFERROR(IF(VLOOKUP(D69,'JPM St'!$C:$G,3,0)="Fixed Income &amp; Cash","Cash",VLOOKUP(D69,'JPM St'!$C:$G,3,0)),"")</f>
        <v>Equity</v>
      </c>
      <c r="C69" s="497" t="str">
        <f>IFERROR(VLOOKUP(D69,'JPM St'!$C:$L,10,0),"")</f>
        <v>USD</v>
      </c>
      <c r="D69" s="497" t="str">
        <v>GUIDEWIRE SOFTWARE</v>
      </c>
      <c r="E69" s="500" t="str">
        <f>IFERROR(VLOOKUP(D69,'JPM St'!$C:$D,2,0),"")</f>
        <v>US40171V1008</v>
      </c>
      <c r="F69" s="501">
        <f t="shared" si="7"/>
        <v>58456.03</v>
      </c>
      <c r="G69" s="501">
        <f>SUMIFS('JPM St'!$K:$K,'JPM St'!$A:$A,$V$2,'JPM St'!$C:$C,D69)</f>
        <v>58456.03</v>
      </c>
      <c r="H69" s="501">
        <f>SUMIFS('JPM St'!$K:$K,'JPM St'!$A:$A,$V$3,'JPM St'!$C:$C,D69)</f>
        <v>0</v>
      </c>
      <c r="I69" s="501">
        <f>SUMIFS('JPM St'!$K:$K,'JPM St'!$A:$A,$V$4,'JPM St'!$C:$C,D69)</f>
        <v>0</v>
      </c>
      <c r="J69" s="619">
        <f t="shared" si="8"/>
        <v>58456.03</v>
      </c>
      <c r="K69" s="501">
        <f>IFERROR(SUMIFS('JPM St'!$M:$M,'JPM St'!$A:$A,$V$2,'JPM St'!$C:$C,D69),"")</f>
        <v>58456.03</v>
      </c>
      <c r="L69" s="501">
        <f>IFERROR(SUMIFS('JPM St'!$M:$M,'JPM St'!$A:$A,$V$3,'JPM St'!$C:$C,D69),"")</f>
        <v>0</v>
      </c>
      <c r="M69" s="501">
        <f>IFERROR(SUMIFS('JPM St'!$M:$M,'JPM St'!$A:$A,$V$4,'JPM St'!$C:$C,D69),"")</f>
        <v>0</v>
      </c>
      <c r="N69" s="501"/>
      <c r="O69" s="501"/>
      <c r="P69" s="501"/>
      <c r="Q69" s="501"/>
      <c r="R69" s="501"/>
      <c r="BB69" s="497" t="str">
        <v>TEXAS INSTRUMENTS</v>
      </c>
      <c r="BC69" s="497" t="str">
        <v>US8825081040</v>
      </c>
      <c r="BD69" s="497" t="str">
        <v>Stock</v>
      </c>
      <c r="BE69" s="502">
        <v>33472.25</v>
      </c>
      <c r="BF69" s="497" t="str">
        <v>USD</v>
      </c>
      <c r="BG69" s="502">
        <v>33472.25</v>
      </c>
      <c r="BH69" s="497" t="str">
        <v>USD</v>
      </c>
      <c r="BN69" s="497" t="str">
        <v>Cash Account - DKK</v>
      </c>
      <c r="BO69" s="497">
        <v>0</v>
      </c>
      <c r="BP69" s="497" t="str">
        <v>Cash</v>
      </c>
      <c r="BQ69" s="502">
        <v>20658.93</v>
      </c>
      <c r="BR69" s="497" t="str">
        <v>DKK</v>
      </c>
      <c r="BS69" s="502">
        <v>3200.8506109999998</v>
      </c>
      <c r="BT69" s="497" t="str">
        <v>USD</v>
      </c>
    </row>
    <row r="70" spans="1:72" x14ac:dyDescent="0.25">
      <c r="A70" s="497" t="s">
        <v>90</v>
      </c>
      <c r="B70" s="497" t="str">
        <f>IFERROR(IF(VLOOKUP(D70,'JPM St'!$C:$G,3,0)="Fixed Income &amp; Cash","Cash",VLOOKUP(D70,'JPM St'!$C:$G,3,0)),"")</f>
        <v>Equity</v>
      </c>
      <c r="C70" s="497" t="str">
        <f>IFERROR(VLOOKUP(D70,'JPM St'!$C:$L,10,0),"")</f>
        <v>USD</v>
      </c>
      <c r="D70" s="497" t="str">
        <v>BURLINGTON STORES</v>
      </c>
      <c r="E70" s="500" t="str">
        <f>IFERROR(VLOOKUP(D70,'JPM St'!$C:$D,2,0),"")</f>
        <v>US1220171060</v>
      </c>
      <c r="F70" s="501">
        <f t="shared" si="7"/>
        <v>58242.764999999999</v>
      </c>
      <c r="G70" s="501">
        <f>SUMIFS('JPM St'!$K:$K,'JPM St'!$A:$A,$V$2,'JPM St'!$C:$C,D70)</f>
        <v>0</v>
      </c>
      <c r="H70" s="501">
        <f>SUMIFS('JPM St'!$K:$K,'JPM St'!$A:$A,$V$3,'JPM St'!$C:$C,D70)</f>
        <v>0</v>
      </c>
      <c r="I70" s="501">
        <f>SUMIFS('JPM St'!$K:$K,'JPM St'!$A:$A,$V$4,'JPM St'!$C:$C,D70)</f>
        <v>58242.764999999999</v>
      </c>
      <c r="J70" s="619">
        <f t="shared" si="8"/>
        <v>58242.764999999999</v>
      </c>
      <c r="K70" s="501">
        <f>IFERROR(SUMIFS('JPM St'!$M:$M,'JPM St'!$A:$A,$V$2,'JPM St'!$C:$C,D70),"")</f>
        <v>0</v>
      </c>
      <c r="L70" s="501">
        <f>IFERROR(SUMIFS('JPM St'!$M:$M,'JPM St'!$A:$A,$V$3,'JPM St'!$C:$C,D70),"")</f>
        <v>0</v>
      </c>
      <c r="M70" s="501">
        <f>IFERROR(SUMIFS('JPM St'!$M:$M,'JPM St'!$A:$A,$V$4,'JPM St'!$C:$C,D70),"")</f>
        <v>58242.764999999999</v>
      </c>
      <c r="N70" s="501"/>
      <c r="O70" s="501"/>
      <c r="P70" s="501"/>
      <c r="Q70" s="501"/>
      <c r="R70" s="501"/>
      <c r="BB70" s="497" t="str">
        <v>THE CIGNA GROUP</v>
      </c>
      <c r="BC70" s="497" t="str">
        <v>US1255231003</v>
      </c>
      <c r="BD70" s="497" t="str">
        <v>Stock</v>
      </c>
      <c r="BE70" s="502">
        <v>23285.68</v>
      </c>
      <c r="BF70" s="497" t="str">
        <v>USD</v>
      </c>
      <c r="BG70" s="502">
        <v>23285.68</v>
      </c>
      <c r="BH70" s="497" t="str">
        <v>USD</v>
      </c>
      <c r="BN70" s="497" t="str">
        <v>Cash Account - EUR</v>
      </c>
      <c r="BO70" s="497">
        <v>0</v>
      </c>
      <c r="BP70" s="497" t="str">
        <v>Cash</v>
      </c>
      <c r="BQ70" s="502">
        <v>83556.350000000006</v>
      </c>
      <c r="BR70" s="497" t="str">
        <v>EUR</v>
      </c>
      <c r="BS70" s="502">
        <v>96724.830759999997</v>
      </c>
      <c r="BT70" s="497" t="str">
        <v>USD</v>
      </c>
    </row>
    <row r="71" spans="1:72" x14ac:dyDescent="0.25">
      <c r="A71" s="497" t="s">
        <v>90</v>
      </c>
      <c r="B71" s="497" t="str">
        <f>IFERROR(IF(VLOOKUP(D71,'JPM St'!$C:$G,3,0)="Fixed Income &amp; Cash","Cash",VLOOKUP(D71,'JPM St'!$C:$G,3,0)),"")</f>
        <v>Equity</v>
      </c>
      <c r="C71" s="497" t="str">
        <f>IFERROR(VLOOKUP(D71,'JPM St'!$C:$L,10,0),"")</f>
        <v>USD</v>
      </c>
      <c r="D71" s="497" t="str">
        <v>PHILIP MORRIS INTERNATIONAL</v>
      </c>
      <c r="E71" s="500" t="str">
        <f>IFERROR(VLOOKUP(D71,'JPM St'!$C:$D,2,0),"")</f>
        <v>US7181721090</v>
      </c>
      <c r="F71" s="501">
        <f t="shared" si="7"/>
        <v>56152.799999999996</v>
      </c>
      <c r="G71" s="501">
        <f>SUMIFS('JPM St'!$K:$K,'JPM St'!$A:$A,$V$2,'JPM St'!$C:$C,D71)</f>
        <v>0</v>
      </c>
      <c r="H71" s="501">
        <f>SUMIFS('JPM St'!$K:$K,'JPM St'!$A:$A,$V$3,'JPM St'!$C:$C,D71)</f>
        <v>56152.799999999996</v>
      </c>
      <c r="I71" s="501">
        <f>SUMIFS('JPM St'!$K:$K,'JPM St'!$A:$A,$V$4,'JPM St'!$C:$C,D71)</f>
        <v>0</v>
      </c>
      <c r="J71" s="619">
        <f t="shared" si="8"/>
        <v>56152.799999999996</v>
      </c>
      <c r="K71" s="501">
        <f>IFERROR(SUMIFS('JPM St'!$M:$M,'JPM St'!$A:$A,$V$2,'JPM St'!$C:$C,D71),"")</f>
        <v>0</v>
      </c>
      <c r="L71" s="501">
        <f>IFERROR(SUMIFS('JPM St'!$M:$M,'JPM St'!$A:$A,$V$3,'JPM St'!$C:$C,D71),"")</f>
        <v>56152.799999999996</v>
      </c>
      <c r="M71" s="501">
        <f>IFERROR(SUMIFS('JPM St'!$M:$M,'JPM St'!$A:$A,$V$4,'JPM St'!$C:$C,D71),"")</f>
        <v>0</v>
      </c>
      <c r="N71" s="501"/>
      <c r="O71" s="501"/>
      <c r="P71" s="501"/>
      <c r="Q71" s="501"/>
      <c r="R71" s="501"/>
      <c r="BB71" s="497" t="str">
        <v>THE COCA-COLA COMPANY</v>
      </c>
      <c r="BC71" s="497" t="str">
        <v>US1912161007</v>
      </c>
      <c r="BD71" s="497" t="str">
        <v>Stock</v>
      </c>
      <c r="BE71" s="502">
        <v>25712.99</v>
      </c>
      <c r="BF71" s="497" t="str">
        <v>USD</v>
      </c>
      <c r="BG71" s="502">
        <v>25712.99</v>
      </c>
      <c r="BH71" s="497" t="str">
        <v>USD</v>
      </c>
      <c r="BN71" s="497" t="str">
        <v>Cash Account - GBP</v>
      </c>
      <c r="BO71" s="497">
        <v>0</v>
      </c>
      <c r="BP71" s="497" t="str">
        <v>Cash</v>
      </c>
      <c r="BQ71" s="502">
        <v>0</v>
      </c>
      <c r="BR71" s="497" t="str">
        <v>GBP</v>
      </c>
      <c r="BS71" s="502">
        <v>0</v>
      </c>
      <c r="BT71" s="497" t="str">
        <v>USD</v>
      </c>
    </row>
    <row r="72" spans="1:72" x14ac:dyDescent="0.25">
      <c r="A72" s="497" t="s">
        <v>90</v>
      </c>
      <c r="B72" s="497" t="str">
        <f>IFERROR(IF(VLOOKUP(D72,'JPM St'!$C:$G,3,0)="Fixed Income &amp; Cash","Cash",VLOOKUP(D72,'JPM St'!$C:$G,3,0)),"")</f>
        <v>Equity</v>
      </c>
      <c r="C72" s="497" t="str">
        <f>IFERROR(VLOOKUP(D72,'JPM St'!$C:$L,10,0),"")</f>
        <v>USD</v>
      </c>
      <c r="D72" s="497" t="str">
        <v>MONGODB INC</v>
      </c>
      <c r="E72" s="500" t="str">
        <f>IFERROR(VLOOKUP(D72,'JPM St'!$C:$D,2,0),"")</f>
        <v>US60937P1066</v>
      </c>
      <c r="F72" s="501">
        <f t="shared" si="7"/>
        <v>55080.63</v>
      </c>
      <c r="G72" s="501">
        <f>SUMIFS('JPM St'!$K:$K,'JPM St'!$A:$A,$V$2,'JPM St'!$C:$C,D72)</f>
        <v>55080.63</v>
      </c>
      <c r="H72" s="501">
        <f>SUMIFS('JPM St'!$K:$K,'JPM St'!$A:$A,$V$3,'JPM St'!$C:$C,D72)</f>
        <v>0</v>
      </c>
      <c r="I72" s="501">
        <f>SUMIFS('JPM St'!$K:$K,'JPM St'!$A:$A,$V$4,'JPM St'!$C:$C,D72)</f>
        <v>0</v>
      </c>
      <c r="J72" s="619">
        <f t="shared" si="8"/>
        <v>55080.63</v>
      </c>
      <c r="K72" s="501">
        <f>IFERROR(SUMIFS('JPM St'!$M:$M,'JPM St'!$A:$A,$V$2,'JPM St'!$C:$C,D72),"")</f>
        <v>55080.63</v>
      </c>
      <c r="L72" s="501">
        <f>IFERROR(SUMIFS('JPM St'!$M:$M,'JPM St'!$A:$A,$V$3,'JPM St'!$C:$C,D72),"")</f>
        <v>0</v>
      </c>
      <c r="M72" s="501">
        <f>IFERROR(SUMIFS('JPM St'!$M:$M,'JPM St'!$A:$A,$V$4,'JPM St'!$C:$C,D72),"")</f>
        <v>0</v>
      </c>
      <c r="N72" s="501"/>
      <c r="O72" s="501"/>
      <c r="P72" s="501"/>
      <c r="Q72" s="501"/>
      <c r="R72" s="501"/>
      <c r="BB72" s="497" t="str">
        <v>TJX COS</v>
      </c>
      <c r="BC72" s="497" t="str">
        <v>US8725401090</v>
      </c>
      <c r="BD72" s="497" t="str">
        <v>Stock</v>
      </c>
      <c r="BE72" s="502">
        <v>29826.199999999997</v>
      </c>
      <c r="BF72" s="497" t="str">
        <v>USD</v>
      </c>
      <c r="BG72" s="502">
        <v>29826.199999999997</v>
      </c>
      <c r="BH72" s="497" t="str">
        <v>USD</v>
      </c>
      <c r="BN72" s="497" t="str">
        <v>Cash Account - JPY</v>
      </c>
      <c r="BO72" s="497">
        <v>0</v>
      </c>
      <c r="BP72" s="497" t="str">
        <v>Cash</v>
      </c>
      <c r="BQ72" s="502">
        <v>6217062</v>
      </c>
      <c r="BR72" s="497" t="str">
        <v>JPY</v>
      </c>
      <c r="BS72" s="502">
        <v>39267.709639000001</v>
      </c>
      <c r="BT72" s="497" t="str">
        <v>USD</v>
      </c>
    </row>
    <row r="73" spans="1:72" x14ac:dyDescent="0.25">
      <c r="A73" s="497" t="s">
        <v>90</v>
      </c>
      <c r="B73" s="497" t="str">
        <f>IFERROR(IF(VLOOKUP(D73,'JPM St'!$C:$G,3,0)="Fixed Income &amp; Cash","Cash",VLOOKUP(D73,'JPM St'!$C:$G,3,0)),"")</f>
        <v>Equity</v>
      </c>
      <c r="C73" s="497" t="str">
        <f>IFERROR(VLOOKUP(D73,'JPM St'!$C:$L,10,0),"")</f>
        <v>USD</v>
      </c>
      <c r="D73" s="497" t="str">
        <v>JOHNSON &amp; JOHNSON</v>
      </c>
      <c r="E73" s="500" t="str">
        <f>IFERROR(VLOOKUP(D73,'JPM St'!$C:$D,2,0),"")</f>
        <v>US4781601046</v>
      </c>
      <c r="F73" s="501">
        <f t="shared" si="7"/>
        <v>54620.172500000001</v>
      </c>
      <c r="G73" s="501">
        <f>SUMIFS('JPM St'!$K:$K,'JPM St'!$A:$A,$V$2,'JPM St'!$C:$C,D73)</f>
        <v>0</v>
      </c>
      <c r="H73" s="501">
        <f>SUMIFS('JPM St'!$K:$K,'JPM St'!$A:$A,$V$3,'JPM St'!$C:$C,D73)</f>
        <v>54620.172500000001</v>
      </c>
      <c r="I73" s="501">
        <f>SUMIFS('JPM St'!$K:$K,'JPM St'!$A:$A,$V$4,'JPM St'!$C:$C,D73)</f>
        <v>0</v>
      </c>
      <c r="J73" s="619">
        <f t="shared" si="8"/>
        <v>54620.172500000001</v>
      </c>
      <c r="K73" s="501">
        <f>IFERROR(SUMIFS('JPM St'!$M:$M,'JPM St'!$A:$A,$V$2,'JPM St'!$C:$C,D73),"")</f>
        <v>0</v>
      </c>
      <c r="L73" s="501">
        <f>IFERROR(SUMIFS('JPM St'!$M:$M,'JPM St'!$A:$A,$V$3,'JPM St'!$C:$C,D73),"")</f>
        <v>54620.172500000001</v>
      </c>
      <c r="M73" s="501">
        <f>IFERROR(SUMIFS('JPM St'!$M:$M,'JPM St'!$A:$A,$V$4,'JPM St'!$C:$C,D73),"")</f>
        <v>0</v>
      </c>
      <c r="N73" s="501"/>
      <c r="O73" s="501"/>
      <c r="P73" s="501"/>
      <c r="Q73" s="501"/>
      <c r="R73" s="501"/>
      <c r="BB73" s="497" t="str">
        <v>TRAVELERS COMPANIES</v>
      </c>
      <c r="BC73" s="497" t="str">
        <v>US89417E1091</v>
      </c>
      <c r="BD73" s="497" t="str">
        <v>Stock</v>
      </c>
      <c r="BE73" s="502">
        <v>16289.099999999999</v>
      </c>
      <c r="BF73" s="497" t="str">
        <v>USD</v>
      </c>
      <c r="BG73" s="502">
        <v>16289.099999999999</v>
      </c>
      <c r="BH73" s="497" t="str">
        <v>USD</v>
      </c>
      <c r="BN73" s="497" t="str">
        <v>Cash Account - SEK</v>
      </c>
      <c r="BO73" s="497">
        <v>0</v>
      </c>
      <c r="BP73" s="497" t="str">
        <v>Cash</v>
      </c>
      <c r="BQ73" s="502">
        <v>17844.45</v>
      </c>
      <c r="BR73" s="497" t="str">
        <v>SEK</v>
      </c>
      <c r="BS73" s="502">
        <v>1932.702579</v>
      </c>
      <c r="BT73" s="497" t="str">
        <v>USD</v>
      </c>
    </row>
    <row r="74" spans="1:72" x14ac:dyDescent="0.25">
      <c r="A74" s="497" t="s">
        <v>90</v>
      </c>
      <c r="B74" s="497" t="str">
        <f>IFERROR(IF(VLOOKUP(D74,'JPM St'!$C:$G,3,0)="Fixed Income &amp; Cash","Cash",VLOOKUP(D74,'JPM St'!$C:$G,3,0)),"")</f>
        <v>Equity</v>
      </c>
      <c r="C74" s="497" t="str">
        <f>IFERROR(VLOOKUP(D74,'JPM St'!$C:$L,10,0),"")</f>
        <v>USD</v>
      </c>
      <c r="D74" s="497" t="str">
        <v>SEAGATE TECHNOLOGY HOLDINGS</v>
      </c>
      <c r="E74" s="500" t="str">
        <f>IFERROR(VLOOKUP(D74,'JPM St'!$C:$D,2,0),"")</f>
        <v>IE00BKVD2N49</v>
      </c>
      <c r="F74" s="501">
        <f t="shared" si="7"/>
        <v>74965.8</v>
      </c>
      <c r="G74" s="501">
        <f>SUMIFS('JPM St'!$K:$K,'JPM St'!$A:$A,$V$2,'JPM St'!$C:$C,D74)</f>
        <v>54260.960000000006</v>
      </c>
      <c r="H74" s="501">
        <f>SUMIFS('JPM St'!$K:$K,'JPM St'!$A:$A,$V$3,'JPM St'!$C:$C,D74)</f>
        <v>20704.84</v>
      </c>
      <c r="I74" s="501">
        <f>SUMIFS('JPM St'!$K:$K,'JPM St'!$A:$A,$V$4,'JPM St'!$C:$C,D74)</f>
        <v>0</v>
      </c>
      <c r="J74" s="619">
        <f t="shared" si="8"/>
        <v>74965.8</v>
      </c>
      <c r="K74" s="501">
        <f>IFERROR(SUMIFS('JPM St'!$M:$M,'JPM St'!$A:$A,$V$2,'JPM St'!$C:$C,D74),"")</f>
        <v>54260.960000000006</v>
      </c>
      <c r="L74" s="501">
        <f>IFERROR(SUMIFS('JPM St'!$M:$M,'JPM St'!$A:$A,$V$3,'JPM St'!$C:$C,D74),"")</f>
        <v>20704.84</v>
      </c>
      <c r="M74" s="501">
        <f>IFERROR(SUMIFS('JPM St'!$M:$M,'JPM St'!$A:$A,$V$4,'JPM St'!$C:$C,D74),"")</f>
        <v>0</v>
      </c>
      <c r="N74" s="501"/>
      <c r="O74" s="501"/>
      <c r="P74" s="501"/>
      <c r="Q74" s="501"/>
      <c r="R74" s="501"/>
      <c r="BB74" s="497" t="str">
        <v>UNION PACIFIC</v>
      </c>
      <c r="BC74" s="497" t="str">
        <v>US9078181081</v>
      </c>
      <c r="BD74" s="497" t="str">
        <v>Stock</v>
      </c>
      <c r="BE74" s="502">
        <v>44534.305</v>
      </c>
      <c r="BF74" s="497" t="str">
        <v>USD</v>
      </c>
      <c r="BG74" s="502">
        <v>44534.305</v>
      </c>
      <c r="BH74" s="497" t="str">
        <v>USD</v>
      </c>
      <c r="BN74" s="497" t="str">
        <v>Cash Account - USD</v>
      </c>
      <c r="BO74" s="497">
        <v>0</v>
      </c>
      <c r="BP74" s="497" t="str">
        <v>Cash</v>
      </c>
      <c r="BQ74" s="502">
        <v>94398.53</v>
      </c>
      <c r="BR74" s="497" t="str">
        <v>USD</v>
      </c>
      <c r="BS74" s="502">
        <v>94398.53</v>
      </c>
      <c r="BT74" s="497" t="str">
        <v>USD</v>
      </c>
    </row>
    <row r="75" spans="1:72" x14ac:dyDescent="0.25">
      <c r="A75" s="497" t="s">
        <v>90</v>
      </c>
      <c r="B75" s="497" t="str">
        <f>IFERROR(IF(VLOOKUP(D75,'JPM St'!$C:$G,3,0)="Fixed Income &amp; Cash","Cash",VLOOKUP(D75,'JPM St'!$C:$G,3,0)),"")</f>
        <v>Equity</v>
      </c>
      <c r="C75" s="497" t="str">
        <f>IFERROR(VLOOKUP(D75,'JPM St'!$C:$L,10,0),"")</f>
        <v>USD</v>
      </c>
      <c r="D75" s="497" t="str">
        <v>SANDISK CORP</v>
      </c>
      <c r="E75" s="500" t="str">
        <f>IFERROR(VLOOKUP(D75,'JPM St'!$C:$D,2,0),"")</f>
        <v>US80004C2008</v>
      </c>
      <c r="F75" s="501">
        <f t="shared" si="7"/>
        <v>54235.200000000004</v>
      </c>
      <c r="G75" s="501">
        <f>SUMIFS('JPM St'!$K:$K,'JPM St'!$A:$A,$V$2,'JPM St'!$C:$C,D75)</f>
        <v>54235.200000000004</v>
      </c>
      <c r="H75" s="501">
        <f>SUMIFS('JPM St'!$K:$K,'JPM St'!$A:$A,$V$3,'JPM St'!$C:$C,D75)</f>
        <v>0</v>
      </c>
      <c r="I75" s="501">
        <f>SUMIFS('JPM St'!$K:$K,'JPM St'!$A:$A,$V$4,'JPM St'!$C:$C,D75)</f>
        <v>0</v>
      </c>
      <c r="J75" s="619">
        <f t="shared" si="8"/>
        <v>54235.200000000004</v>
      </c>
      <c r="K75" s="501">
        <f>IFERROR(SUMIFS('JPM St'!$M:$M,'JPM St'!$A:$A,$V$2,'JPM St'!$C:$C,D75),"")</f>
        <v>54235.200000000004</v>
      </c>
      <c r="L75" s="501">
        <f>IFERROR(SUMIFS('JPM St'!$M:$M,'JPM St'!$A:$A,$V$3,'JPM St'!$C:$C,D75),"")</f>
        <v>0</v>
      </c>
      <c r="M75" s="501">
        <f>IFERROR(SUMIFS('JPM St'!$M:$M,'JPM St'!$A:$A,$V$4,'JPM St'!$C:$C,D75),"")</f>
        <v>0</v>
      </c>
      <c r="N75" s="501"/>
      <c r="O75" s="501"/>
      <c r="P75" s="501"/>
      <c r="Q75" s="501"/>
      <c r="R75" s="501"/>
      <c r="BB75" s="497" t="str">
        <v>UNITEDHEALTH GROUP</v>
      </c>
      <c r="BC75" s="497" t="str">
        <v>US91324P1021</v>
      </c>
      <c r="BD75" s="497" t="str">
        <v>Stock</v>
      </c>
      <c r="BE75" s="502">
        <v>23645.16</v>
      </c>
      <c r="BF75" s="497" t="str">
        <v>USD</v>
      </c>
      <c r="BG75" s="502">
        <v>23645.16</v>
      </c>
      <c r="BH75" s="497" t="str">
        <v>USD</v>
      </c>
    </row>
    <row r="76" spans="1:72" x14ac:dyDescent="0.25">
      <c r="A76" s="497" t="s">
        <v>90</v>
      </c>
      <c r="B76" s="497" t="str">
        <f>IFERROR(IF(VLOOKUP(D76,'JPM St'!$C:$G,3,0)="Fixed Income &amp; Cash","Cash",VLOOKUP(D76,'JPM St'!$C:$G,3,0)),"")</f>
        <v>Equity</v>
      </c>
      <c r="C76" s="497" t="str">
        <f>IFERROR(VLOOKUP(D76,'JPM St'!$C:$L,10,0),"")</f>
        <v>USD</v>
      </c>
      <c r="D76" s="497" t="str">
        <v>HILTON WORLDWIDE HLDGS</v>
      </c>
      <c r="E76" s="500" t="str">
        <f>IFERROR(VLOOKUP(D76,'JPM St'!$C:$D,2,0),"")</f>
        <v>US43300A2033</v>
      </c>
      <c r="F76" s="501">
        <f t="shared" si="7"/>
        <v>53614.425000000003</v>
      </c>
      <c r="G76" s="501">
        <f>SUMIFS('JPM St'!$K:$K,'JPM St'!$A:$A,$V$2,'JPM St'!$C:$C,D76)</f>
        <v>0</v>
      </c>
      <c r="H76" s="501">
        <f>SUMIFS('JPM St'!$K:$K,'JPM St'!$A:$A,$V$3,'JPM St'!$C:$C,D76)</f>
        <v>0</v>
      </c>
      <c r="I76" s="501">
        <f>SUMIFS('JPM St'!$K:$K,'JPM St'!$A:$A,$V$4,'JPM St'!$C:$C,D76)</f>
        <v>53614.425000000003</v>
      </c>
      <c r="J76" s="619">
        <f t="shared" si="8"/>
        <v>53614.425000000003</v>
      </c>
      <c r="K76" s="501">
        <f>IFERROR(SUMIFS('JPM St'!$M:$M,'JPM St'!$A:$A,$V$2,'JPM St'!$C:$C,D76),"")</f>
        <v>0</v>
      </c>
      <c r="L76" s="501">
        <f>IFERROR(SUMIFS('JPM St'!$M:$M,'JPM St'!$A:$A,$V$3,'JPM St'!$C:$C,D76),"")</f>
        <v>0</v>
      </c>
      <c r="M76" s="501">
        <f>IFERROR(SUMIFS('JPM St'!$M:$M,'JPM St'!$A:$A,$V$4,'JPM St'!$C:$C,D76),"")</f>
        <v>53614.425000000003</v>
      </c>
      <c r="N76" s="501"/>
      <c r="O76" s="501"/>
      <c r="P76" s="501"/>
      <c r="Q76" s="501"/>
      <c r="R76" s="501"/>
      <c r="BB76" s="497" t="str">
        <v>US BANCORP</v>
      </c>
      <c r="BC76" s="497" t="str">
        <v>US9029733048</v>
      </c>
      <c r="BD76" s="497" t="str">
        <v>Stock</v>
      </c>
      <c r="BE76" s="502">
        <v>18295.2</v>
      </c>
      <c r="BF76" s="497" t="str">
        <v>USD</v>
      </c>
      <c r="BG76" s="502">
        <v>18295.2</v>
      </c>
      <c r="BH76" s="497" t="str">
        <v>USD</v>
      </c>
    </row>
    <row r="77" spans="1:72" x14ac:dyDescent="0.25">
      <c r="A77" s="497" t="s">
        <v>90</v>
      </c>
      <c r="B77" s="497" t="str">
        <f>IFERROR(IF(VLOOKUP(D77,'JPM St'!$C:$G,3,0)="Fixed Income &amp; Cash","Cash",VLOOKUP(D77,'JPM St'!$C:$G,3,0)),"")</f>
        <v>Equity</v>
      </c>
      <c r="C77" s="497" t="str">
        <f>IFERROR(VLOOKUP(D77,'JPM St'!$C:$L,10,0),"")</f>
        <v>USD</v>
      </c>
      <c r="D77" s="497" t="str">
        <v>INTUIT</v>
      </c>
      <c r="E77" s="500" t="str">
        <f>IFERROR(VLOOKUP(D77,'JPM St'!$C:$D,2,0),"")</f>
        <v>US4612021034</v>
      </c>
      <c r="F77" s="501">
        <f t="shared" si="7"/>
        <v>51001.919999999998</v>
      </c>
      <c r="G77" s="501">
        <f>SUMIFS('JPM St'!$K:$K,'JPM St'!$A:$A,$V$2,'JPM St'!$C:$C,D77)</f>
        <v>0</v>
      </c>
      <c r="H77" s="501">
        <f>SUMIFS('JPM St'!$K:$K,'JPM St'!$A:$A,$V$3,'JPM St'!$C:$C,D77)</f>
        <v>0</v>
      </c>
      <c r="I77" s="501">
        <f>SUMIFS('JPM St'!$K:$K,'JPM St'!$A:$A,$V$4,'JPM St'!$C:$C,D77)</f>
        <v>51001.919999999998</v>
      </c>
      <c r="J77" s="619">
        <f t="shared" si="8"/>
        <v>51001.919999999998</v>
      </c>
      <c r="K77" s="501">
        <f>IFERROR(SUMIFS('JPM St'!$M:$M,'JPM St'!$A:$A,$V$2,'JPM St'!$C:$C,D77),"")</f>
        <v>0</v>
      </c>
      <c r="L77" s="501">
        <f>IFERROR(SUMIFS('JPM St'!$M:$M,'JPM St'!$A:$A,$V$3,'JPM St'!$C:$C,D77),"")</f>
        <v>0</v>
      </c>
      <c r="M77" s="501">
        <f>IFERROR(SUMIFS('JPM St'!$M:$M,'JPM St'!$A:$A,$V$4,'JPM St'!$C:$C,D77),"")</f>
        <v>51001.919999999998</v>
      </c>
      <c r="N77" s="501"/>
      <c r="O77" s="501"/>
      <c r="P77" s="501"/>
      <c r="Q77" s="501"/>
      <c r="R77" s="501"/>
      <c r="BB77" s="497" t="str">
        <v>VENTAS</v>
      </c>
      <c r="BC77" s="497" t="str">
        <v>US92276F1003</v>
      </c>
      <c r="BD77" s="497" t="str">
        <v>Stock</v>
      </c>
      <c r="BE77" s="502">
        <v>24429.599999999999</v>
      </c>
      <c r="BF77" s="497" t="str">
        <v>USD</v>
      </c>
      <c r="BG77" s="502">
        <v>24429.599999999999</v>
      </c>
      <c r="BH77" s="497" t="str">
        <v>USD</v>
      </c>
    </row>
    <row r="78" spans="1:72" x14ac:dyDescent="0.25">
      <c r="A78" s="497" t="s">
        <v>90</v>
      </c>
      <c r="B78" s="497" t="str">
        <f>IFERROR(IF(VLOOKUP(D78,'JPM St'!$C:$G,3,0)="Fixed Income &amp; Cash","Cash",VLOOKUP(D78,'JPM St'!$C:$G,3,0)),"")</f>
        <v>Equity</v>
      </c>
      <c r="C78" s="497" t="str">
        <f>IFERROR(VLOOKUP(D78,'JPM St'!$C:$L,10,0),"")</f>
        <v>JPY</v>
      </c>
      <c r="D78" s="497" t="str">
        <v>HOYA HD</v>
      </c>
      <c r="E78" s="500" t="str">
        <f>IFERROR(VLOOKUP(D78,'JPM St'!$C:$D,2,0),"")</f>
        <v>JP3837800006</v>
      </c>
      <c r="F78" s="501">
        <f t="shared" si="7"/>
        <v>8029500</v>
      </c>
      <c r="G78" s="501">
        <f>SUMIFS('JPM St'!$K:$K,'JPM St'!$A:$A,$V$2,'JPM St'!$C:$C,D78)</f>
        <v>0</v>
      </c>
      <c r="H78" s="501">
        <f>SUMIFS('JPM St'!$K:$K,'JPM St'!$A:$A,$V$3,'JPM St'!$C:$C,D78)</f>
        <v>0</v>
      </c>
      <c r="I78" s="501">
        <f>SUMIFS('JPM St'!$K:$K,'JPM St'!$A:$A,$V$4,'JPM St'!$C:$C,D78)</f>
        <v>8029500</v>
      </c>
      <c r="J78" s="619">
        <f t="shared" si="8"/>
        <v>50642.056499999999</v>
      </c>
      <c r="K78" s="501">
        <f>IFERROR(SUMIFS('JPM St'!$M:$M,'JPM St'!$A:$A,$V$2,'JPM St'!$C:$C,D78),"")</f>
        <v>0</v>
      </c>
      <c r="L78" s="501">
        <f>IFERROR(SUMIFS('JPM St'!$M:$M,'JPM St'!$A:$A,$V$3,'JPM St'!$C:$C,D78),"")</f>
        <v>0</v>
      </c>
      <c r="M78" s="501">
        <f>IFERROR(SUMIFS('JPM St'!$M:$M,'JPM St'!$A:$A,$V$4,'JPM St'!$C:$C,D78),"")</f>
        <v>50642.056499999999</v>
      </c>
      <c r="N78" s="501"/>
      <c r="O78" s="501"/>
      <c r="P78" s="501"/>
      <c r="Q78" s="501"/>
      <c r="R78" s="501"/>
      <c r="BB78" s="497" t="str">
        <v>VERIZON COMMUNICATIONS</v>
      </c>
      <c r="BC78" s="497" t="str">
        <v>US92343V1044</v>
      </c>
      <c r="BD78" s="497" t="str">
        <v>Stock</v>
      </c>
      <c r="BE78" s="502">
        <v>17450.099999999999</v>
      </c>
      <c r="BF78" s="497" t="str">
        <v>USD</v>
      </c>
      <c r="BG78" s="502">
        <v>17450.099999999999</v>
      </c>
      <c r="BH78" s="497" t="str">
        <v>USD</v>
      </c>
    </row>
    <row r="79" spans="1:72" x14ac:dyDescent="0.25">
      <c r="A79" s="497" t="s">
        <v>90</v>
      </c>
      <c r="B79" s="497" t="str">
        <f>IFERROR(IF(VLOOKUP(D79,'JPM St'!$C:$G,3,0)="Fixed Income &amp; Cash","Cash",VLOOKUP(D79,'JPM St'!$C:$G,3,0)),"")</f>
        <v>Equity</v>
      </c>
      <c r="C79" s="497" t="str">
        <f>IFERROR(VLOOKUP(D79,'JPM St'!$C:$L,10,0),"")</f>
        <v>USD</v>
      </c>
      <c r="D79" s="497" t="str">
        <v>STRYKER</v>
      </c>
      <c r="E79" s="500" t="str">
        <f>IFERROR(VLOOKUP(D79,'JPM St'!$C:$D,2,0),"")</f>
        <v>US8636671013</v>
      </c>
      <c r="F79" s="501">
        <f t="shared" si="7"/>
        <v>50620.762499999997</v>
      </c>
      <c r="G79" s="501">
        <f>SUMIFS('JPM St'!$K:$K,'JPM St'!$A:$A,$V$2,'JPM St'!$C:$C,D79)</f>
        <v>0</v>
      </c>
      <c r="H79" s="501">
        <f>SUMIFS('JPM St'!$K:$K,'JPM St'!$A:$A,$V$3,'JPM St'!$C:$C,D79)</f>
        <v>0</v>
      </c>
      <c r="I79" s="501">
        <f>SUMIFS('JPM St'!$K:$K,'JPM St'!$A:$A,$V$4,'JPM St'!$C:$C,D79)</f>
        <v>50620.762499999997</v>
      </c>
      <c r="J79" s="619">
        <f t="shared" si="8"/>
        <v>50620.762499999997</v>
      </c>
      <c r="K79" s="501">
        <f>IFERROR(SUMIFS('JPM St'!$M:$M,'JPM St'!$A:$A,$V$2,'JPM St'!$C:$C,D79),"")</f>
        <v>0</v>
      </c>
      <c r="L79" s="501">
        <f>IFERROR(SUMIFS('JPM St'!$M:$M,'JPM St'!$A:$A,$V$3,'JPM St'!$C:$C,D79),"")</f>
        <v>0</v>
      </c>
      <c r="M79" s="501">
        <f>IFERROR(SUMIFS('JPM St'!$M:$M,'JPM St'!$A:$A,$V$4,'JPM St'!$C:$C,D79),"")</f>
        <v>50620.762499999997</v>
      </c>
      <c r="N79" s="501"/>
      <c r="O79" s="501"/>
      <c r="P79" s="501"/>
      <c r="Q79" s="501"/>
      <c r="R79" s="501"/>
      <c r="BB79" s="497" t="str">
        <v>WALMART INC</v>
      </c>
      <c r="BC79" s="497" t="str">
        <v>US9311421039</v>
      </c>
      <c r="BD79" s="497" t="str">
        <v>Stock</v>
      </c>
      <c r="BE79" s="502">
        <v>32440.32</v>
      </c>
      <c r="BF79" s="497" t="str">
        <v>USD</v>
      </c>
      <c r="BG79" s="502">
        <v>32440.32</v>
      </c>
      <c r="BH79" s="497" t="str">
        <v>USD</v>
      </c>
    </row>
    <row r="80" spans="1:72" x14ac:dyDescent="0.25">
      <c r="A80" s="497" t="s">
        <v>90</v>
      </c>
      <c r="B80" s="497" t="str">
        <f>IFERROR(IF(VLOOKUP(D80,'JPM St'!$C:$G,3,0)="Fixed Income &amp; Cash","Cash",VLOOKUP(D80,'JPM St'!$C:$G,3,0)),"")</f>
        <v>Equity</v>
      </c>
      <c r="C80" s="497" t="str">
        <f>IFERROR(VLOOKUP(D80,'JPM St'!$C:$L,10,0),"")</f>
        <v>USD</v>
      </c>
      <c r="D80" s="497" t="str">
        <v>CELESTICA INC</v>
      </c>
      <c r="E80" s="500" t="str">
        <f>IFERROR(VLOOKUP(D80,'JPM St'!$C:$D,2,0),"")</f>
        <v>CA15101Q2071</v>
      </c>
      <c r="F80" s="501">
        <f t="shared" si="7"/>
        <v>49041.26</v>
      </c>
      <c r="G80" s="501">
        <f>SUMIFS('JPM St'!$K:$K,'JPM St'!$A:$A,$V$2,'JPM St'!$C:$C,D80)</f>
        <v>49041.26</v>
      </c>
      <c r="H80" s="501">
        <f>SUMIFS('JPM St'!$K:$K,'JPM St'!$A:$A,$V$3,'JPM St'!$C:$C,D80)</f>
        <v>0</v>
      </c>
      <c r="I80" s="501">
        <f>SUMIFS('JPM St'!$K:$K,'JPM St'!$A:$A,$V$4,'JPM St'!$C:$C,D80)</f>
        <v>0</v>
      </c>
      <c r="J80" s="619">
        <f t="shared" si="8"/>
        <v>49041.26</v>
      </c>
      <c r="K80" s="501">
        <f>IFERROR(SUMIFS('JPM St'!$M:$M,'JPM St'!$A:$A,$V$2,'JPM St'!$C:$C,D80),"")</f>
        <v>49041.26</v>
      </c>
      <c r="L80" s="501">
        <f>IFERROR(SUMIFS('JPM St'!$M:$M,'JPM St'!$A:$A,$V$3,'JPM St'!$C:$C,D80),"")</f>
        <v>0</v>
      </c>
      <c r="M80" s="501">
        <f>IFERROR(SUMIFS('JPM St'!$M:$M,'JPM St'!$A:$A,$V$4,'JPM St'!$C:$C,D80),"")</f>
        <v>0</v>
      </c>
      <c r="N80" s="501"/>
      <c r="O80" s="501"/>
      <c r="P80" s="501"/>
      <c r="Q80" s="501"/>
      <c r="R80" s="501"/>
      <c r="BB80" s="497" t="str">
        <v>WALT DISNEY CO/THE</v>
      </c>
      <c r="BC80" s="497" t="str">
        <v>US2546871060</v>
      </c>
      <c r="BD80" s="497" t="str">
        <v>Stock</v>
      </c>
      <c r="BE80" s="502">
        <v>27827.43</v>
      </c>
      <c r="BF80" s="497" t="str">
        <v>USD</v>
      </c>
      <c r="BG80" s="502">
        <v>27827.43</v>
      </c>
      <c r="BH80" s="497" t="str">
        <v>USD</v>
      </c>
    </row>
    <row r="81" spans="1:60" x14ac:dyDescent="0.25">
      <c r="A81" s="497" t="s">
        <v>90</v>
      </c>
      <c r="B81" s="497" t="str">
        <f>IFERROR(IF(VLOOKUP(D81,'JPM St'!$C:$G,3,0)="Fixed Income &amp; Cash","Cash",VLOOKUP(D81,'JPM St'!$C:$G,3,0)),"")</f>
        <v>Equity</v>
      </c>
      <c r="C81" s="497" t="str">
        <f>IFERROR(VLOOKUP(D81,'JPM St'!$C:$L,10,0),"")</f>
        <v>USD</v>
      </c>
      <c r="D81" s="497" t="str">
        <v>CHIPOTLE MEXICAN GRILL -A-</v>
      </c>
      <c r="E81" s="500" t="str">
        <f>IFERROR(VLOOKUP(D81,'JPM St'!$C:$D,2,0),"")</f>
        <v>US1696561059</v>
      </c>
      <c r="F81" s="501">
        <f t="shared" si="7"/>
        <v>47093.85</v>
      </c>
      <c r="G81" s="501">
        <f>SUMIFS('JPM St'!$K:$K,'JPM St'!$A:$A,$V$2,'JPM St'!$C:$C,D81)</f>
        <v>0</v>
      </c>
      <c r="H81" s="501">
        <f>SUMIFS('JPM St'!$K:$K,'JPM St'!$A:$A,$V$3,'JPM St'!$C:$C,D81)</f>
        <v>0</v>
      </c>
      <c r="I81" s="501">
        <f>SUMIFS('JPM St'!$K:$K,'JPM St'!$A:$A,$V$4,'JPM St'!$C:$C,D81)</f>
        <v>47093.85</v>
      </c>
      <c r="J81" s="619">
        <f t="shared" si="8"/>
        <v>47093.85</v>
      </c>
      <c r="K81" s="501">
        <f>IFERROR(SUMIFS('JPM St'!$M:$M,'JPM St'!$A:$A,$V$2,'JPM St'!$C:$C,D81),"")</f>
        <v>0</v>
      </c>
      <c r="L81" s="501">
        <f>IFERROR(SUMIFS('JPM St'!$M:$M,'JPM St'!$A:$A,$V$3,'JPM St'!$C:$C,D81),"")</f>
        <v>0</v>
      </c>
      <c r="M81" s="501">
        <f>IFERROR(SUMIFS('JPM St'!$M:$M,'JPM St'!$A:$A,$V$4,'JPM St'!$C:$C,D81),"")</f>
        <v>47093.85</v>
      </c>
      <c r="N81" s="501"/>
      <c r="O81" s="501"/>
      <c r="P81" s="501"/>
      <c r="Q81" s="501"/>
      <c r="R81" s="501"/>
      <c r="BB81" s="497" t="str">
        <v>WELLS FARGO</v>
      </c>
      <c r="BC81" s="497" t="str">
        <v>US9497461015</v>
      </c>
      <c r="BD81" s="497" t="str">
        <v>Stock</v>
      </c>
      <c r="BE81" s="502">
        <v>63921.600000000006</v>
      </c>
      <c r="BF81" s="497" t="str">
        <v>USD</v>
      </c>
      <c r="BG81" s="502">
        <v>63921.600000000006</v>
      </c>
      <c r="BH81" s="497" t="str">
        <v>USD</v>
      </c>
    </row>
    <row r="82" spans="1:60" x14ac:dyDescent="0.25">
      <c r="A82" s="497" t="s">
        <v>90</v>
      </c>
      <c r="B82" s="497" t="str">
        <f>IFERROR(IF(VLOOKUP(D82,'JPM St'!$C:$G,3,0)="Fixed Income &amp; Cash","Cash",VLOOKUP(D82,'JPM St'!$C:$G,3,0)),"")</f>
        <v>Equity</v>
      </c>
      <c r="C82" s="497" t="str">
        <f>IFERROR(VLOOKUP(D82,'JPM St'!$C:$L,10,0),"")</f>
        <v>USD</v>
      </c>
      <c r="D82" s="497" t="str">
        <v>ROBLOX CORP -CLASS A</v>
      </c>
      <c r="E82" s="500" t="str">
        <f>IFERROR(VLOOKUP(D82,'JPM St'!$C:$D,2,0),"")</f>
        <v>US7710491033</v>
      </c>
      <c r="F82" s="501">
        <f t="shared" si="7"/>
        <v>47067.9</v>
      </c>
      <c r="G82" s="501">
        <f>SUMIFS('JPM St'!$K:$K,'JPM St'!$A:$A,$V$2,'JPM St'!$C:$C,D82)</f>
        <v>47067.9</v>
      </c>
      <c r="H82" s="501">
        <f>SUMIFS('JPM St'!$K:$K,'JPM St'!$A:$A,$V$3,'JPM St'!$C:$C,D82)</f>
        <v>0</v>
      </c>
      <c r="I82" s="501">
        <f>SUMIFS('JPM St'!$K:$K,'JPM St'!$A:$A,$V$4,'JPM St'!$C:$C,D82)</f>
        <v>0</v>
      </c>
      <c r="J82" s="619">
        <f t="shared" si="8"/>
        <v>47067.9</v>
      </c>
      <c r="K82" s="501">
        <f>IFERROR(SUMIFS('JPM St'!$M:$M,'JPM St'!$A:$A,$V$2,'JPM St'!$C:$C,D82),"")</f>
        <v>47067.9</v>
      </c>
      <c r="L82" s="501">
        <f>IFERROR(SUMIFS('JPM St'!$M:$M,'JPM St'!$A:$A,$V$3,'JPM St'!$C:$C,D82),"")</f>
        <v>0</v>
      </c>
      <c r="M82" s="501">
        <f>IFERROR(SUMIFS('JPM St'!$M:$M,'JPM St'!$A:$A,$V$4,'JPM St'!$C:$C,D82),"")</f>
        <v>0</v>
      </c>
      <c r="N82" s="501"/>
      <c r="O82" s="501"/>
      <c r="P82" s="501"/>
      <c r="Q82" s="501"/>
      <c r="R82" s="501"/>
      <c r="BB82" s="497" t="str">
        <v>XCEL ENERGY INC</v>
      </c>
      <c r="BC82" s="497" t="str">
        <v>US98389B1008</v>
      </c>
      <c r="BD82" s="497" t="str">
        <v>Stock</v>
      </c>
      <c r="BE82" s="502">
        <v>29502.782799999997</v>
      </c>
      <c r="BF82" s="497" t="str">
        <v>USD</v>
      </c>
      <c r="BG82" s="502">
        <v>29502.782799999997</v>
      </c>
      <c r="BH82" s="497" t="str">
        <v>USD</v>
      </c>
    </row>
    <row r="83" spans="1:60" x14ac:dyDescent="0.25">
      <c r="A83" s="497" t="s">
        <v>90</v>
      </c>
      <c r="B83" s="497" t="str">
        <f>IFERROR(IF(VLOOKUP(D83,'JPM St'!$C:$G,3,0)="Fixed Income &amp; Cash","Cash",VLOOKUP(D83,'JPM St'!$C:$G,3,0)),"")</f>
        <v>Equity</v>
      </c>
      <c r="C83" s="497" t="str">
        <f>IFERROR(VLOOKUP(D83,'JPM St'!$C:$L,10,0),"")</f>
        <v>USD</v>
      </c>
      <c r="D83" s="497" t="str">
        <v>KLAVIYO INC-A</v>
      </c>
      <c r="E83" s="500" t="str">
        <f>IFERROR(VLOOKUP(D83,'JPM St'!$C:$D,2,0),"")</f>
        <v>US49845K1016</v>
      </c>
      <c r="F83" s="501">
        <f t="shared" si="7"/>
        <v>46743.839999999997</v>
      </c>
      <c r="G83" s="501">
        <f>SUMIFS('JPM St'!$K:$K,'JPM St'!$A:$A,$V$2,'JPM St'!$C:$C,D83)</f>
        <v>46743.839999999997</v>
      </c>
      <c r="H83" s="501">
        <f>SUMIFS('JPM St'!$K:$K,'JPM St'!$A:$A,$V$3,'JPM St'!$C:$C,D83)</f>
        <v>0</v>
      </c>
      <c r="I83" s="501">
        <f>SUMIFS('JPM St'!$K:$K,'JPM St'!$A:$A,$V$4,'JPM St'!$C:$C,D83)</f>
        <v>0</v>
      </c>
      <c r="J83" s="619">
        <f t="shared" si="8"/>
        <v>46743.839999999997</v>
      </c>
      <c r="K83" s="501">
        <f>IFERROR(SUMIFS('JPM St'!$M:$M,'JPM St'!$A:$A,$V$2,'JPM St'!$C:$C,D83),"")</f>
        <v>46743.839999999997</v>
      </c>
      <c r="L83" s="501">
        <f>IFERROR(SUMIFS('JPM St'!$M:$M,'JPM St'!$A:$A,$V$3,'JPM St'!$C:$C,D83),"")</f>
        <v>0</v>
      </c>
      <c r="M83" s="501">
        <f>IFERROR(SUMIFS('JPM St'!$M:$M,'JPM St'!$A:$A,$V$4,'JPM St'!$C:$C,D83),"")</f>
        <v>0</v>
      </c>
      <c r="N83" s="501"/>
      <c r="O83" s="501"/>
      <c r="P83" s="501"/>
      <c r="Q83" s="501"/>
      <c r="R83" s="501"/>
      <c r="BB83" s="497" t="str">
        <v>YUM! BRANDS INC</v>
      </c>
      <c r="BC83" s="497" t="str">
        <v>US9884981013</v>
      </c>
      <c r="BD83" s="497" t="str">
        <v>Stock</v>
      </c>
      <c r="BE83" s="502">
        <v>14624.25</v>
      </c>
      <c r="BF83" s="497" t="str">
        <v>USD</v>
      </c>
      <c r="BG83" s="502">
        <v>14624.25</v>
      </c>
      <c r="BH83" s="497" t="str">
        <v>USD</v>
      </c>
    </row>
    <row r="84" spans="1:60" x14ac:dyDescent="0.25">
      <c r="A84" s="497" t="s">
        <v>90</v>
      </c>
      <c r="B84" s="497" t="str">
        <f>IFERROR(IF(VLOOKUP(D84,'JPM St'!$C:$G,3,0)="Fixed Income &amp; Cash","Cash",VLOOKUP(D84,'JPM St'!$C:$G,3,0)),"")</f>
        <v>Equity</v>
      </c>
      <c r="C84" s="497" t="str">
        <f>IFERROR(VLOOKUP(D84,'JPM St'!$C:$L,10,0),"")</f>
        <v>USD</v>
      </c>
      <c r="D84" s="497" t="str">
        <v>ORACLE</v>
      </c>
      <c r="E84" s="500" t="str">
        <f>IFERROR(VLOOKUP(D84,'JPM St'!$C:$D,2,0),"")</f>
        <v>US68389X1054</v>
      </c>
      <c r="F84" s="501">
        <f t="shared" si="7"/>
        <v>46493.979999999996</v>
      </c>
      <c r="G84" s="501">
        <f>SUMIFS('JPM St'!$K:$K,'JPM St'!$A:$A,$V$2,'JPM St'!$C:$C,D84)</f>
        <v>0</v>
      </c>
      <c r="H84" s="501">
        <f>SUMIFS('JPM St'!$K:$K,'JPM St'!$A:$A,$V$3,'JPM St'!$C:$C,D84)</f>
        <v>0</v>
      </c>
      <c r="I84" s="501">
        <f>SUMIFS('JPM St'!$K:$K,'JPM St'!$A:$A,$V$4,'JPM St'!$C:$C,D84)</f>
        <v>46493.979999999996</v>
      </c>
      <c r="J84" s="619">
        <f t="shared" si="8"/>
        <v>46493.979999999996</v>
      </c>
      <c r="K84" s="501">
        <f>IFERROR(SUMIFS('JPM St'!$M:$M,'JPM St'!$A:$A,$V$2,'JPM St'!$C:$C,D84),"")</f>
        <v>0</v>
      </c>
      <c r="L84" s="501">
        <f>IFERROR(SUMIFS('JPM St'!$M:$M,'JPM St'!$A:$A,$V$3,'JPM St'!$C:$C,D84),"")</f>
        <v>0</v>
      </c>
      <c r="M84" s="501">
        <f>IFERROR(SUMIFS('JPM St'!$M:$M,'JPM St'!$A:$A,$V$4,'JPM St'!$C:$C,D84),"")</f>
        <v>46493.979999999996</v>
      </c>
      <c r="N84" s="501"/>
      <c r="O84" s="501"/>
      <c r="P84" s="501"/>
      <c r="Q84" s="501"/>
      <c r="R84" s="501"/>
      <c r="BB84" s="497" t="str">
        <v>Cash Account - EUR</v>
      </c>
      <c r="BC84" s="497">
        <v>0</v>
      </c>
      <c r="BD84" s="497" t="str">
        <v>Cash</v>
      </c>
      <c r="BE84" s="502">
        <v>0</v>
      </c>
      <c r="BF84" s="497" t="str">
        <v>EUR</v>
      </c>
      <c r="BG84" s="502">
        <v>0</v>
      </c>
      <c r="BH84" s="497" t="str">
        <v>USD</v>
      </c>
    </row>
    <row r="85" spans="1:60" x14ac:dyDescent="0.25">
      <c r="A85" s="497" t="s">
        <v>90</v>
      </c>
      <c r="B85" s="497" t="str">
        <f>IFERROR(IF(VLOOKUP(D85,'JPM St'!$C:$G,3,0)="Fixed Income &amp; Cash","Cash",VLOOKUP(D85,'JPM St'!$C:$G,3,0)),"")</f>
        <v>Equity</v>
      </c>
      <c r="C85" s="497" t="str">
        <f>IFERROR(VLOOKUP(D85,'JPM St'!$C:$L,10,0),"")</f>
        <v>EUR</v>
      </c>
      <c r="D85" s="497" t="str">
        <v>INDRA SISTEMAS</v>
      </c>
      <c r="E85" s="500" t="str">
        <f>IFERROR(VLOOKUP(D85,'JPM St'!$C:$D,2,0),"")</f>
        <v>ES0118594417</v>
      </c>
      <c r="F85" s="501">
        <f t="shared" si="7"/>
        <v>40106.550000000003</v>
      </c>
      <c r="G85" s="501">
        <f>SUMIFS('JPM St'!$K:$K,'JPM St'!$A:$A,$V$2,'JPM St'!$C:$C,D85)</f>
        <v>0</v>
      </c>
      <c r="H85" s="501">
        <f>SUMIFS('JPM St'!$K:$K,'JPM St'!$A:$A,$V$3,'JPM St'!$C:$C,D85)</f>
        <v>0</v>
      </c>
      <c r="I85" s="501">
        <f>SUMIFS('JPM St'!$K:$K,'JPM St'!$A:$A,$V$4,'JPM St'!$C:$C,D85)</f>
        <v>40106.550000000003</v>
      </c>
      <c r="J85" s="619">
        <f t="shared" si="8"/>
        <v>46427.342279999997</v>
      </c>
      <c r="K85" s="501">
        <f>IFERROR(SUMIFS('JPM St'!$M:$M,'JPM St'!$A:$A,$V$2,'JPM St'!$C:$C,D85),"")</f>
        <v>0</v>
      </c>
      <c r="L85" s="501">
        <f>IFERROR(SUMIFS('JPM St'!$M:$M,'JPM St'!$A:$A,$V$3,'JPM St'!$C:$C,D85),"")</f>
        <v>0</v>
      </c>
      <c r="M85" s="501">
        <f>IFERROR(SUMIFS('JPM St'!$M:$M,'JPM St'!$A:$A,$V$4,'JPM St'!$C:$C,D85),"")</f>
        <v>46427.342279999997</v>
      </c>
      <c r="N85" s="501"/>
      <c r="O85" s="501"/>
      <c r="P85" s="501"/>
      <c r="Q85" s="501"/>
      <c r="R85" s="501"/>
      <c r="BB85" s="497" t="str">
        <v>Cash Account - GBP</v>
      </c>
      <c r="BC85" s="497">
        <v>0</v>
      </c>
      <c r="BD85" s="497" t="str">
        <v>Cash</v>
      </c>
      <c r="BE85" s="502">
        <v>0</v>
      </c>
      <c r="BF85" s="497" t="str">
        <v>GBP</v>
      </c>
      <c r="BG85" s="502">
        <v>0</v>
      </c>
      <c r="BH85" s="497" t="str">
        <v>USD</v>
      </c>
    </row>
    <row r="86" spans="1:60" x14ac:dyDescent="0.25">
      <c r="A86" s="497" t="s">
        <v>90</v>
      </c>
      <c r="B86" s="497" t="str">
        <f>IFERROR(IF(VLOOKUP(D86,'JPM St'!$C:$G,3,0)="Fixed Income &amp; Cash","Cash",VLOOKUP(D86,'JPM St'!$C:$G,3,0)),"")</f>
        <v>Equity</v>
      </c>
      <c r="C86" s="497" t="str">
        <f>IFERROR(VLOOKUP(D86,'JPM St'!$C:$L,10,0),"")</f>
        <v>USD</v>
      </c>
      <c r="D86" s="497" t="str">
        <v>DYNATRACE INC</v>
      </c>
      <c r="E86" s="500" t="str">
        <f>IFERROR(VLOOKUP(D86,'JPM St'!$C:$D,2,0),"")</f>
        <v>US2681501092</v>
      </c>
      <c r="F86" s="501">
        <f t="shared" si="7"/>
        <v>45960.69</v>
      </c>
      <c r="G86" s="501">
        <f>SUMIFS('JPM St'!$K:$K,'JPM St'!$A:$A,$V$2,'JPM St'!$C:$C,D86)</f>
        <v>45960.69</v>
      </c>
      <c r="H86" s="501">
        <f>SUMIFS('JPM St'!$K:$K,'JPM St'!$A:$A,$V$3,'JPM St'!$C:$C,D86)</f>
        <v>0</v>
      </c>
      <c r="I86" s="501">
        <f>SUMIFS('JPM St'!$K:$K,'JPM St'!$A:$A,$V$4,'JPM St'!$C:$C,D86)</f>
        <v>0</v>
      </c>
      <c r="J86" s="619">
        <f t="shared" si="8"/>
        <v>45960.69</v>
      </c>
      <c r="K86" s="501">
        <f>IFERROR(SUMIFS('JPM St'!$M:$M,'JPM St'!$A:$A,$V$2,'JPM St'!$C:$C,D86),"")</f>
        <v>45960.69</v>
      </c>
      <c r="L86" s="501">
        <f>IFERROR(SUMIFS('JPM St'!$M:$M,'JPM St'!$A:$A,$V$3,'JPM St'!$C:$C,D86),"")</f>
        <v>0</v>
      </c>
      <c r="M86" s="501">
        <f>IFERROR(SUMIFS('JPM St'!$M:$M,'JPM St'!$A:$A,$V$4,'JPM St'!$C:$C,D86),"")</f>
        <v>0</v>
      </c>
      <c r="N86" s="501"/>
      <c r="O86" s="501"/>
      <c r="P86" s="501"/>
      <c r="Q86" s="501"/>
      <c r="R86" s="501"/>
      <c r="BB86" s="497" t="str">
        <v>Cash Account - USD</v>
      </c>
      <c r="BC86" s="497">
        <v>0</v>
      </c>
      <c r="BD86" s="497" t="str">
        <v>Cash</v>
      </c>
      <c r="BE86" s="502">
        <v>68188.27</v>
      </c>
      <c r="BF86" s="497" t="str">
        <v>USD</v>
      </c>
      <c r="BG86" s="502">
        <v>68188.27</v>
      </c>
      <c r="BH86" s="497" t="str">
        <v>USD</v>
      </c>
    </row>
    <row r="87" spans="1:60" x14ac:dyDescent="0.25">
      <c r="A87" s="497" t="s">
        <v>90</v>
      </c>
      <c r="B87" s="497" t="str">
        <f>IFERROR(IF(VLOOKUP(D87,'JPM St'!$C:$G,3,0)="Fixed Income &amp; Cash","Cash",VLOOKUP(D87,'JPM St'!$C:$G,3,0)),"")</f>
        <v>Equity</v>
      </c>
      <c r="C87" s="497" t="str">
        <f>IFERROR(VLOOKUP(D87,'JPM St'!$C:$L,10,0),"")</f>
        <v>USD</v>
      </c>
      <c r="D87" s="497" t="str">
        <v>ALBEMARLE</v>
      </c>
      <c r="E87" s="500" t="str">
        <f>IFERROR(VLOOKUP(D87,'JPM St'!$C:$D,2,0),"")</f>
        <v>US0126531013</v>
      </c>
      <c r="F87" s="501">
        <f t="shared" si="7"/>
        <v>45392.74</v>
      </c>
      <c r="G87" s="501">
        <f>SUMIFS('JPM St'!$K:$K,'JPM St'!$A:$A,$V$2,'JPM St'!$C:$C,D87)</f>
        <v>0</v>
      </c>
      <c r="H87" s="501">
        <f>SUMIFS('JPM St'!$K:$K,'JPM St'!$A:$A,$V$3,'JPM St'!$C:$C,D87)</f>
        <v>0</v>
      </c>
      <c r="I87" s="501">
        <f>SUMIFS('JPM St'!$K:$K,'JPM St'!$A:$A,$V$4,'JPM St'!$C:$C,D87)</f>
        <v>45392.74</v>
      </c>
      <c r="J87" s="619">
        <f t="shared" si="8"/>
        <v>45392.74</v>
      </c>
      <c r="K87" s="501">
        <f>IFERROR(SUMIFS('JPM St'!$M:$M,'JPM St'!$A:$A,$V$2,'JPM St'!$C:$C,D87),"")</f>
        <v>0</v>
      </c>
      <c r="L87" s="501">
        <f>IFERROR(SUMIFS('JPM St'!$M:$M,'JPM St'!$A:$A,$V$3,'JPM St'!$C:$C,D87),"")</f>
        <v>0</v>
      </c>
      <c r="M87" s="501">
        <f>IFERROR(SUMIFS('JPM St'!$M:$M,'JPM St'!$A:$A,$V$4,'JPM St'!$C:$C,D87),"")</f>
        <v>45392.74</v>
      </c>
      <c r="N87" s="501"/>
      <c r="O87" s="501"/>
      <c r="P87" s="501"/>
      <c r="Q87" s="501"/>
      <c r="R87" s="501"/>
    </row>
    <row r="88" spans="1:60" x14ac:dyDescent="0.25">
      <c r="A88" s="497" t="s">
        <v>90</v>
      </c>
      <c r="B88" s="497" t="str">
        <f>IFERROR(IF(VLOOKUP(D88,'JPM St'!$C:$G,3,0)="Fixed Income &amp; Cash","Cash",VLOOKUP(D88,'JPM St'!$C:$G,3,0)),"")</f>
        <v>Equity</v>
      </c>
      <c r="C88" s="497" t="str">
        <f>IFERROR(VLOOKUP(D88,'JPM St'!$C:$L,10,0),"")</f>
        <v>USD</v>
      </c>
      <c r="D88" s="497" t="str">
        <v>SNOWFLAKE INC</v>
      </c>
      <c r="E88" s="500" t="str">
        <f>IFERROR(VLOOKUP(D88,'JPM St'!$C:$D,2,0),"")</f>
        <v>US8334451098</v>
      </c>
      <c r="F88" s="501">
        <f t="shared" si="7"/>
        <v>45289.47</v>
      </c>
      <c r="G88" s="501">
        <f>SUMIFS('JPM St'!$K:$K,'JPM St'!$A:$A,$V$2,'JPM St'!$C:$C,D88)</f>
        <v>45289.47</v>
      </c>
      <c r="H88" s="501">
        <f>SUMIFS('JPM St'!$K:$K,'JPM St'!$A:$A,$V$3,'JPM St'!$C:$C,D88)</f>
        <v>0</v>
      </c>
      <c r="I88" s="501">
        <f>SUMIFS('JPM St'!$K:$K,'JPM St'!$A:$A,$V$4,'JPM St'!$C:$C,D88)</f>
        <v>0</v>
      </c>
      <c r="J88" s="619">
        <f t="shared" si="8"/>
        <v>45289.47</v>
      </c>
      <c r="K88" s="501">
        <f>IFERROR(SUMIFS('JPM St'!$M:$M,'JPM St'!$A:$A,$V$2,'JPM St'!$C:$C,D88),"")</f>
        <v>45289.47</v>
      </c>
      <c r="L88" s="501">
        <f>IFERROR(SUMIFS('JPM St'!$M:$M,'JPM St'!$A:$A,$V$3,'JPM St'!$C:$C,D88),"")</f>
        <v>0</v>
      </c>
      <c r="M88" s="501">
        <f>IFERROR(SUMIFS('JPM St'!$M:$M,'JPM St'!$A:$A,$V$4,'JPM St'!$C:$C,D88),"")</f>
        <v>0</v>
      </c>
      <c r="N88" s="501"/>
      <c r="O88" s="501"/>
      <c r="P88" s="501"/>
      <c r="Q88" s="501"/>
      <c r="R88" s="501"/>
    </row>
    <row r="89" spans="1:60" x14ac:dyDescent="0.25">
      <c r="A89" s="497" t="s">
        <v>90</v>
      </c>
      <c r="B89" s="497" t="str">
        <f>IFERROR(IF(VLOOKUP(D89,'JPM St'!$C:$G,3,0)="Fixed Income &amp; Cash","Cash",VLOOKUP(D89,'JPM St'!$C:$G,3,0)),"")</f>
        <v>Equity</v>
      </c>
      <c r="C89" s="497" t="str">
        <f>IFERROR(VLOOKUP(D89,'JPM St'!$C:$L,10,0),"")</f>
        <v>USD</v>
      </c>
      <c r="D89" s="497" t="str">
        <v>UNION PACIFIC</v>
      </c>
      <c r="E89" s="500" t="str">
        <f>IFERROR(VLOOKUP(D89,'JPM St'!$C:$D,2,0),"")</f>
        <v>US9078181081</v>
      </c>
      <c r="F89" s="501">
        <f t="shared" si="7"/>
        <v>44534.305</v>
      </c>
      <c r="G89" s="501">
        <f>SUMIFS('JPM St'!$K:$K,'JPM St'!$A:$A,$V$2,'JPM St'!$C:$C,D89)</f>
        <v>0</v>
      </c>
      <c r="H89" s="501">
        <f>SUMIFS('JPM St'!$K:$K,'JPM St'!$A:$A,$V$3,'JPM St'!$C:$C,D89)</f>
        <v>44534.305</v>
      </c>
      <c r="I89" s="501">
        <f>SUMIFS('JPM St'!$K:$K,'JPM St'!$A:$A,$V$4,'JPM St'!$C:$C,D89)</f>
        <v>0</v>
      </c>
      <c r="J89" s="619">
        <f t="shared" si="8"/>
        <v>44534.305</v>
      </c>
      <c r="K89" s="501">
        <f>IFERROR(SUMIFS('JPM St'!$M:$M,'JPM St'!$A:$A,$V$2,'JPM St'!$C:$C,D89),"")</f>
        <v>0</v>
      </c>
      <c r="L89" s="501">
        <f>IFERROR(SUMIFS('JPM St'!$M:$M,'JPM St'!$A:$A,$V$3,'JPM St'!$C:$C,D89),"")</f>
        <v>44534.305</v>
      </c>
      <c r="M89" s="501">
        <f>IFERROR(SUMIFS('JPM St'!$M:$M,'JPM St'!$A:$A,$V$4,'JPM St'!$C:$C,D89),"")</f>
        <v>0</v>
      </c>
      <c r="N89" s="501"/>
      <c r="O89" s="501"/>
      <c r="P89" s="501"/>
      <c r="Q89" s="501"/>
      <c r="R89" s="501"/>
    </row>
    <row r="90" spans="1:60" x14ac:dyDescent="0.25">
      <c r="A90" s="497" t="s">
        <v>90</v>
      </c>
      <c r="B90" s="497" t="str">
        <f>IFERROR(IF(VLOOKUP(D90,'JPM St'!$C:$G,3,0)="Fixed Income &amp; Cash","Cash",VLOOKUP(D90,'JPM St'!$C:$G,3,0)),"")</f>
        <v>Equity</v>
      </c>
      <c r="C90" s="497" t="str">
        <f>IFERROR(VLOOKUP(D90,'JPM St'!$C:$L,10,0),"")</f>
        <v>USD</v>
      </c>
      <c r="D90" s="497" t="str">
        <v>PALO ALTO NETWORKS INC</v>
      </c>
      <c r="E90" s="500" t="str">
        <f>IFERROR(VLOOKUP(D90,'JPM St'!$C:$D,2,0),"")</f>
        <v>US6974351057</v>
      </c>
      <c r="F90" s="501">
        <f t="shared" si="7"/>
        <v>44447.799999999996</v>
      </c>
      <c r="G90" s="501">
        <f>SUMIFS('JPM St'!$K:$K,'JPM St'!$A:$A,$V$2,'JPM St'!$C:$C,D90)</f>
        <v>44447.799999999996</v>
      </c>
      <c r="H90" s="501">
        <f>SUMIFS('JPM St'!$K:$K,'JPM St'!$A:$A,$V$3,'JPM St'!$C:$C,D90)</f>
        <v>0</v>
      </c>
      <c r="I90" s="501">
        <f>SUMIFS('JPM St'!$K:$K,'JPM St'!$A:$A,$V$4,'JPM St'!$C:$C,D90)</f>
        <v>0</v>
      </c>
      <c r="J90" s="619">
        <f t="shared" si="8"/>
        <v>44447.799999999996</v>
      </c>
      <c r="K90" s="501">
        <f>IFERROR(SUMIFS('JPM St'!$M:$M,'JPM St'!$A:$A,$V$2,'JPM St'!$C:$C,D90),"")</f>
        <v>44447.799999999996</v>
      </c>
      <c r="L90" s="501">
        <f>IFERROR(SUMIFS('JPM St'!$M:$M,'JPM St'!$A:$A,$V$3,'JPM St'!$C:$C,D90),"")</f>
        <v>0</v>
      </c>
      <c r="M90" s="501">
        <f>IFERROR(SUMIFS('JPM St'!$M:$M,'JPM St'!$A:$A,$V$4,'JPM St'!$C:$C,D90),"")</f>
        <v>0</v>
      </c>
      <c r="N90" s="501"/>
      <c r="O90" s="501"/>
      <c r="P90" s="501"/>
      <c r="Q90" s="501"/>
      <c r="R90" s="501"/>
    </row>
    <row r="91" spans="1:60" x14ac:dyDescent="0.25">
      <c r="A91" s="497" t="s">
        <v>90</v>
      </c>
      <c r="B91" s="497" t="str">
        <f>IFERROR(IF(VLOOKUP(D91,'JPM St'!$C:$G,3,0)="Fixed Income &amp; Cash","Cash",VLOOKUP(D91,'JPM St'!$C:$G,3,0)),"")</f>
        <v>Equity</v>
      </c>
      <c r="C91" s="497" t="str">
        <f>IFERROR(VLOOKUP(D91,'JPM St'!$C:$L,10,0),"")</f>
        <v>USD</v>
      </c>
      <c r="D91" s="497" t="str">
        <v>VERTEX PHARMA</v>
      </c>
      <c r="E91" s="500" t="str">
        <f>IFERROR(VLOOKUP(D91,'JPM St'!$C:$D,2,0),"")</f>
        <v>US92532F1003</v>
      </c>
      <c r="F91" s="501">
        <f t="shared" si="7"/>
        <v>44282.28</v>
      </c>
      <c r="G91" s="501">
        <f>SUMIFS('JPM St'!$K:$K,'JPM St'!$A:$A,$V$2,'JPM St'!$C:$C,D91)</f>
        <v>0</v>
      </c>
      <c r="H91" s="501">
        <f>SUMIFS('JPM St'!$K:$K,'JPM St'!$A:$A,$V$3,'JPM St'!$C:$C,D91)</f>
        <v>0</v>
      </c>
      <c r="I91" s="501">
        <f>SUMIFS('JPM St'!$K:$K,'JPM St'!$A:$A,$V$4,'JPM St'!$C:$C,D91)</f>
        <v>44282.28</v>
      </c>
      <c r="J91" s="619">
        <f t="shared" si="8"/>
        <v>44282.28</v>
      </c>
      <c r="K91" s="501">
        <f>IFERROR(SUMIFS('JPM St'!$M:$M,'JPM St'!$A:$A,$V$2,'JPM St'!$C:$C,D91),"")</f>
        <v>0</v>
      </c>
      <c r="L91" s="501">
        <f>IFERROR(SUMIFS('JPM St'!$M:$M,'JPM St'!$A:$A,$V$3,'JPM St'!$C:$C,D91),"")</f>
        <v>0</v>
      </c>
      <c r="M91" s="501">
        <f>IFERROR(SUMIFS('JPM St'!$M:$M,'JPM St'!$A:$A,$V$4,'JPM St'!$C:$C,D91),"")</f>
        <v>44282.28</v>
      </c>
      <c r="N91" s="501"/>
      <c r="O91" s="501"/>
      <c r="P91" s="501"/>
      <c r="Q91" s="501"/>
      <c r="R91" s="501"/>
    </row>
    <row r="92" spans="1:60" x14ac:dyDescent="0.25">
      <c r="A92" s="497" t="s">
        <v>90</v>
      </c>
      <c r="B92" s="497" t="str">
        <f>IFERROR(IF(VLOOKUP(D92,'JPM St'!$C:$G,3,0)="Fixed Income &amp; Cash","Cash",VLOOKUP(D92,'JPM St'!$C:$G,3,0)),"")</f>
        <v>Equity</v>
      </c>
      <c r="C92" s="497" t="str">
        <f>IFERROR(VLOOKUP(D92,'JPM St'!$C:$L,10,0),"")</f>
        <v>USD</v>
      </c>
      <c r="D92" s="497" t="str">
        <v>RTX CORP</v>
      </c>
      <c r="E92" s="500" t="str">
        <f>IFERROR(VLOOKUP(D92,'JPM St'!$C:$D,2,0),"")</f>
        <v>US75513E1010</v>
      </c>
      <c r="F92" s="501">
        <f t="shared" si="7"/>
        <v>43705.200000000004</v>
      </c>
      <c r="G92" s="501">
        <f>SUMIFS('JPM St'!$K:$K,'JPM St'!$A:$A,$V$2,'JPM St'!$C:$C,D92)</f>
        <v>0</v>
      </c>
      <c r="H92" s="501">
        <f>SUMIFS('JPM St'!$K:$K,'JPM St'!$A:$A,$V$3,'JPM St'!$C:$C,D92)</f>
        <v>43705.200000000004</v>
      </c>
      <c r="I92" s="501">
        <f>SUMIFS('JPM St'!$K:$K,'JPM St'!$A:$A,$V$4,'JPM St'!$C:$C,D92)</f>
        <v>0</v>
      </c>
      <c r="J92" s="619">
        <f t="shared" si="8"/>
        <v>43705.200000000004</v>
      </c>
      <c r="K92" s="501">
        <f>IFERROR(SUMIFS('JPM St'!$M:$M,'JPM St'!$A:$A,$V$2,'JPM St'!$C:$C,D92),"")</f>
        <v>0</v>
      </c>
      <c r="L92" s="501">
        <f>IFERROR(SUMIFS('JPM St'!$M:$M,'JPM St'!$A:$A,$V$3,'JPM St'!$C:$C,D92),"")</f>
        <v>43705.200000000004</v>
      </c>
      <c r="M92" s="501">
        <f>IFERROR(SUMIFS('JPM St'!$M:$M,'JPM St'!$A:$A,$V$4,'JPM St'!$C:$C,D92),"")</f>
        <v>0</v>
      </c>
      <c r="N92" s="501"/>
      <c r="O92" s="501"/>
      <c r="P92" s="501"/>
      <c r="Q92" s="501"/>
      <c r="R92" s="501"/>
    </row>
    <row r="93" spans="1:60" x14ac:dyDescent="0.25">
      <c r="A93" s="497" t="s">
        <v>90</v>
      </c>
      <c r="B93" s="497" t="str">
        <f>IFERROR(IF(VLOOKUP(D93,'JPM St'!$C:$G,3,0)="Fixed Income &amp; Cash","Cash",VLOOKUP(D93,'JPM St'!$C:$G,3,0)),"")</f>
        <v>Equity</v>
      </c>
      <c r="C93" s="497" t="str">
        <f>IFERROR(VLOOKUP(D93,'JPM St'!$C:$L,10,0),"")</f>
        <v>USD</v>
      </c>
      <c r="D93" s="497" t="str">
        <v>EATON CORPORATION</v>
      </c>
      <c r="E93" s="500" t="str">
        <f>IFERROR(VLOOKUP(D93,'JPM St'!$C:$D,2,0),"")</f>
        <v>IE00B8KQN827</v>
      </c>
      <c r="F93" s="501">
        <f t="shared" si="7"/>
        <v>43580.049999999996</v>
      </c>
      <c r="G93" s="501">
        <f>SUMIFS('JPM St'!$K:$K,'JPM St'!$A:$A,$V$2,'JPM St'!$C:$C,D93)</f>
        <v>0</v>
      </c>
      <c r="H93" s="501">
        <f>SUMIFS('JPM St'!$K:$K,'JPM St'!$A:$A,$V$3,'JPM St'!$C:$C,D93)</f>
        <v>43580.049999999996</v>
      </c>
      <c r="I93" s="501">
        <f>SUMIFS('JPM St'!$K:$K,'JPM St'!$A:$A,$V$4,'JPM St'!$C:$C,D93)</f>
        <v>0</v>
      </c>
      <c r="J93" s="619">
        <f t="shared" si="8"/>
        <v>43580.049999999996</v>
      </c>
      <c r="K93" s="501">
        <f>IFERROR(SUMIFS('JPM St'!$M:$M,'JPM St'!$A:$A,$V$2,'JPM St'!$C:$C,D93),"")</f>
        <v>0</v>
      </c>
      <c r="L93" s="501">
        <f>IFERROR(SUMIFS('JPM St'!$M:$M,'JPM St'!$A:$A,$V$3,'JPM St'!$C:$C,D93),"")</f>
        <v>43580.049999999996</v>
      </c>
      <c r="M93" s="501">
        <f>IFERROR(SUMIFS('JPM St'!$M:$M,'JPM St'!$A:$A,$V$4,'JPM St'!$C:$C,D93),"")</f>
        <v>0</v>
      </c>
      <c r="N93" s="501"/>
      <c r="O93" s="501"/>
      <c r="P93" s="501"/>
      <c r="Q93" s="501"/>
      <c r="R93" s="501"/>
    </row>
    <row r="94" spans="1:60" x14ac:dyDescent="0.25">
      <c r="A94" s="497" t="s">
        <v>90</v>
      </c>
      <c r="B94" s="497" t="str">
        <f>IFERROR(IF(VLOOKUP(D94,'JPM St'!$C:$G,3,0)="Fixed Income &amp; Cash","Cash",VLOOKUP(D94,'JPM St'!$C:$G,3,0)),"")</f>
        <v>Equity</v>
      </c>
      <c r="C94" s="497" t="str">
        <f>IFERROR(VLOOKUP(D94,'JPM St'!$C:$L,10,0),"")</f>
        <v>USD</v>
      </c>
      <c r="D94" s="497" t="str">
        <v>TOAST INC-CLASS A</v>
      </c>
      <c r="E94" s="500" t="str">
        <f>IFERROR(VLOOKUP(D94,'JPM St'!$C:$D,2,0),"")</f>
        <v>US8887871080</v>
      </c>
      <c r="F94" s="501">
        <f t="shared" si="7"/>
        <v>42867.08</v>
      </c>
      <c r="G94" s="501">
        <f>SUMIFS('JPM St'!$K:$K,'JPM St'!$A:$A,$V$2,'JPM St'!$C:$C,D94)</f>
        <v>42867.08</v>
      </c>
      <c r="H94" s="501">
        <f>SUMIFS('JPM St'!$K:$K,'JPM St'!$A:$A,$V$3,'JPM St'!$C:$C,D94)</f>
        <v>0</v>
      </c>
      <c r="I94" s="501">
        <f>SUMIFS('JPM St'!$K:$K,'JPM St'!$A:$A,$V$4,'JPM St'!$C:$C,D94)</f>
        <v>0</v>
      </c>
      <c r="J94" s="619">
        <f t="shared" si="8"/>
        <v>42867.08</v>
      </c>
      <c r="K94" s="501">
        <f>IFERROR(SUMIFS('JPM St'!$M:$M,'JPM St'!$A:$A,$V$2,'JPM St'!$C:$C,D94),"")</f>
        <v>42867.08</v>
      </c>
      <c r="L94" s="501">
        <f>IFERROR(SUMIFS('JPM St'!$M:$M,'JPM St'!$A:$A,$V$3,'JPM St'!$C:$C,D94),"")</f>
        <v>0</v>
      </c>
      <c r="M94" s="501">
        <f>IFERROR(SUMIFS('JPM St'!$M:$M,'JPM St'!$A:$A,$V$4,'JPM St'!$C:$C,D94),"")</f>
        <v>0</v>
      </c>
      <c r="N94" s="501"/>
      <c r="O94" s="501"/>
      <c r="P94" s="501"/>
      <c r="Q94" s="501"/>
      <c r="R94" s="501"/>
    </row>
    <row r="95" spans="1:60" x14ac:dyDescent="0.25">
      <c r="A95" s="497" t="s">
        <v>90</v>
      </c>
      <c r="B95" s="497" t="str">
        <f>IFERROR(IF(VLOOKUP(D95,'JPM St'!$C:$G,3,0)="Fixed Income &amp; Cash","Cash",VLOOKUP(D95,'JPM St'!$C:$G,3,0)),"")</f>
        <v>Equity</v>
      </c>
      <c r="C95" s="497" t="str">
        <f>IFERROR(VLOOKUP(D95,'JPM St'!$C:$L,10,0),"")</f>
        <v>USD</v>
      </c>
      <c r="D95" s="497" t="str">
        <v>AIR PRODUCTS &amp; CHEMICALS</v>
      </c>
      <c r="E95" s="500" t="str">
        <f>IFERROR(VLOOKUP(D95,'JPM St'!$C:$D,2,0),"")</f>
        <v>US0091581068</v>
      </c>
      <c r="F95" s="501">
        <f t="shared" si="7"/>
        <v>42273</v>
      </c>
      <c r="G95" s="501">
        <f>SUMIFS('JPM St'!$K:$K,'JPM St'!$A:$A,$V$2,'JPM St'!$C:$C,D95)</f>
        <v>0</v>
      </c>
      <c r="H95" s="501">
        <f>SUMIFS('JPM St'!$K:$K,'JPM St'!$A:$A,$V$3,'JPM St'!$C:$C,D95)</f>
        <v>42273</v>
      </c>
      <c r="I95" s="501">
        <f>SUMIFS('JPM St'!$K:$K,'JPM St'!$A:$A,$V$4,'JPM St'!$C:$C,D95)</f>
        <v>0</v>
      </c>
      <c r="J95" s="619">
        <f t="shared" si="8"/>
        <v>42273</v>
      </c>
      <c r="K95" s="501">
        <f>IFERROR(SUMIFS('JPM St'!$M:$M,'JPM St'!$A:$A,$V$2,'JPM St'!$C:$C,D95),"")</f>
        <v>0</v>
      </c>
      <c r="L95" s="501">
        <f>IFERROR(SUMIFS('JPM St'!$M:$M,'JPM St'!$A:$A,$V$3,'JPM St'!$C:$C,D95),"")</f>
        <v>42273</v>
      </c>
      <c r="M95" s="501">
        <f>IFERROR(SUMIFS('JPM St'!$M:$M,'JPM St'!$A:$A,$V$4,'JPM St'!$C:$C,D95),"")</f>
        <v>0</v>
      </c>
      <c r="N95" s="501"/>
      <c r="O95" s="501"/>
      <c r="P95" s="501"/>
      <c r="Q95" s="501"/>
      <c r="R95" s="501"/>
    </row>
    <row r="96" spans="1:60" x14ac:dyDescent="0.25">
      <c r="A96" s="497" t="s">
        <v>90</v>
      </c>
      <c r="B96" s="497" t="str">
        <f>IFERROR(IF(VLOOKUP(D96,'JPM St'!$C:$G,3,0)="Fixed Income &amp; Cash","Cash",VLOOKUP(D96,'JPM St'!$C:$G,3,0)),"")</f>
        <v>Equity</v>
      </c>
      <c r="C96" s="497" t="str">
        <f>IFERROR(VLOOKUP(D96,'JPM St'!$C:$L,10,0),"")</f>
        <v>USD</v>
      </c>
      <c r="D96" s="497" t="str">
        <v>DEERE</v>
      </c>
      <c r="E96" s="500" t="str">
        <f>IFERROR(VLOOKUP(D96,'JPM St'!$C:$D,2,0),"")</f>
        <v>US2441991054</v>
      </c>
      <c r="F96" s="501">
        <f t="shared" si="7"/>
        <v>42093.36</v>
      </c>
      <c r="G96" s="501">
        <f>SUMIFS('JPM St'!$K:$K,'JPM St'!$A:$A,$V$2,'JPM St'!$C:$C,D96)</f>
        <v>0</v>
      </c>
      <c r="H96" s="501">
        <f>SUMIFS('JPM St'!$K:$K,'JPM St'!$A:$A,$V$3,'JPM St'!$C:$C,D96)</f>
        <v>42093.36</v>
      </c>
      <c r="I96" s="501">
        <f>SUMIFS('JPM St'!$K:$K,'JPM St'!$A:$A,$V$4,'JPM St'!$C:$C,D96)</f>
        <v>0</v>
      </c>
      <c r="J96" s="619">
        <f t="shared" si="8"/>
        <v>42093.36</v>
      </c>
      <c r="K96" s="501">
        <f>IFERROR(SUMIFS('JPM St'!$M:$M,'JPM St'!$A:$A,$V$2,'JPM St'!$C:$C,D96),"")</f>
        <v>0</v>
      </c>
      <c r="L96" s="501">
        <f>IFERROR(SUMIFS('JPM St'!$M:$M,'JPM St'!$A:$A,$V$3,'JPM St'!$C:$C,D96),"")</f>
        <v>42093.36</v>
      </c>
      <c r="M96" s="501">
        <f>IFERROR(SUMIFS('JPM St'!$M:$M,'JPM St'!$A:$A,$V$4,'JPM St'!$C:$C,D96),"")</f>
        <v>0</v>
      </c>
      <c r="N96" s="501"/>
      <c r="O96" s="501"/>
      <c r="P96" s="501"/>
      <c r="Q96" s="501"/>
      <c r="R96" s="501"/>
    </row>
    <row r="97" spans="1:18" x14ac:dyDescent="0.25">
      <c r="A97" s="497" t="s">
        <v>90</v>
      </c>
      <c r="B97" s="497" t="str">
        <f>IFERROR(IF(VLOOKUP(D97,'JPM St'!$C:$G,3,0)="Fixed Income &amp; Cash","Cash",VLOOKUP(D97,'JPM St'!$C:$G,3,0)),"")</f>
        <v>Equity</v>
      </c>
      <c r="C97" s="497" t="str">
        <f>IFERROR(VLOOKUP(D97,'JPM St'!$C:$L,10,0),"")</f>
        <v>USD</v>
      </c>
      <c r="D97" s="497" t="str">
        <v>CROWDSTRIKE HOLDINGS INC - A</v>
      </c>
      <c r="E97" s="500" t="str">
        <f>IFERROR(VLOOKUP(D97,'JPM St'!$C:$D,2,0),"")</f>
        <v>US22788C1053</v>
      </c>
      <c r="F97" s="501">
        <f t="shared" si="7"/>
        <v>41472.959999999999</v>
      </c>
      <c r="G97" s="501">
        <f>SUMIFS('JPM St'!$K:$K,'JPM St'!$A:$A,$V$2,'JPM St'!$C:$C,D97)</f>
        <v>41472.959999999999</v>
      </c>
      <c r="H97" s="501">
        <f>SUMIFS('JPM St'!$K:$K,'JPM St'!$A:$A,$V$3,'JPM St'!$C:$C,D97)</f>
        <v>0</v>
      </c>
      <c r="I97" s="501">
        <f>SUMIFS('JPM St'!$K:$K,'JPM St'!$A:$A,$V$4,'JPM St'!$C:$C,D97)</f>
        <v>0</v>
      </c>
      <c r="J97" s="619">
        <f t="shared" si="8"/>
        <v>41472.959999999999</v>
      </c>
      <c r="K97" s="501">
        <f>IFERROR(SUMIFS('JPM St'!$M:$M,'JPM St'!$A:$A,$V$2,'JPM St'!$C:$C,D97),"")</f>
        <v>41472.959999999999</v>
      </c>
      <c r="L97" s="501">
        <f>IFERROR(SUMIFS('JPM St'!$M:$M,'JPM St'!$A:$A,$V$3,'JPM St'!$C:$C,D97),"")</f>
        <v>0</v>
      </c>
      <c r="M97" s="501">
        <f>IFERROR(SUMIFS('JPM St'!$M:$M,'JPM St'!$A:$A,$V$4,'JPM St'!$C:$C,D97),"")</f>
        <v>0</v>
      </c>
      <c r="N97" s="501"/>
      <c r="O97" s="501"/>
      <c r="P97" s="501"/>
      <c r="Q97" s="501"/>
      <c r="R97" s="501"/>
    </row>
    <row r="98" spans="1:18" x14ac:dyDescent="0.25">
      <c r="A98" s="497" t="s">
        <v>90</v>
      </c>
      <c r="B98" s="497" t="str">
        <f>IFERROR(IF(VLOOKUP(D98,'JPM St'!$C:$G,3,0)="Fixed Income &amp; Cash","Cash",VLOOKUP(D98,'JPM St'!$C:$G,3,0)),"")</f>
        <v>Equity</v>
      </c>
      <c r="C98" s="497" t="str">
        <f>IFERROR(VLOOKUP(D98,'JPM St'!$C:$L,10,0),"")</f>
        <v>EUR</v>
      </c>
      <c r="D98" s="497" t="str">
        <v>INFINEON TECHNOLOGIES REG</v>
      </c>
      <c r="E98" s="500" t="str">
        <f>IFERROR(VLOOKUP(D98,'JPM St'!$C:$D,2,0),"")</f>
        <v>DE0006231004</v>
      </c>
      <c r="F98" s="501">
        <f t="shared" si="7"/>
        <v>34839.35</v>
      </c>
      <c r="G98" s="501">
        <f>SUMIFS('JPM St'!$K:$K,'JPM St'!$A:$A,$V$2,'JPM St'!$C:$C,D98)</f>
        <v>0</v>
      </c>
      <c r="H98" s="501">
        <f>SUMIFS('JPM St'!$K:$K,'JPM St'!$A:$A,$V$3,'JPM St'!$C:$C,D98)</f>
        <v>0</v>
      </c>
      <c r="I98" s="501">
        <f>SUMIFS('JPM St'!$K:$K,'JPM St'!$A:$A,$V$4,'JPM St'!$C:$C,D98)</f>
        <v>34839.35</v>
      </c>
      <c r="J98" s="619">
        <f t="shared" si="8"/>
        <v>40324.805657500001</v>
      </c>
      <c r="K98" s="501">
        <f>IFERROR(SUMIFS('JPM St'!$M:$M,'JPM St'!$A:$A,$V$2,'JPM St'!$C:$C,D98),"")</f>
        <v>0</v>
      </c>
      <c r="L98" s="501">
        <f>IFERROR(SUMIFS('JPM St'!$M:$M,'JPM St'!$A:$A,$V$3,'JPM St'!$C:$C,D98),"")</f>
        <v>0</v>
      </c>
      <c r="M98" s="501">
        <f>IFERROR(SUMIFS('JPM St'!$M:$M,'JPM St'!$A:$A,$V$4,'JPM St'!$C:$C,D98),"")</f>
        <v>40324.805657500001</v>
      </c>
      <c r="N98" s="501"/>
      <c r="O98" s="501"/>
      <c r="P98" s="501"/>
      <c r="Q98" s="501"/>
      <c r="R98" s="501"/>
    </row>
    <row r="99" spans="1:18" x14ac:dyDescent="0.25">
      <c r="A99" s="497" t="s">
        <v>90</v>
      </c>
      <c r="B99" s="497" t="str">
        <f>IFERROR(IF(VLOOKUP(D99,'JPM St'!$C:$G,3,0)="Fixed Income &amp; Cash","Cash",VLOOKUP(D99,'JPM St'!$C:$G,3,0)),"")</f>
        <v>Equity</v>
      </c>
      <c r="C99" s="497" t="str">
        <f>IFERROR(VLOOKUP(D99,'JPM St'!$C:$L,10,0),"")</f>
        <v>USD</v>
      </c>
      <c r="D99" s="497" t="str">
        <v>INGERSOLL RAND INC</v>
      </c>
      <c r="E99" s="500" t="str">
        <f>IFERROR(VLOOKUP(D99,'JPM St'!$C:$D,2,0),"")</f>
        <v>US45687V1061</v>
      </c>
      <c r="F99" s="501">
        <f t="shared" si="7"/>
        <v>40267.199999999997</v>
      </c>
      <c r="G99" s="501">
        <f>SUMIFS('JPM St'!$K:$K,'JPM St'!$A:$A,$V$2,'JPM St'!$C:$C,D99)</f>
        <v>0</v>
      </c>
      <c r="H99" s="501">
        <f>SUMIFS('JPM St'!$K:$K,'JPM St'!$A:$A,$V$3,'JPM St'!$C:$C,D99)</f>
        <v>0</v>
      </c>
      <c r="I99" s="501">
        <f>SUMIFS('JPM St'!$K:$K,'JPM St'!$A:$A,$V$4,'JPM St'!$C:$C,D99)</f>
        <v>40267.199999999997</v>
      </c>
      <c r="J99" s="619">
        <f t="shared" si="8"/>
        <v>40267.199999999997</v>
      </c>
      <c r="K99" s="501">
        <f>IFERROR(SUMIFS('JPM St'!$M:$M,'JPM St'!$A:$A,$V$2,'JPM St'!$C:$C,D99),"")</f>
        <v>0</v>
      </c>
      <c r="L99" s="501">
        <f>IFERROR(SUMIFS('JPM St'!$M:$M,'JPM St'!$A:$A,$V$3,'JPM St'!$C:$C,D99),"")</f>
        <v>0</v>
      </c>
      <c r="M99" s="501">
        <f>IFERROR(SUMIFS('JPM St'!$M:$M,'JPM St'!$A:$A,$V$4,'JPM St'!$C:$C,D99),"")</f>
        <v>40267.199999999997</v>
      </c>
      <c r="N99" s="501"/>
      <c r="O99" s="501"/>
      <c r="P99" s="501"/>
      <c r="Q99" s="501"/>
      <c r="R99" s="501"/>
    </row>
    <row r="100" spans="1:18" x14ac:dyDescent="0.25">
      <c r="A100" s="497" t="s">
        <v>90</v>
      </c>
      <c r="B100" s="497" t="str">
        <f>IFERROR(IF(VLOOKUP(D100,'JPM St'!$C:$G,3,0)="Fixed Income &amp; Cash","Cash",VLOOKUP(D100,'JPM St'!$C:$G,3,0)),"")</f>
        <v>Equity</v>
      </c>
      <c r="C100" s="497" t="str">
        <f>IFERROR(VLOOKUP(D100,'JPM St'!$C:$L,10,0),"")</f>
        <v>USD</v>
      </c>
      <c r="D100" s="497" t="str">
        <v>BANK OF NEW YORK MELLON</v>
      </c>
      <c r="E100" s="500" t="str">
        <f>IFERROR(VLOOKUP(D100,'JPM St'!$C:$D,2,0),"")</f>
        <v>US0640581007</v>
      </c>
      <c r="F100" s="501">
        <f t="shared" si="7"/>
        <v>40026.25</v>
      </c>
      <c r="G100" s="501">
        <f>SUMIFS('JPM St'!$K:$K,'JPM St'!$A:$A,$V$2,'JPM St'!$C:$C,D100)</f>
        <v>0</v>
      </c>
      <c r="H100" s="501">
        <f>SUMIFS('JPM St'!$K:$K,'JPM St'!$A:$A,$V$3,'JPM St'!$C:$C,D100)</f>
        <v>40026.25</v>
      </c>
      <c r="I100" s="501">
        <f>SUMIFS('JPM St'!$K:$K,'JPM St'!$A:$A,$V$4,'JPM St'!$C:$C,D100)</f>
        <v>0</v>
      </c>
      <c r="J100" s="619">
        <f t="shared" si="8"/>
        <v>40026.25</v>
      </c>
      <c r="K100" s="501">
        <f>IFERROR(SUMIFS('JPM St'!$M:$M,'JPM St'!$A:$A,$V$2,'JPM St'!$C:$C,D100),"")</f>
        <v>0</v>
      </c>
      <c r="L100" s="501">
        <f>IFERROR(SUMIFS('JPM St'!$M:$M,'JPM St'!$A:$A,$V$3,'JPM St'!$C:$C,D100),"")</f>
        <v>40026.25</v>
      </c>
      <c r="M100" s="501">
        <f>IFERROR(SUMIFS('JPM St'!$M:$M,'JPM St'!$A:$A,$V$4,'JPM St'!$C:$C,D100),"")</f>
        <v>0</v>
      </c>
      <c r="N100" s="501"/>
      <c r="O100" s="501"/>
      <c r="P100" s="501"/>
      <c r="Q100" s="501"/>
      <c r="R100" s="501"/>
    </row>
    <row r="101" spans="1:18" x14ac:dyDescent="0.25">
      <c r="A101" s="497" t="s">
        <v>90</v>
      </c>
      <c r="B101" s="497" t="str">
        <f>IFERROR(IF(VLOOKUP(D101,'JPM St'!$C:$G,3,0)="Fixed Income &amp; Cash","Cash",VLOOKUP(D101,'JPM St'!$C:$G,3,0)),"")</f>
        <v>Cash</v>
      </c>
      <c r="C101" s="497" t="str">
        <f>IFERROR(VLOOKUP(D101,'JPM St'!$C:$L,10,0),"")</f>
        <v>JPY</v>
      </c>
      <c r="D101" s="497" t="str">
        <v>Cash Account - JPY</v>
      </c>
      <c r="E101" s="500">
        <f>IFERROR(VLOOKUP(D101,'JPM St'!$C:$D,2,0),"")</f>
        <v>0</v>
      </c>
      <c r="F101" s="501">
        <f t="shared" si="7"/>
        <v>6217062</v>
      </c>
      <c r="G101" s="501">
        <f>SUMIFS('JPM St'!$K:$K,'JPM St'!$A:$A,$V$2,'JPM St'!$C:$C,D101)</f>
        <v>0</v>
      </c>
      <c r="H101" s="501">
        <f>SUMIFS('JPM St'!$K:$K,'JPM St'!$A:$A,$V$3,'JPM St'!$C:$C,D101)</f>
        <v>0</v>
      </c>
      <c r="I101" s="501">
        <f>SUMIFS('JPM St'!$K:$K,'JPM St'!$A:$A,$V$4,'JPM St'!$C:$C,D101)</f>
        <v>6217062</v>
      </c>
      <c r="J101" s="619">
        <f t="shared" si="8"/>
        <v>39267.709639000001</v>
      </c>
      <c r="K101" s="501">
        <f>IFERROR(SUMIFS('JPM St'!$M:$M,'JPM St'!$A:$A,$V$2,'JPM St'!$C:$C,D101),"")</f>
        <v>0</v>
      </c>
      <c r="L101" s="501">
        <f>IFERROR(SUMIFS('JPM St'!$M:$M,'JPM St'!$A:$A,$V$3,'JPM St'!$C:$C,D101),"")</f>
        <v>0</v>
      </c>
      <c r="M101" s="501">
        <f>IFERROR(SUMIFS('JPM St'!$M:$M,'JPM St'!$A:$A,$V$4,'JPM St'!$C:$C,D101),"")</f>
        <v>39267.709639000001</v>
      </c>
      <c r="N101" s="501"/>
      <c r="O101" s="501"/>
      <c r="P101" s="501"/>
      <c r="Q101" s="501"/>
      <c r="R101" s="501"/>
    </row>
    <row r="102" spans="1:18" x14ac:dyDescent="0.25">
      <c r="A102" s="497" t="s">
        <v>90</v>
      </c>
      <c r="B102" s="497" t="str">
        <f>IFERROR(IF(VLOOKUP(D102,'JPM St'!$C:$G,3,0)="Fixed Income &amp; Cash","Cash",VLOOKUP(D102,'JPM St'!$C:$G,3,0)),"")</f>
        <v>Equity</v>
      </c>
      <c r="C102" s="497" t="str">
        <f>IFERROR(VLOOKUP(D102,'JPM St'!$C:$L,10,0),"")</f>
        <v>EUR</v>
      </c>
      <c r="D102" s="497" t="str">
        <v>KINGSPAN GROUP PLC</v>
      </c>
      <c r="E102" s="500" t="str">
        <f>IFERROR(VLOOKUP(D102,'JPM St'!$C:$D,2,0),"")</f>
        <v>IE0004927939</v>
      </c>
      <c r="F102" s="501">
        <f t="shared" si="7"/>
        <v>32961.599999999999</v>
      </c>
      <c r="G102" s="501">
        <f>SUMIFS('JPM St'!$K:$K,'JPM St'!$A:$A,$V$2,'JPM St'!$C:$C,D102)</f>
        <v>0</v>
      </c>
      <c r="H102" s="501">
        <f>SUMIFS('JPM St'!$K:$K,'JPM St'!$A:$A,$V$3,'JPM St'!$C:$C,D102)</f>
        <v>0</v>
      </c>
      <c r="I102" s="501">
        <f>SUMIFS('JPM St'!$K:$K,'JPM St'!$A:$A,$V$4,'JPM St'!$C:$C,D102)</f>
        <v>32961.599999999999</v>
      </c>
      <c r="J102" s="619">
        <f t="shared" si="8"/>
        <v>38151.403920000004</v>
      </c>
      <c r="K102" s="501">
        <f>IFERROR(SUMIFS('JPM St'!$M:$M,'JPM St'!$A:$A,$V$2,'JPM St'!$C:$C,D102),"")</f>
        <v>0</v>
      </c>
      <c r="L102" s="501">
        <f>IFERROR(SUMIFS('JPM St'!$M:$M,'JPM St'!$A:$A,$V$3,'JPM St'!$C:$C,D102),"")</f>
        <v>0</v>
      </c>
      <c r="M102" s="501">
        <f>IFERROR(SUMIFS('JPM St'!$M:$M,'JPM St'!$A:$A,$V$4,'JPM St'!$C:$C,D102),"")</f>
        <v>38151.403920000004</v>
      </c>
      <c r="N102" s="501"/>
      <c r="O102" s="501"/>
      <c r="P102" s="501"/>
      <c r="Q102" s="501"/>
      <c r="R102" s="501"/>
    </row>
    <row r="103" spans="1:18" x14ac:dyDescent="0.25">
      <c r="A103" s="497" t="s">
        <v>90</v>
      </c>
      <c r="B103" s="497" t="str">
        <f>IFERROR(IF(VLOOKUP(D103,'JPM St'!$C:$G,3,0)="Fixed Income &amp; Cash","Cash",VLOOKUP(D103,'JPM St'!$C:$G,3,0)),"")</f>
        <v>Equity</v>
      </c>
      <c r="C103" s="497" t="str">
        <f>IFERROR(VLOOKUP(D103,'JPM St'!$C:$L,10,0),"")</f>
        <v>USD</v>
      </c>
      <c r="D103" s="497" t="str">
        <v>CIRCLE INTERNET GROUP INC</v>
      </c>
      <c r="E103" s="500" t="str">
        <f>IFERROR(VLOOKUP(D103,'JPM St'!$C:$D,2,0),"")</f>
        <v>US1725731079</v>
      </c>
      <c r="F103" s="501">
        <f t="shared" si="7"/>
        <v>37974.160000000003</v>
      </c>
      <c r="G103" s="501">
        <f>SUMIFS('JPM St'!$K:$K,'JPM St'!$A:$A,$V$2,'JPM St'!$C:$C,D103)</f>
        <v>37974.160000000003</v>
      </c>
      <c r="H103" s="501">
        <f>SUMIFS('JPM St'!$K:$K,'JPM St'!$A:$A,$V$3,'JPM St'!$C:$C,D103)</f>
        <v>0</v>
      </c>
      <c r="I103" s="501">
        <f>SUMIFS('JPM St'!$K:$K,'JPM St'!$A:$A,$V$4,'JPM St'!$C:$C,D103)</f>
        <v>0</v>
      </c>
      <c r="J103" s="619">
        <f t="shared" si="8"/>
        <v>37974.160000000003</v>
      </c>
      <c r="K103" s="501">
        <f>IFERROR(SUMIFS('JPM St'!$M:$M,'JPM St'!$A:$A,$V$2,'JPM St'!$C:$C,D103),"")</f>
        <v>37974.160000000003</v>
      </c>
      <c r="L103" s="501">
        <f>IFERROR(SUMIFS('JPM St'!$M:$M,'JPM St'!$A:$A,$V$3,'JPM St'!$C:$C,D103),"")</f>
        <v>0</v>
      </c>
      <c r="M103" s="501">
        <f>IFERROR(SUMIFS('JPM St'!$M:$M,'JPM St'!$A:$A,$V$4,'JPM St'!$C:$C,D103),"")</f>
        <v>0</v>
      </c>
      <c r="N103" s="501"/>
      <c r="O103" s="501"/>
      <c r="P103" s="501"/>
      <c r="Q103" s="501"/>
      <c r="R103" s="501"/>
    </row>
    <row r="104" spans="1:18" x14ac:dyDescent="0.25">
      <c r="A104" s="497" t="s">
        <v>90</v>
      </c>
      <c r="B104" s="497" t="str">
        <f>IFERROR(IF(VLOOKUP(D104,'JPM St'!$C:$G,3,0)="Fixed Income &amp; Cash","Cash",VLOOKUP(D104,'JPM St'!$C:$G,3,0)),"")</f>
        <v>Equity</v>
      </c>
      <c r="C104" s="497" t="str">
        <f>IFERROR(VLOOKUP(D104,'JPM St'!$C:$L,10,0),"")</f>
        <v>USD</v>
      </c>
      <c r="D104" s="497" t="str">
        <v>DOVER</v>
      </c>
      <c r="E104" s="500" t="str">
        <f>IFERROR(VLOOKUP(D104,'JPM St'!$C:$D,2,0),"")</f>
        <v>US2600031080</v>
      </c>
      <c r="F104" s="501">
        <f t="shared" si="7"/>
        <v>36867.89</v>
      </c>
      <c r="G104" s="501">
        <f>SUMIFS('JPM St'!$K:$K,'JPM St'!$A:$A,$V$2,'JPM St'!$C:$C,D104)</f>
        <v>0</v>
      </c>
      <c r="H104" s="501">
        <f>SUMIFS('JPM St'!$K:$K,'JPM St'!$A:$A,$V$3,'JPM St'!$C:$C,D104)</f>
        <v>36867.89</v>
      </c>
      <c r="I104" s="501">
        <f>SUMIFS('JPM St'!$K:$K,'JPM St'!$A:$A,$V$4,'JPM St'!$C:$C,D104)</f>
        <v>0</v>
      </c>
      <c r="J104" s="619">
        <f t="shared" si="8"/>
        <v>36867.89</v>
      </c>
      <c r="K104" s="501">
        <f>IFERROR(SUMIFS('JPM St'!$M:$M,'JPM St'!$A:$A,$V$2,'JPM St'!$C:$C,D104),"")</f>
        <v>0</v>
      </c>
      <c r="L104" s="501">
        <f>IFERROR(SUMIFS('JPM St'!$M:$M,'JPM St'!$A:$A,$V$3,'JPM St'!$C:$C,D104),"")</f>
        <v>36867.89</v>
      </c>
      <c r="M104" s="501">
        <f>IFERROR(SUMIFS('JPM St'!$M:$M,'JPM St'!$A:$A,$V$4,'JPM St'!$C:$C,D104),"")</f>
        <v>0</v>
      </c>
      <c r="N104" s="501"/>
      <c r="O104" s="501"/>
      <c r="P104" s="501"/>
      <c r="Q104" s="501"/>
      <c r="R104" s="501"/>
    </row>
    <row r="105" spans="1:18" x14ac:dyDescent="0.25">
      <c r="A105" s="497" t="s">
        <v>90</v>
      </c>
      <c r="B105" s="497" t="str">
        <f>IFERROR(IF(VLOOKUP(D105,'JPM St'!$C:$G,3,0)="Fixed Income &amp; Cash","Cash",VLOOKUP(D105,'JPM St'!$C:$G,3,0)),"")</f>
        <v>Equity</v>
      </c>
      <c r="C105" s="497" t="str">
        <f>IFERROR(VLOOKUP(D105,'JPM St'!$C:$L,10,0),"")</f>
        <v>USD</v>
      </c>
      <c r="D105" s="497" t="str">
        <v>CORNING</v>
      </c>
      <c r="E105" s="500" t="str">
        <f>IFERROR(VLOOKUP(D105,'JPM St'!$C:$D,2,0),"")</f>
        <v>US2193501051</v>
      </c>
      <c r="F105" s="501">
        <f t="shared" si="7"/>
        <v>36557.4</v>
      </c>
      <c r="G105" s="501">
        <f>SUMIFS('JPM St'!$K:$K,'JPM St'!$A:$A,$V$2,'JPM St'!$C:$C,D105)</f>
        <v>0</v>
      </c>
      <c r="H105" s="501">
        <f>SUMIFS('JPM St'!$K:$K,'JPM St'!$A:$A,$V$3,'JPM St'!$C:$C,D105)</f>
        <v>36557.4</v>
      </c>
      <c r="I105" s="501">
        <f>SUMIFS('JPM St'!$K:$K,'JPM St'!$A:$A,$V$4,'JPM St'!$C:$C,D105)</f>
        <v>0</v>
      </c>
      <c r="J105" s="619">
        <f t="shared" si="8"/>
        <v>36557.4</v>
      </c>
      <c r="K105" s="501">
        <f>IFERROR(SUMIFS('JPM St'!$M:$M,'JPM St'!$A:$A,$V$2,'JPM St'!$C:$C,D105),"")</f>
        <v>0</v>
      </c>
      <c r="L105" s="501">
        <f>IFERROR(SUMIFS('JPM St'!$M:$M,'JPM St'!$A:$A,$V$3,'JPM St'!$C:$C,D105),"")</f>
        <v>36557.4</v>
      </c>
      <c r="M105" s="501">
        <f>IFERROR(SUMIFS('JPM St'!$M:$M,'JPM St'!$A:$A,$V$4,'JPM St'!$C:$C,D105),"")</f>
        <v>0</v>
      </c>
      <c r="N105" s="501"/>
      <c r="O105" s="501"/>
      <c r="P105" s="501"/>
      <c r="Q105" s="501"/>
      <c r="R105" s="501"/>
    </row>
    <row r="106" spans="1:18" x14ac:dyDescent="0.25">
      <c r="A106" s="497" t="s">
        <v>90</v>
      </c>
      <c r="B106" s="497" t="str">
        <f>IFERROR(IF(VLOOKUP(D106,'JPM St'!$C:$G,3,0)="Fixed Income &amp; Cash","Cash",VLOOKUP(D106,'JPM St'!$C:$G,3,0)),"")</f>
        <v>Equity</v>
      </c>
      <c r="C106" s="497" t="str">
        <f>IFERROR(VLOOKUP(D106,'JPM St'!$C:$L,10,0),"")</f>
        <v>JPY</v>
      </c>
      <c r="D106" s="497" t="str">
        <v>KEYENCE</v>
      </c>
      <c r="E106" s="500" t="str">
        <f>IFERROR(VLOOKUP(D106,'JPM St'!$C:$D,2,0),"")</f>
        <v>JP3236200006</v>
      </c>
      <c r="F106" s="501">
        <f t="shared" si="7"/>
        <v>5787000</v>
      </c>
      <c r="G106" s="501">
        <f>SUMIFS('JPM St'!$K:$K,'JPM St'!$A:$A,$V$2,'JPM St'!$C:$C,D106)</f>
        <v>0</v>
      </c>
      <c r="H106" s="501">
        <f>SUMIFS('JPM St'!$K:$K,'JPM St'!$A:$A,$V$3,'JPM St'!$C:$C,D106)</f>
        <v>0</v>
      </c>
      <c r="I106" s="501">
        <f>SUMIFS('JPM St'!$K:$K,'JPM St'!$A:$A,$V$4,'JPM St'!$C:$C,D106)</f>
        <v>5787000</v>
      </c>
      <c r="J106" s="619">
        <f t="shared" si="8"/>
        <v>36498.609000000004</v>
      </c>
      <c r="K106" s="501">
        <f>IFERROR(SUMIFS('JPM St'!$M:$M,'JPM St'!$A:$A,$V$2,'JPM St'!$C:$C,D106),"")</f>
        <v>0</v>
      </c>
      <c r="L106" s="501">
        <f>IFERROR(SUMIFS('JPM St'!$M:$M,'JPM St'!$A:$A,$V$3,'JPM St'!$C:$C,D106),"")</f>
        <v>0</v>
      </c>
      <c r="M106" s="501">
        <f>IFERROR(SUMIFS('JPM St'!$M:$M,'JPM St'!$A:$A,$V$4,'JPM St'!$C:$C,D106),"")</f>
        <v>36498.609000000004</v>
      </c>
      <c r="N106" s="501"/>
      <c r="O106" s="501"/>
      <c r="P106" s="501"/>
      <c r="Q106" s="501"/>
      <c r="R106" s="501"/>
    </row>
    <row r="107" spans="1:18" x14ac:dyDescent="0.25">
      <c r="A107" s="497" t="s">
        <v>90</v>
      </c>
      <c r="B107" s="497" t="str">
        <f>IFERROR(IF(VLOOKUP(D107,'JPM St'!$C:$G,3,0)="Fixed Income &amp; Cash","Cash",VLOOKUP(D107,'JPM St'!$C:$G,3,0)),"")</f>
        <v>Equity</v>
      </c>
      <c r="C107" s="497" t="str">
        <f>IFERROR(VLOOKUP(D107,'JPM St'!$C:$L,10,0),"")</f>
        <v>USD</v>
      </c>
      <c r="D107" s="497" t="str">
        <v>EOG RESOURCES</v>
      </c>
      <c r="E107" s="500" t="str">
        <f>IFERROR(VLOOKUP(D107,'JPM St'!$C:$D,2,0),"")</f>
        <v>US26875P1012</v>
      </c>
      <c r="F107" s="501">
        <f t="shared" si="7"/>
        <v>35624.475000000006</v>
      </c>
      <c r="G107" s="501">
        <f>SUMIFS('JPM St'!$K:$K,'JPM St'!$A:$A,$V$2,'JPM St'!$C:$C,D107)</f>
        <v>0</v>
      </c>
      <c r="H107" s="501">
        <f>SUMIFS('JPM St'!$K:$K,'JPM St'!$A:$A,$V$3,'JPM St'!$C:$C,D107)</f>
        <v>35624.475000000006</v>
      </c>
      <c r="I107" s="501">
        <f>SUMIFS('JPM St'!$K:$K,'JPM St'!$A:$A,$V$4,'JPM St'!$C:$C,D107)</f>
        <v>0</v>
      </c>
      <c r="J107" s="619">
        <f t="shared" si="8"/>
        <v>35624.475000000006</v>
      </c>
      <c r="K107" s="501">
        <f>IFERROR(SUMIFS('JPM St'!$M:$M,'JPM St'!$A:$A,$V$2,'JPM St'!$C:$C,D107),"")</f>
        <v>0</v>
      </c>
      <c r="L107" s="501">
        <f>IFERROR(SUMIFS('JPM St'!$M:$M,'JPM St'!$A:$A,$V$3,'JPM St'!$C:$C,D107),"")</f>
        <v>35624.475000000006</v>
      </c>
      <c r="M107" s="501">
        <f>IFERROR(SUMIFS('JPM St'!$M:$M,'JPM St'!$A:$A,$V$4,'JPM St'!$C:$C,D107),"")</f>
        <v>0</v>
      </c>
      <c r="N107" s="501"/>
      <c r="O107" s="501"/>
      <c r="P107" s="501"/>
      <c r="Q107" s="501"/>
      <c r="R107" s="501"/>
    </row>
    <row r="108" spans="1:18" x14ac:dyDescent="0.25">
      <c r="A108" s="497" t="s">
        <v>90</v>
      </c>
      <c r="B108" s="497" t="str">
        <f>IFERROR(IF(VLOOKUP(D108,'JPM St'!$C:$G,3,0)="Fixed Income &amp; Cash","Cash",VLOOKUP(D108,'JPM St'!$C:$G,3,0)),"")</f>
        <v>Equity</v>
      </c>
      <c r="C108" s="497" t="str">
        <f>IFERROR(VLOOKUP(D108,'JPM St'!$C:$L,10,0),"")</f>
        <v>USD</v>
      </c>
      <c r="D108" s="497" t="str">
        <v>ASTERA LABS INC</v>
      </c>
      <c r="E108" s="500" t="str">
        <f>IFERROR(VLOOKUP(D108,'JPM St'!$C:$D,2,0),"")</f>
        <v>US04626A1034</v>
      </c>
      <c r="F108" s="501">
        <f t="shared" si="7"/>
        <v>35528.630000000005</v>
      </c>
      <c r="G108" s="501">
        <f>SUMIFS('JPM St'!$K:$K,'JPM St'!$A:$A,$V$2,'JPM St'!$C:$C,D108)</f>
        <v>35528.630000000005</v>
      </c>
      <c r="H108" s="501">
        <f>SUMIFS('JPM St'!$K:$K,'JPM St'!$A:$A,$V$3,'JPM St'!$C:$C,D108)</f>
        <v>0</v>
      </c>
      <c r="I108" s="501">
        <f>SUMIFS('JPM St'!$K:$K,'JPM St'!$A:$A,$V$4,'JPM St'!$C:$C,D108)</f>
        <v>0</v>
      </c>
      <c r="J108" s="619">
        <f t="shared" si="8"/>
        <v>35528.630000000005</v>
      </c>
      <c r="K108" s="501">
        <f>IFERROR(SUMIFS('JPM St'!$M:$M,'JPM St'!$A:$A,$V$2,'JPM St'!$C:$C,D108),"")</f>
        <v>35528.630000000005</v>
      </c>
      <c r="L108" s="501">
        <f>IFERROR(SUMIFS('JPM St'!$M:$M,'JPM St'!$A:$A,$V$3,'JPM St'!$C:$C,D108),"")</f>
        <v>0</v>
      </c>
      <c r="M108" s="501">
        <f>IFERROR(SUMIFS('JPM St'!$M:$M,'JPM St'!$A:$A,$V$4,'JPM St'!$C:$C,D108),"")</f>
        <v>0</v>
      </c>
      <c r="N108" s="501"/>
      <c r="O108" s="501"/>
      <c r="P108" s="501"/>
      <c r="Q108" s="501"/>
      <c r="R108" s="501"/>
    </row>
    <row r="109" spans="1:18" x14ac:dyDescent="0.25">
      <c r="A109" s="497" t="s">
        <v>90</v>
      </c>
      <c r="B109" s="497" t="str">
        <f>IFERROR(IF(VLOOKUP(D109,'JPM St'!$C:$G,3,0)="Fixed Income &amp; Cash","Cash",VLOOKUP(D109,'JPM St'!$C:$G,3,0)),"")</f>
        <v>Equity</v>
      </c>
      <c r="C109" s="497" t="str">
        <f>IFERROR(VLOOKUP(D109,'JPM St'!$C:$L,10,0),"")</f>
        <v>USD</v>
      </c>
      <c r="D109" s="497" t="str">
        <v>TAKE-TWO INTERACTIVE SOFTWARE</v>
      </c>
      <c r="E109" s="500" t="str">
        <f>IFERROR(VLOOKUP(D109,'JPM St'!$C:$D,2,0),"")</f>
        <v>US8740541094</v>
      </c>
      <c r="F109" s="501">
        <f t="shared" si="7"/>
        <v>35253.699999999997</v>
      </c>
      <c r="G109" s="501">
        <f>SUMIFS('JPM St'!$K:$K,'JPM St'!$A:$A,$V$2,'JPM St'!$C:$C,D109)</f>
        <v>35253.699999999997</v>
      </c>
      <c r="H109" s="501">
        <f>SUMIFS('JPM St'!$K:$K,'JPM St'!$A:$A,$V$3,'JPM St'!$C:$C,D109)</f>
        <v>0</v>
      </c>
      <c r="I109" s="501">
        <f>SUMIFS('JPM St'!$K:$K,'JPM St'!$A:$A,$V$4,'JPM St'!$C:$C,D109)</f>
        <v>0</v>
      </c>
      <c r="J109" s="619">
        <f t="shared" si="8"/>
        <v>35253.699999999997</v>
      </c>
      <c r="K109" s="501">
        <f>IFERROR(SUMIFS('JPM St'!$M:$M,'JPM St'!$A:$A,$V$2,'JPM St'!$C:$C,D109),"")</f>
        <v>35253.699999999997</v>
      </c>
      <c r="L109" s="501">
        <f>IFERROR(SUMIFS('JPM St'!$M:$M,'JPM St'!$A:$A,$V$3,'JPM St'!$C:$C,D109),"")</f>
        <v>0</v>
      </c>
      <c r="M109" s="501">
        <f>IFERROR(SUMIFS('JPM St'!$M:$M,'JPM St'!$A:$A,$V$4,'JPM St'!$C:$C,D109),"")</f>
        <v>0</v>
      </c>
      <c r="N109" s="501"/>
      <c r="O109" s="501"/>
      <c r="P109" s="501"/>
      <c r="Q109" s="501"/>
      <c r="R109" s="501"/>
    </row>
    <row r="110" spans="1:18" x14ac:dyDescent="0.25">
      <c r="A110" s="497" t="s">
        <v>90</v>
      </c>
      <c r="B110" s="497" t="str">
        <f>IFERROR(IF(VLOOKUP(D110,'JPM St'!$C:$G,3,0)="Fixed Income &amp; Cash","Cash",VLOOKUP(D110,'JPM St'!$C:$G,3,0)),"")</f>
        <v>Equity</v>
      </c>
      <c r="C110" s="497" t="str">
        <f>IFERROR(VLOOKUP(D110,'JPM St'!$C:$L,10,0),"")</f>
        <v>USD</v>
      </c>
      <c r="D110" s="497" t="str">
        <v>CME GROUP INC -A-</v>
      </c>
      <c r="E110" s="500" t="str">
        <f>IFERROR(VLOOKUP(D110,'JPM St'!$C:$D,2,0),"")</f>
        <v>US12572Q1058</v>
      </c>
      <c r="F110" s="501">
        <f t="shared" si="7"/>
        <v>34723.700000000004</v>
      </c>
      <c r="G110" s="501">
        <f>SUMIFS('JPM St'!$K:$K,'JPM St'!$A:$A,$V$2,'JPM St'!$C:$C,D110)</f>
        <v>0</v>
      </c>
      <c r="H110" s="501">
        <f>SUMIFS('JPM St'!$K:$K,'JPM St'!$A:$A,$V$3,'JPM St'!$C:$C,D110)</f>
        <v>34723.700000000004</v>
      </c>
      <c r="I110" s="501">
        <f>SUMIFS('JPM St'!$K:$K,'JPM St'!$A:$A,$V$4,'JPM St'!$C:$C,D110)</f>
        <v>0</v>
      </c>
      <c r="J110" s="619">
        <f t="shared" si="8"/>
        <v>34723.700000000004</v>
      </c>
      <c r="K110" s="501">
        <f>IFERROR(SUMIFS('JPM St'!$M:$M,'JPM St'!$A:$A,$V$2,'JPM St'!$C:$C,D110),"")</f>
        <v>0</v>
      </c>
      <c r="L110" s="501">
        <f>IFERROR(SUMIFS('JPM St'!$M:$M,'JPM St'!$A:$A,$V$3,'JPM St'!$C:$C,D110),"")</f>
        <v>34723.700000000004</v>
      </c>
      <c r="M110" s="501">
        <f>IFERROR(SUMIFS('JPM St'!$M:$M,'JPM St'!$A:$A,$V$4,'JPM St'!$C:$C,D110),"")</f>
        <v>0</v>
      </c>
      <c r="N110" s="501"/>
      <c r="O110" s="501"/>
      <c r="P110" s="501"/>
      <c r="Q110" s="501"/>
      <c r="R110" s="501"/>
    </row>
    <row r="111" spans="1:18" x14ac:dyDescent="0.25">
      <c r="A111" s="497" t="s">
        <v>90</v>
      </c>
      <c r="B111" s="497" t="str">
        <f>IFERROR(IF(VLOOKUP(D111,'JPM St'!$C:$G,3,0)="Fixed Income &amp; Cash","Cash",VLOOKUP(D111,'JPM St'!$C:$G,3,0)),"")</f>
        <v>Equity</v>
      </c>
      <c r="C111" s="497" t="str">
        <f>IFERROR(VLOOKUP(D111,'JPM St'!$C:$L,10,0),"")</f>
        <v>USD</v>
      </c>
      <c r="D111" s="497" t="str">
        <v>CORE SCIENTIFIC INC</v>
      </c>
      <c r="E111" s="500" t="str">
        <f>IFERROR(VLOOKUP(D111,'JPM St'!$C:$D,2,0),"")</f>
        <v>US21874A1060</v>
      </c>
      <c r="F111" s="501">
        <f t="shared" si="7"/>
        <v>34233.675000000003</v>
      </c>
      <c r="G111" s="501">
        <f>SUMIFS('JPM St'!$K:$K,'JPM St'!$A:$A,$V$2,'JPM St'!$C:$C,D111)</f>
        <v>34233.675000000003</v>
      </c>
      <c r="H111" s="501">
        <f>SUMIFS('JPM St'!$K:$K,'JPM St'!$A:$A,$V$3,'JPM St'!$C:$C,D111)</f>
        <v>0</v>
      </c>
      <c r="I111" s="501">
        <f>SUMIFS('JPM St'!$K:$K,'JPM St'!$A:$A,$V$4,'JPM St'!$C:$C,D111)</f>
        <v>0</v>
      </c>
      <c r="J111" s="619">
        <f t="shared" si="8"/>
        <v>34233.675000000003</v>
      </c>
      <c r="K111" s="501">
        <f>IFERROR(SUMIFS('JPM St'!$M:$M,'JPM St'!$A:$A,$V$2,'JPM St'!$C:$C,D111),"")</f>
        <v>34233.675000000003</v>
      </c>
      <c r="L111" s="501">
        <f>IFERROR(SUMIFS('JPM St'!$M:$M,'JPM St'!$A:$A,$V$3,'JPM St'!$C:$C,D111),"")</f>
        <v>0</v>
      </c>
      <c r="M111" s="501">
        <f>IFERROR(SUMIFS('JPM St'!$M:$M,'JPM St'!$A:$A,$V$4,'JPM St'!$C:$C,D111),"")</f>
        <v>0</v>
      </c>
      <c r="N111" s="501"/>
      <c r="O111" s="501"/>
      <c r="P111" s="501"/>
      <c r="Q111" s="501"/>
      <c r="R111" s="501"/>
    </row>
    <row r="112" spans="1:18" x14ac:dyDescent="0.25">
      <c r="A112" s="497" t="s">
        <v>90</v>
      </c>
      <c r="B112" s="497" t="str">
        <f>IFERROR(IF(VLOOKUP(D112,'JPM St'!$C:$G,3,0)="Fixed Income &amp; Cash","Cash",VLOOKUP(D112,'JPM St'!$C:$G,3,0)),"")</f>
        <v>Equity</v>
      </c>
      <c r="C112" s="497" t="str">
        <f>IFERROR(VLOOKUP(D112,'JPM St'!$C:$L,10,0),"")</f>
        <v>USD</v>
      </c>
      <c r="D112" s="497" t="str">
        <v>HOME DEPOT</v>
      </c>
      <c r="E112" s="500" t="str">
        <f>IFERROR(VLOOKUP(D112,'JPM St'!$C:$D,2,0),"")</f>
        <v>US4370761029</v>
      </c>
      <c r="F112" s="501">
        <f t="shared" si="7"/>
        <v>33086.6</v>
      </c>
      <c r="G112" s="501">
        <f>SUMIFS('JPM St'!$K:$K,'JPM St'!$A:$A,$V$2,'JPM St'!$C:$C,D112)</f>
        <v>0</v>
      </c>
      <c r="H112" s="501">
        <f>SUMIFS('JPM St'!$K:$K,'JPM St'!$A:$A,$V$3,'JPM St'!$C:$C,D112)</f>
        <v>33086.6</v>
      </c>
      <c r="I112" s="501">
        <f>SUMIFS('JPM St'!$K:$K,'JPM St'!$A:$A,$V$4,'JPM St'!$C:$C,D112)</f>
        <v>0</v>
      </c>
      <c r="J112" s="619">
        <f t="shared" si="8"/>
        <v>33086.6</v>
      </c>
      <c r="K112" s="501">
        <f>IFERROR(SUMIFS('JPM St'!$M:$M,'JPM St'!$A:$A,$V$2,'JPM St'!$C:$C,D112),"")</f>
        <v>0</v>
      </c>
      <c r="L112" s="501">
        <f>IFERROR(SUMIFS('JPM St'!$M:$M,'JPM St'!$A:$A,$V$3,'JPM St'!$C:$C,D112),"")</f>
        <v>33086.6</v>
      </c>
      <c r="M112" s="501">
        <f>IFERROR(SUMIFS('JPM St'!$M:$M,'JPM St'!$A:$A,$V$4,'JPM St'!$C:$C,D112),"")</f>
        <v>0</v>
      </c>
      <c r="N112" s="501"/>
      <c r="O112" s="501"/>
      <c r="P112" s="501"/>
      <c r="Q112" s="501"/>
      <c r="R112" s="501"/>
    </row>
    <row r="113" spans="1:18" x14ac:dyDescent="0.25">
      <c r="A113" s="497" t="s">
        <v>90</v>
      </c>
      <c r="B113" s="497" t="str">
        <f>IFERROR(IF(VLOOKUP(D113,'JPM St'!$C:$G,3,0)="Fixed Income &amp; Cash","Cash",VLOOKUP(D113,'JPM St'!$C:$G,3,0)),"")</f>
        <v>Equity</v>
      </c>
      <c r="C113" s="497" t="str">
        <f>IFERROR(VLOOKUP(D113,'JPM St'!$C:$L,10,0),"")</f>
        <v>USD</v>
      </c>
      <c r="D113" s="497" t="str">
        <v>MERCK &amp; CO</v>
      </c>
      <c r="E113" s="500" t="str">
        <f>IFERROR(VLOOKUP(D113,'JPM St'!$C:$D,2,0),"")</f>
        <v>US58933Y1055</v>
      </c>
      <c r="F113" s="501">
        <f t="shared" si="7"/>
        <v>32822.79</v>
      </c>
      <c r="G113" s="501">
        <f>SUMIFS('JPM St'!$K:$K,'JPM St'!$A:$A,$V$2,'JPM St'!$C:$C,D113)</f>
        <v>0</v>
      </c>
      <c r="H113" s="501">
        <f>SUMIFS('JPM St'!$K:$K,'JPM St'!$A:$A,$V$3,'JPM St'!$C:$C,D113)</f>
        <v>32822.79</v>
      </c>
      <c r="I113" s="501">
        <f>SUMIFS('JPM St'!$K:$K,'JPM St'!$A:$A,$V$4,'JPM St'!$C:$C,D113)</f>
        <v>0</v>
      </c>
      <c r="J113" s="619">
        <f t="shared" si="8"/>
        <v>32822.79</v>
      </c>
      <c r="K113" s="501">
        <f>IFERROR(SUMIFS('JPM St'!$M:$M,'JPM St'!$A:$A,$V$2,'JPM St'!$C:$C,D113),"")</f>
        <v>0</v>
      </c>
      <c r="L113" s="501">
        <f>IFERROR(SUMIFS('JPM St'!$M:$M,'JPM St'!$A:$A,$V$3,'JPM St'!$C:$C,D113),"")</f>
        <v>32822.79</v>
      </c>
      <c r="M113" s="501">
        <f>IFERROR(SUMIFS('JPM St'!$M:$M,'JPM St'!$A:$A,$V$4,'JPM St'!$C:$C,D113),"")</f>
        <v>0</v>
      </c>
      <c r="N113" s="501"/>
      <c r="O113" s="501"/>
      <c r="P113" s="501"/>
      <c r="Q113" s="501"/>
      <c r="R113" s="501"/>
    </row>
    <row r="114" spans="1:18" x14ac:dyDescent="0.25">
      <c r="A114" s="497" t="s">
        <v>90</v>
      </c>
      <c r="B114" s="497" t="str">
        <f>IFERROR(IF(VLOOKUP(D114,'JPM St'!$C:$G,3,0)="Fixed Income &amp; Cash","Cash",VLOOKUP(D114,'JPM St'!$C:$G,3,0)),"")</f>
        <v>Equity</v>
      </c>
      <c r="C114" s="497" t="str">
        <f>IFERROR(VLOOKUP(D114,'JPM St'!$C:$L,10,0),"")</f>
        <v>USD</v>
      </c>
      <c r="D114" s="497" t="str">
        <v>CAPITAL ONE FINANCIAL</v>
      </c>
      <c r="E114" s="500" t="str">
        <f>IFERROR(VLOOKUP(D114,'JPM St'!$C:$D,2,0),"")</f>
        <v>US14040H1059</v>
      </c>
      <c r="F114" s="501">
        <f t="shared" si="7"/>
        <v>32585.43</v>
      </c>
      <c r="G114" s="501">
        <f>SUMIFS('JPM St'!$K:$K,'JPM St'!$A:$A,$V$2,'JPM St'!$C:$C,D114)</f>
        <v>0</v>
      </c>
      <c r="H114" s="501">
        <f>SUMIFS('JPM St'!$K:$K,'JPM St'!$A:$A,$V$3,'JPM St'!$C:$C,D114)</f>
        <v>32585.43</v>
      </c>
      <c r="I114" s="501">
        <f>SUMIFS('JPM St'!$K:$K,'JPM St'!$A:$A,$V$4,'JPM St'!$C:$C,D114)</f>
        <v>0</v>
      </c>
      <c r="J114" s="619">
        <f t="shared" si="8"/>
        <v>32585.43</v>
      </c>
      <c r="K114" s="501">
        <f>IFERROR(SUMIFS('JPM St'!$M:$M,'JPM St'!$A:$A,$V$2,'JPM St'!$C:$C,D114),"")</f>
        <v>0</v>
      </c>
      <c r="L114" s="501">
        <f>IFERROR(SUMIFS('JPM St'!$M:$M,'JPM St'!$A:$A,$V$3,'JPM St'!$C:$C,D114),"")</f>
        <v>32585.43</v>
      </c>
      <c r="M114" s="501">
        <f>IFERROR(SUMIFS('JPM St'!$M:$M,'JPM St'!$A:$A,$V$4,'JPM St'!$C:$C,D114),"")</f>
        <v>0</v>
      </c>
      <c r="N114" s="501"/>
      <c r="O114" s="501"/>
      <c r="P114" s="501"/>
      <c r="Q114" s="501"/>
      <c r="R114" s="501"/>
    </row>
    <row r="115" spans="1:18" x14ac:dyDescent="0.25">
      <c r="A115" s="497" t="s">
        <v>90</v>
      </c>
      <c r="B115" s="497" t="str">
        <f>IFERROR(IF(VLOOKUP(D115,'JPM St'!$C:$G,3,0)="Fixed Income &amp; Cash","Cash",VLOOKUP(D115,'JPM St'!$C:$G,3,0)),"")</f>
        <v>Equity</v>
      </c>
      <c r="C115" s="497" t="str">
        <f>IFERROR(VLOOKUP(D115,'JPM St'!$C:$L,10,0),"")</f>
        <v>USD</v>
      </c>
      <c r="D115" s="497" t="str">
        <v>DOMINION ENERGY INC</v>
      </c>
      <c r="E115" s="500" t="str">
        <f>IFERROR(VLOOKUP(D115,'JPM St'!$C:$D,2,0),"")</f>
        <v>US25746U1097</v>
      </c>
      <c r="F115" s="501">
        <f t="shared" si="7"/>
        <v>32510.399999999998</v>
      </c>
      <c r="G115" s="501">
        <f>SUMIFS('JPM St'!$K:$K,'JPM St'!$A:$A,$V$2,'JPM St'!$C:$C,D115)</f>
        <v>0</v>
      </c>
      <c r="H115" s="501">
        <f>SUMIFS('JPM St'!$K:$K,'JPM St'!$A:$A,$V$3,'JPM St'!$C:$C,D115)</f>
        <v>32510.399999999998</v>
      </c>
      <c r="I115" s="501">
        <f>SUMIFS('JPM St'!$K:$K,'JPM St'!$A:$A,$V$4,'JPM St'!$C:$C,D115)</f>
        <v>0</v>
      </c>
      <c r="J115" s="619">
        <f t="shared" si="8"/>
        <v>32510.399999999998</v>
      </c>
      <c r="K115" s="501">
        <f>IFERROR(SUMIFS('JPM St'!$M:$M,'JPM St'!$A:$A,$V$2,'JPM St'!$C:$C,D115),"")</f>
        <v>0</v>
      </c>
      <c r="L115" s="501">
        <f>IFERROR(SUMIFS('JPM St'!$M:$M,'JPM St'!$A:$A,$V$3,'JPM St'!$C:$C,D115),"")</f>
        <v>32510.399999999998</v>
      </c>
      <c r="M115" s="501">
        <f>IFERROR(SUMIFS('JPM St'!$M:$M,'JPM St'!$A:$A,$V$4,'JPM St'!$C:$C,D115),"")</f>
        <v>0</v>
      </c>
      <c r="N115" s="501"/>
      <c r="O115" s="501"/>
      <c r="P115" s="501"/>
      <c r="Q115" s="501"/>
      <c r="R115" s="501"/>
    </row>
    <row r="116" spans="1:18" x14ac:dyDescent="0.25">
      <c r="A116" s="497" t="s">
        <v>90</v>
      </c>
      <c r="B116" s="497" t="str">
        <f>IFERROR(IF(VLOOKUP(D116,'JPM St'!$C:$G,3,0)="Fixed Income &amp; Cash","Cash",VLOOKUP(D116,'JPM St'!$C:$G,3,0)),"")</f>
        <v>Equity</v>
      </c>
      <c r="C116" s="497" t="str">
        <f>IFERROR(VLOOKUP(D116,'JPM St'!$C:$L,10,0),"")</f>
        <v>USD</v>
      </c>
      <c r="D116" s="497" t="str">
        <v>WALMART INC</v>
      </c>
      <c r="E116" s="500" t="str">
        <f>IFERROR(VLOOKUP(D116,'JPM St'!$C:$D,2,0),"")</f>
        <v>US9311421039</v>
      </c>
      <c r="F116" s="501">
        <f t="shared" si="7"/>
        <v>32440.32</v>
      </c>
      <c r="G116" s="501">
        <f>SUMIFS('JPM St'!$K:$K,'JPM St'!$A:$A,$V$2,'JPM St'!$C:$C,D116)</f>
        <v>0</v>
      </c>
      <c r="H116" s="501">
        <f>SUMIFS('JPM St'!$K:$K,'JPM St'!$A:$A,$V$3,'JPM St'!$C:$C,D116)</f>
        <v>32440.32</v>
      </c>
      <c r="I116" s="501">
        <f>SUMIFS('JPM St'!$K:$K,'JPM St'!$A:$A,$V$4,'JPM St'!$C:$C,D116)</f>
        <v>0</v>
      </c>
      <c r="J116" s="619">
        <f t="shared" si="8"/>
        <v>32440.32</v>
      </c>
      <c r="K116" s="501">
        <f>IFERROR(SUMIFS('JPM St'!$M:$M,'JPM St'!$A:$A,$V$2,'JPM St'!$C:$C,D116),"")</f>
        <v>0</v>
      </c>
      <c r="L116" s="501">
        <f>IFERROR(SUMIFS('JPM St'!$M:$M,'JPM St'!$A:$A,$V$3,'JPM St'!$C:$C,D116),"")</f>
        <v>32440.32</v>
      </c>
      <c r="M116" s="501">
        <f>IFERROR(SUMIFS('JPM St'!$M:$M,'JPM St'!$A:$A,$V$4,'JPM St'!$C:$C,D116),"")</f>
        <v>0</v>
      </c>
      <c r="N116" s="501"/>
      <c r="O116" s="501"/>
      <c r="P116" s="501"/>
      <c r="Q116" s="501"/>
      <c r="R116" s="501"/>
    </row>
    <row r="117" spans="1:18" x14ac:dyDescent="0.25">
      <c r="A117" s="497" t="s">
        <v>90</v>
      </c>
      <c r="B117" s="497" t="str">
        <f>IFERROR(IF(VLOOKUP(D117,'JPM St'!$C:$G,3,0)="Fixed Income &amp; Cash","Cash",VLOOKUP(D117,'JPM St'!$C:$G,3,0)),"")</f>
        <v>Equity</v>
      </c>
      <c r="C117" s="497" t="str">
        <f>IFERROR(VLOOKUP(D117,'JPM St'!$C:$L,10,0),"")</f>
        <v>USD</v>
      </c>
      <c r="D117" s="497" t="str">
        <v>CITIGROUP</v>
      </c>
      <c r="E117" s="500" t="str">
        <f>IFERROR(VLOOKUP(D117,'JPM St'!$C:$D,2,0),"")</f>
        <v>US1729674242</v>
      </c>
      <c r="F117" s="501">
        <f t="shared" si="7"/>
        <v>32196.744999999999</v>
      </c>
      <c r="G117" s="501">
        <f>SUMIFS('JPM St'!$K:$K,'JPM St'!$A:$A,$V$2,'JPM St'!$C:$C,D117)</f>
        <v>0</v>
      </c>
      <c r="H117" s="501">
        <f>SUMIFS('JPM St'!$K:$K,'JPM St'!$A:$A,$V$3,'JPM St'!$C:$C,D117)</f>
        <v>32196.744999999999</v>
      </c>
      <c r="I117" s="501">
        <f>SUMIFS('JPM St'!$K:$K,'JPM St'!$A:$A,$V$4,'JPM St'!$C:$C,D117)</f>
        <v>0</v>
      </c>
      <c r="J117" s="619">
        <f t="shared" si="8"/>
        <v>32196.744999999999</v>
      </c>
      <c r="K117" s="501">
        <f>IFERROR(SUMIFS('JPM St'!$M:$M,'JPM St'!$A:$A,$V$2,'JPM St'!$C:$C,D117),"")</f>
        <v>0</v>
      </c>
      <c r="L117" s="501">
        <f>IFERROR(SUMIFS('JPM St'!$M:$M,'JPM St'!$A:$A,$V$3,'JPM St'!$C:$C,D117),"")</f>
        <v>32196.744999999999</v>
      </c>
      <c r="M117" s="501">
        <f>IFERROR(SUMIFS('JPM St'!$M:$M,'JPM St'!$A:$A,$V$4,'JPM St'!$C:$C,D117),"")</f>
        <v>0</v>
      </c>
      <c r="N117" s="501"/>
      <c r="O117" s="501"/>
      <c r="P117" s="501"/>
      <c r="Q117" s="501"/>
      <c r="R117" s="501"/>
    </row>
    <row r="118" spans="1:18" x14ac:dyDescent="0.25">
      <c r="A118" s="497" t="s">
        <v>90</v>
      </c>
      <c r="B118" s="497" t="str">
        <f>IFERROR(IF(VLOOKUP(D118,'JPM St'!$C:$G,3,0)="Fixed Income &amp; Cash","Cash",VLOOKUP(D118,'JPM St'!$C:$G,3,0)),"")</f>
        <v>Equity</v>
      </c>
      <c r="C118" s="497" t="str">
        <f>IFERROR(VLOOKUP(D118,'JPM St'!$C:$L,10,0),"")</f>
        <v>USD</v>
      </c>
      <c r="D118" s="497" t="str">
        <v>TJX COS</v>
      </c>
      <c r="E118" s="500" t="str">
        <f>IFERROR(VLOOKUP(D118,'JPM St'!$C:$D,2,0),"")</f>
        <v>US8725401090</v>
      </c>
      <c r="F118" s="501">
        <f t="shared" si="7"/>
        <v>29826.199999999997</v>
      </c>
      <c r="G118" s="501">
        <f>SUMIFS('JPM St'!$K:$K,'JPM St'!$A:$A,$V$2,'JPM St'!$C:$C,D118)</f>
        <v>0</v>
      </c>
      <c r="H118" s="501">
        <f>SUMIFS('JPM St'!$K:$K,'JPM St'!$A:$A,$V$3,'JPM St'!$C:$C,D118)</f>
        <v>29826.199999999997</v>
      </c>
      <c r="I118" s="501">
        <f>SUMIFS('JPM St'!$K:$K,'JPM St'!$A:$A,$V$4,'JPM St'!$C:$C,D118)</f>
        <v>0</v>
      </c>
      <c r="J118" s="619">
        <f t="shared" si="8"/>
        <v>29826.199999999997</v>
      </c>
      <c r="K118" s="501">
        <f>IFERROR(SUMIFS('JPM St'!$M:$M,'JPM St'!$A:$A,$V$2,'JPM St'!$C:$C,D118),"")</f>
        <v>0</v>
      </c>
      <c r="L118" s="501">
        <f>IFERROR(SUMIFS('JPM St'!$M:$M,'JPM St'!$A:$A,$V$3,'JPM St'!$C:$C,D118),"")</f>
        <v>29826.199999999997</v>
      </c>
      <c r="M118" s="501">
        <f>IFERROR(SUMIFS('JPM St'!$M:$M,'JPM St'!$A:$A,$V$4,'JPM St'!$C:$C,D118),"")</f>
        <v>0</v>
      </c>
      <c r="N118" s="501"/>
      <c r="O118" s="501"/>
      <c r="P118" s="501"/>
      <c r="Q118" s="501"/>
      <c r="R118" s="501"/>
    </row>
    <row r="119" spans="1:18" x14ac:dyDescent="0.25">
      <c r="A119" s="497" t="s">
        <v>90</v>
      </c>
      <c r="B119" s="497" t="str">
        <f>IFERROR(IF(VLOOKUP(D119,'JPM St'!$C:$G,3,0)="Fixed Income &amp; Cash","Cash",VLOOKUP(D119,'JPM St'!$C:$G,3,0)),"")</f>
        <v>Equity</v>
      </c>
      <c r="C119" s="497" t="str">
        <f>IFERROR(VLOOKUP(D119,'JPM St'!$C:$L,10,0),"")</f>
        <v>USD</v>
      </c>
      <c r="D119" s="497" t="str">
        <v>XCEL ENERGY INC</v>
      </c>
      <c r="E119" s="500" t="str">
        <f>IFERROR(VLOOKUP(D119,'JPM St'!$C:$D,2,0),"")</f>
        <v>US98389B1008</v>
      </c>
      <c r="F119" s="501">
        <f t="shared" si="7"/>
        <v>29502.782799999997</v>
      </c>
      <c r="G119" s="501">
        <f>SUMIFS('JPM St'!$K:$K,'JPM St'!$A:$A,$V$2,'JPM St'!$C:$C,D119)</f>
        <v>0</v>
      </c>
      <c r="H119" s="501">
        <f>SUMIFS('JPM St'!$K:$K,'JPM St'!$A:$A,$V$3,'JPM St'!$C:$C,D119)</f>
        <v>29502.782799999997</v>
      </c>
      <c r="I119" s="501">
        <f>SUMIFS('JPM St'!$K:$K,'JPM St'!$A:$A,$V$4,'JPM St'!$C:$C,D119)</f>
        <v>0</v>
      </c>
      <c r="J119" s="619">
        <f t="shared" si="8"/>
        <v>29502.782799999997</v>
      </c>
      <c r="K119" s="501">
        <f>IFERROR(SUMIFS('JPM St'!$M:$M,'JPM St'!$A:$A,$V$2,'JPM St'!$C:$C,D119),"")</f>
        <v>0</v>
      </c>
      <c r="L119" s="501">
        <f>IFERROR(SUMIFS('JPM St'!$M:$M,'JPM St'!$A:$A,$V$3,'JPM St'!$C:$C,D119),"")</f>
        <v>29502.782799999997</v>
      </c>
      <c r="M119" s="501">
        <f>IFERROR(SUMIFS('JPM St'!$M:$M,'JPM St'!$A:$A,$V$4,'JPM St'!$C:$C,D119),"")</f>
        <v>0</v>
      </c>
      <c r="N119" s="501"/>
      <c r="O119" s="501"/>
      <c r="P119" s="501"/>
      <c r="Q119" s="501"/>
      <c r="R119" s="501"/>
    </row>
    <row r="120" spans="1:18" x14ac:dyDescent="0.25">
      <c r="A120" s="497" t="s">
        <v>90</v>
      </c>
      <c r="B120" s="497" t="str">
        <f>IFERROR(IF(VLOOKUP(D120,'JPM St'!$C:$G,3,0)="Fixed Income &amp; Cash","Cash",VLOOKUP(D120,'JPM St'!$C:$G,3,0)),"")</f>
        <v>Equity</v>
      </c>
      <c r="C120" s="497" t="str">
        <f>IFERROR(VLOOKUP(D120,'JPM St'!$C:$L,10,0),"")</f>
        <v>USD</v>
      </c>
      <c r="D120" s="497" t="str">
        <v>PROCTER &amp; GAMBLE</v>
      </c>
      <c r="E120" s="500" t="str">
        <f>IFERROR(VLOOKUP(D120,'JPM St'!$C:$D,2,0),"")</f>
        <v>US7427181091</v>
      </c>
      <c r="F120" s="501">
        <f t="shared" si="7"/>
        <v>29318.9</v>
      </c>
      <c r="G120" s="501">
        <f>SUMIFS('JPM St'!$K:$K,'JPM St'!$A:$A,$V$2,'JPM St'!$C:$C,D120)</f>
        <v>0</v>
      </c>
      <c r="H120" s="501">
        <f>SUMIFS('JPM St'!$K:$K,'JPM St'!$A:$A,$V$3,'JPM St'!$C:$C,D120)</f>
        <v>29318.9</v>
      </c>
      <c r="I120" s="501">
        <f>SUMIFS('JPM St'!$K:$K,'JPM St'!$A:$A,$V$4,'JPM St'!$C:$C,D120)</f>
        <v>0</v>
      </c>
      <c r="J120" s="619">
        <f t="shared" si="8"/>
        <v>29318.9</v>
      </c>
      <c r="K120" s="501">
        <f>IFERROR(SUMIFS('JPM St'!$M:$M,'JPM St'!$A:$A,$V$2,'JPM St'!$C:$C,D120),"")</f>
        <v>0</v>
      </c>
      <c r="L120" s="501">
        <f>IFERROR(SUMIFS('JPM St'!$M:$M,'JPM St'!$A:$A,$V$3,'JPM St'!$C:$C,D120),"")</f>
        <v>29318.9</v>
      </c>
      <c r="M120" s="501">
        <f>IFERROR(SUMIFS('JPM St'!$M:$M,'JPM St'!$A:$A,$V$4,'JPM St'!$C:$C,D120),"")</f>
        <v>0</v>
      </c>
      <c r="N120" s="501"/>
      <c r="O120" s="501"/>
      <c r="P120" s="501"/>
      <c r="Q120" s="501"/>
      <c r="R120" s="501"/>
    </row>
    <row r="121" spans="1:18" x14ac:dyDescent="0.25">
      <c r="A121" s="497" t="s">
        <v>90</v>
      </c>
      <c r="B121" s="497" t="str">
        <f>IFERROR(IF(VLOOKUP(D121,'JPM St'!$C:$G,3,0)="Fixed Income &amp; Cash","Cash",VLOOKUP(D121,'JPM St'!$C:$G,3,0)),"")</f>
        <v>Equity</v>
      </c>
      <c r="C121" s="497" t="str">
        <f>IFERROR(VLOOKUP(D121,'JPM St'!$C:$L,10,0),"")</f>
        <v>USD</v>
      </c>
      <c r="D121" s="497" t="str">
        <v>HUT 8 CORP</v>
      </c>
      <c r="E121" s="500" t="str">
        <f>IFERROR(VLOOKUP(D121,'JPM St'!$C:$D,2,0),"")</f>
        <v>US44812J1043</v>
      </c>
      <c r="F121" s="501">
        <f t="shared" si="7"/>
        <v>28215.739999999998</v>
      </c>
      <c r="G121" s="501">
        <f>SUMIFS('JPM St'!$K:$K,'JPM St'!$A:$A,$V$2,'JPM St'!$C:$C,D121)</f>
        <v>28215.739999999998</v>
      </c>
      <c r="H121" s="501">
        <f>SUMIFS('JPM St'!$K:$K,'JPM St'!$A:$A,$V$3,'JPM St'!$C:$C,D121)</f>
        <v>0</v>
      </c>
      <c r="I121" s="501">
        <f>SUMIFS('JPM St'!$K:$K,'JPM St'!$A:$A,$V$4,'JPM St'!$C:$C,D121)</f>
        <v>0</v>
      </c>
      <c r="J121" s="619">
        <f t="shared" si="8"/>
        <v>28215.739999999998</v>
      </c>
      <c r="K121" s="501">
        <f>IFERROR(SUMIFS('JPM St'!$M:$M,'JPM St'!$A:$A,$V$2,'JPM St'!$C:$C,D121),"")</f>
        <v>28215.739999999998</v>
      </c>
      <c r="L121" s="501">
        <f>IFERROR(SUMIFS('JPM St'!$M:$M,'JPM St'!$A:$A,$V$3,'JPM St'!$C:$C,D121),"")</f>
        <v>0</v>
      </c>
      <c r="M121" s="501">
        <f>IFERROR(SUMIFS('JPM St'!$M:$M,'JPM St'!$A:$A,$V$4,'JPM St'!$C:$C,D121),"")</f>
        <v>0</v>
      </c>
      <c r="N121" s="501"/>
      <c r="O121" s="501"/>
      <c r="P121" s="501"/>
      <c r="Q121" s="501"/>
      <c r="R121" s="501"/>
    </row>
    <row r="122" spans="1:18" x14ac:dyDescent="0.25">
      <c r="A122" s="497" t="s">
        <v>90</v>
      </c>
      <c r="B122" s="497" t="str">
        <f>IFERROR(IF(VLOOKUP(D122,'JPM St'!$C:$G,3,0)="Fixed Income &amp; Cash","Cash",VLOOKUP(D122,'JPM St'!$C:$G,3,0)),"")</f>
        <v>Equity</v>
      </c>
      <c r="C122" s="497" t="str">
        <f>IFERROR(VLOOKUP(D122,'JPM St'!$C:$L,10,0),"")</f>
        <v>USD</v>
      </c>
      <c r="D122" s="497" t="str">
        <v>GOLDMAN SACHS GRP</v>
      </c>
      <c r="E122" s="500" t="str">
        <f>IFERROR(VLOOKUP(D122,'JPM St'!$C:$D,2,0),"")</f>
        <v>US38141G1040</v>
      </c>
      <c r="F122" s="501">
        <f t="shared" si="7"/>
        <v>28140</v>
      </c>
      <c r="G122" s="501">
        <f>SUMIFS('JPM St'!$K:$K,'JPM St'!$A:$A,$V$2,'JPM St'!$C:$C,D122)</f>
        <v>0</v>
      </c>
      <c r="H122" s="501">
        <f>SUMIFS('JPM St'!$K:$K,'JPM St'!$A:$A,$V$3,'JPM St'!$C:$C,D122)</f>
        <v>28140</v>
      </c>
      <c r="I122" s="501">
        <f>SUMIFS('JPM St'!$K:$K,'JPM St'!$A:$A,$V$4,'JPM St'!$C:$C,D122)</f>
        <v>0</v>
      </c>
      <c r="J122" s="619">
        <f t="shared" si="8"/>
        <v>28140</v>
      </c>
      <c r="K122" s="501">
        <f>IFERROR(SUMIFS('JPM St'!$M:$M,'JPM St'!$A:$A,$V$2,'JPM St'!$C:$C,D122),"")</f>
        <v>0</v>
      </c>
      <c r="L122" s="501">
        <f>IFERROR(SUMIFS('JPM St'!$M:$M,'JPM St'!$A:$A,$V$3,'JPM St'!$C:$C,D122),"")</f>
        <v>28140</v>
      </c>
      <c r="M122" s="501">
        <f>IFERROR(SUMIFS('JPM St'!$M:$M,'JPM St'!$A:$A,$V$4,'JPM St'!$C:$C,D122),"")</f>
        <v>0</v>
      </c>
      <c r="N122" s="501"/>
      <c r="O122" s="501"/>
      <c r="P122" s="501"/>
      <c r="Q122" s="501"/>
      <c r="R122" s="501"/>
    </row>
    <row r="123" spans="1:18" x14ac:dyDescent="0.25">
      <c r="A123" s="497" t="s">
        <v>90</v>
      </c>
      <c r="B123" s="497" t="str">
        <f>IFERROR(IF(VLOOKUP(D123,'JPM St'!$C:$G,3,0)="Fixed Income &amp; Cash","Cash",VLOOKUP(D123,'JPM St'!$C:$G,3,0)),"")</f>
        <v>Equity</v>
      </c>
      <c r="C123" s="497" t="str">
        <f>IFERROR(VLOOKUP(D123,'JPM St'!$C:$L,10,0),"")</f>
        <v>USD</v>
      </c>
      <c r="D123" s="497" t="str">
        <v>HEWLETT PACKARD ENTERPRISE</v>
      </c>
      <c r="E123" s="500" t="str">
        <f>IFERROR(VLOOKUP(D123,'JPM St'!$C:$D,2,0),"")</f>
        <v>US42824C1099</v>
      </c>
      <c r="F123" s="501">
        <f t="shared" si="7"/>
        <v>26872.435000000001</v>
      </c>
      <c r="G123" s="501">
        <f>SUMIFS('JPM St'!$K:$K,'JPM St'!$A:$A,$V$2,'JPM St'!$C:$C,D123)</f>
        <v>0</v>
      </c>
      <c r="H123" s="501">
        <f>SUMIFS('JPM St'!$K:$K,'JPM St'!$A:$A,$V$3,'JPM St'!$C:$C,D123)</f>
        <v>26872.435000000001</v>
      </c>
      <c r="I123" s="501">
        <f>SUMIFS('JPM St'!$K:$K,'JPM St'!$A:$A,$V$4,'JPM St'!$C:$C,D123)</f>
        <v>0</v>
      </c>
      <c r="J123" s="619">
        <f t="shared" si="8"/>
        <v>26872.435000000001</v>
      </c>
      <c r="K123" s="501">
        <f>IFERROR(SUMIFS('JPM St'!$M:$M,'JPM St'!$A:$A,$V$2,'JPM St'!$C:$C,D123),"")</f>
        <v>0</v>
      </c>
      <c r="L123" s="501">
        <f>IFERROR(SUMIFS('JPM St'!$M:$M,'JPM St'!$A:$A,$V$3,'JPM St'!$C:$C,D123),"")</f>
        <v>26872.435000000001</v>
      </c>
      <c r="M123" s="501">
        <f>IFERROR(SUMIFS('JPM St'!$M:$M,'JPM St'!$A:$A,$V$4,'JPM St'!$C:$C,D123),"")</f>
        <v>0</v>
      </c>
      <c r="N123" s="501"/>
      <c r="O123" s="501"/>
      <c r="P123" s="501"/>
      <c r="Q123" s="501"/>
      <c r="R123" s="501"/>
    </row>
    <row r="124" spans="1:18" x14ac:dyDescent="0.25">
      <c r="A124" s="497" t="s">
        <v>90</v>
      </c>
      <c r="B124" s="497" t="str">
        <f>IFERROR(IF(VLOOKUP(D124,'JPM St'!$C:$G,3,0)="Fixed Income &amp; Cash","Cash",VLOOKUP(D124,'JPM St'!$C:$G,3,0)),"")</f>
        <v>Equity</v>
      </c>
      <c r="C124" s="497" t="str">
        <f>IFERROR(VLOOKUP(D124,'JPM St'!$C:$L,10,0),"")</f>
        <v>USD</v>
      </c>
      <c r="D124" s="497" t="str">
        <v>ZOOMINFO TECHNOLOGIES INC</v>
      </c>
      <c r="E124" s="500" t="str">
        <f>IFERROR(VLOOKUP(D124,'JPM St'!$C:$D,2,0),"")</f>
        <v>US98980F1049</v>
      </c>
      <c r="F124" s="501">
        <f t="shared" si="7"/>
        <v>25959.675000000003</v>
      </c>
      <c r="G124" s="501">
        <f>SUMIFS('JPM St'!$K:$K,'JPM St'!$A:$A,$V$2,'JPM St'!$C:$C,D124)</f>
        <v>25959.675000000003</v>
      </c>
      <c r="H124" s="501">
        <f>SUMIFS('JPM St'!$K:$K,'JPM St'!$A:$A,$V$3,'JPM St'!$C:$C,D124)</f>
        <v>0</v>
      </c>
      <c r="I124" s="501">
        <f>SUMIFS('JPM St'!$K:$K,'JPM St'!$A:$A,$V$4,'JPM St'!$C:$C,D124)</f>
        <v>0</v>
      </c>
      <c r="J124" s="619">
        <f t="shared" si="8"/>
        <v>25959.675000000003</v>
      </c>
      <c r="K124" s="501">
        <f>IFERROR(SUMIFS('JPM St'!$M:$M,'JPM St'!$A:$A,$V$2,'JPM St'!$C:$C,D124),"")</f>
        <v>25959.675000000003</v>
      </c>
      <c r="L124" s="501">
        <f>IFERROR(SUMIFS('JPM St'!$M:$M,'JPM St'!$A:$A,$V$3,'JPM St'!$C:$C,D124),"")</f>
        <v>0</v>
      </c>
      <c r="M124" s="501">
        <f>IFERROR(SUMIFS('JPM St'!$M:$M,'JPM St'!$A:$A,$V$4,'JPM St'!$C:$C,D124),"")</f>
        <v>0</v>
      </c>
      <c r="N124" s="501"/>
      <c r="O124" s="501"/>
      <c r="P124" s="501"/>
      <c r="Q124" s="501"/>
      <c r="R124" s="501"/>
    </row>
    <row r="125" spans="1:18" x14ac:dyDescent="0.25">
      <c r="A125" s="497" t="s">
        <v>90</v>
      </c>
      <c r="B125" s="497" t="str">
        <f>IFERROR(IF(VLOOKUP(D125,'JPM St'!$C:$G,3,0)="Fixed Income &amp; Cash","Cash",VLOOKUP(D125,'JPM St'!$C:$G,3,0)),"")</f>
        <v>Equity</v>
      </c>
      <c r="C125" s="497" t="str">
        <f>IFERROR(VLOOKUP(D125,'JPM St'!$C:$L,10,0),"")</f>
        <v>USD</v>
      </c>
      <c r="D125" s="497" t="str">
        <v>THE COCA-COLA COMPANY</v>
      </c>
      <c r="E125" s="500" t="str">
        <f>IFERROR(VLOOKUP(D125,'JPM St'!$C:$D,2,0),"")</f>
        <v>US1912161007</v>
      </c>
      <c r="F125" s="501">
        <f t="shared" si="7"/>
        <v>25712.99</v>
      </c>
      <c r="G125" s="501">
        <f>SUMIFS('JPM St'!$K:$K,'JPM St'!$A:$A,$V$2,'JPM St'!$C:$C,D125)</f>
        <v>0</v>
      </c>
      <c r="H125" s="501">
        <f>SUMIFS('JPM St'!$K:$K,'JPM St'!$A:$A,$V$3,'JPM St'!$C:$C,D125)</f>
        <v>25712.99</v>
      </c>
      <c r="I125" s="501">
        <f>SUMIFS('JPM St'!$K:$K,'JPM St'!$A:$A,$V$4,'JPM St'!$C:$C,D125)</f>
        <v>0</v>
      </c>
      <c r="J125" s="619">
        <f t="shared" si="8"/>
        <v>25712.99</v>
      </c>
      <c r="K125" s="501">
        <f>IFERROR(SUMIFS('JPM St'!$M:$M,'JPM St'!$A:$A,$V$2,'JPM St'!$C:$C,D125),"")</f>
        <v>0</v>
      </c>
      <c r="L125" s="501">
        <f>IFERROR(SUMIFS('JPM St'!$M:$M,'JPM St'!$A:$A,$V$3,'JPM St'!$C:$C,D125),"")</f>
        <v>25712.99</v>
      </c>
      <c r="M125" s="501">
        <f>IFERROR(SUMIFS('JPM St'!$M:$M,'JPM St'!$A:$A,$V$4,'JPM St'!$C:$C,D125),"")</f>
        <v>0</v>
      </c>
      <c r="N125" s="501"/>
      <c r="O125" s="501"/>
      <c r="P125" s="501"/>
      <c r="Q125" s="501"/>
      <c r="R125" s="501"/>
    </row>
    <row r="126" spans="1:18" x14ac:dyDescent="0.25">
      <c r="A126" s="497" t="s">
        <v>90</v>
      </c>
      <c r="B126" s="497" t="str">
        <f>IFERROR(IF(VLOOKUP(D126,'JPM St'!$C:$G,3,0)="Fixed Income &amp; Cash","Cash",VLOOKUP(D126,'JPM St'!$C:$G,3,0)),"")</f>
        <v>Equity</v>
      </c>
      <c r="C126" s="497" t="str">
        <f>IFERROR(VLOOKUP(D126,'JPM St'!$C:$L,10,0),"")</f>
        <v>USD</v>
      </c>
      <c r="D126" s="497" t="str">
        <v>REDDIT INC-CL A</v>
      </c>
      <c r="E126" s="500" t="str">
        <f>IFERROR(VLOOKUP(D126,'JPM St'!$C:$D,2,0),"")</f>
        <v>US75734B1008</v>
      </c>
      <c r="F126" s="501">
        <f t="shared" si="7"/>
        <v>25295.4</v>
      </c>
      <c r="G126" s="501">
        <f>SUMIFS('JPM St'!$K:$K,'JPM St'!$A:$A,$V$2,'JPM St'!$C:$C,D126)</f>
        <v>25295.4</v>
      </c>
      <c r="H126" s="501">
        <f>SUMIFS('JPM St'!$K:$K,'JPM St'!$A:$A,$V$3,'JPM St'!$C:$C,D126)</f>
        <v>0</v>
      </c>
      <c r="I126" s="501">
        <f>SUMIFS('JPM St'!$K:$K,'JPM St'!$A:$A,$V$4,'JPM St'!$C:$C,D126)</f>
        <v>0</v>
      </c>
      <c r="J126" s="619">
        <f t="shared" si="8"/>
        <v>25295.4</v>
      </c>
      <c r="K126" s="501">
        <f>IFERROR(SUMIFS('JPM St'!$M:$M,'JPM St'!$A:$A,$V$2,'JPM St'!$C:$C,D126),"")</f>
        <v>25295.4</v>
      </c>
      <c r="L126" s="501">
        <f>IFERROR(SUMIFS('JPM St'!$M:$M,'JPM St'!$A:$A,$V$3,'JPM St'!$C:$C,D126),"")</f>
        <v>0</v>
      </c>
      <c r="M126" s="501">
        <f>IFERROR(SUMIFS('JPM St'!$M:$M,'JPM St'!$A:$A,$V$4,'JPM St'!$C:$C,D126),"")</f>
        <v>0</v>
      </c>
      <c r="N126" s="501"/>
      <c r="O126" s="501"/>
      <c r="P126" s="501"/>
      <c r="Q126" s="501"/>
      <c r="R126" s="501"/>
    </row>
    <row r="127" spans="1:18" x14ac:dyDescent="0.25">
      <c r="A127" s="497" t="s">
        <v>90</v>
      </c>
      <c r="B127" s="497" t="str">
        <f>IFERROR(IF(VLOOKUP(D127,'JPM St'!$C:$G,3,0)="Fixed Income &amp; Cash","Cash",VLOOKUP(D127,'JPM St'!$C:$G,3,0)),"")</f>
        <v>Equity</v>
      </c>
      <c r="C127" s="497" t="str">
        <f>IFERROR(VLOOKUP(D127,'JPM St'!$C:$L,10,0),"")</f>
        <v>USD</v>
      </c>
      <c r="D127" s="497" t="str">
        <v>INTEL</v>
      </c>
      <c r="E127" s="500" t="str">
        <f>IFERROR(VLOOKUP(D127,'JPM St'!$C:$D,2,0),"")</f>
        <v>US4581401001</v>
      </c>
      <c r="F127" s="501">
        <f t="shared" si="7"/>
        <v>24865.68</v>
      </c>
      <c r="G127" s="501">
        <f>SUMIFS('JPM St'!$K:$K,'JPM St'!$A:$A,$V$2,'JPM St'!$C:$C,D127)</f>
        <v>24865.68</v>
      </c>
      <c r="H127" s="501">
        <f>SUMIFS('JPM St'!$K:$K,'JPM St'!$A:$A,$V$3,'JPM St'!$C:$C,D127)</f>
        <v>0</v>
      </c>
      <c r="I127" s="501">
        <f>SUMIFS('JPM St'!$K:$K,'JPM St'!$A:$A,$V$4,'JPM St'!$C:$C,D127)</f>
        <v>0</v>
      </c>
      <c r="J127" s="619">
        <f t="shared" si="8"/>
        <v>24865.68</v>
      </c>
      <c r="K127" s="501">
        <f>IFERROR(SUMIFS('JPM St'!$M:$M,'JPM St'!$A:$A,$V$2,'JPM St'!$C:$C,D127),"")</f>
        <v>24865.68</v>
      </c>
      <c r="L127" s="501">
        <f>IFERROR(SUMIFS('JPM St'!$M:$M,'JPM St'!$A:$A,$V$3,'JPM St'!$C:$C,D127),"")</f>
        <v>0</v>
      </c>
      <c r="M127" s="501">
        <f>IFERROR(SUMIFS('JPM St'!$M:$M,'JPM St'!$A:$A,$V$4,'JPM St'!$C:$C,D127),"")</f>
        <v>0</v>
      </c>
      <c r="N127" s="501"/>
      <c r="O127" s="501"/>
      <c r="P127" s="501"/>
      <c r="Q127" s="501"/>
      <c r="R127" s="501"/>
    </row>
    <row r="128" spans="1:18" x14ac:dyDescent="0.25">
      <c r="A128" s="497" t="s">
        <v>90</v>
      </c>
      <c r="B128" s="497" t="str">
        <f>IFERROR(IF(VLOOKUP(D128,'JPM St'!$C:$G,3,0)="Fixed Income &amp; Cash","Cash",VLOOKUP(D128,'JPM St'!$C:$G,3,0)),"")</f>
        <v>Equity</v>
      </c>
      <c r="C128" s="497" t="str">
        <f>IFERROR(VLOOKUP(D128,'JPM St'!$C:$L,10,0),"")</f>
        <v>USD</v>
      </c>
      <c r="D128" s="497" t="str">
        <v>CVS HEALTH</v>
      </c>
      <c r="E128" s="500" t="str">
        <f>IFERROR(VLOOKUP(D128,'JPM St'!$C:$D,2,0),"")</f>
        <v>US1266501006</v>
      </c>
      <c r="F128" s="501">
        <f t="shared" si="7"/>
        <v>24570.945</v>
      </c>
      <c r="G128" s="501">
        <f>SUMIFS('JPM St'!$K:$K,'JPM St'!$A:$A,$V$2,'JPM St'!$C:$C,D128)</f>
        <v>0</v>
      </c>
      <c r="H128" s="501">
        <f>SUMIFS('JPM St'!$K:$K,'JPM St'!$A:$A,$V$3,'JPM St'!$C:$C,D128)</f>
        <v>24570.945</v>
      </c>
      <c r="I128" s="501">
        <f>SUMIFS('JPM St'!$K:$K,'JPM St'!$A:$A,$V$4,'JPM St'!$C:$C,D128)</f>
        <v>0</v>
      </c>
      <c r="J128" s="619">
        <f t="shared" si="8"/>
        <v>24570.945</v>
      </c>
      <c r="K128" s="501">
        <f>IFERROR(SUMIFS('JPM St'!$M:$M,'JPM St'!$A:$A,$V$2,'JPM St'!$C:$C,D128),"")</f>
        <v>0</v>
      </c>
      <c r="L128" s="501">
        <f>IFERROR(SUMIFS('JPM St'!$M:$M,'JPM St'!$A:$A,$V$3,'JPM St'!$C:$C,D128),"")</f>
        <v>24570.945</v>
      </c>
      <c r="M128" s="501">
        <f>IFERROR(SUMIFS('JPM St'!$M:$M,'JPM St'!$A:$A,$V$4,'JPM St'!$C:$C,D128),"")</f>
        <v>0</v>
      </c>
      <c r="N128" s="501"/>
      <c r="O128" s="501"/>
      <c r="P128" s="501"/>
      <c r="Q128" s="501"/>
      <c r="R128" s="501"/>
    </row>
    <row r="129" spans="1:18" x14ac:dyDescent="0.25">
      <c r="A129" s="497" t="s">
        <v>90</v>
      </c>
      <c r="B129" s="497" t="str">
        <f>IFERROR(IF(VLOOKUP(D129,'JPM St'!$C:$G,3,0)="Fixed Income &amp; Cash","Cash",VLOOKUP(D129,'JPM St'!$C:$G,3,0)),"")</f>
        <v>Equity</v>
      </c>
      <c r="C129" s="497" t="str">
        <f>IFERROR(VLOOKUP(D129,'JPM St'!$C:$L,10,0),"")</f>
        <v>USD</v>
      </c>
      <c r="D129" s="497" t="str">
        <v>VENTAS</v>
      </c>
      <c r="E129" s="500" t="str">
        <f>IFERROR(VLOOKUP(D129,'JPM St'!$C:$D,2,0),"")</f>
        <v>US92276F1003</v>
      </c>
      <c r="F129" s="501">
        <f t="shared" si="7"/>
        <v>24429.599999999999</v>
      </c>
      <c r="G129" s="501">
        <f>SUMIFS('JPM St'!$K:$K,'JPM St'!$A:$A,$V$2,'JPM St'!$C:$C,D129)</f>
        <v>0</v>
      </c>
      <c r="H129" s="501">
        <f>SUMIFS('JPM St'!$K:$K,'JPM St'!$A:$A,$V$3,'JPM St'!$C:$C,D129)</f>
        <v>24429.599999999999</v>
      </c>
      <c r="I129" s="501">
        <f>SUMIFS('JPM St'!$K:$K,'JPM St'!$A:$A,$V$4,'JPM St'!$C:$C,D129)</f>
        <v>0</v>
      </c>
      <c r="J129" s="619">
        <f t="shared" si="8"/>
        <v>24429.599999999999</v>
      </c>
      <c r="K129" s="501">
        <f>IFERROR(SUMIFS('JPM St'!$M:$M,'JPM St'!$A:$A,$V$2,'JPM St'!$C:$C,D129),"")</f>
        <v>0</v>
      </c>
      <c r="L129" s="501">
        <f>IFERROR(SUMIFS('JPM St'!$M:$M,'JPM St'!$A:$A,$V$3,'JPM St'!$C:$C,D129),"")</f>
        <v>24429.599999999999</v>
      </c>
      <c r="M129" s="501">
        <f>IFERROR(SUMIFS('JPM St'!$M:$M,'JPM St'!$A:$A,$V$4,'JPM St'!$C:$C,D129),"")</f>
        <v>0</v>
      </c>
      <c r="N129" s="501"/>
      <c r="O129" s="501"/>
      <c r="P129" s="501"/>
      <c r="Q129" s="501"/>
      <c r="R129" s="501"/>
    </row>
    <row r="130" spans="1:18" x14ac:dyDescent="0.25">
      <c r="A130" s="497" t="s">
        <v>90</v>
      </c>
      <c r="B130" s="497" t="str">
        <f>IFERROR(IF(VLOOKUP(D130,'JPM St'!$C:$G,3,0)="Fixed Income &amp; Cash","Cash",VLOOKUP(D130,'JPM St'!$C:$G,3,0)),"")</f>
        <v>Equity</v>
      </c>
      <c r="C130" s="497" t="str">
        <f>IFERROR(VLOOKUP(D130,'JPM St'!$C:$L,10,0),"")</f>
        <v>USD</v>
      </c>
      <c r="D130" s="497" t="str">
        <v>THE CIGNA GROUP</v>
      </c>
      <c r="E130" s="500" t="str">
        <f>IFERROR(VLOOKUP(D130,'JPM St'!$C:$D,2,0),"")</f>
        <v>US1255231003</v>
      </c>
      <c r="F130" s="501">
        <f t="shared" si="7"/>
        <v>23285.68</v>
      </c>
      <c r="G130" s="501">
        <f>SUMIFS('JPM St'!$K:$K,'JPM St'!$A:$A,$V$2,'JPM St'!$C:$C,D130)</f>
        <v>0</v>
      </c>
      <c r="H130" s="501">
        <f>SUMIFS('JPM St'!$K:$K,'JPM St'!$A:$A,$V$3,'JPM St'!$C:$C,D130)</f>
        <v>23285.68</v>
      </c>
      <c r="I130" s="501">
        <f>SUMIFS('JPM St'!$K:$K,'JPM St'!$A:$A,$V$4,'JPM St'!$C:$C,D130)</f>
        <v>0</v>
      </c>
      <c r="J130" s="619">
        <f t="shared" si="8"/>
        <v>23285.68</v>
      </c>
      <c r="K130" s="501">
        <f>IFERROR(SUMIFS('JPM St'!$M:$M,'JPM St'!$A:$A,$V$2,'JPM St'!$C:$C,D130),"")</f>
        <v>0</v>
      </c>
      <c r="L130" s="501">
        <f>IFERROR(SUMIFS('JPM St'!$M:$M,'JPM St'!$A:$A,$V$3,'JPM St'!$C:$C,D130),"")</f>
        <v>23285.68</v>
      </c>
      <c r="M130" s="501">
        <f>IFERROR(SUMIFS('JPM St'!$M:$M,'JPM St'!$A:$A,$V$4,'JPM St'!$C:$C,D130),"")</f>
        <v>0</v>
      </c>
      <c r="N130" s="501"/>
      <c r="O130" s="501"/>
      <c r="P130" s="501"/>
      <c r="Q130" s="501"/>
      <c r="R130" s="501"/>
    </row>
    <row r="131" spans="1:18" x14ac:dyDescent="0.25">
      <c r="A131" s="497" t="s">
        <v>90</v>
      </c>
      <c r="B131" s="497" t="str">
        <f>IFERROR(IF(VLOOKUP(D131,'JPM St'!$C:$G,3,0)="Fixed Income &amp; Cash","Cash",VLOOKUP(D131,'JPM St'!$C:$G,3,0)),"")</f>
        <v>Equity</v>
      </c>
      <c r="C131" s="497" t="str">
        <f>IFERROR(VLOOKUP(D131,'JPM St'!$C:$L,10,0),"")</f>
        <v>USD</v>
      </c>
      <c r="D131" s="497" t="str">
        <v>MEDTRONIC</v>
      </c>
      <c r="E131" s="500" t="str">
        <f>IFERROR(VLOOKUP(D131,'JPM St'!$C:$D,2,0),"")</f>
        <v>IE00BTN1Y115</v>
      </c>
      <c r="F131" s="501">
        <f t="shared" ref="F131:F194" si="9">SUM(G131:I131)</f>
        <v>21770.734999999997</v>
      </c>
      <c r="G131" s="501">
        <f>SUMIFS('JPM St'!$K:$K,'JPM St'!$A:$A,$V$2,'JPM St'!$C:$C,D131)</f>
        <v>0</v>
      </c>
      <c r="H131" s="501">
        <f>SUMIFS('JPM St'!$K:$K,'JPM St'!$A:$A,$V$3,'JPM St'!$C:$C,D131)</f>
        <v>21770.734999999997</v>
      </c>
      <c r="I131" s="501">
        <f>SUMIFS('JPM St'!$K:$K,'JPM St'!$A:$A,$V$4,'JPM St'!$C:$C,D131)</f>
        <v>0</v>
      </c>
      <c r="J131" s="619">
        <f t="shared" ref="J131:J194" si="10">SUM(K131:M131)</f>
        <v>21770.734999999997</v>
      </c>
      <c r="K131" s="501">
        <f>IFERROR(SUMIFS('JPM St'!$M:$M,'JPM St'!$A:$A,$V$2,'JPM St'!$C:$C,D131),"")</f>
        <v>0</v>
      </c>
      <c r="L131" s="501">
        <f>IFERROR(SUMIFS('JPM St'!$M:$M,'JPM St'!$A:$A,$V$3,'JPM St'!$C:$C,D131),"")</f>
        <v>21770.734999999997</v>
      </c>
      <c r="M131" s="501">
        <f>IFERROR(SUMIFS('JPM St'!$M:$M,'JPM St'!$A:$A,$V$4,'JPM St'!$C:$C,D131),"")</f>
        <v>0</v>
      </c>
      <c r="N131" s="501"/>
      <c r="O131" s="501"/>
      <c r="P131" s="501"/>
      <c r="Q131" s="501"/>
      <c r="R131" s="501"/>
    </row>
    <row r="132" spans="1:18" x14ac:dyDescent="0.25">
      <c r="A132" s="497" t="s">
        <v>90</v>
      </c>
      <c r="B132" s="497" t="str">
        <f>IFERROR(IF(VLOOKUP(D132,'JPM St'!$C:$G,3,0)="Fixed Income &amp; Cash","Cash",VLOOKUP(D132,'JPM St'!$C:$G,3,0)),"")</f>
        <v>Equity</v>
      </c>
      <c r="C132" s="497" t="str">
        <f>IFERROR(VLOOKUP(D132,'JPM St'!$C:$L,10,0),"")</f>
        <v>USD</v>
      </c>
      <c r="D132" s="497" t="str">
        <v>CARRIER GLOBAL CORP</v>
      </c>
      <c r="E132" s="500" t="str">
        <f>IFERROR(VLOOKUP(D132,'JPM St'!$C:$D,2,0),"")</f>
        <v>US14448C1045</v>
      </c>
      <c r="F132" s="501">
        <f t="shared" si="9"/>
        <v>20867.62</v>
      </c>
      <c r="G132" s="501">
        <f>SUMIFS('JPM St'!$K:$K,'JPM St'!$A:$A,$V$2,'JPM St'!$C:$C,D132)</f>
        <v>0</v>
      </c>
      <c r="H132" s="501">
        <f>SUMIFS('JPM St'!$K:$K,'JPM St'!$A:$A,$V$3,'JPM St'!$C:$C,D132)</f>
        <v>20867.62</v>
      </c>
      <c r="I132" s="501">
        <f>SUMIFS('JPM St'!$K:$K,'JPM St'!$A:$A,$V$4,'JPM St'!$C:$C,D132)</f>
        <v>0</v>
      </c>
      <c r="J132" s="619">
        <f t="shared" si="10"/>
        <v>20867.62</v>
      </c>
      <c r="K132" s="501">
        <f>IFERROR(SUMIFS('JPM St'!$M:$M,'JPM St'!$A:$A,$V$2,'JPM St'!$C:$C,D132),"")</f>
        <v>0</v>
      </c>
      <c r="L132" s="501">
        <f>IFERROR(SUMIFS('JPM St'!$M:$M,'JPM St'!$A:$A,$V$3,'JPM St'!$C:$C,D132),"")</f>
        <v>20867.62</v>
      </c>
      <c r="M132" s="501">
        <f>IFERROR(SUMIFS('JPM St'!$M:$M,'JPM St'!$A:$A,$V$4,'JPM St'!$C:$C,D132),"")</f>
        <v>0</v>
      </c>
      <c r="N132" s="501"/>
      <c r="O132" s="501"/>
      <c r="P132" s="501"/>
      <c r="Q132" s="501"/>
      <c r="R132" s="501"/>
    </row>
    <row r="133" spans="1:18" x14ac:dyDescent="0.25">
      <c r="A133" s="497" t="s">
        <v>90</v>
      </c>
      <c r="B133" s="497" t="str">
        <f>IFERROR(IF(VLOOKUP(D133,'JPM St'!$C:$G,3,0)="Fixed Income &amp; Cash","Cash",VLOOKUP(D133,'JPM St'!$C:$G,3,0)),"")</f>
        <v>Equity</v>
      </c>
      <c r="C133" s="497" t="str">
        <f>IFERROR(VLOOKUP(D133,'JPM St'!$C:$L,10,0),"")</f>
        <v>USD</v>
      </c>
      <c r="D133" s="497" t="str">
        <v>ARTHUR J.GALLAGHER &amp; CO</v>
      </c>
      <c r="E133" s="500" t="str">
        <f>IFERROR(VLOOKUP(D133,'JPM St'!$C:$D,2,0),"")</f>
        <v>US3635761097</v>
      </c>
      <c r="F133" s="501">
        <f t="shared" si="9"/>
        <v>20518.59</v>
      </c>
      <c r="G133" s="501">
        <f>SUMIFS('JPM St'!$K:$K,'JPM St'!$A:$A,$V$2,'JPM St'!$C:$C,D133)</f>
        <v>0</v>
      </c>
      <c r="H133" s="501">
        <f>SUMIFS('JPM St'!$K:$K,'JPM St'!$A:$A,$V$3,'JPM St'!$C:$C,D133)</f>
        <v>20518.59</v>
      </c>
      <c r="I133" s="501">
        <f>SUMIFS('JPM St'!$K:$K,'JPM St'!$A:$A,$V$4,'JPM St'!$C:$C,D133)</f>
        <v>0</v>
      </c>
      <c r="J133" s="619">
        <f t="shared" si="10"/>
        <v>20518.59</v>
      </c>
      <c r="K133" s="501">
        <f>IFERROR(SUMIFS('JPM St'!$M:$M,'JPM St'!$A:$A,$V$2,'JPM St'!$C:$C,D133),"")</f>
        <v>0</v>
      </c>
      <c r="L133" s="501">
        <f>IFERROR(SUMIFS('JPM St'!$M:$M,'JPM St'!$A:$A,$V$3,'JPM St'!$C:$C,D133),"")</f>
        <v>20518.59</v>
      </c>
      <c r="M133" s="501">
        <f>IFERROR(SUMIFS('JPM St'!$M:$M,'JPM St'!$A:$A,$V$4,'JPM St'!$C:$C,D133),"")</f>
        <v>0</v>
      </c>
      <c r="N133" s="501"/>
      <c r="O133" s="501"/>
      <c r="P133" s="501"/>
      <c r="Q133" s="501"/>
      <c r="R133" s="501"/>
    </row>
    <row r="134" spans="1:18" x14ac:dyDescent="0.25">
      <c r="A134" s="497" t="s">
        <v>90</v>
      </c>
      <c r="B134" s="497" t="str">
        <f>IFERROR(IF(VLOOKUP(D134,'JPM St'!$C:$G,3,0)="Fixed Income &amp; Cash","Cash",VLOOKUP(D134,'JPM St'!$C:$G,3,0)),"")</f>
        <v>Equity</v>
      </c>
      <c r="C134" s="497" t="str">
        <f>IFERROR(VLOOKUP(D134,'JPM St'!$C:$L,10,0),"")</f>
        <v>USD</v>
      </c>
      <c r="D134" s="497" t="str">
        <v>MONDELEZ INTERNATIONAL</v>
      </c>
      <c r="E134" s="500" t="str">
        <f>IFERROR(VLOOKUP(D134,'JPM St'!$C:$D,2,0),"")</f>
        <v>US6092071058</v>
      </c>
      <c r="F134" s="501">
        <f t="shared" si="9"/>
        <v>20049.66</v>
      </c>
      <c r="G134" s="501">
        <f>SUMIFS('JPM St'!$K:$K,'JPM St'!$A:$A,$V$2,'JPM St'!$C:$C,D134)</f>
        <v>0</v>
      </c>
      <c r="H134" s="501">
        <f>SUMIFS('JPM St'!$K:$K,'JPM St'!$A:$A,$V$3,'JPM St'!$C:$C,D134)</f>
        <v>20049.66</v>
      </c>
      <c r="I134" s="501">
        <f>SUMIFS('JPM St'!$K:$K,'JPM St'!$A:$A,$V$4,'JPM St'!$C:$C,D134)</f>
        <v>0</v>
      </c>
      <c r="J134" s="619">
        <f t="shared" si="10"/>
        <v>20049.66</v>
      </c>
      <c r="K134" s="501">
        <f>IFERROR(SUMIFS('JPM St'!$M:$M,'JPM St'!$A:$A,$V$2,'JPM St'!$C:$C,D134),"")</f>
        <v>0</v>
      </c>
      <c r="L134" s="501">
        <f>IFERROR(SUMIFS('JPM St'!$M:$M,'JPM St'!$A:$A,$V$3,'JPM St'!$C:$C,D134),"")</f>
        <v>20049.66</v>
      </c>
      <c r="M134" s="501">
        <f>IFERROR(SUMIFS('JPM St'!$M:$M,'JPM St'!$A:$A,$V$4,'JPM St'!$C:$C,D134),"")</f>
        <v>0</v>
      </c>
      <c r="N134" s="501"/>
      <c r="O134" s="501"/>
      <c r="P134" s="501"/>
      <c r="Q134" s="501"/>
      <c r="R134" s="501"/>
    </row>
    <row r="135" spans="1:18" x14ac:dyDescent="0.25">
      <c r="A135" s="497" t="s">
        <v>90</v>
      </c>
      <c r="B135" s="497" t="str">
        <f>IFERROR(IF(VLOOKUP(D135,'JPM St'!$C:$G,3,0)="Fixed Income &amp; Cash","Cash",VLOOKUP(D135,'JPM St'!$C:$G,3,0)),"")</f>
        <v>Equity</v>
      </c>
      <c r="C135" s="497" t="str">
        <f>IFERROR(VLOOKUP(D135,'JPM St'!$C:$L,10,0),"")</f>
        <v>USD</v>
      </c>
      <c r="D135" s="497" t="str">
        <v>ABBOTT LABORATORIES</v>
      </c>
      <c r="E135" s="500" t="str">
        <f>IFERROR(VLOOKUP(D135,'JPM St'!$C:$D,2,0),"")</f>
        <v>US0028241000</v>
      </c>
      <c r="F135" s="501">
        <f t="shared" si="9"/>
        <v>19942.2</v>
      </c>
      <c r="G135" s="501">
        <f>SUMIFS('JPM St'!$K:$K,'JPM St'!$A:$A,$V$2,'JPM St'!$C:$C,D135)</f>
        <v>0</v>
      </c>
      <c r="H135" s="501">
        <f>SUMIFS('JPM St'!$K:$K,'JPM St'!$A:$A,$V$3,'JPM St'!$C:$C,D135)</f>
        <v>19942.2</v>
      </c>
      <c r="I135" s="501">
        <f>SUMIFS('JPM St'!$K:$K,'JPM St'!$A:$A,$V$4,'JPM St'!$C:$C,D135)</f>
        <v>0</v>
      </c>
      <c r="J135" s="619">
        <f t="shared" si="10"/>
        <v>19942.2</v>
      </c>
      <c r="K135" s="501">
        <f>IFERROR(SUMIFS('JPM St'!$M:$M,'JPM St'!$A:$A,$V$2,'JPM St'!$C:$C,D135),"")</f>
        <v>0</v>
      </c>
      <c r="L135" s="501">
        <f>IFERROR(SUMIFS('JPM St'!$M:$M,'JPM St'!$A:$A,$V$3,'JPM St'!$C:$C,D135),"")</f>
        <v>19942.2</v>
      </c>
      <c r="M135" s="501">
        <f>IFERROR(SUMIFS('JPM St'!$M:$M,'JPM St'!$A:$A,$V$4,'JPM St'!$C:$C,D135),"")</f>
        <v>0</v>
      </c>
      <c r="N135" s="501"/>
      <c r="O135" s="501"/>
      <c r="P135" s="501"/>
      <c r="Q135" s="501"/>
      <c r="R135" s="501"/>
    </row>
    <row r="136" spans="1:18" x14ac:dyDescent="0.25">
      <c r="A136" s="497" t="s">
        <v>90</v>
      </c>
      <c r="B136" s="497" t="str">
        <f>IFERROR(IF(VLOOKUP(D136,'JPM St'!$C:$G,3,0)="Fixed Income &amp; Cash","Cash",VLOOKUP(D136,'JPM St'!$C:$G,3,0)),"")</f>
        <v>Equity</v>
      </c>
      <c r="C136" s="497" t="str">
        <f>IFERROR(VLOOKUP(D136,'JPM St'!$C:$L,10,0),"")</f>
        <v>USD</v>
      </c>
      <c r="D136" s="497" t="str">
        <v>CMS ENERGY</v>
      </c>
      <c r="E136" s="500" t="str">
        <f>IFERROR(VLOOKUP(D136,'JPM St'!$C:$D,2,0),"")</f>
        <v>US1258961002</v>
      </c>
      <c r="F136" s="501">
        <f t="shared" si="9"/>
        <v>19108.259999999998</v>
      </c>
      <c r="G136" s="501">
        <f>SUMIFS('JPM St'!$K:$K,'JPM St'!$A:$A,$V$2,'JPM St'!$C:$C,D136)</f>
        <v>0</v>
      </c>
      <c r="H136" s="501">
        <f>SUMIFS('JPM St'!$K:$K,'JPM St'!$A:$A,$V$3,'JPM St'!$C:$C,D136)</f>
        <v>19108.259999999998</v>
      </c>
      <c r="I136" s="501">
        <f>SUMIFS('JPM St'!$K:$K,'JPM St'!$A:$A,$V$4,'JPM St'!$C:$C,D136)</f>
        <v>0</v>
      </c>
      <c r="J136" s="619">
        <f t="shared" si="10"/>
        <v>19108.259999999998</v>
      </c>
      <c r="K136" s="501">
        <f>IFERROR(SUMIFS('JPM St'!$M:$M,'JPM St'!$A:$A,$V$2,'JPM St'!$C:$C,D136),"")</f>
        <v>0</v>
      </c>
      <c r="L136" s="501">
        <f>IFERROR(SUMIFS('JPM St'!$M:$M,'JPM St'!$A:$A,$V$3,'JPM St'!$C:$C,D136),"")</f>
        <v>19108.259999999998</v>
      </c>
      <c r="M136" s="501">
        <f>IFERROR(SUMIFS('JPM St'!$M:$M,'JPM St'!$A:$A,$V$4,'JPM St'!$C:$C,D136),"")</f>
        <v>0</v>
      </c>
      <c r="N136" s="501"/>
      <c r="O136" s="501"/>
      <c r="P136" s="501"/>
      <c r="Q136" s="501"/>
      <c r="R136" s="501"/>
    </row>
    <row r="137" spans="1:18" x14ac:dyDescent="0.25">
      <c r="A137" s="497" t="s">
        <v>90</v>
      </c>
      <c r="B137" s="497" t="str">
        <f>IFERROR(IF(VLOOKUP(D137,'JPM St'!$C:$G,3,0)="Fixed Income &amp; Cash","Cash",VLOOKUP(D137,'JPM St'!$C:$G,3,0)),"")</f>
        <v>Equity</v>
      </c>
      <c r="C137" s="497" t="str">
        <f>IFERROR(VLOOKUP(D137,'JPM St'!$C:$L,10,0),"")</f>
        <v>USD</v>
      </c>
      <c r="D137" s="497" t="str">
        <v>COMCAST -A-</v>
      </c>
      <c r="E137" s="500" t="str">
        <f>IFERROR(VLOOKUP(D137,'JPM St'!$C:$D,2,0),"")</f>
        <v>US20030N1019</v>
      </c>
      <c r="F137" s="501">
        <f t="shared" si="9"/>
        <v>19022.64</v>
      </c>
      <c r="G137" s="501">
        <f>SUMIFS('JPM St'!$K:$K,'JPM St'!$A:$A,$V$2,'JPM St'!$C:$C,D137)</f>
        <v>0</v>
      </c>
      <c r="H137" s="501">
        <f>SUMIFS('JPM St'!$K:$K,'JPM St'!$A:$A,$V$3,'JPM St'!$C:$C,D137)</f>
        <v>19022.64</v>
      </c>
      <c r="I137" s="501">
        <f>SUMIFS('JPM St'!$K:$K,'JPM St'!$A:$A,$V$4,'JPM St'!$C:$C,D137)</f>
        <v>0</v>
      </c>
      <c r="J137" s="619">
        <f t="shared" si="10"/>
        <v>19022.64</v>
      </c>
      <c r="K137" s="501">
        <f>IFERROR(SUMIFS('JPM St'!$M:$M,'JPM St'!$A:$A,$V$2,'JPM St'!$C:$C,D137),"")</f>
        <v>0</v>
      </c>
      <c r="L137" s="501">
        <f>IFERROR(SUMIFS('JPM St'!$M:$M,'JPM St'!$A:$A,$V$3,'JPM St'!$C:$C,D137),"")</f>
        <v>19022.64</v>
      </c>
      <c r="M137" s="501">
        <f>IFERROR(SUMIFS('JPM St'!$M:$M,'JPM St'!$A:$A,$V$4,'JPM St'!$C:$C,D137),"")</f>
        <v>0</v>
      </c>
      <c r="N137" s="501"/>
      <c r="O137" s="501"/>
      <c r="P137" s="501"/>
      <c r="Q137" s="501"/>
      <c r="R137" s="501"/>
    </row>
    <row r="138" spans="1:18" x14ac:dyDescent="0.25">
      <c r="A138" s="497" t="s">
        <v>90</v>
      </c>
      <c r="B138" s="497" t="str">
        <f>IFERROR(IF(VLOOKUP(D138,'JPM St'!$C:$G,3,0)="Fixed Income &amp; Cash","Cash",VLOOKUP(D138,'JPM St'!$C:$G,3,0)),"")</f>
        <v>Equity</v>
      </c>
      <c r="C138" s="497" t="str">
        <f>IFERROR(VLOOKUP(D138,'JPM St'!$C:$L,10,0),"")</f>
        <v>USD</v>
      </c>
      <c r="D138" s="497" t="str">
        <v>PROLOGIS</v>
      </c>
      <c r="E138" s="500" t="str">
        <f>IFERROR(VLOOKUP(D138,'JPM St'!$C:$D,2,0),"")</f>
        <v>US74340W1036</v>
      </c>
      <c r="F138" s="501">
        <f t="shared" si="9"/>
        <v>18405.435000000001</v>
      </c>
      <c r="G138" s="501">
        <f>SUMIFS('JPM St'!$K:$K,'JPM St'!$A:$A,$V$2,'JPM St'!$C:$C,D138)</f>
        <v>0</v>
      </c>
      <c r="H138" s="501">
        <f>SUMIFS('JPM St'!$K:$K,'JPM St'!$A:$A,$V$3,'JPM St'!$C:$C,D138)</f>
        <v>18405.435000000001</v>
      </c>
      <c r="I138" s="501">
        <f>SUMIFS('JPM St'!$K:$K,'JPM St'!$A:$A,$V$4,'JPM St'!$C:$C,D138)</f>
        <v>0</v>
      </c>
      <c r="J138" s="619">
        <f t="shared" si="10"/>
        <v>18405.435000000001</v>
      </c>
      <c r="K138" s="501">
        <f>IFERROR(SUMIFS('JPM St'!$M:$M,'JPM St'!$A:$A,$V$2,'JPM St'!$C:$C,D138),"")</f>
        <v>0</v>
      </c>
      <c r="L138" s="501">
        <f>IFERROR(SUMIFS('JPM St'!$M:$M,'JPM St'!$A:$A,$V$3,'JPM St'!$C:$C,D138),"")</f>
        <v>18405.435000000001</v>
      </c>
      <c r="M138" s="501">
        <f>IFERROR(SUMIFS('JPM St'!$M:$M,'JPM St'!$A:$A,$V$4,'JPM St'!$C:$C,D138),"")</f>
        <v>0</v>
      </c>
      <c r="N138" s="501"/>
      <c r="O138" s="501"/>
      <c r="P138" s="501"/>
      <c r="Q138" s="501"/>
      <c r="R138" s="501"/>
    </row>
    <row r="139" spans="1:18" x14ac:dyDescent="0.25">
      <c r="A139" s="497" t="s">
        <v>90</v>
      </c>
      <c r="B139" s="497" t="str">
        <f>IFERROR(IF(VLOOKUP(D139,'JPM St'!$C:$G,3,0)="Fixed Income &amp; Cash","Cash",VLOOKUP(D139,'JPM St'!$C:$G,3,0)),"")</f>
        <v>Equity</v>
      </c>
      <c r="C139" s="497" t="str">
        <f>IFERROR(VLOOKUP(D139,'JPM St'!$C:$L,10,0),"")</f>
        <v>USD</v>
      </c>
      <c r="D139" s="497" t="str">
        <v>US BANCORP</v>
      </c>
      <c r="E139" s="500" t="str">
        <f>IFERROR(VLOOKUP(D139,'JPM St'!$C:$D,2,0),"")</f>
        <v>US9029733048</v>
      </c>
      <c r="F139" s="501">
        <f t="shared" si="9"/>
        <v>18295.2</v>
      </c>
      <c r="G139" s="501">
        <f>SUMIFS('JPM St'!$K:$K,'JPM St'!$A:$A,$V$2,'JPM St'!$C:$C,D139)</f>
        <v>0</v>
      </c>
      <c r="H139" s="501">
        <f>SUMIFS('JPM St'!$K:$K,'JPM St'!$A:$A,$V$3,'JPM St'!$C:$C,D139)</f>
        <v>18295.2</v>
      </c>
      <c r="I139" s="501">
        <f>SUMIFS('JPM St'!$K:$K,'JPM St'!$A:$A,$V$4,'JPM St'!$C:$C,D139)</f>
        <v>0</v>
      </c>
      <c r="J139" s="619">
        <f t="shared" si="10"/>
        <v>18295.2</v>
      </c>
      <c r="K139" s="501">
        <f>IFERROR(SUMIFS('JPM St'!$M:$M,'JPM St'!$A:$A,$V$2,'JPM St'!$C:$C,D139),"")</f>
        <v>0</v>
      </c>
      <c r="L139" s="501">
        <f>IFERROR(SUMIFS('JPM St'!$M:$M,'JPM St'!$A:$A,$V$3,'JPM St'!$C:$C,D139),"")</f>
        <v>18295.2</v>
      </c>
      <c r="M139" s="501">
        <f>IFERROR(SUMIFS('JPM St'!$M:$M,'JPM St'!$A:$A,$V$4,'JPM St'!$C:$C,D139),"")</f>
        <v>0</v>
      </c>
      <c r="N139" s="501"/>
      <c r="O139" s="501"/>
      <c r="P139" s="501"/>
      <c r="Q139" s="501"/>
      <c r="R139" s="501"/>
    </row>
    <row r="140" spans="1:18" x14ac:dyDescent="0.25">
      <c r="A140" s="497" t="s">
        <v>90</v>
      </c>
      <c r="B140" s="497" t="str">
        <f>IFERROR(IF(VLOOKUP(D140,'JPM St'!$C:$G,3,0)="Fixed Income &amp; Cash","Cash",VLOOKUP(D140,'JPM St'!$C:$G,3,0)),"")</f>
        <v>Equity</v>
      </c>
      <c r="C140" s="497" t="str">
        <f>IFERROR(VLOOKUP(D140,'JPM St'!$C:$L,10,0),"")</f>
        <v>USD</v>
      </c>
      <c r="D140" s="497" t="str">
        <v>CENCORA INC</v>
      </c>
      <c r="E140" s="500" t="str">
        <f>IFERROR(VLOOKUP(D140,'JPM St'!$C:$D,2,0),"")</f>
        <v>US03073E1055</v>
      </c>
      <c r="F140" s="501">
        <f t="shared" si="9"/>
        <v>18105.764999999999</v>
      </c>
      <c r="G140" s="501">
        <f>SUMIFS('JPM St'!$K:$K,'JPM St'!$A:$A,$V$2,'JPM St'!$C:$C,D140)</f>
        <v>0</v>
      </c>
      <c r="H140" s="501">
        <f>SUMIFS('JPM St'!$K:$K,'JPM St'!$A:$A,$V$3,'JPM St'!$C:$C,D140)</f>
        <v>18105.764999999999</v>
      </c>
      <c r="I140" s="501">
        <f>SUMIFS('JPM St'!$K:$K,'JPM St'!$A:$A,$V$4,'JPM St'!$C:$C,D140)</f>
        <v>0</v>
      </c>
      <c r="J140" s="619">
        <f t="shared" si="10"/>
        <v>18105.764999999999</v>
      </c>
      <c r="K140" s="501">
        <f>IFERROR(SUMIFS('JPM St'!$M:$M,'JPM St'!$A:$A,$V$2,'JPM St'!$C:$C,D140),"")</f>
        <v>0</v>
      </c>
      <c r="L140" s="501">
        <f>IFERROR(SUMIFS('JPM St'!$M:$M,'JPM St'!$A:$A,$V$3,'JPM St'!$C:$C,D140),"")</f>
        <v>18105.764999999999</v>
      </c>
      <c r="M140" s="501">
        <f>IFERROR(SUMIFS('JPM St'!$M:$M,'JPM St'!$A:$A,$V$4,'JPM St'!$C:$C,D140),"")</f>
        <v>0</v>
      </c>
      <c r="N140" s="501"/>
      <c r="O140" s="501"/>
      <c r="P140" s="501"/>
      <c r="Q140" s="501"/>
      <c r="R140" s="501"/>
    </row>
    <row r="141" spans="1:18" x14ac:dyDescent="0.25">
      <c r="A141" s="497" t="s">
        <v>90</v>
      </c>
      <c r="B141" s="497" t="str">
        <f>IFERROR(IF(VLOOKUP(D141,'JPM St'!$C:$G,3,0)="Fixed Income &amp; Cash","Cash",VLOOKUP(D141,'JPM St'!$C:$G,3,0)),"")</f>
        <v>Equity</v>
      </c>
      <c r="C141" s="497" t="str">
        <f>IFERROR(VLOOKUP(D141,'JPM St'!$C:$L,10,0),"")</f>
        <v>USD</v>
      </c>
      <c r="D141" s="497" t="str">
        <v>VERIZON COMMUNICATIONS</v>
      </c>
      <c r="E141" s="500" t="str">
        <f>IFERROR(VLOOKUP(D141,'JPM St'!$C:$D,2,0),"")</f>
        <v>US92343V1044</v>
      </c>
      <c r="F141" s="501">
        <f t="shared" si="9"/>
        <v>17450.099999999999</v>
      </c>
      <c r="G141" s="501">
        <f>SUMIFS('JPM St'!$K:$K,'JPM St'!$A:$A,$V$2,'JPM St'!$C:$C,D141)</f>
        <v>0</v>
      </c>
      <c r="H141" s="501">
        <f>SUMIFS('JPM St'!$K:$K,'JPM St'!$A:$A,$V$3,'JPM St'!$C:$C,D141)</f>
        <v>17450.099999999999</v>
      </c>
      <c r="I141" s="501">
        <f>SUMIFS('JPM St'!$K:$K,'JPM St'!$A:$A,$V$4,'JPM St'!$C:$C,D141)</f>
        <v>0</v>
      </c>
      <c r="J141" s="619">
        <f t="shared" si="10"/>
        <v>17450.099999999999</v>
      </c>
      <c r="K141" s="501">
        <f>IFERROR(SUMIFS('JPM St'!$M:$M,'JPM St'!$A:$A,$V$2,'JPM St'!$C:$C,D141),"")</f>
        <v>0</v>
      </c>
      <c r="L141" s="501">
        <f>IFERROR(SUMIFS('JPM St'!$M:$M,'JPM St'!$A:$A,$V$3,'JPM St'!$C:$C,D141),"")</f>
        <v>17450.099999999999</v>
      </c>
      <c r="M141" s="501">
        <f>IFERROR(SUMIFS('JPM St'!$M:$M,'JPM St'!$A:$A,$V$4,'JPM St'!$C:$C,D141),"")</f>
        <v>0</v>
      </c>
      <c r="N141" s="501"/>
      <c r="O141" s="501"/>
      <c r="P141" s="501"/>
      <c r="Q141" s="501"/>
      <c r="R141" s="501"/>
    </row>
    <row r="142" spans="1:18" x14ac:dyDescent="0.25">
      <c r="A142" s="497" t="s">
        <v>90</v>
      </c>
      <c r="B142" s="497" t="str">
        <f>IFERROR(IF(VLOOKUP(D142,'JPM St'!$C:$G,3,0)="Fixed Income &amp; Cash","Cash",VLOOKUP(D142,'JPM St'!$C:$G,3,0)),"")</f>
        <v>Equity</v>
      </c>
      <c r="C142" s="497" t="str">
        <f>IFERROR(VLOOKUP(D142,'JPM St'!$C:$L,10,0),"")</f>
        <v>USD</v>
      </c>
      <c r="D142" s="497" t="str">
        <v>PROGRESSIVE</v>
      </c>
      <c r="E142" s="500" t="str">
        <f>IFERROR(VLOOKUP(D142,'JPM St'!$C:$D,2,0),"")</f>
        <v>US7433151039</v>
      </c>
      <c r="F142" s="501">
        <f t="shared" si="9"/>
        <v>17298.12</v>
      </c>
      <c r="G142" s="501">
        <f>SUMIFS('JPM St'!$K:$K,'JPM St'!$A:$A,$V$2,'JPM St'!$C:$C,D142)</f>
        <v>0</v>
      </c>
      <c r="H142" s="501">
        <f>SUMIFS('JPM St'!$K:$K,'JPM St'!$A:$A,$V$3,'JPM St'!$C:$C,D142)</f>
        <v>17298.12</v>
      </c>
      <c r="I142" s="501">
        <f>SUMIFS('JPM St'!$K:$K,'JPM St'!$A:$A,$V$4,'JPM St'!$C:$C,D142)</f>
        <v>0</v>
      </c>
      <c r="J142" s="619">
        <f t="shared" si="10"/>
        <v>17298.12</v>
      </c>
      <c r="K142" s="501">
        <f>IFERROR(SUMIFS('JPM St'!$M:$M,'JPM St'!$A:$A,$V$2,'JPM St'!$C:$C,D142),"")</f>
        <v>0</v>
      </c>
      <c r="L142" s="501">
        <f>IFERROR(SUMIFS('JPM St'!$M:$M,'JPM St'!$A:$A,$V$3,'JPM St'!$C:$C,D142),"")</f>
        <v>17298.12</v>
      </c>
      <c r="M142" s="501">
        <f>IFERROR(SUMIFS('JPM St'!$M:$M,'JPM St'!$A:$A,$V$4,'JPM St'!$C:$C,D142),"")</f>
        <v>0</v>
      </c>
      <c r="N142" s="501"/>
      <c r="O142" s="501"/>
      <c r="P142" s="501"/>
      <c r="Q142" s="501"/>
      <c r="R142" s="501"/>
    </row>
    <row r="143" spans="1:18" x14ac:dyDescent="0.25">
      <c r="A143" s="497" t="s">
        <v>90</v>
      </c>
      <c r="B143" s="497" t="str">
        <f>IFERROR(IF(VLOOKUP(D143,'JPM St'!$C:$G,3,0)="Fixed Income &amp; Cash","Cash",VLOOKUP(D143,'JPM St'!$C:$G,3,0)),"")</f>
        <v>Equity</v>
      </c>
      <c r="C143" s="497" t="str">
        <f>IFERROR(VLOOKUP(D143,'JPM St'!$C:$L,10,0),"")</f>
        <v>USD</v>
      </c>
      <c r="D143" s="497" t="str">
        <v>TRAVELERS COMPANIES</v>
      </c>
      <c r="E143" s="500" t="str">
        <f>IFERROR(VLOOKUP(D143,'JPM St'!$C:$D,2,0),"")</f>
        <v>US89417E1091</v>
      </c>
      <c r="F143" s="501">
        <f t="shared" si="9"/>
        <v>16289.099999999999</v>
      </c>
      <c r="G143" s="501">
        <f>SUMIFS('JPM St'!$K:$K,'JPM St'!$A:$A,$V$2,'JPM St'!$C:$C,D143)</f>
        <v>0</v>
      </c>
      <c r="H143" s="501">
        <f>SUMIFS('JPM St'!$K:$K,'JPM St'!$A:$A,$V$3,'JPM St'!$C:$C,D143)</f>
        <v>16289.099999999999</v>
      </c>
      <c r="I143" s="501">
        <f>SUMIFS('JPM St'!$K:$K,'JPM St'!$A:$A,$V$4,'JPM St'!$C:$C,D143)</f>
        <v>0</v>
      </c>
      <c r="J143" s="619">
        <f t="shared" si="10"/>
        <v>16289.099999999999</v>
      </c>
      <c r="K143" s="501">
        <f>IFERROR(SUMIFS('JPM St'!$M:$M,'JPM St'!$A:$A,$V$2,'JPM St'!$C:$C,D143),"")</f>
        <v>0</v>
      </c>
      <c r="L143" s="501">
        <f>IFERROR(SUMIFS('JPM St'!$M:$M,'JPM St'!$A:$A,$V$3,'JPM St'!$C:$C,D143),"")</f>
        <v>16289.099999999999</v>
      </c>
      <c r="M143" s="501">
        <f>IFERROR(SUMIFS('JPM St'!$M:$M,'JPM St'!$A:$A,$V$4,'JPM St'!$C:$C,D143),"")</f>
        <v>0</v>
      </c>
      <c r="N143" s="501"/>
      <c r="O143" s="501"/>
      <c r="P143" s="501"/>
      <c r="Q143" s="501"/>
      <c r="R143" s="501"/>
    </row>
    <row r="144" spans="1:18" x14ac:dyDescent="0.25">
      <c r="A144" s="497" t="s">
        <v>90</v>
      </c>
      <c r="B144" s="497" t="str">
        <f>IFERROR(IF(VLOOKUP(D144,'JPM St'!$C:$G,3,0)="Fixed Income &amp; Cash","Cash",VLOOKUP(D144,'JPM St'!$C:$G,3,0)),"")</f>
        <v>Equity</v>
      </c>
      <c r="C144" s="497" t="str">
        <f>IFERROR(VLOOKUP(D144,'JPM St'!$C:$L,10,0),"")</f>
        <v>USD</v>
      </c>
      <c r="D144" s="497" t="str">
        <v>YUM! BRANDS INC</v>
      </c>
      <c r="E144" s="500" t="str">
        <f>IFERROR(VLOOKUP(D144,'JPM St'!$C:$D,2,0),"")</f>
        <v>US9884981013</v>
      </c>
      <c r="F144" s="501">
        <f t="shared" si="9"/>
        <v>14624.25</v>
      </c>
      <c r="G144" s="501">
        <f>SUMIFS('JPM St'!$K:$K,'JPM St'!$A:$A,$V$2,'JPM St'!$C:$C,D144)</f>
        <v>0</v>
      </c>
      <c r="H144" s="501">
        <f>SUMIFS('JPM St'!$K:$K,'JPM St'!$A:$A,$V$3,'JPM St'!$C:$C,D144)</f>
        <v>14624.25</v>
      </c>
      <c r="I144" s="501">
        <f>SUMIFS('JPM St'!$K:$K,'JPM St'!$A:$A,$V$4,'JPM St'!$C:$C,D144)</f>
        <v>0</v>
      </c>
      <c r="J144" s="619">
        <f t="shared" si="10"/>
        <v>14624.25</v>
      </c>
      <c r="K144" s="501">
        <f>IFERROR(SUMIFS('JPM St'!$M:$M,'JPM St'!$A:$A,$V$2,'JPM St'!$C:$C,D144),"")</f>
        <v>0</v>
      </c>
      <c r="L144" s="501">
        <f>IFERROR(SUMIFS('JPM St'!$M:$M,'JPM St'!$A:$A,$V$3,'JPM St'!$C:$C,D144),"")</f>
        <v>14624.25</v>
      </c>
      <c r="M144" s="501">
        <f>IFERROR(SUMIFS('JPM St'!$M:$M,'JPM St'!$A:$A,$V$4,'JPM St'!$C:$C,D144),"")</f>
        <v>0</v>
      </c>
      <c r="N144" s="501"/>
      <c r="O144" s="501"/>
      <c r="P144" s="501"/>
      <c r="Q144" s="501"/>
      <c r="R144" s="501"/>
    </row>
    <row r="145" spans="1:18" x14ac:dyDescent="0.25">
      <c r="A145" s="497" t="s">
        <v>90</v>
      </c>
      <c r="B145" s="497" t="str">
        <f>IFERROR(IF(VLOOKUP(D145,'JPM St'!$C:$G,3,0)="Fixed Income &amp; Cash","Cash",VLOOKUP(D145,'JPM St'!$C:$G,3,0)),"")</f>
        <v>Equity</v>
      </c>
      <c r="C145" s="497" t="str">
        <f>IFERROR(VLOOKUP(D145,'JPM St'!$C:$L,10,0),"")</f>
        <v>USD</v>
      </c>
      <c r="D145" s="497" t="str">
        <v>REPUBLIC SERVICES</v>
      </c>
      <c r="E145" s="500" t="str">
        <f>IFERROR(VLOOKUP(D145,'JPM St'!$C:$D,2,0),"")</f>
        <v>US7607591002</v>
      </c>
      <c r="F145" s="501">
        <f t="shared" si="9"/>
        <v>14203.89</v>
      </c>
      <c r="G145" s="501">
        <f>SUMIFS('JPM St'!$K:$K,'JPM St'!$A:$A,$V$2,'JPM St'!$C:$C,D145)</f>
        <v>0</v>
      </c>
      <c r="H145" s="501">
        <f>SUMIFS('JPM St'!$K:$K,'JPM St'!$A:$A,$V$3,'JPM St'!$C:$C,D145)</f>
        <v>14203.89</v>
      </c>
      <c r="I145" s="501">
        <f>SUMIFS('JPM St'!$K:$K,'JPM St'!$A:$A,$V$4,'JPM St'!$C:$C,D145)</f>
        <v>0</v>
      </c>
      <c r="J145" s="619">
        <f t="shared" si="10"/>
        <v>14203.89</v>
      </c>
      <c r="K145" s="501">
        <f>IFERROR(SUMIFS('JPM St'!$M:$M,'JPM St'!$A:$A,$V$2,'JPM St'!$C:$C,D145),"")</f>
        <v>0</v>
      </c>
      <c r="L145" s="501">
        <f>IFERROR(SUMIFS('JPM St'!$M:$M,'JPM St'!$A:$A,$V$3,'JPM St'!$C:$C,D145),"")</f>
        <v>14203.89</v>
      </c>
      <c r="M145" s="501">
        <f>IFERROR(SUMIFS('JPM St'!$M:$M,'JPM St'!$A:$A,$V$4,'JPM St'!$C:$C,D145),"")</f>
        <v>0</v>
      </c>
      <c r="N145" s="501"/>
      <c r="O145" s="501"/>
      <c r="P145" s="501"/>
      <c r="Q145" s="501"/>
      <c r="R145" s="501"/>
    </row>
    <row r="146" spans="1:18" x14ac:dyDescent="0.25">
      <c r="A146" s="497" t="s">
        <v>90</v>
      </c>
      <c r="B146" s="497" t="str">
        <f>IFERROR(IF(VLOOKUP(D146,'JPM St'!$C:$G,3,0)="Fixed Income &amp; Cash","Cash",VLOOKUP(D146,'JPM St'!$C:$G,3,0)),"")</f>
        <v>Equity</v>
      </c>
      <c r="C146" s="497" t="str">
        <f>IFERROR(VLOOKUP(D146,'JPM St'!$C:$L,10,0),"")</f>
        <v>USD</v>
      </c>
      <c r="D146" s="497" t="str">
        <v>CHUBB</v>
      </c>
      <c r="E146" s="500" t="str">
        <f>IFERROR(VLOOKUP(D146,'JPM St'!$C:$D,2,0),"")</f>
        <v>CH0044328745</v>
      </c>
      <c r="F146" s="501">
        <f t="shared" si="9"/>
        <v>13596.66</v>
      </c>
      <c r="G146" s="501">
        <f>SUMIFS('JPM St'!$K:$K,'JPM St'!$A:$A,$V$2,'JPM St'!$C:$C,D146)</f>
        <v>0</v>
      </c>
      <c r="H146" s="501">
        <f>SUMIFS('JPM St'!$K:$K,'JPM St'!$A:$A,$V$3,'JPM St'!$C:$C,D146)</f>
        <v>13596.66</v>
      </c>
      <c r="I146" s="501">
        <f>SUMIFS('JPM St'!$K:$K,'JPM St'!$A:$A,$V$4,'JPM St'!$C:$C,D146)</f>
        <v>0</v>
      </c>
      <c r="J146" s="619">
        <f t="shared" si="10"/>
        <v>13596.66</v>
      </c>
      <c r="K146" s="501">
        <f>IFERROR(SUMIFS('JPM St'!$M:$M,'JPM St'!$A:$A,$V$2,'JPM St'!$C:$C,D146),"")</f>
        <v>0</v>
      </c>
      <c r="L146" s="501">
        <f>IFERROR(SUMIFS('JPM St'!$M:$M,'JPM St'!$A:$A,$V$3,'JPM St'!$C:$C,D146),"")</f>
        <v>13596.66</v>
      </c>
      <c r="M146" s="501">
        <f>IFERROR(SUMIFS('JPM St'!$M:$M,'JPM St'!$A:$A,$V$4,'JPM St'!$C:$C,D146),"")</f>
        <v>0</v>
      </c>
      <c r="N146" s="501"/>
      <c r="O146" s="501"/>
      <c r="P146" s="501"/>
      <c r="Q146" s="501"/>
      <c r="R146" s="501"/>
    </row>
    <row r="147" spans="1:18" x14ac:dyDescent="0.25">
      <c r="A147" s="497" t="s">
        <v>90</v>
      </c>
      <c r="B147" s="497" t="str">
        <f>IFERROR(IF(VLOOKUP(D147,'JPM St'!$C:$G,3,0)="Fixed Income &amp; Cash","Cash",VLOOKUP(D147,'JPM St'!$C:$G,3,0)),"")</f>
        <v>Equity</v>
      </c>
      <c r="C147" s="497" t="str">
        <f>IFERROR(VLOOKUP(D147,'JPM St'!$C:$L,10,0),"")</f>
        <v>USD</v>
      </c>
      <c r="D147" s="497" t="str">
        <v>NIKE -B-</v>
      </c>
      <c r="E147" s="500" t="str">
        <f>IFERROR(VLOOKUP(D147,'JPM St'!$C:$D,2,0),"")</f>
        <v>US6541061031</v>
      </c>
      <c r="F147" s="501">
        <f t="shared" si="9"/>
        <v>13114.52</v>
      </c>
      <c r="G147" s="501">
        <f>SUMIFS('JPM St'!$K:$K,'JPM St'!$A:$A,$V$2,'JPM St'!$C:$C,D147)</f>
        <v>0</v>
      </c>
      <c r="H147" s="501">
        <f>SUMIFS('JPM St'!$K:$K,'JPM St'!$A:$A,$V$3,'JPM St'!$C:$C,D147)</f>
        <v>13114.52</v>
      </c>
      <c r="I147" s="501">
        <f>SUMIFS('JPM St'!$K:$K,'JPM St'!$A:$A,$V$4,'JPM St'!$C:$C,D147)</f>
        <v>0</v>
      </c>
      <c r="J147" s="619">
        <f t="shared" si="10"/>
        <v>13114.52</v>
      </c>
      <c r="K147" s="501">
        <f>IFERROR(SUMIFS('JPM St'!$M:$M,'JPM St'!$A:$A,$V$2,'JPM St'!$C:$C,D147),"")</f>
        <v>0</v>
      </c>
      <c r="L147" s="501">
        <f>IFERROR(SUMIFS('JPM St'!$M:$M,'JPM St'!$A:$A,$V$3,'JPM St'!$C:$C,D147),"")</f>
        <v>13114.52</v>
      </c>
      <c r="M147" s="501">
        <f>IFERROR(SUMIFS('JPM St'!$M:$M,'JPM St'!$A:$A,$V$4,'JPM St'!$C:$C,D147),"")</f>
        <v>0</v>
      </c>
      <c r="N147" s="501"/>
      <c r="O147" s="501"/>
      <c r="P147" s="501"/>
      <c r="Q147" s="501"/>
      <c r="R147" s="501"/>
    </row>
    <row r="148" spans="1:18" x14ac:dyDescent="0.25">
      <c r="A148" s="497" t="s">
        <v>90</v>
      </c>
      <c r="B148" s="497" t="str">
        <f>IFERROR(IF(VLOOKUP(D148,'JPM St'!$C:$G,3,0)="Fixed Income &amp; Cash","Cash",VLOOKUP(D148,'JPM St'!$C:$G,3,0)),"")</f>
        <v>Equity</v>
      </c>
      <c r="C148" s="497" t="str">
        <f>IFERROR(VLOOKUP(D148,'JPM St'!$C:$L,10,0),"")</f>
        <v>USD</v>
      </c>
      <c r="D148" s="497" t="str">
        <v>BECTON DICKINSON</v>
      </c>
      <c r="E148" s="500" t="str">
        <f>IFERROR(VLOOKUP(D148,'JPM St'!$C:$D,2,0),"")</f>
        <v>US0758871091</v>
      </c>
      <c r="F148" s="501">
        <f t="shared" si="9"/>
        <v>12158.250000000002</v>
      </c>
      <c r="G148" s="501">
        <f>SUMIFS('JPM St'!$K:$K,'JPM St'!$A:$A,$V$2,'JPM St'!$C:$C,D148)</f>
        <v>0</v>
      </c>
      <c r="H148" s="501">
        <f>SUMIFS('JPM St'!$K:$K,'JPM St'!$A:$A,$V$3,'JPM St'!$C:$C,D148)</f>
        <v>12158.250000000002</v>
      </c>
      <c r="I148" s="501">
        <f>SUMIFS('JPM St'!$K:$K,'JPM St'!$A:$A,$V$4,'JPM St'!$C:$C,D148)</f>
        <v>0</v>
      </c>
      <c r="J148" s="619">
        <f t="shared" si="10"/>
        <v>12158.250000000002</v>
      </c>
      <c r="K148" s="501">
        <f>IFERROR(SUMIFS('JPM St'!$M:$M,'JPM St'!$A:$A,$V$2,'JPM St'!$C:$C,D148),"")</f>
        <v>0</v>
      </c>
      <c r="L148" s="501">
        <f>IFERROR(SUMIFS('JPM St'!$M:$M,'JPM St'!$A:$A,$V$3,'JPM St'!$C:$C,D148),"")</f>
        <v>12158.250000000002</v>
      </c>
      <c r="M148" s="501">
        <f>IFERROR(SUMIFS('JPM St'!$M:$M,'JPM St'!$A:$A,$V$4,'JPM St'!$C:$C,D148),"")</f>
        <v>0</v>
      </c>
      <c r="N148" s="501"/>
      <c r="O148" s="501"/>
      <c r="P148" s="501"/>
      <c r="Q148" s="501"/>
      <c r="R148" s="501"/>
    </row>
    <row r="149" spans="1:18" x14ac:dyDescent="0.25">
      <c r="A149" s="497" t="s">
        <v>90</v>
      </c>
      <c r="B149" s="497" t="str">
        <f>IFERROR(IF(VLOOKUP(D149,'JPM St'!$C:$G,3,0)="Fixed Income &amp; Cash","Cash",VLOOKUP(D149,'JPM St'!$C:$G,3,0)),"")</f>
        <v>Equity</v>
      </c>
      <c r="C149" s="497" t="str">
        <f>IFERROR(VLOOKUP(D149,'JPM St'!$C:$L,10,0),"")</f>
        <v>USD</v>
      </c>
      <c r="D149" s="497" t="str">
        <v>ELI LILLY AND COMPANY</v>
      </c>
      <c r="E149" s="500" t="str">
        <f>IFERROR(VLOOKUP(D149,'JPM St'!$C:$D,2,0),"")</f>
        <v>US5324571083</v>
      </c>
      <c r="F149" s="501">
        <f t="shared" si="9"/>
        <v>11849.039999999999</v>
      </c>
      <c r="G149" s="501">
        <f>SUMIFS('JPM St'!$K:$K,'JPM St'!$A:$A,$V$2,'JPM St'!$C:$C,D149)</f>
        <v>0</v>
      </c>
      <c r="H149" s="501">
        <f>SUMIFS('JPM St'!$K:$K,'JPM St'!$A:$A,$V$3,'JPM St'!$C:$C,D149)</f>
        <v>11849.039999999999</v>
      </c>
      <c r="I149" s="501">
        <f>SUMIFS('JPM St'!$K:$K,'JPM St'!$A:$A,$V$4,'JPM St'!$C:$C,D149)</f>
        <v>0</v>
      </c>
      <c r="J149" s="619">
        <f t="shared" si="10"/>
        <v>11849.039999999999</v>
      </c>
      <c r="K149" s="501">
        <f>IFERROR(SUMIFS('JPM St'!$M:$M,'JPM St'!$A:$A,$V$2,'JPM St'!$C:$C,D149),"")</f>
        <v>0</v>
      </c>
      <c r="L149" s="501">
        <f>IFERROR(SUMIFS('JPM St'!$M:$M,'JPM St'!$A:$A,$V$3,'JPM St'!$C:$C,D149),"")</f>
        <v>11849.039999999999</v>
      </c>
      <c r="M149" s="501">
        <f>IFERROR(SUMIFS('JPM St'!$M:$M,'JPM St'!$A:$A,$V$4,'JPM St'!$C:$C,D149),"")</f>
        <v>0</v>
      </c>
      <c r="N149" s="501"/>
      <c r="O149" s="501"/>
      <c r="P149" s="501"/>
      <c r="Q149" s="501"/>
      <c r="R149" s="501"/>
    </row>
    <row r="150" spans="1:18" x14ac:dyDescent="0.25">
      <c r="A150" s="497" t="s">
        <v>90</v>
      </c>
      <c r="B150" s="497" t="str">
        <f>IFERROR(IF(VLOOKUP(D150,'JPM St'!$C:$G,3,0)="Fixed Income &amp; Cash","Cash",VLOOKUP(D150,'JPM St'!$C:$G,3,0)),"")</f>
        <v>Equity</v>
      </c>
      <c r="C150" s="497" t="str">
        <f>IFERROR(VLOOKUP(D150,'JPM St'!$C:$L,10,0),"")</f>
        <v>USD</v>
      </c>
      <c r="D150" s="497" t="str">
        <v>PACKAGING CORP OF AMERICA</v>
      </c>
      <c r="E150" s="500" t="str">
        <f>IFERROR(VLOOKUP(D150,'JPM St'!$C:$D,2,0),"")</f>
        <v>US6951561090</v>
      </c>
      <c r="F150" s="501">
        <f t="shared" si="9"/>
        <v>11675.61</v>
      </c>
      <c r="G150" s="501">
        <f>SUMIFS('JPM St'!$K:$K,'JPM St'!$A:$A,$V$2,'JPM St'!$C:$C,D150)</f>
        <v>0</v>
      </c>
      <c r="H150" s="501">
        <f>SUMIFS('JPM St'!$K:$K,'JPM St'!$A:$A,$V$3,'JPM St'!$C:$C,D150)</f>
        <v>11675.61</v>
      </c>
      <c r="I150" s="501">
        <f>SUMIFS('JPM St'!$K:$K,'JPM St'!$A:$A,$V$4,'JPM St'!$C:$C,D150)</f>
        <v>0</v>
      </c>
      <c r="J150" s="619">
        <f t="shared" si="10"/>
        <v>11675.61</v>
      </c>
      <c r="K150" s="501">
        <f>IFERROR(SUMIFS('JPM St'!$M:$M,'JPM St'!$A:$A,$V$2,'JPM St'!$C:$C,D150),"")</f>
        <v>0</v>
      </c>
      <c r="L150" s="501">
        <f>IFERROR(SUMIFS('JPM St'!$M:$M,'JPM St'!$A:$A,$V$3,'JPM St'!$C:$C,D150),"")</f>
        <v>11675.61</v>
      </c>
      <c r="M150" s="501">
        <f>IFERROR(SUMIFS('JPM St'!$M:$M,'JPM St'!$A:$A,$V$4,'JPM St'!$C:$C,D150),"")</f>
        <v>0</v>
      </c>
      <c r="N150" s="501"/>
      <c r="O150" s="501"/>
      <c r="P150" s="501"/>
      <c r="Q150" s="501"/>
      <c r="R150" s="501"/>
    </row>
    <row r="151" spans="1:18" x14ac:dyDescent="0.25">
      <c r="A151" s="497" t="s">
        <v>90</v>
      </c>
      <c r="B151" s="497" t="str">
        <f>IFERROR(IF(VLOOKUP(D151,'JPM St'!$C:$G,3,0)="Fixed Income &amp; Cash","Cash",VLOOKUP(D151,'JPM St'!$C:$G,3,0)),"")</f>
        <v>Equity</v>
      </c>
      <c r="C151" s="497" t="str">
        <f>IFERROR(VLOOKUP(D151,'JPM St'!$C:$L,10,0),"")</f>
        <v>USD</v>
      </c>
      <c r="D151" s="497" t="str">
        <v>INTERNATIONAL BUSINESS MACHINES COR</v>
      </c>
      <c r="E151" s="500" t="str">
        <f>IFERROR(VLOOKUP(D151,'JPM St'!$C:$D,2,0),"")</f>
        <v>US4592001014</v>
      </c>
      <c r="F151" s="501">
        <f t="shared" si="9"/>
        <v>11157.960000000001</v>
      </c>
      <c r="G151" s="501">
        <f>SUMIFS('JPM St'!$K:$K,'JPM St'!$A:$A,$V$2,'JPM St'!$C:$C,D151)</f>
        <v>0</v>
      </c>
      <c r="H151" s="501">
        <f>SUMIFS('JPM St'!$K:$K,'JPM St'!$A:$A,$V$3,'JPM St'!$C:$C,D151)</f>
        <v>11157.960000000001</v>
      </c>
      <c r="I151" s="501">
        <f>SUMIFS('JPM St'!$K:$K,'JPM St'!$A:$A,$V$4,'JPM St'!$C:$C,D151)</f>
        <v>0</v>
      </c>
      <c r="J151" s="619">
        <f t="shared" si="10"/>
        <v>11157.960000000001</v>
      </c>
      <c r="K151" s="501">
        <f>IFERROR(SUMIFS('JPM St'!$M:$M,'JPM St'!$A:$A,$V$2,'JPM St'!$C:$C,D151),"")</f>
        <v>0</v>
      </c>
      <c r="L151" s="501">
        <f>IFERROR(SUMIFS('JPM St'!$M:$M,'JPM St'!$A:$A,$V$3,'JPM St'!$C:$C,D151),"")</f>
        <v>11157.960000000001</v>
      </c>
      <c r="M151" s="501">
        <f>IFERROR(SUMIFS('JPM St'!$M:$M,'JPM St'!$A:$A,$V$4,'JPM St'!$C:$C,D151),"")</f>
        <v>0</v>
      </c>
      <c r="N151" s="501"/>
      <c r="O151" s="501"/>
      <c r="P151" s="501"/>
      <c r="Q151" s="501"/>
      <c r="R151" s="501"/>
    </row>
    <row r="152" spans="1:18" x14ac:dyDescent="0.25">
      <c r="A152" s="497" t="s">
        <v>90</v>
      </c>
      <c r="B152" s="497" t="str">
        <f>IFERROR(IF(VLOOKUP(D152,'JPM St'!$C:$G,3,0)="Fixed Income &amp; Cash","Cash",VLOOKUP(D152,'JPM St'!$C:$G,3,0)),"")</f>
        <v>Equity</v>
      </c>
      <c r="C152" s="497" t="str">
        <f>IFERROR(VLOOKUP(D152,'JPM St'!$C:$L,10,0),"")</f>
        <v>USD</v>
      </c>
      <c r="D152" s="497" t="str">
        <v>QUEST DIAGNOSTICS</v>
      </c>
      <c r="E152" s="500" t="str">
        <f>IFERROR(VLOOKUP(D152,'JPM St'!$C:$D,2,0),"")</f>
        <v>US74834L1008</v>
      </c>
      <c r="F152" s="501">
        <f t="shared" si="9"/>
        <v>11026.12</v>
      </c>
      <c r="G152" s="501">
        <f>SUMIFS('JPM St'!$K:$K,'JPM St'!$A:$A,$V$2,'JPM St'!$C:$C,D152)</f>
        <v>0</v>
      </c>
      <c r="H152" s="501">
        <f>SUMIFS('JPM St'!$K:$K,'JPM St'!$A:$A,$V$3,'JPM St'!$C:$C,D152)</f>
        <v>11026.12</v>
      </c>
      <c r="I152" s="501">
        <f>SUMIFS('JPM St'!$K:$K,'JPM St'!$A:$A,$V$4,'JPM St'!$C:$C,D152)</f>
        <v>0</v>
      </c>
      <c r="J152" s="619">
        <f t="shared" si="10"/>
        <v>11026.12</v>
      </c>
      <c r="K152" s="501">
        <f>IFERROR(SUMIFS('JPM St'!$M:$M,'JPM St'!$A:$A,$V$2,'JPM St'!$C:$C,D152),"")</f>
        <v>0</v>
      </c>
      <c r="L152" s="501">
        <f>IFERROR(SUMIFS('JPM St'!$M:$M,'JPM St'!$A:$A,$V$3,'JPM St'!$C:$C,D152),"")</f>
        <v>11026.12</v>
      </c>
      <c r="M152" s="501">
        <f>IFERROR(SUMIFS('JPM St'!$M:$M,'JPM St'!$A:$A,$V$4,'JPM St'!$C:$C,D152),"")</f>
        <v>0</v>
      </c>
      <c r="N152" s="501"/>
      <c r="O152" s="501"/>
      <c r="P152" s="501"/>
      <c r="Q152" s="501"/>
      <c r="R152" s="501"/>
    </row>
    <row r="153" spans="1:18" x14ac:dyDescent="0.25">
      <c r="A153" s="497" t="s">
        <v>90</v>
      </c>
      <c r="B153" s="497" t="str">
        <f>IFERROR(IF(VLOOKUP(D153,'JPM St'!$C:$G,3,0)="Fixed Income &amp; Cash","Cash",VLOOKUP(D153,'JPM St'!$C:$G,3,0)),"")</f>
        <v>Equity</v>
      </c>
      <c r="C153" s="497" t="str">
        <f>IFERROR(VLOOKUP(D153,'JPM St'!$C:$L,10,0),"")</f>
        <v>USD</v>
      </c>
      <c r="D153" s="497" t="str">
        <v>AMERICAN TOWER</v>
      </c>
      <c r="E153" s="500" t="str">
        <f>IFERROR(VLOOKUP(D153,'JPM St'!$C:$D,2,0),"")</f>
        <v>US03027X1000</v>
      </c>
      <c r="F153" s="501">
        <f t="shared" si="9"/>
        <v>10991.7</v>
      </c>
      <c r="G153" s="501">
        <f>SUMIFS('JPM St'!$K:$K,'JPM St'!$A:$A,$V$2,'JPM St'!$C:$C,D153)</f>
        <v>0</v>
      </c>
      <c r="H153" s="501">
        <f>SUMIFS('JPM St'!$K:$K,'JPM St'!$A:$A,$V$3,'JPM St'!$C:$C,D153)</f>
        <v>10991.7</v>
      </c>
      <c r="I153" s="501">
        <f>SUMIFS('JPM St'!$K:$K,'JPM St'!$A:$A,$V$4,'JPM St'!$C:$C,D153)</f>
        <v>0</v>
      </c>
      <c r="J153" s="619">
        <f t="shared" si="10"/>
        <v>10991.7</v>
      </c>
      <c r="K153" s="501">
        <f>IFERROR(SUMIFS('JPM St'!$M:$M,'JPM St'!$A:$A,$V$2,'JPM St'!$C:$C,D153),"")</f>
        <v>0</v>
      </c>
      <c r="L153" s="501">
        <f>IFERROR(SUMIFS('JPM St'!$M:$M,'JPM St'!$A:$A,$V$3,'JPM St'!$C:$C,D153),"")</f>
        <v>10991.7</v>
      </c>
      <c r="M153" s="501">
        <f>IFERROR(SUMIFS('JPM St'!$M:$M,'JPM St'!$A:$A,$V$4,'JPM St'!$C:$C,D153),"")</f>
        <v>0</v>
      </c>
      <c r="N153" s="501"/>
      <c r="O153" s="501"/>
      <c r="P153" s="501"/>
      <c r="Q153" s="501"/>
      <c r="R153" s="501"/>
    </row>
    <row r="154" spans="1:18" x14ac:dyDescent="0.25">
      <c r="A154" s="497" t="s">
        <v>90</v>
      </c>
      <c r="B154" s="497" t="str">
        <f>IFERROR(IF(VLOOKUP(D154,'JPM St'!$C:$G,3,0)="Fixed Income &amp; Cash","Cash",VLOOKUP(D154,'JPM St'!$C:$G,3,0)),"")</f>
        <v>Equity</v>
      </c>
      <c r="C154" s="497" t="str">
        <f>IFERROR(VLOOKUP(D154,'JPM St'!$C:$L,10,0),"")</f>
        <v>USD</v>
      </c>
      <c r="D154" s="497" t="str">
        <v>BLACKROCK INC</v>
      </c>
      <c r="E154" s="500" t="str">
        <f>IFERROR(VLOOKUP(D154,'JPM St'!$C:$D,2,0),"")</f>
        <v>US09290D1019</v>
      </c>
      <c r="F154" s="501">
        <f t="shared" si="9"/>
        <v>10187.43</v>
      </c>
      <c r="G154" s="501">
        <f>SUMIFS('JPM St'!$K:$K,'JPM St'!$A:$A,$V$2,'JPM St'!$C:$C,D154)</f>
        <v>0</v>
      </c>
      <c r="H154" s="501">
        <f>SUMIFS('JPM St'!$K:$K,'JPM St'!$A:$A,$V$3,'JPM St'!$C:$C,D154)</f>
        <v>10187.43</v>
      </c>
      <c r="I154" s="501">
        <f>SUMIFS('JPM St'!$K:$K,'JPM St'!$A:$A,$V$4,'JPM St'!$C:$C,D154)</f>
        <v>0</v>
      </c>
      <c r="J154" s="619">
        <f t="shared" si="10"/>
        <v>10187.43</v>
      </c>
      <c r="K154" s="501">
        <f>IFERROR(SUMIFS('JPM St'!$M:$M,'JPM St'!$A:$A,$V$2,'JPM St'!$C:$C,D154),"")</f>
        <v>0</v>
      </c>
      <c r="L154" s="501">
        <f>IFERROR(SUMIFS('JPM St'!$M:$M,'JPM St'!$A:$A,$V$3,'JPM St'!$C:$C,D154),"")</f>
        <v>10187.43</v>
      </c>
      <c r="M154" s="501">
        <f>IFERROR(SUMIFS('JPM St'!$M:$M,'JPM St'!$A:$A,$V$4,'JPM St'!$C:$C,D154),"")</f>
        <v>0</v>
      </c>
      <c r="N154" s="501"/>
      <c r="O154" s="501"/>
      <c r="P154" s="501"/>
      <c r="Q154" s="501"/>
      <c r="R154" s="501"/>
    </row>
    <row r="155" spans="1:18" x14ac:dyDescent="0.25">
      <c r="A155" s="497" t="s">
        <v>90</v>
      </c>
      <c r="B155" s="497" t="str">
        <f>IFERROR(IF(VLOOKUP(D155,'JPM St'!$C:$G,3,0)="Fixed Income &amp; Cash","Cash",VLOOKUP(D155,'JPM St'!$C:$G,3,0)),"")</f>
        <v>Equity</v>
      </c>
      <c r="C155" s="497" t="str">
        <f>IFERROR(VLOOKUP(D155,'JPM St'!$C:$L,10,0),"")</f>
        <v>USD</v>
      </c>
      <c r="D155" s="497" t="str">
        <v>ACCENTURE -A-</v>
      </c>
      <c r="E155" s="500" t="str">
        <f>IFERROR(VLOOKUP(D155,'JPM St'!$C:$D,2,0),"")</f>
        <v>IE00B4BNMY34</v>
      </c>
      <c r="F155" s="501">
        <f t="shared" si="9"/>
        <v>8817.06</v>
      </c>
      <c r="G155" s="501">
        <f>SUMIFS('JPM St'!$K:$K,'JPM St'!$A:$A,$V$2,'JPM St'!$C:$C,D155)</f>
        <v>0</v>
      </c>
      <c r="H155" s="501">
        <f>SUMIFS('JPM St'!$K:$K,'JPM St'!$A:$A,$V$3,'JPM St'!$C:$C,D155)</f>
        <v>8817.06</v>
      </c>
      <c r="I155" s="501">
        <f>SUMIFS('JPM St'!$K:$K,'JPM St'!$A:$A,$V$4,'JPM St'!$C:$C,D155)</f>
        <v>0</v>
      </c>
      <c r="J155" s="619">
        <f t="shared" si="10"/>
        <v>8817.06</v>
      </c>
      <c r="K155" s="501">
        <f>IFERROR(SUMIFS('JPM St'!$M:$M,'JPM St'!$A:$A,$V$2,'JPM St'!$C:$C,D155),"")</f>
        <v>0</v>
      </c>
      <c r="L155" s="501">
        <f>IFERROR(SUMIFS('JPM St'!$M:$M,'JPM St'!$A:$A,$V$3,'JPM St'!$C:$C,D155),"")</f>
        <v>8817.06</v>
      </c>
      <c r="M155" s="501">
        <f>IFERROR(SUMIFS('JPM St'!$M:$M,'JPM St'!$A:$A,$V$4,'JPM St'!$C:$C,D155),"")</f>
        <v>0</v>
      </c>
      <c r="N155" s="501"/>
      <c r="O155" s="501"/>
      <c r="P155" s="501"/>
      <c r="Q155" s="501"/>
      <c r="R155" s="501"/>
    </row>
    <row r="156" spans="1:18" x14ac:dyDescent="0.25">
      <c r="A156" s="497" t="s">
        <v>90</v>
      </c>
      <c r="B156" s="497" t="str">
        <f>IFERROR(IF(VLOOKUP(D156,'JPM St'!$C:$G,3,0)="Fixed Income &amp; Cash","Cash",VLOOKUP(D156,'JPM St'!$C:$G,3,0)),"")</f>
        <v>Equity</v>
      </c>
      <c r="C156" s="497" t="str">
        <f>IFERROR(VLOOKUP(D156,'JPM St'!$C:$L,10,0),"")</f>
        <v>USD</v>
      </c>
      <c r="D156" s="497" t="str">
        <v>NORFOLK SOUTHERN</v>
      </c>
      <c r="E156" s="500" t="str">
        <f>IFERROR(VLOOKUP(D156,'JPM St'!$C:$D,2,0),"")</f>
        <v>US6558441084</v>
      </c>
      <c r="F156" s="501">
        <f t="shared" si="9"/>
        <v>8313.4800000000014</v>
      </c>
      <c r="G156" s="501">
        <f>SUMIFS('JPM St'!$K:$K,'JPM St'!$A:$A,$V$2,'JPM St'!$C:$C,D156)</f>
        <v>0</v>
      </c>
      <c r="H156" s="501">
        <f>SUMIFS('JPM St'!$K:$K,'JPM St'!$A:$A,$V$3,'JPM St'!$C:$C,D156)</f>
        <v>8313.4800000000014</v>
      </c>
      <c r="I156" s="501">
        <f>SUMIFS('JPM St'!$K:$K,'JPM St'!$A:$A,$V$4,'JPM St'!$C:$C,D156)</f>
        <v>0</v>
      </c>
      <c r="J156" s="619">
        <f t="shared" si="10"/>
        <v>8313.4800000000014</v>
      </c>
      <c r="K156" s="501">
        <f>IFERROR(SUMIFS('JPM St'!$M:$M,'JPM St'!$A:$A,$V$2,'JPM St'!$C:$C,D156),"")</f>
        <v>0</v>
      </c>
      <c r="L156" s="501">
        <f>IFERROR(SUMIFS('JPM St'!$M:$M,'JPM St'!$A:$A,$V$3,'JPM St'!$C:$C,D156),"")</f>
        <v>8313.4800000000014</v>
      </c>
      <c r="M156" s="501">
        <f>IFERROR(SUMIFS('JPM St'!$M:$M,'JPM St'!$A:$A,$V$4,'JPM St'!$C:$C,D156),"")</f>
        <v>0</v>
      </c>
      <c r="N156" s="501"/>
      <c r="O156" s="501"/>
      <c r="P156" s="501"/>
      <c r="Q156" s="501"/>
      <c r="R156" s="501"/>
    </row>
    <row r="157" spans="1:18" x14ac:dyDescent="0.25">
      <c r="A157" s="497" t="s">
        <v>90</v>
      </c>
      <c r="B157" s="497" t="str">
        <f>IFERROR(IF(VLOOKUP(D157,'JPM St'!$C:$G,3,0)="Fixed Income &amp; Cash","Cash",VLOOKUP(D157,'JPM St'!$C:$G,3,0)),"")</f>
        <v>Equity</v>
      </c>
      <c r="C157" s="497" t="str">
        <f>IFERROR(VLOOKUP(D157,'JPM St'!$C:$L,10,0),"")</f>
        <v>USD</v>
      </c>
      <c r="D157" s="497" t="str">
        <v>BLACKSTONE INC</v>
      </c>
      <c r="E157" s="500" t="str">
        <f>IFERROR(VLOOKUP(D157,'JPM St'!$C:$D,2,0),"")</f>
        <v>US09260D1072</v>
      </c>
      <c r="F157" s="501">
        <f t="shared" si="9"/>
        <v>8263.64</v>
      </c>
      <c r="G157" s="501">
        <f>SUMIFS('JPM St'!$K:$K,'JPM St'!$A:$A,$V$2,'JPM St'!$C:$C,D157)</f>
        <v>0</v>
      </c>
      <c r="H157" s="501">
        <f>SUMIFS('JPM St'!$K:$K,'JPM St'!$A:$A,$V$3,'JPM St'!$C:$C,D157)</f>
        <v>8263.64</v>
      </c>
      <c r="I157" s="501">
        <f>SUMIFS('JPM St'!$K:$K,'JPM St'!$A:$A,$V$4,'JPM St'!$C:$C,D157)</f>
        <v>0</v>
      </c>
      <c r="J157" s="619">
        <f t="shared" si="10"/>
        <v>8263.64</v>
      </c>
      <c r="K157" s="501">
        <f>IFERROR(SUMIFS('JPM St'!$M:$M,'JPM St'!$A:$A,$V$2,'JPM St'!$C:$C,D157),"")</f>
        <v>0</v>
      </c>
      <c r="L157" s="501">
        <f>IFERROR(SUMIFS('JPM St'!$M:$M,'JPM St'!$A:$A,$V$3,'JPM St'!$C:$C,D157),"")</f>
        <v>8263.64</v>
      </c>
      <c r="M157" s="501">
        <f>IFERROR(SUMIFS('JPM St'!$M:$M,'JPM St'!$A:$A,$V$4,'JPM St'!$C:$C,D157),"")</f>
        <v>0</v>
      </c>
      <c r="N157" s="501"/>
      <c r="O157" s="501"/>
      <c r="P157" s="501"/>
      <c r="Q157" s="501"/>
      <c r="R157" s="501"/>
    </row>
    <row r="158" spans="1:18" x14ac:dyDescent="0.25">
      <c r="A158" s="497" t="s">
        <v>90</v>
      </c>
      <c r="B158" s="497" t="str">
        <f>IFERROR(IF(VLOOKUP(D158,'JPM St'!$C:$G,3,0)="Fixed Income &amp; Cash","Cash",VLOOKUP(D158,'JPM St'!$C:$G,3,0)),"")</f>
        <v>Equity</v>
      </c>
      <c r="C158" s="497" t="str">
        <f>IFERROR(VLOOKUP(D158,'JPM St'!$C:$L,10,0),"")</f>
        <v>USD</v>
      </c>
      <c r="D158" s="497" t="str">
        <v>PEPSICO INC</v>
      </c>
      <c r="E158" s="500" t="str">
        <f>IFERROR(VLOOKUP(D158,'JPM St'!$C:$D,2,0),"")</f>
        <v>US7134481081</v>
      </c>
      <c r="F158" s="501">
        <f t="shared" si="9"/>
        <v>8105.6850000000004</v>
      </c>
      <c r="G158" s="501">
        <f>SUMIFS('JPM St'!$K:$K,'JPM St'!$A:$A,$V$2,'JPM St'!$C:$C,D158)</f>
        <v>0</v>
      </c>
      <c r="H158" s="501">
        <f>SUMIFS('JPM St'!$K:$K,'JPM St'!$A:$A,$V$3,'JPM St'!$C:$C,D158)</f>
        <v>8105.6850000000004</v>
      </c>
      <c r="I158" s="501">
        <f>SUMIFS('JPM St'!$K:$K,'JPM St'!$A:$A,$V$4,'JPM St'!$C:$C,D158)</f>
        <v>0</v>
      </c>
      <c r="J158" s="619">
        <f t="shared" si="10"/>
        <v>8105.6850000000004</v>
      </c>
      <c r="K158" s="501">
        <f>IFERROR(SUMIFS('JPM St'!$M:$M,'JPM St'!$A:$A,$V$2,'JPM St'!$C:$C,D158),"")</f>
        <v>0</v>
      </c>
      <c r="L158" s="501">
        <f>IFERROR(SUMIFS('JPM St'!$M:$M,'JPM St'!$A:$A,$V$3,'JPM St'!$C:$C,D158),"")</f>
        <v>8105.6850000000004</v>
      </c>
      <c r="M158" s="501">
        <f>IFERROR(SUMIFS('JPM St'!$M:$M,'JPM St'!$A:$A,$V$4,'JPM St'!$C:$C,D158),"")</f>
        <v>0</v>
      </c>
      <c r="N158" s="501"/>
      <c r="O158" s="501"/>
      <c r="P158" s="501"/>
      <c r="Q158" s="501"/>
      <c r="R158" s="501"/>
    </row>
    <row r="159" spans="1:18" x14ac:dyDescent="0.25">
      <c r="A159" s="497" t="s">
        <v>90</v>
      </c>
      <c r="B159" s="497" t="str">
        <f>IFERROR(IF(VLOOKUP(D159,'JPM St'!$C:$G,3,0)="Fixed Income &amp; Cash","Cash",VLOOKUP(D159,'JPM St'!$C:$G,3,0)),"")</f>
        <v>Equity</v>
      </c>
      <c r="C159" s="497" t="str">
        <f>IFERROR(VLOOKUP(D159,'JPM St'!$C:$L,10,0),"")</f>
        <v>USD</v>
      </c>
      <c r="D159" s="497" t="str">
        <v>AVALONBAY COMMUNITIES</v>
      </c>
      <c r="E159" s="500" t="str">
        <f>IFERROR(VLOOKUP(D159,'JPM St'!$C:$D,2,0),"")</f>
        <v>US0534841012</v>
      </c>
      <c r="F159" s="501">
        <f t="shared" si="9"/>
        <v>7971.8</v>
      </c>
      <c r="G159" s="501">
        <f>SUMIFS('JPM St'!$K:$K,'JPM St'!$A:$A,$V$2,'JPM St'!$C:$C,D159)</f>
        <v>0</v>
      </c>
      <c r="H159" s="501">
        <f>SUMIFS('JPM St'!$K:$K,'JPM St'!$A:$A,$V$3,'JPM St'!$C:$C,D159)</f>
        <v>7971.8</v>
      </c>
      <c r="I159" s="501">
        <f>SUMIFS('JPM St'!$K:$K,'JPM St'!$A:$A,$V$4,'JPM St'!$C:$C,D159)</f>
        <v>0</v>
      </c>
      <c r="J159" s="619">
        <f t="shared" si="10"/>
        <v>7971.8</v>
      </c>
      <c r="K159" s="501">
        <f>IFERROR(SUMIFS('JPM St'!$M:$M,'JPM St'!$A:$A,$V$2,'JPM St'!$C:$C,D159),"")</f>
        <v>0</v>
      </c>
      <c r="L159" s="501">
        <f>IFERROR(SUMIFS('JPM St'!$M:$M,'JPM St'!$A:$A,$V$3,'JPM St'!$C:$C,D159),"")</f>
        <v>7971.8</v>
      </c>
      <c r="M159" s="501">
        <f>IFERROR(SUMIFS('JPM St'!$M:$M,'JPM St'!$A:$A,$V$4,'JPM St'!$C:$C,D159),"")</f>
        <v>0</v>
      </c>
      <c r="N159" s="501"/>
      <c r="O159" s="501"/>
      <c r="P159" s="501"/>
      <c r="Q159" s="501"/>
      <c r="R159" s="501"/>
    </row>
    <row r="160" spans="1:18" x14ac:dyDescent="0.25">
      <c r="A160" s="497" t="s">
        <v>90</v>
      </c>
      <c r="B160" s="497" t="str">
        <f>IFERROR(IF(VLOOKUP(D160,'JPM St'!$C:$G,3,0)="Fixed Income &amp; Cash","Cash",VLOOKUP(D160,'JPM St'!$C:$G,3,0)),"")</f>
        <v>Equity</v>
      </c>
      <c r="C160" s="497" t="str">
        <f>IFERROR(VLOOKUP(D160,'JPM St'!$C:$L,10,0),"")</f>
        <v>USD</v>
      </c>
      <c r="D160" s="497" t="str">
        <v>ARES MANAGEMENT CORP</v>
      </c>
      <c r="E160" s="500" t="str">
        <f>IFERROR(VLOOKUP(D160,'JPM St'!$C:$D,2,0),"")</f>
        <v>US03990B1017</v>
      </c>
      <c r="F160" s="501">
        <f t="shared" si="9"/>
        <v>7293.68</v>
      </c>
      <c r="G160" s="501">
        <f>SUMIFS('JPM St'!$K:$K,'JPM St'!$A:$A,$V$2,'JPM St'!$C:$C,D160)</f>
        <v>0</v>
      </c>
      <c r="H160" s="501">
        <f>SUMIFS('JPM St'!$K:$K,'JPM St'!$A:$A,$V$3,'JPM St'!$C:$C,D160)</f>
        <v>7293.68</v>
      </c>
      <c r="I160" s="501">
        <f>SUMIFS('JPM St'!$K:$K,'JPM St'!$A:$A,$V$4,'JPM St'!$C:$C,D160)</f>
        <v>0</v>
      </c>
      <c r="J160" s="619">
        <f t="shared" si="10"/>
        <v>7293.68</v>
      </c>
      <c r="K160" s="501">
        <f>IFERROR(SUMIFS('JPM St'!$M:$M,'JPM St'!$A:$A,$V$2,'JPM St'!$C:$C,D160),"")</f>
        <v>0</v>
      </c>
      <c r="L160" s="501">
        <f>IFERROR(SUMIFS('JPM St'!$M:$M,'JPM St'!$A:$A,$V$3,'JPM St'!$C:$C,D160),"")</f>
        <v>7293.68</v>
      </c>
      <c r="M160" s="501">
        <f>IFERROR(SUMIFS('JPM St'!$M:$M,'JPM St'!$A:$A,$V$4,'JPM St'!$C:$C,D160),"")</f>
        <v>0</v>
      </c>
      <c r="N160" s="501"/>
      <c r="O160" s="501"/>
      <c r="P160" s="501"/>
      <c r="Q160" s="501"/>
      <c r="R160" s="501"/>
    </row>
    <row r="161" spans="1:18" x14ac:dyDescent="0.25">
      <c r="A161" s="497" t="s">
        <v>90</v>
      </c>
      <c r="B161" s="497" t="str">
        <f>IFERROR(IF(VLOOKUP(D161,'JPM St'!$C:$G,3,0)="Fixed Income &amp; Cash","Cash",VLOOKUP(D161,'JPM St'!$C:$G,3,0)),"")</f>
        <v>Cash</v>
      </c>
      <c r="C161" s="497" t="str">
        <f>IFERROR(VLOOKUP(D161,'JPM St'!$C:$L,10,0),"")</f>
        <v>DKK</v>
      </c>
      <c r="D161" s="497" t="str">
        <v>Cash Account - DKK</v>
      </c>
      <c r="E161" s="500">
        <f>IFERROR(VLOOKUP(D161,'JPM St'!$C:$D,2,0),"")</f>
        <v>0</v>
      </c>
      <c r="F161" s="501">
        <f t="shared" si="9"/>
        <v>20658.93</v>
      </c>
      <c r="G161" s="501">
        <f>SUMIFS('JPM St'!$K:$K,'JPM St'!$A:$A,$V$2,'JPM St'!$C:$C,D161)</f>
        <v>0</v>
      </c>
      <c r="H161" s="501">
        <f>SUMIFS('JPM St'!$K:$K,'JPM St'!$A:$A,$V$3,'JPM St'!$C:$C,D161)</f>
        <v>0</v>
      </c>
      <c r="I161" s="501">
        <f>SUMIFS('JPM St'!$K:$K,'JPM St'!$A:$A,$V$4,'JPM St'!$C:$C,D161)</f>
        <v>20658.93</v>
      </c>
      <c r="J161" s="619">
        <f t="shared" si="10"/>
        <v>3200.8506109999998</v>
      </c>
      <c r="K161" s="501">
        <f>IFERROR(SUMIFS('JPM St'!$M:$M,'JPM St'!$A:$A,$V$2,'JPM St'!$C:$C,D161),"")</f>
        <v>0</v>
      </c>
      <c r="L161" s="501">
        <f>IFERROR(SUMIFS('JPM St'!$M:$M,'JPM St'!$A:$A,$V$3,'JPM St'!$C:$C,D161),"")</f>
        <v>0</v>
      </c>
      <c r="M161" s="501">
        <f>IFERROR(SUMIFS('JPM St'!$M:$M,'JPM St'!$A:$A,$V$4,'JPM St'!$C:$C,D161),"")</f>
        <v>3200.8506109999998</v>
      </c>
      <c r="N161" s="501"/>
      <c r="O161" s="501"/>
      <c r="P161" s="501"/>
      <c r="Q161" s="501"/>
      <c r="R161" s="501"/>
    </row>
    <row r="162" spans="1:18" x14ac:dyDescent="0.25">
      <c r="A162" s="497" t="s">
        <v>90</v>
      </c>
      <c r="B162" s="497" t="str">
        <f>IFERROR(IF(VLOOKUP(D162,'JPM St'!$C:$G,3,0)="Fixed Income &amp; Cash","Cash",VLOOKUP(D162,'JPM St'!$C:$G,3,0)),"")</f>
        <v>Cash</v>
      </c>
      <c r="C162" s="497" t="str">
        <f>IFERROR(VLOOKUP(D162,'JPM St'!$C:$L,10,0),"")</f>
        <v>SEK</v>
      </c>
      <c r="D162" s="497" t="str">
        <v>Cash Account - SEK</v>
      </c>
      <c r="E162" s="500">
        <f>IFERROR(VLOOKUP(D162,'JPM St'!$C:$D,2,0),"")</f>
        <v>0</v>
      </c>
      <c r="F162" s="501">
        <f t="shared" si="9"/>
        <v>17844.45</v>
      </c>
      <c r="G162" s="501">
        <f>SUMIFS('JPM St'!$K:$K,'JPM St'!$A:$A,$V$2,'JPM St'!$C:$C,D162)</f>
        <v>0</v>
      </c>
      <c r="H162" s="501">
        <f>SUMIFS('JPM St'!$K:$K,'JPM St'!$A:$A,$V$3,'JPM St'!$C:$C,D162)</f>
        <v>0</v>
      </c>
      <c r="I162" s="501">
        <f>SUMIFS('JPM St'!$K:$K,'JPM St'!$A:$A,$V$4,'JPM St'!$C:$C,D162)</f>
        <v>17844.45</v>
      </c>
      <c r="J162" s="619">
        <f t="shared" si="10"/>
        <v>1932.702579</v>
      </c>
      <c r="K162" s="501">
        <f>IFERROR(SUMIFS('JPM St'!$M:$M,'JPM St'!$A:$A,$V$2,'JPM St'!$C:$C,D162),"")</f>
        <v>0</v>
      </c>
      <c r="L162" s="501">
        <f>IFERROR(SUMIFS('JPM St'!$M:$M,'JPM St'!$A:$A,$V$3,'JPM St'!$C:$C,D162),"")</f>
        <v>0</v>
      </c>
      <c r="M162" s="501">
        <f>IFERROR(SUMIFS('JPM St'!$M:$M,'JPM St'!$A:$A,$V$4,'JPM St'!$C:$C,D162),"")</f>
        <v>1932.702579</v>
      </c>
      <c r="N162" s="501"/>
      <c r="O162" s="501"/>
      <c r="P162" s="501"/>
      <c r="Q162" s="501"/>
      <c r="R162" s="501"/>
    </row>
    <row r="163" spans="1:18" x14ac:dyDescent="0.25">
      <c r="A163" s="497" t="s">
        <v>90</v>
      </c>
      <c r="B163" s="497" t="str">
        <f>IFERROR(IF(VLOOKUP(D163,'JPM St'!$C:$G,3,0)="Fixed Income &amp; Cash","Cash",VLOOKUP(D163,'JPM St'!$C:$G,3,0)),"")</f>
        <v>Cash</v>
      </c>
      <c r="C163" s="497" t="str">
        <f>IFERROR(VLOOKUP(D163,'JPM St'!$C:$L,10,0),"")</f>
        <v>CHF</v>
      </c>
      <c r="D163" s="497" t="str">
        <v>Cash Account - CHF</v>
      </c>
      <c r="E163" s="500">
        <f>IFERROR(VLOOKUP(D163,'JPM St'!$C:$D,2,0),"")</f>
        <v>0</v>
      </c>
      <c r="F163" s="501">
        <f t="shared" si="9"/>
        <v>166.31</v>
      </c>
      <c r="G163" s="501">
        <f>SUMIFS('JPM St'!$K:$K,'JPM St'!$A:$A,$V$2,'JPM St'!$C:$C,D163)</f>
        <v>0</v>
      </c>
      <c r="H163" s="501">
        <f>SUMIFS('JPM St'!$K:$K,'JPM St'!$A:$A,$V$3,'JPM St'!$C:$C,D163)</f>
        <v>0</v>
      </c>
      <c r="I163" s="501">
        <f>SUMIFS('JPM St'!$K:$K,'JPM St'!$A:$A,$V$4,'JPM St'!$C:$C,D163)</f>
        <v>166.31</v>
      </c>
      <c r="J163" s="619">
        <f t="shared" si="10"/>
        <v>213.43693200000001</v>
      </c>
      <c r="K163" s="501">
        <f>IFERROR(SUMIFS('JPM St'!$M:$M,'JPM St'!$A:$A,$V$2,'JPM St'!$C:$C,D163),"")</f>
        <v>0</v>
      </c>
      <c r="L163" s="501">
        <f>IFERROR(SUMIFS('JPM St'!$M:$M,'JPM St'!$A:$A,$V$3,'JPM St'!$C:$C,D163),"")</f>
        <v>0</v>
      </c>
      <c r="M163" s="501">
        <f>IFERROR(SUMIFS('JPM St'!$M:$M,'JPM St'!$A:$A,$V$4,'JPM St'!$C:$C,D163),"")</f>
        <v>213.43693200000001</v>
      </c>
    </row>
    <row r="164" spans="1:18" x14ac:dyDescent="0.25">
      <c r="A164" s="497" t="s">
        <v>90</v>
      </c>
      <c r="B164" s="497" t="str">
        <f>IFERROR(IF(VLOOKUP(D164,'JPM St'!$C:$G,3,0)="Fixed Income &amp; Cash","Cash",VLOOKUP(D164,'JPM St'!$C:$G,3,0)),"")</f>
        <v>Cash</v>
      </c>
      <c r="C164" s="497" t="str">
        <f>IFERROR(VLOOKUP(D164,'JPM St'!$C:$L,10,0),"")</f>
        <v>GBP</v>
      </c>
      <c r="D164" s="497" t="str">
        <v>Cash Account - GBP</v>
      </c>
      <c r="E164" s="500">
        <f>IFERROR(VLOOKUP(D164,'JPM St'!$C:$D,2,0),"")</f>
        <v>0</v>
      </c>
      <c r="F164" s="501">
        <f t="shared" si="9"/>
        <v>0</v>
      </c>
      <c r="G164" s="501">
        <f>SUMIFS('JPM St'!$K:$K,'JPM St'!$A:$A,$V$2,'JPM St'!$C:$C,D164)</f>
        <v>0</v>
      </c>
      <c r="H164" s="501">
        <f>SUMIFS('JPM St'!$K:$K,'JPM St'!$A:$A,$V$3,'JPM St'!$C:$C,D164)</f>
        <v>0</v>
      </c>
      <c r="I164" s="501">
        <f>SUMIFS('JPM St'!$K:$K,'JPM St'!$A:$A,$V$4,'JPM St'!$C:$C,D164)</f>
        <v>0</v>
      </c>
      <c r="J164" s="619">
        <f t="shared" si="10"/>
        <v>0</v>
      </c>
      <c r="K164" s="501">
        <f>IFERROR(SUMIFS('JPM St'!$M:$M,'JPM St'!$A:$A,$V$2,'JPM St'!$C:$C,D164),"")</f>
        <v>0</v>
      </c>
      <c r="L164" s="501">
        <f>IFERROR(SUMIFS('JPM St'!$M:$M,'JPM St'!$A:$A,$V$3,'JPM St'!$C:$C,D164),"")</f>
        <v>0</v>
      </c>
      <c r="M164" s="501">
        <f>IFERROR(SUMIFS('JPM St'!$M:$M,'JPM St'!$A:$A,$V$4,'JPM St'!$C:$C,D164),"")</f>
        <v>0</v>
      </c>
    </row>
    <row r="165" spans="1:18" x14ac:dyDescent="0.25">
      <c r="A165" s="497" t="s">
        <v>90</v>
      </c>
      <c r="B165" s="497" t="str">
        <f>IFERROR(IF(VLOOKUP(D165,'JPM St'!$C:$G,3,0)="Fixed Income &amp; Cash","Cash",VLOOKUP(D165,'JPM St'!$C:$G,3,0)),"")</f>
        <v/>
      </c>
      <c r="C165" s="497" t="str">
        <f>IFERROR(VLOOKUP(D165,'JPM St'!$C:$L,10,0),"")</f>
        <v/>
      </c>
      <c r="E165" s="500" t="str">
        <f>IFERROR(VLOOKUP(D165,'JPM St'!$C:$D,2,0),"")</f>
        <v/>
      </c>
      <c r="F165" s="501">
        <f t="shared" si="9"/>
        <v>0</v>
      </c>
      <c r="G165" s="501">
        <f>SUMIFS('JPM St'!$K:$K,'JPM St'!$A:$A,$V$2,'JPM St'!$C:$C,D165)</f>
        <v>0</v>
      </c>
      <c r="H165" s="501">
        <f>SUMIFS('JPM St'!$K:$K,'JPM St'!$A:$A,$V$3,'JPM St'!$C:$C,D165)</f>
        <v>0</v>
      </c>
      <c r="I165" s="501">
        <f>SUMIFS('JPM St'!$K:$K,'JPM St'!$A:$A,$V$4,'JPM St'!$C:$C,D165)</f>
        <v>0</v>
      </c>
      <c r="J165" s="619">
        <f t="shared" si="10"/>
        <v>0</v>
      </c>
      <c r="K165" s="501">
        <f>IFERROR(SUMIFS('JPM St'!$M:$M,'JPM St'!$A:$A,$V$2,'JPM St'!$C:$C,D165),"")</f>
        <v>0</v>
      </c>
      <c r="L165" s="501">
        <f>IFERROR(SUMIFS('JPM St'!$M:$M,'JPM St'!$A:$A,$V$3,'JPM St'!$C:$C,D165),"")</f>
        <v>0</v>
      </c>
      <c r="M165" s="501">
        <f>IFERROR(SUMIFS('JPM St'!$M:$M,'JPM St'!$A:$A,$V$4,'JPM St'!$C:$C,D165),"")</f>
        <v>0</v>
      </c>
    </row>
    <row r="166" spans="1:18" x14ac:dyDescent="0.25">
      <c r="A166" s="497" t="s">
        <v>90</v>
      </c>
      <c r="B166" s="497" t="str">
        <f>IFERROR(IF(VLOOKUP(D166,'JPM St'!$C:$G,3,0)="Fixed Income &amp; Cash","Cash",VLOOKUP(D166,'JPM St'!$C:$G,3,0)),"")</f>
        <v/>
      </c>
      <c r="C166" s="497" t="str">
        <f>IFERROR(VLOOKUP(D166,'JPM St'!$C:$L,10,0),"")</f>
        <v/>
      </c>
      <c r="E166" s="500" t="str">
        <f>IFERROR(VLOOKUP(D166,'JPM St'!$C:$D,2,0),"")</f>
        <v/>
      </c>
      <c r="F166" s="501">
        <f t="shared" si="9"/>
        <v>0</v>
      </c>
      <c r="G166" s="501">
        <f>SUMIFS('JPM St'!$K:$K,'JPM St'!$A:$A,$V$2,'JPM St'!$C:$C,D166)</f>
        <v>0</v>
      </c>
      <c r="H166" s="501">
        <f>SUMIFS('JPM St'!$K:$K,'JPM St'!$A:$A,$V$3,'JPM St'!$C:$C,D166)</f>
        <v>0</v>
      </c>
      <c r="I166" s="501">
        <f>SUMIFS('JPM St'!$K:$K,'JPM St'!$A:$A,$V$4,'JPM St'!$C:$C,D166)</f>
        <v>0</v>
      </c>
      <c r="J166" s="619">
        <f t="shared" si="10"/>
        <v>0</v>
      </c>
      <c r="K166" s="501">
        <f>IFERROR(SUMIFS('JPM St'!$M:$M,'JPM St'!$A:$A,$V$2,'JPM St'!$C:$C,D166),"")</f>
        <v>0</v>
      </c>
      <c r="L166" s="501">
        <f>IFERROR(SUMIFS('JPM St'!$M:$M,'JPM St'!$A:$A,$V$3,'JPM St'!$C:$C,D166),"")</f>
        <v>0</v>
      </c>
      <c r="M166" s="501">
        <f>IFERROR(SUMIFS('JPM St'!$M:$M,'JPM St'!$A:$A,$V$4,'JPM St'!$C:$C,D166),"")</f>
        <v>0</v>
      </c>
    </row>
    <row r="167" spans="1:18" x14ac:dyDescent="0.25">
      <c r="A167" s="497" t="s">
        <v>90</v>
      </c>
      <c r="B167" s="497" t="str">
        <f>IFERROR(IF(VLOOKUP(D167,'JPM St'!$C:$G,3,0)="Fixed Income &amp; Cash","Cash",VLOOKUP(D167,'JPM St'!$C:$G,3,0)),"")</f>
        <v/>
      </c>
      <c r="C167" s="497" t="str">
        <f>IFERROR(VLOOKUP(D167,'JPM St'!$C:$L,10,0),"")</f>
        <v/>
      </c>
      <c r="E167" s="500" t="str">
        <f>IFERROR(VLOOKUP(D167,'JPM St'!$C:$D,2,0),"")</f>
        <v/>
      </c>
      <c r="F167" s="501">
        <f t="shared" si="9"/>
        <v>0</v>
      </c>
      <c r="G167" s="501">
        <f>SUMIFS('JPM St'!$K:$K,'JPM St'!$A:$A,$V$2,'JPM St'!$C:$C,D167)</f>
        <v>0</v>
      </c>
      <c r="H167" s="501">
        <f>SUMIFS('JPM St'!$K:$K,'JPM St'!$A:$A,$V$3,'JPM St'!$C:$C,D167)</f>
        <v>0</v>
      </c>
      <c r="I167" s="501">
        <f>SUMIFS('JPM St'!$K:$K,'JPM St'!$A:$A,$V$4,'JPM St'!$C:$C,D167)</f>
        <v>0</v>
      </c>
      <c r="J167" s="619">
        <f t="shared" si="10"/>
        <v>0</v>
      </c>
      <c r="K167" s="501">
        <f>IFERROR(SUMIFS('JPM St'!$M:$M,'JPM St'!$A:$A,$V$2,'JPM St'!$C:$C,D167),"")</f>
        <v>0</v>
      </c>
      <c r="L167" s="501">
        <f>IFERROR(SUMIFS('JPM St'!$M:$M,'JPM St'!$A:$A,$V$3,'JPM St'!$C:$C,D167),"")</f>
        <v>0</v>
      </c>
      <c r="M167" s="501">
        <f>IFERROR(SUMIFS('JPM St'!$M:$M,'JPM St'!$A:$A,$V$4,'JPM St'!$C:$C,D167),"")</f>
        <v>0</v>
      </c>
    </row>
    <row r="168" spans="1:18" x14ac:dyDescent="0.25">
      <c r="A168" s="497" t="s">
        <v>90</v>
      </c>
      <c r="B168" s="497" t="str">
        <f>IFERROR(IF(VLOOKUP(D168,'JPM St'!$C:$G,3,0)="Fixed Income &amp; Cash","Cash",VLOOKUP(D168,'JPM St'!$C:$G,3,0)),"")</f>
        <v/>
      </c>
      <c r="C168" s="497" t="str">
        <f>IFERROR(VLOOKUP(D168,'JPM St'!$C:$L,10,0),"")</f>
        <v/>
      </c>
      <c r="E168" s="500" t="str">
        <f>IFERROR(VLOOKUP(D168,'JPM St'!$C:$D,2,0),"")</f>
        <v/>
      </c>
      <c r="F168" s="501">
        <f t="shared" si="9"/>
        <v>0</v>
      </c>
      <c r="G168" s="501">
        <f>SUMIFS('JPM St'!$K:$K,'JPM St'!$A:$A,$V$2,'JPM St'!$C:$C,D168)</f>
        <v>0</v>
      </c>
      <c r="H168" s="501">
        <f>SUMIFS('JPM St'!$K:$K,'JPM St'!$A:$A,$V$3,'JPM St'!$C:$C,D168)</f>
        <v>0</v>
      </c>
      <c r="I168" s="501">
        <f>SUMIFS('JPM St'!$K:$K,'JPM St'!$A:$A,$V$4,'JPM St'!$C:$C,D168)</f>
        <v>0</v>
      </c>
      <c r="J168" s="619">
        <f t="shared" si="10"/>
        <v>0</v>
      </c>
      <c r="K168" s="501">
        <f>IFERROR(SUMIFS('JPM St'!$M:$M,'JPM St'!$A:$A,$V$2,'JPM St'!$C:$C,D168),"")</f>
        <v>0</v>
      </c>
      <c r="L168" s="501">
        <f>IFERROR(SUMIFS('JPM St'!$M:$M,'JPM St'!$A:$A,$V$3,'JPM St'!$C:$C,D168),"")</f>
        <v>0</v>
      </c>
      <c r="M168" s="501">
        <f>IFERROR(SUMIFS('JPM St'!$M:$M,'JPM St'!$A:$A,$V$4,'JPM St'!$C:$C,D168),"")</f>
        <v>0</v>
      </c>
    </row>
    <row r="169" spans="1:18" x14ac:dyDescent="0.25">
      <c r="A169" s="497" t="s">
        <v>90</v>
      </c>
      <c r="B169" s="497" t="str">
        <f>IFERROR(IF(VLOOKUP(D169,'JPM St'!$C:$G,3,0)="Fixed Income &amp; Cash","Cash",VLOOKUP(D169,'JPM St'!$C:$G,3,0)),"")</f>
        <v/>
      </c>
      <c r="C169" s="497" t="str">
        <f>IFERROR(VLOOKUP(D169,'JPM St'!$C:$L,10,0),"")</f>
        <v/>
      </c>
      <c r="E169" s="500" t="str">
        <f>IFERROR(VLOOKUP(D169,'JPM St'!$C:$D,2,0),"")</f>
        <v/>
      </c>
      <c r="F169" s="501">
        <f t="shared" si="9"/>
        <v>0</v>
      </c>
      <c r="G169" s="501">
        <f>SUMIFS('JPM St'!$K:$K,'JPM St'!$A:$A,$V$2,'JPM St'!$C:$C,D169)</f>
        <v>0</v>
      </c>
      <c r="H169" s="501">
        <f>SUMIFS('JPM St'!$K:$K,'JPM St'!$A:$A,$V$3,'JPM St'!$C:$C,D169)</f>
        <v>0</v>
      </c>
      <c r="I169" s="501">
        <f>SUMIFS('JPM St'!$K:$K,'JPM St'!$A:$A,$V$4,'JPM St'!$C:$C,D169)</f>
        <v>0</v>
      </c>
      <c r="J169" s="619">
        <f t="shared" si="10"/>
        <v>0</v>
      </c>
      <c r="K169" s="501">
        <f>IFERROR(SUMIFS('JPM St'!$M:$M,'JPM St'!$A:$A,$V$2,'JPM St'!$C:$C,D169),"")</f>
        <v>0</v>
      </c>
      <c r="L169" s="501">
        <f>IFERROR(SUMIFS('JPM St'!$M:$M,'JPM St'!$A:$A,$V$3,'JPM St'!$C:$C,D169),"")</f>
        <v>0</v>
      </c>
      <c r="M169" s="501">
        <f>IFERROR(SUMIFS('JPM St'!$M:$M,'JPM St'!$A:$A,$V$4,'JPM St'!$C:$C,D169),"")</f>
        <v>0</v>
      </c>
    </row>
    <row r="170" spans="1:18" x14ac:dyDescent="0.25">
      <c r="A170" s="497" t="s">
        <v>90</v>
      </c>
      <c r="B170" s="497" t="str">
        <f>IFERROR(IF(VLOOKUP(D170,'JPM St'!$C:$G,3,0)="Fixed Income &amp; Cash","Cash",VLOOKUP(D170,'JPM St'!$C:$G,3,0)),"")</f>
        <v/>
      </c>
      <c r="C170" s="497" t="str">
        <f>IFERROR(VLOOKUP(D170,'JPM St'!$C:$L,10,0),"")</f>
        <v/>
      </c>
      <c r="E170" s="500" t="str">
        <f>IFERROR(VLOOKUP(D170,'JPM St'!$C:$D,2,0),"")</f>
        <v/>
      </c>
      <c r="F170" s="501">
        <f t="shared" si="9"/>
        <v>0</v>
      </c>
      <c r="G170" s="501">
        <f>SUMIFS('JPM St'!$K:$K,'JPM St'!$A:$A,$V$2,'JPM St'!$C:$C,D170)</f>
        <v>0</v>
      </c>
      <c r="H170" s="501">
        <f>SUMIFS('JPM St'!$K:$K,'JPM St'!$A:$A,$V$3,'JPM St'!$C:$C,D170)</f>
        <v>0</v>
      </c>
      <c r="I170" s="501">
        <f>SUMIFS('JPM St'!$K:$K,'JPM St'!$A:$A,$V$4,'JPM St'!$C:$C,D170)</f>
        <v>0</v>
      </c>
      <c r="J170" s="619">
        <f t="shared" si="10"/>
        <v>0</v>
      </c>
      <c r="K170" s="501">
        <f>IFERROR(SUMIFS('JPM St'!$M:$M,'JPM St'!$A:$A,$V$2,'JPM St'!$C:$C,D170),"")</f>
        <v>0</v>
      </c>
      <c r="L170" s="501">
        <f>IFERROR(SUMIFS('JPM St'!$M:$M,'JPM St'!$A:$A,$V$3,'JPM St'!$C:$C,D170),"")</f>
        <v>0</v>
      </c>
      <c r="M170" s="501">
        <f>IFERROR(SUMIFS('JPM St'!$M:$M,'JPM St'!$A:$A,$V$4,'JPM St'!$C:$C,D170),"")</f>
        <v>0</v>
      </c>
    </row>
    <row r="171" spans="1:18" x14ac:dyDescent="0.25">
      <c r="A171" s="497" t="s">
        <v>90</v>
      </c>
      <c r="B171" s="497" t="str">
        <f>IFERROR(IF(VLOOKUP(D171,'JPM St'!$C:$G,3,0)="Fixed Income &amp; Cash","Cash",VLOOKUP(D171,'JPM St'!$C:$G,3,0)),"")</f>
        <v/>
      </c>
      <c r="C171" s="497" t="str">
        <f>IFERROR(VLOOKUP(D171,'JPM St'!$C:$L,10,0),"")</f>
        <v/>
      </c>
      <c r="E171" s="500" t="str">
        <f>IFERROR(VLOOKUP(D171,'JPM St'!$C:$D,2,0),"")</f>
        <v/>
      </c>
      <c r="F171" s="501">
        <f t="shared" si="9"/>
        <v>0</v>
      </c>
      <c r="G171" s="501">
        <f>SUMIFS('JPM St'!$K:$K,'JPM St'!$A:$A,$V$2,'JPM St'!$C:$C,D171)</f>
        <v>0</v>
      </c>
      <c r="H171" s="501">
        <f>SUMIFS('JPM St'!$K:$K,'JPM St'!$A:$A,$V$3,'JPM St'!$C:$C,D171)</f>
        <v>0</v>
      </c>
      <c r="I171" s="501">
        <f>SUMIFS('JPM St'!$K:$K,'JPM St'!$A:$A,$V$4,'JPM St'!$C:$C,D171)</f>
        <v>0</v>
      </c>
      <c r="J171" s="619">
        <f t="shared" si="10"/>
        <v>0</v>
      </c>
      <c r="K171" s="501">
        <f>IFERROR(SUMIFS('JPM St'!$M:$M,'JPM St'!$A:$A,$V$2,'JPM St'!$C:$C,D171),"")</f>
        <v>0</v>
      </c>
      <c r="L171" s="501">
        <f>IFERROR(SUMIFS('JPM St'!$M:$M,'JPM St'!$A:$A,$V$3,'JPM St'!$C:$C,D171),"")</f>
        <v>0</v>
      </c>
      <c r="M171" s="501">
        <f>IFERROR(SUMIFS('JPM St'!$M:$M,'JPM St'!$A:$A,$V$4,'JPM St'!$C:$C,D171),"")</f>
        <v>0</v>
      </c>
    </row>
    <row r="172" spans="1:18" x14ac:dyDescent="0.25">
      <c r="A172" s="497" t="s">
        <v>90</v>
      </c>
      <c r="B172" s="497" t="str">
        <f>IFERROR(IF(VLOOKUP(D172,'JPM St'!$C:$G,3,0)="Fixed Income &amp; Cash","Cash",VLOOKUP(D172,'JPM St'!$C:$G,3,0)),"")</f>
        <v/>
      </c>
      <c r="C172" s="497" t="str">
        <f>IFERROR(VLOOKUP(D172,'JPM St'!$C:$L,10,0),"")</f>
        <v/>
      </c>
      <c r="E172" s="500" t="str">
        <f>IFERROR(VLOOKUP(D172,'JPM St'!$C:$D,2,0),"")</f>
        <v/>
      </c>
      <c r="F172" s="501">
        <f t="shared" si="9"/>
        <v>0</v>
      </c>
      <c r="G172" s="501">
        <f>SUMIFS('JPM St'!$K:$K,'JPM St'!$A:$A,$V$2,'JPM St'!$C:$C,D172)</f>
        <v>0</v>
      </c>
      <c r="H172" s="501">
        <f>SUMIFS('JPM St'!$K:$K,'JPM St'!$A:$A,$V$3,'JPM St'!$C:$C,D172)</f>
        <v>0</v>
      </c>
      <c r="I172" s="501">
        <f>SUMIFS('JPM St'!$K:$K,'JPM St'!$A:$A,$V$4,'JPM St'!$C:$C,D172)</f>
        <v>0</v>
      </c>
      <c r="J172" s="619">
        <f t="shared" si="10"/>
        <v>0</v>
      </c>
      <c r="K172" s="501">
        <f>IFERROR(SUMIFS('JPM St'!$M:$M,'JPM St'!$A:$A,$V$2,'JPM St'!$C:$C,D172),"")</f>
        <v>0</v>
      </c>
      <c r="L172" s="501">
        <f>IFERROR(SUMIFS('JPM St'!$M:$M,'JPM St'!$A:$A,$V$3,'JPM St'!$C:$C,D172),"")</f>
        <v>0</v>
      </c>
      <c r="M172" s="501">
        <f>IFERROR(SUMIFS('JPM St'!$M:$M,'JPM St'!$A:$A,$V$4,'JPM St'!$C:$C,D172),"")</f>
        <v>0</v>
      </c>
    </row>
    <row r="173" spans="1:18" x14ac:dyDescent="0.25">
      <c r="A173" s="497" t="s">
        <v>90</v>
      </c>
      <c r="B173" s="497" t="str">
        <f>IFERROR(IF(VLOOKUP(D173,'JPM St'!$C:$G,3,0)="Fixed Income &amp; Cash","Cash",VLOOKUP(D173,'JPM St'!$C:$G,3,0)),"")</f>
        <v/>
      </c>
      <c r="C173" s="497" t="str">
        <f>IFERROR(VLOOKUP(D173,'JPM St'!$C:$L,10,0),"")</f>
        <v/>
      </c>
      <c r="E173" s="500" t="str">
        <f>IFERROR(VLOOKUP(D173,'JPM St'!$C:$D,2,0),"")</f>
        <v/>
      </c>
      <c r="F173" s="501">
        <f t="shared" si="9"/>
        <v>0</v>
      </c>
      <c r="G173" s="501">
        <f>SUMIFS('JPM St'!$K:$K,'JPM St'!$A:$A,$V$2,'JPM St'!$C:$C,D173)</f>
        <v>0</v>
      </c>
      <c r="H173" s="501">
        <f>SUMIFS('JPM St'!$K:$K,'JPM St'!$A:$A,$V$3,'JPM St'!$C:$C,D173)</f>
        <v>0</v>
      </c>
      <c r="I173" s="501">
        <f>SUMIFS('JPM St'!$K:$K,'JPM St'!$A:$A,$V$4,'JPM St'!$C:$C,D173)</f>
        <v>0</v>
      </c>
      <c r="J173" s="619">
        <f t="shared" si="10"/>
        <v>0</v>
      </c>
      <c r="K173" s="501">
        <f>IFERROR(SUMIFS('JPM St'!$M:$M,'JPM St'!$A:$A,$V$2,'JPM St'!$C:$C,D173),"")</f>
        <v>0</v>
      </c>
      <c r="L173" s="501">
        <f>IFERROR(SUMIFS('JPM St'!$M:$M,'JPM St'!$A:$A,$V$3,'JPM St'!$C:$C,D173),"")</f>
        <v>0</v>
      </c>
      <c r="M173" s="501">
        <f>IFERROR(SUMIFS('JPM St'!$M:$M,'JPM St'!$A:$A,$V$4,'JPM St'!$C:$C,D173),"")</f>
        <v>0</v>
      </c>
    </row>
    <row r="174" spans="1:18" x14ac:dyDescent="0.25">
      <c r="A174" s="497" t="s">
        <v>90</v>
      </c>
      <c r="B174" s="497" t="str">
        <f>IFERROR(IF(VLOOKUP(D174,'JPM St'!$C:$G,3,0)="Fixed Income &amp; Cash","Cash",VLOOKUP(D174,'JPM St'!$C:$G,3,0)),"")</f>
        <v/>
      </c>
      <c r="C174" s="497" t="str">
        <f>IFERROR(VLOOKUP(D174,'JPM St'!$C:$L,10,0),"")</f>
        <v/>
      </c>
      <c r="E174" s="500" t="str">
        <f>IFERROR(VLOOKUP(D174,'JPM St'!$C:$D,2,0),"")</f>
        <v/>
      </c>
      <c r="F174" s="501">
        <f t="shared" si="9"/>
        <v>0</v>
      </c>
      <c r="G174" s="501">
        <f>SUMIFS('JPM St'!$K:$K,'JPM St'!$A:$A,$V$2,'JPM St'!$C:$C,D174)</f>
        <v>0</v>
      </c>
      <c r="H174" s="501">
        <f>SUMIFS('JPM St'!$K:$K,'JPM St'!$A:$A,$V$3,'JPM St'!$C:$C,D174)</f>
        <v>0</v>
      </c>
      <c r="I174" s="501">
        <f>SUMIFS('JPM St'!$K:$K,'JPM St'!$A:$A,$V$4,'JPM St'!$C:$C,D174)</f>
        <v>0</v>
      </c>
      <c r="J174" s="619">
        <f t="shared" si="10"/>
        <v>0</v>
      </c>
      <c r="K174" s="501">
        <f>IFERROR(SUMIFS('JPM St'!$M:$M,'JPM St'!$A:$A,$V$2,'JPM St'!$C:$C,D174),"")</f>
        <v>0</v>
      </c>
      <c r="L174" s="501">
        <f>IFERROR(SUMIFS('JPM St'!$M:$M,'JPM St'!$A:$A,$V$3,'JPM St'!$C:$C,D174),"")</f>
        <v>0</v>
      </c>
      <c r="M174" s="501">
        <f>IFERROR(SUMIFS('JPM St'!$M:$M,'JPM St'!$A:$A,$V$4,'JPM St'!$C:$C,D174),"")</f>
        <v>0</v>
      </c>
    </row>
    <row r="175" spans="1:18" x14ac:dyDescent="0.25">
      <c r="A175" s="497" t="s">
        <v>90</v>
      </c>
      <c r="B175" s="497" t="str">
        <f>IFERROR(IF(VLOOKUP(D175,'JPM St'!$C:$G,3,0)="Fixed Income &amp; Cash","Cash",VLOOKUP(D175,'JPM St'!$C:$G,3,0)),"")</f>
        <v/>
      </c>
      <c r="C175" s="497" t="str">
        <f>IFERROR(VLOOKUP(D175,'JPM St'!$C:$L,10,0),"")</f>
        <v/>
      </c>
      <c r="E175" s="500" t="str">
        <f>IFERROR(VLOOKUP(D175,'JPM St'!$C:$D,2,0),"")</f>
        <v/>
      </c>
      <c r="F175" s="501">
        <f t="shared" si="9"/>
        <v>0</v>
      </c>
      <c r="G175" s="501">
        <f>SUMIFS('JPM St'!$K:$K,'JPM St'!$A:$A,$V$2,'JPM St'!$C:$C,D175)</f>
        <v>0</v>
      </c>
      <c r="H175" s="501">
        <f>SUMIFS('JPM St'!$K:$K,'JPM St'!$A:$A,$V$3,'JPM St'!$C:$C,D175)</f>
        <v>0</v>
      </c>
      <c r="I175" s="501">
        <f>SUMIFS('JPM St'!$K:$K,'JPM St'!$A:$A,$V$4,'JPM St'!$C:$C,D175)</f>
        <v>0</v>
      </c>
      <c r="J175" s="619">
        <f t="shared" si="10"/>
        <v>0</v>
      </c>
      <c r="K175" s="501">
        <f>IFERROR(SUMIFS('JPM St'!$M:$M,'JPM St'!$A:$A,$V$2,'JPM St'!$C:$C,D175),"")</f>
        <v>0</v>
      </c>
      <c r="L175" s="501">
        <f>IFERROR(SUMIFS('JPM St'!$M:$M,'JPM St'!$A:$A,$V$3,'JPM St'!$C:$C,D175),"")</f>
        <v>0</v>
      </c>
      <c r="M175" s="501">
        <f>IFERROR(SUMIFS('JPM St'!$M:$M,'JPM St'!$A:$A,$V$4,'JPM St'!$C:$C,D175),"")</f>
        <v>0</v>
      </c>
    </row>
    <row r="176" spans="1:18" x14ac:dyDescent="0.25">
      <c r="A176" s="497" t="s">
        <v>90</v>
      </c>
      <c r="B176" s="497" t="str">
        <f>IFERROR(IF(VLOOKUP(D176,'JPM St'!$C:$G,3,0)="Fixed Income &amp; Cash","Cash",VLOOKUP(D176,'JPM St'!$C:$G,3,0)),"")</f>
        <v/>
      </c>
      <c r="C176" s="497" t="str">
        <f>IFERROR(VLOOKUP(D176,'JPM St'!$C:$L,10,0),"")</f>
        <v/>
      </c>
      <c r="E176" s="500" t="str">
        <f>IFERROR(VLOOKUP(D176,'JPM St'!$C:$D,2,0),"")</f>
        <v/>
      </c>
      <c r="F176" s="501">
        <f t="shared" si="9"/>
        <v>0</v>
      </c>
      <c r="G176" s="501">
        <f>SUMIFS('JPM St'!$K:$K,'JPM St'!$A:$A,$V$2,'JPM St'!$C:$C,D176)</f>
        <v>0</v>
      </c>
      <c r="H176" s="501">
        <f>SUMIFS('JPM St'!$K:$K,'JPM St'!$A:$A,$V$3,'JPM St'!$C:$C,D176)</f>
        <v>0</v>
      </c>
      <c r="I176" s="501">
        <f>SUMIFS('JPM St'!$K:$K,'JPM St'!$A:$A,$V$4,'JPM St'!$C:$C,D176)</f>
        <v>0</v>
      </c>
      <c r="J176" s="619">
        <f t="shared" si="10"/>
        <v>0</v>
      </c>
      <c r="K176" s="501">
        <f>IFERROR(SUMIFS('JPM St'!$M:$M,'JPM St'!$A:$A,$V$2,'JPM St'!$C:$C,D176),"")</f>
        <v>0</v>
      </c>
      <c r="L176" s="501">
        <f>IFERROR(SUMIFS('JPM St'!$M:$M,'JPM St'!$A:$A,$V$3,'JPM St'!$C:$C,D176),"")</f>
        <v>0</v>
      </c>
      <c r="M176" s="501">
        <f>IFERROR(SUMIFS('JPM St'!$M:$M,'JPM St'!$A:$A,$V$4,'JPM St'!$C:$C,D176),"")</f>
        <v>0</v>
      </c>
    </row>
    <row r="177" spans="1:13" x14ac:dyDescent="0.25">
      <c r="A177" s="497" t="s">
        <v>90</v>
      </c>
      <c r="B177" s="497" t="str">
        <f>IFERROR(IF(VLOOKUP(D177,'JPM St'!$C:$G,3,0)="Fixed Income &amp; Cash","Cash",VLOOKUP(D177,'JPM St'!$C:$G,3,0)),"")</f>
        <v/>
      </c>
      <c r="C177" s="497" t="str">
        <f>IFERROR(VLOOKUP(D177,'JPM St'!$C:$L,10,0),"")</f>
        <v/>
      </c>
      <c r="E177" s="500" t="str">
        <f>IFERROR(VLOOKUP(D177,'JPM St'!$C:$D,2,0),"")</f>
        <v/>
      </c>
      <c r="F177" s="501">
        <f t="shared" si="9"/>
        <v>0</v>
      </c>
      <c r="G177" s="501">
        <f>SUMIFS('JPM St'!$K:$K,'JPM St'!$A:$A,$V$2,'JPM St'!$C:$C,D177)</f>
        <v>0</v>
      </c>
      <c r="H177" s="501">
        <f>SUMIFS('JPM St'!$K:$K,'JPM St'!$A:$A,$V$3,'JPM St'!$C:$C,D177)</f>
        <v>0</v>
      </c>
      <c r="I177" s="501">
        <f>SUMIFS('JPM St'!$K:$K,'JPM St'!$A:$A,$V$4,'JPM St'!$C:$C,D177)</f>
        <v>0</v>
      </c>
      <c r="J177" s="619">
        <f t="shared" si="10"/>
        <v>0</v>
      </c>
      <c r="K177" s="501">
        <f>IFERROR(SUMIFS('JPM St'!$M:$M,'JPM St'!$A:$A,$V$2,'JPM St'!$C:$C,D177),"")</f>
        <v>0</v>
      </c>
      <c r="L177" s="501">
        <f>IFERROR(SUMIFS('JPM St'!$M:$M,'JPM St'!$A:$A,$V$3,'JPM St'!$C:$C,D177),"")</f>
        <v>0</v>
      </c>
      <c r="M177" s="501">
        <f>IFERROR(SUMIFS('JPM St'!$M:$M,'JPM St'!$A:$A,$V$4,'JPM St'!$C:$C,D177),"")</f>
        <v>0</v>
      </c>
    </row>
    <row r="178" spans="1:13" x14ac:dyDescent="0.25">
      <c r="A178" s="497" t="s">
        <v>90</v>
      </c>
      <c r="B178" s="497" t="str">
        <f>IFERROR(IF(VLOOKUP(D178,'JPM St'!$C:$G,3,0)="Fixed Income &amp; Cash","Cash",VLOOKUP(D178,'JPM St'!$C:$G,3,0)),"")</f>
        <v/>
      </c>
      <c r="C178" s="497" t="str">
        <f>IFERROR(VLOOKUP(D178,'JPM St'!$C:$L,10,0),"")</f>
        <v/>
      </c>
      <c r="E178" s="500" t="str">
        <f>IFERROR(VLOOKUP(D178,'JPM St'!$C:$D,2,0),"")</f>
        <v/>
      </c>
      <c r="F178" s="501">
        <f t="shared" si="9"/>
        <v>0</v>
      </c>
      <c r="G178" s="501">
        <f>SUMIFS('JPM St'!$K:$K,'JPM St'!$A:$A,$V$2,'JPM St'!$C:$C,D178)</f>
        <v>0</v>
      </c>
      <c r="H178" s="501">
        <f>SUMIFS('JPM St'!$K:$K,'JPM St'!$A:$A,$V$3,'JPM St'!$C:$C,D178)</f>
        <v>0</v>
      </c>
      <c r="I178" s="501">
        <f>SUMIFS('JPM St'!$K:$K,'JPM St'!$A:$A,$V$4,'JPM St'!$C:$C,D178)</f>
        <v>0</v>
      </c>
      <c r="J178" s="619">
        <f t="shared" si="10"/>
        <v>0</v>
      </c>
      <c r="K178" s="501">
        <f>IFERROR(SUMIFS('JPM St'!$M:$M,'JPM St'!$A:$A,$V$2,'JPM St'!$C:$C,D178),"")</f>
        <v>0</v>
      </c>
      <c r="L178" s="501">
        <f>IFERROR(SUMIFS('JPM St'!$M:$M,'JPM St'!$A:$A,$V$3,'JPM St'!$C:$C,D178),"")</f>
        <v>0</v>
      </c>
      <c r="M178" s="501">
        <f>IFERROR(SUMIFS('JPM St'!$M:$M,'JPM St'!$A:$A,$V$4,'JPM St'!$C:$C,D178),"")</f>
        <v>0</v>
      </c>
    </row>
    <row r="179" spans="1:13" x14ac:dyDescent="0.25">
      <c r="A179" s="497" t="s">
        <v>90</v>
      </c>
      <c r="B179" s="497" t="str">
        <f>IFERROR(IF(VLOOKUP(D179,'JPM St'!$C:$G,3,0)="Fixed Income &amp; Cash","Cash",VLOOKUP(D179,'JPM St'!$C:$G,3,0)),"")</f>
        <v/>
      </c>
      <c r="C179" s="497" t="str">
        <f>IFERROR(VLOOKUP(D179,'JPM St'!$C:$L,10,0),"")</f>
        <v/>
      </c>
      <c r="E179" s="500" t="str">
        <f>IFERROR(VLOOKUP(D179,'JPM St'!$C:$D,2,0),"")</f>
        <v/>
      </c>
      <c r="F179" s="501">
        <f t="shared" si="9"/>
        <v>0</v>
      </c>
      <c r="G179" s="501">
        <f>SUMIFS('JPM St'!$K:$K,'JPM St'!$A:$A,$V$2,'JPM St'!$C:$C,D179)</f>
        <v>0</v>
      </c>
      <c r="H179" s="501">
        <f>SUMIFS('JPM St'!$K:$K,'JPM St'!$A:$A,$V$3,'JPM St'!$C:$C,D179)</f>
        <v>0</v>
      </c>
      <c r="I179" s="501">
        <f>SUMIFS('JPM St'!$K:$K,'JPM St'!$A:$A,$V$4,'JPM St'!$C:$C,D179)</f>
        <v>0</v>
      </c>
      <c r="J179" s="619">
        <f t="shared" si="10"/>
        <v>0</v>
      </c>
      <c r="K179" s="501">
        <f>IFERROR(SUMIFS('JPM St'!$M:$M,'JPM St'!$A:$A,$V$2,'JPM St'!$C:$C,D179),"")</f>
        <v>0</v>
      </c>
      <c r="L179" s="501">
        <f>IFERROR(SUMIFS('JPM St'!$M:$M,'JPM St'!$A:$A,$V$3,'JPM St'!$C:$C,D179),"")</f>
        <v>0</v>
      </c>
      <c r="M179" s="501">
        <f>IFERROR(SUMIFS('JPM St'!$M:$M,'JPM St'!$A:$A,$V$4,'JPM St'!$C:$C,D179),"")</f>
        <v>0</v>
      </c>
    </row>
    <row r="180" spans="1:13" x14ac:dyDescent="0.25">
      <c r="A180" s="497" t="s">
        <v>90</v>
      </c>
      <c r="B180" s="497" t="str">
        <f>IFERROR(IF(VLOOKUP(D180,'JPM St'!$C:$G,3,0)="Fixed Income &amp; Cash","Cash",VLOOKUP(D180,'JPM St'!$C:$G,3,0)),"")</f>
        <v/>
      </c>
      <c r="C180" s="497" t="str">
        <f>IFERROR(VLOOKUP(D180,'JPM St'!$C:$L,10,0),"")</f>
        <v/>
      </c>
      <c r="E180" s="500" t="str">
        <f>IFERROR(VLOOKUP(D180,'JPM St'!$C:$D,2,0),"")</f>
        <v/>
      </c>
      <c r="F180" s="501">
        <f t="shared" si="9"/>
        <v>0</v>
      </c>
      <c r="G180" s="501">
        <f>SUMIFS('JPM St'!$K:$K,'JPM St'!$A:$A,$V$2,'JPM St'!$C:$C,D180)</f>
        <v>0</v>
      </c>
      <c r="H180" s="501">
        <f>SUMIFS('JPM St'!$K:$K,'JPM St'!$A:$A,$V$3,'JPM St'!$C:$C,D180)</f>
        <v>0</v>
      </c>
      <c r="I180" s="501">
        <f>SUMIFS('JPM St'!$K:$K,'JPM St'!$A:$A,$V$4,'JPM St'!$C:$C,D180)</f>
        <v>0</v>
      </c>
      <c r="J180" s="619">
        <f t="shared" si="10"/>
        <v>0</v>
      </c>
      <c r="K180" s="501">
        <f>IFERROR(SUMIFS('JPM St'!$M:$M,'JPM St'!$A:$A,$V$2,'JPM St'!$C:$C,D180),"")</f>
        <v>0</v>
      </c>
      <c r="L180" s="501">
        <f>IFERROR(SUMIFS('JPM St'!$M:$M,'JPM St'!$A:$A,$V$3,'JPM St'!$C:$C,D180),"")</f>
        <v>0</v>
      </c>
      <c r="M180" s="501">
        <f>IFERROR(SUMIFS('JPM St'!$M:$M,'JPM St'!$A:$A,$V$4,'JPM St'!$C:$C,D180),"")</f>
        <v>0</v>
      </c>
    </row>
    <row r="181" spans="1:13" x14ac:dyDescent="0.25">
      <c r="A181" s="497" t="s">
        <v>90</v>
      </c>
      <c r="B181" s="497" t="str">
        <f>IFERROR(IF(VLOOKUP(D181,'JPM St'!$C:$G,3,0)="Fixed Income &amp; Cash","Cash",VLOOKUP(D181,'JPM St'!$C:$G,3,0)),"")</f>
        <v/>
      </c>
      <c r="C181" s="497" t="str">
        <f>IFERROR(VLOOKUP(D181,'JPM St'!$C:$L,10,0),"")</f>
        <v/>
      </c>
      <c r="E181" s="500" t="str">
        <f>IFERROR(VLOOKUP(D181,'JPM St'!$C:$D,2,0),"")</f>
        <v/>
      </c>
      <c r="F181" s="501">
        <f t="shared" si="9"/>
        <v>0</v>
      </c>
      <c r="G181" s="501">
        <f>SUMIFS('JPM St'!$K:$K,'JPM St'!$A:$A,$V$2,'JPM St'!$C:$C,D181)</f>
        <v>0</v>
      </c>
      <c r="H181" s="501">
        <f>SUMIFS('JPM St'!$K:$K,'JPM St'!$A:$A,$V$3,'JPM St'!$C:$C,D181)</f>
        <v>0</v>
      </c>
      <c r="I181" s="501">
        <f>SUMIFS('JPM St'!$K:$K,'JPM St'!$A:$A,$V$4,'JPM St'!$C:$C,D181)</f>
        <v>0</v>
      </c>
      <c r="J181" s="619">
        <f t="shared" si="10"/>
        <v>0</v>
      </c>
      <c r="K181" s="501">
        <f>IFERROR(SUMIFS('JPM St'!$M:$M,'JPM St'!$A:$A,$V$2,'JPM St'!$C:$C,D181),"")</f>
        <v>0</v>
      </c>
      <c r="L181" s="501">
        <f>IFERROR(SUMIFS('JPM St'!$M:$M,'JPM St'!$A:$A,$V$3,'JPM St'!$C:$C,D181),"")</f>
        <v>0</v>
      </c>
      <c r="M181" s="501">
        <f>IFERROR(SUMIFS('JPM St'!$M:$M,'JPM St'!$A:$A,$V$4,'JPM St'!$C:$C,D181),"")</f>
        <v>0</v>
      </c>
    </row>
    <row r="182" spans="1:13" x14ac:dyDescent="0.25">
      <c r="A182" s="497" t="s">
        <v>90</v>
      </c>
      <c r="B182" s="497" t="str">
        <f>IFERROR(IF(VLOOKUP(D182,'JPM St'!$C:$G,3,0)="Fixed Income &amp; Cash","Cash",VLOOKUP(D182,'JPM St'!$C:$G,3,0)),"")</f>
        <v/>
      </c>
      <c r="C182" s="497" t="str">
        <f>IFERROR(VLOOKUP(D182,'JPM St'!$C:$L,10,0),"")</f>
        <v/>
      </c>
      <c r="E182" s="500" t="str">
        <f>IFERROR(VLOOKUP(D182,'JPM St'!$C:$D,2,0),"")</f>
        <v/>
      </c>
      <c r="F182" s="501">
        <f t="shared" si="9"/>
        <v>0</v>
      </c>
      <c r="G182" s="501">
        <f>SUMIFS('JPM St'!$K:$K,'JPM St'!$A:$A,$V$2,'JPM St'!$C:$C,D182)</f>
        <v>0</v>
      </c>
      <c r="H182" s="501">
        <f>SUMIFS('JPM St'!$K:$K,'JPM St'!$A:$A,$V$3,'JPM St'!$C:$C,D182)</f>
        <v>0</v>
      </c>
      <c r="I182" s="501">
        <f>SUMIFS('JPM St'!$K:$K,'JPM St'!$A:$A,$V$4,'JPM St'!$C:$C,D182)</f>
        <v>0</v>
      </c>
      <c r="J182" s="619">
        <f t="shared" si="10"/>
        <v>0</v>
      </c>
      <c r="K182" s="501">
        <f>IFERROR(SUMIFS('JPM St'!$M:$M,'JPM St'!$A:$A,$V$2,'JPM St'!$C:$C,D182),"")</f>
        <v>0</v>
      </c>
      <c r="L182" s="501">
        <f>IFERROR(SUMIFS('JPM St'!$M:$M,'JPM St'!$A:$A,$V$3,'JPM St'!$C:$C,D182),"")</f>
        <v>0</v>
      </c>
      <c r="M182" s="501">
        <f>IFERROR(SUMIFS('JPM St'!$M:$M,'JPM St'!$A:$A,$V$4,'JPM St'!$C:$C,D182),"")</f>
        <v>0</v>
      </c>
    </row>
    <row r="183" spans="1:13" x14ac:dyDescent="0.25">
      <c r="A183" s="497" t="s">
        <v>90</v>
      </c>
      <c r="B183" s="497" t="str">
        <f>IFERROR(IF(VLOOKUP(D183,'JPM St'!$C:$G,3,0)="Fixed Income &amp; Cash","Cash",VLOOKUP(D183,'JPM St'!$C:$G,3,0)),"")</f>
        <v/>
      </c>
      <c r="C183" s="497" t="str">
        <f>IFERROR(VLOOKUP(D183,'JPM St'!$C:$L,10,0),"")</f>
        <v/>
      </c>
      <c r="E183" s="500" t="str">
        <f>IFERROR(VLOOKUP(D183,'JPM St'!$C:$D,2,0),"")</f>
        <v/>
      </c>
      <c r="F183" s="501">
        <f t="shared" si="9"/>
        <v>0</v>
      </c>
      <c r="G183" s="501">
        <f>SUMIFS('JPM St'!$K:$K,'JPM St'!$A:$A,$V$2,'JPM St'!$C:$C,D183)</f>
        <v>0</v>
      </c>
      <c r="H183" s="501">
        <f>SUMIFS('JPM St'!$K:$K,'JPM St'!$A:$A,$V$3,'JPM St'!$C:$C,D183)</f>
        <v>0</v>
      </c>
      <c r="I183" s="501">
        <f>SUMIFS('JPM St'!$K:$K,'JPM St'!$A:$A,$V$4,'JPM St'!$C:$C,D183)</f>
        <v>0</v>
      </c>
      <c r="J183" s="619">
        <f t="shared" si="10"/>
        <v>0</v>
      </c>
      <c r="K183" s="501">
        <f>IFERROR(SUMIFS('JPM St'!$M:$M,'JPM St'!$A:$A,$V$2,'JPM St'!$C:$C,D183),"")</f>
        <v>0</v>
      </c>
      <c r="L183" s="501">
        <f>IFERROR(SUMIFS('JPM St'!$M:$M,'JPM St'!$A:$A,$V$3,'JPM St'!$C:$C,D183),"")</f>
        <v>0</v>
      </c>
      <c r="M183" s="501">
        <f>IFERROR(SUMIFS('JPM St'!$M:$M,'JPM St'!$A:$A,$V$4,'JPM St'!$C:$C,D183),"")</f>
        <v>0</v>
      </c>
    </row>
    <row r="184" spans="1:13" x14ac:dyDescent="0.25">
      <c r="A184" s="497" t="s">
        <v>90</v>
      </c>
      <c r="B184" s="497" t="str">
        <f>IFERROR(IF(VLOOKUP(D184,'JPM St'!$C:$G,3,0)="Fixed Income &amp; Cash","Cash",VLOOKUP(D184,'JPM St'!$C:$G,3,0)),"")</f>
        <v/>
      </c>
      <c r="C184" s="497" t="str">
        <f>IFERROR(VLOOKUP(D184,'JPM St'!$C:$L,10,0),"")</f>
        <v/>
      </c>
      <c r="E184" s="500" t="str">
        <f>IFERROR(VLOOKUP(D184,'JPM St'!$C:$D,2,0),"")</f>
        <v/>
      </c>
      <c r="F184" s="501">
        <f t="shared" si="9"/>
        <v>0</v>
      </c>
      <c r="G184" s="501">
        <f>SUMIFS('JPM St'!$K:$K,'JPM St'!$A:$A,$V$2,'JPM St'!$C:$C,D184)</f>
        <v>0</v>
      </c>
      <c r="H184" s="501">
        <f>SUMIFS('JPM St'!$K:$K,'JPM St'!$A:$A,$V$3,'JPM St'!$C:$C,D184)</f>
        <v>0</v>
      </c>
      <c r="I184" s="501">
        <f>SUMIFS('JPM St'!$K:$K,'JPM St'!$A:$A,$V$4,'JPM St'!$C:$C,D184)</f>
        <v>0</v>
      </c>
      <c r="J184" s="619">
        <f t="shared" si="10"/>
        <v>0</v>
      </c>
      <c r="K184" s="501">
        <f>IFERROR(SUMIFS('JPM St'!$M:$M,'JPM St'!$A:$A,$V$2,'JPM St'!$C:$C,D184),"")</f>
        <v>0</v>
      </c>
      <c r="L184" s="501">
        <f>IFERROR(SUMIFS('JPM St'!$M:$M,'JPM St'!$A:$A,$V$3,'JPM St'!$C:$C,D184),"")</f>
        <v>0</v>
      </c>
      <c r="M184" s="501">
        <f>IFERROR(SUMIFS('JPM St'!$M:$M,'JPM St'!$A:$A,$V$4,'JPM St'!$C:$C,D184),"")</f>
        <v>0</v>
      </c>
    </row>
    <row r="185" spans="1:13" x14ac:dyDescent="0.25">
      <c r="A185" s="497" t="s">
        <v>90</v>
      </c>
      <c r="B185" s="497" t="str">
        <f>IFERROR(IF(VLOOKUP(D185,'JPM St'!$C:$G,3,0)="Fixed Income &amp; Cash","Cash",VLOOKUP(D185,'JPM St'!$C:$G,3,0)),"")</f>
        <v/>
      </c>
      <c r="C185" s="497" t="str">
        <f>IFERROR(VLOOKUP(D185,'JPM St'!$C:$L,10,0),"")</f>
        <v/>
      </c>
      <c r="E185" s="500" t="str">
        <f>IFERROR(VLOOKUP(D185,'JPM St'!$C:$D,2,0),"")</f>
        <v/>
      </c>
      <c r="F185" s="501">
        <f t="shared" si="9"/>
        <v>0</v>
      </c>
      <c r="G185" s="501">
        <f>SUMIFS('JPM St'!$K:$K,'JPM St'!$A:$A,$V$2,'JPM St'!$C:$C,D185)</f>
        <v>0</v>
      </c>
      <c r="H185" s="501">
        <f>SUMIFS('JPM St'!$K:$K,'JPM St'!$A:$A,$V$3,'JPM St'!$C:$C,D185)</f>
        <v>0</v>
      </c>
      <c r="I185" s="501">
        <f>SUMIFS('JPM St'!$K:$K,'JPM St'!$A:$A,$V$4,'JPM St'!$C:$C,D185)</f>
        <v>0</v>
      </c>
      <c r="J185" s="619">
        <f t="shared" si="10"/>
        <v>0</v>
      </c>
      <c r="K185" s="501">
        <f>IFERROR(SUMIFS('JPM St'!$M:$M,'JPM St'!$A:$A,$V$2,'JPM St'!$C:$C,D185),"")</f>
        <v>0</v>
      </c>
      <c r="L185" s="501">
        <f>IFERROR(SUMIFS('JPM St'!$M:$M,'JPM St'!$A:$A,$V$3,'JPM St'!$C:$C,D185),"")</f>
        <v>0</v>
      </c>
      <c r="M185" s="501">
        <f>IFERROR(SUMIFS('JPM St'!$M:$M,'JPM St'!$A:$A,$V$4,'JPM St'!$C:$C,D185),"")</f>
        <v>0</v>
      </c>
    </row>
    <row r="186" spans="1:13" x14ac:dyDescent="0.25">
      <c r="A186" s="497" t="s">
        <v>90</v>
      </c>
      <c r="B186" s="497" t="str">
        <f>IFERROR(IF(VLOOKUP(D186,'JPM St'!$C:$G,3,0)="Fixed Income &amp; Cash","Cash",VLOOKUP(D186,'JPM St'!$C:$G,3,0)),"")</f>
        <v/>
      </c>
      <c r="C186" s="497" t="str">
        <f>IFERROR(VLOOKUP(D186,'JPM St'!$C:$L,10,0),"")</f>
        <v/>
      </c>
      <c r="E186" s="500" t="str">
        <f>IFERROR(VLOOKUP(D186,'JPM St'!$C:$D,2,0),"")</f>
        <v/>
      </c>
      <c r="F186" s="501">
        <f t="shared" si="9"/>
        <v>0</v>
      </c>
      <c r="G186" s="501">
        <f>SUMIFS('JPM St'!$K:$K,'JPM St'!$A:$A,$V$2,'JPM St'!$C:$C,D186)</f>
        <v>0</v>
      </c>
      <c r="H186" s="501">
        <f>SUMIFS('JPM St'!$K:$K,'JPM St'!$A:$A,$V$3,'JPM St'!$C:$C,D186)</f>
        <v>0</v>
      </c>
      <c r="I186" s="501">
        <f>SUMIFS('JPM St'!$K:$K,'JPM St'!$A:$A,$V$4,'JPM St'!$C:$C,D186)</f>
        <v>0</v>
      </c>
      <c r="J186" s="619">
        <f t="shared" si="10"/>
        <v>0</v>
      </c>
      <c r="K186" s="501">
        <f>IFERROR(SUMIFS('JPM St'!$M:$M,'JPM St'!$A:$A,$V$2,'JPM St'!$C:$C,D186),"")</f>
        <v>0</v>
      </c>
      <c r="L186" s="501">
        <f>IFERROR(SUMIFS('JPM St'!$M:$M,'JPM St'!$A:$A,$V$3,'JPM St'!$C:$C,D186),"")</f>
        <v>0</v>
      </c>
      <c r="M186" s="501">
        <f>IFERROR(SUMIFS('JPM St'!$M:$M,'JPM St'!$A:$A,$V$4,'JPM St'!$C:$C,D186),"")</f>
        <v>0</v>
      </c>
    </row>
    <row r="187" spans="1:13" x14ac:dyDescent="0.25">
      <c r="A187" s="497" t="s">
        <v>90</v>
      </c>
      <c r="B187" s="497" t="str">
        <f>IFERROR(IF(VLOOKUP(D187,'JPM St'!$C:$G,3,0)="Fixed Income &amp; Cash","Cash",VLOOKUP(D187,'JPM St'!$C:$G,3,0)),"")</f>
        <v/>
      </c>
      <c r="C187" s="497" t="str">
        <f>IFERROR(VLOOKUP(D187,'JPM St'!$C:$L,10,0),"")</f>
        <v/>
      </c>
      <c r="E187" s="500" t="str">
        <f>IFERROR(VLOOKUP(D187,'JPM St'!$C:$D,2,0),"")</f>
        <v/>
      </c>
      <c r="F187" s="501">
        <f t="shared" si="9"/>
        <v>0</v>
      </c>
      <c r="G187" s="501">
        <f>SUMIFS('JPM St'!$K:$K,'JPM St'!$A:$A,$V$2,'JPM St'!$C:$C,D187)</f>
        <v>0</v>
      </c>
      <c r="H187" s="501">
        <f>SUMIFS('JPM St'!$K:$K,'JPM St'!$A:$A,$V$3,'JPM St'!$C:$C,D187)</f>
        <v>0</v>
      </c>
      <c r="I187" s="501">
        <f>SUMIFS('JPM St'!$K:$K,'JPM St'!$A:$A,$V$4,'JPM St'!$C:$C,D187)</f>
        <v>0</v>
      </c>
      <c r="J187" s="619">
        <f t="shared" si="10"/>
        <v>0</v>
      </c>
      <c r="K187" s="501">
        <f>IFERROR(SUMIFS('JPM St'!$M:$M,'JPM St'!$A:$A,$V$2,'JPM St'!$C:$C,D187),"")</f>
        <v>0</v>
      </c>
      <c r="L187" s="501">
        <f>IFERROR(SUMIFS('JPM St'!$M:$M,'JPM St'!$A:$A,$V$3,'JPM St'!$C:$C,D187),"")</f>
        <v>0</v>
      </c>
      <c r="M187" s="501">
        <f>IFERROR(SUMIFS('JPM St'!$M:$M,'JPM St'!$A:$A,$V$4,'JPM St'!$C:$C,D187),"")</f>
        <v>0</v>
      </c>
    </row>
    <row r="188" spans="1:13" x14ac:dyDescent="0.25">
      <c r="A188" s="497" t="s">
        <v>90</v>
      </c>
      <c r="B188" s="497" t="str">
        <f>IFERROR(IF(VLOOKUP(D188,'JPM St'!$C:$G,3,0)="Fixed Income &amp; Cash","Cash",VLOOKUP(D188,'JPM St'!$C:$G,3,0)),"")</f>
        <v/>
      </c>
      <c r="C188" s="497" t="str">
        <f>IFERROR(VLOOKUP(D188,'JPM St'!$C:$L,10,0),"")</f>
        <v/>
      </c>
      <c r="E188" s="500" t="str">
        <f>IFERROR(VLOOKUP(D188,'JPM St'!$C:$D,2,0),"")</f>
        <v/>
      </c>
      <c r="F188" s="501">
        <f t="shared" si="9"/>
        <v>0</v>
      </c>
      <c r="G188" s="501">
        <f>SUMIFS('JPM St'!$K:$K,'JPM St'!$A:$A,$V$2,'JPM St'!$C:$C,D188)</f>
        <v>0</v>
      </c>
      <c r="H188" s="501">
        <f>SUMIFS('JPM St'!$K:$K,'JPM St'!$A:$A,$V$3,'JPM St'!$C:$C,D188)</f>
        <v>0</v>
      </c>
      <c r="I188" s="501">
        <f>SUMIFS('JPM St'!$K:$K,'JPM St'!$A:$A,$V$4,'JPM St'!$C:$C,D188)</f>
        <v>0</v>
      </c>
      <c r="J188" s="619">
        <f t="shared" si="10"/>
        <v>0</v>
      </c>
      <c r="K188" s="501">
        <f>IFERROR(SUMIFS('JPM St'!$M:$M,'JPM St'!$A:$A,$V$2,'JPM St'!$C:$C,D188),"")</f>
        <v>0</v>
      </c>
      <c r="L188" s="501">
        <f>IFERROR(SUMIFS('JPM St'!$M:$M,'JPM St'!$A:$A,$V$3,'JPM St'!$C:$C,D188),"")</f>
        <v>0</v>
      </c>
      <c r="M188" s="501">
        <f>IFERROR(SUMIFS('JPM St'!$M:$M,'JPM St'!$A:$A,$V$4,'JPM St'!$C:$C,D188),"")</f>
        <v>0</v>
      </c>
    </row>
    <row r="189" spans="1:13" x14ac:dyDescent="0.25">
      <c r="A189" s="497" t="s">
        <v>90</v>
      </c>
      <c r="B189" s="497" t="str">
        <f>IFERROR(IF(VLOOKUP(D189,'JPM St'!$C:$G,3,0)="Fixed Income &amp; Cash","Cash",VLOOKUP(D189,'JPM St'!$C:$G,3,0)),"")</f>
        <v/>
      </c>
      <c r="C189" s="497" t="str">
        <f>IFERROR(VLOOKUP(D189,'JPM St'!$C:$L,10,0),"")</f>
        <v/>
      </c>
      <c r="E189" s="500" t="str">
        <f>IFERROR(VLOOKUP(D189,'JPM St'!$C:$D,2,0),"")</f>
        <v/>
      </c>
      <c r="F189" s="501">
        <f t="shared" si="9"/>
        <v>0</v>
      </c>
      <c r="G189" s="501">
        <f>SUMIFS('JPM St'!$K:$K,'JPM St'!$A:$A,$V$2,'JPM St'!$C:$C,D189)</f>
        <v>0</v>
      </c>
      <c r="H189" s="501">
        <f>SUMIFS('JPM St'!$K:$K,'JPM St'!$A:$A,$V$3,'JPM St'!$C:$C,D189)</f>
        <v>0</v>
      </c>
      <c r="I189" s="501">
        <f>SUMIFS('JPM St'!$K:$K,'JPM St'!$A:$A,$V$4,'JPM St'!$C:$C,D189)</f>
        <v>0</v>
      </c>
      <c r="J189" s="619">
        <f t="shared" si="10"/>
        <v>0</v>
      </c>
      <c r="K189" s="501">
        <f>IFERROR(SUMIFS('JPM St'!$M:$M,'JPM St'!$A:$A,$V$2,'JPM St'!$C:$C,D189),"")</f>
        <v>0</v>
      </c>
      <c r="L189" s="501">
        <f>IFERROR(SUMIFS('JPM St'!$M:$M,'JPM St'!$A:$A,$V$3,'JPM St'!$C:$C,D189),"")</f>
        <v>0</v>
      </c>
      <c r="M189" s="501">
        <f>IFERROR(SUMIFS('JPM St'!$M:$M,'JPM St'!$A:$A,$V$4,'JPM St'!$C:$C,D189),"")</f>
        <v>0</v>
      </c>
    </row>
    <row r="190" spans="1:13" x14ac:dyDescent="0.25">
      <c r="A190" s="497" t="s">
        <v>90</v>
      </c>
      <c r="B190" s="497" t="str">
        <f>IFERROR(IF(VLOOKUP(D190,'JPM St'!$C:$G,3,0)="Fixed Income &amp; Cash","Cash",VLOOKUP(D190,'JPM St'!$C:$G,3,0)),"")</f>
        <v/>
      </c>
      <c r="C190" s="497" t="str">
        <f>IFERROR(VLOOKUP(D190,'JPM St'!$C:$L,10,0),"")</f>
        <v/>
      </c>
      <c r="E190" s="500" t="str">
        <f>IFERROR(VLOOKUP(D190,'JPM St'!$C:$D,2,0),"")</f>
        <v/>
      </c>
      <c r="F190" s="501">
        <f t="shared" si="9"/>
        <v>0</v>
      </c>
      <c r="G190" s="501">
        <f>SUMIFS('JPM St'!$K:$K,'JPM St'!$A:$A,$V$2,'JPM St'!$C:$C,D190)</f>
        <v>0</v>
      </c>
      <c r="H190" s="501">
        <f>SUMIFS('JPM St'!$K:$K,'JPM St'!$A:$A,$V$3,'JPM St'!$C:$C,D190)</f>
        <v>0</v>
      </c>
      <c r="I190" s="501">
        <f>SUMIFS('JPM St'!$K:$K,'JPM St'!$A:$A,$V$4,'JPM St'!$C:$C,D190)</f>
        <v>0</v>
      </c>
      <c r="J190" s="619">
        <f t="shared" si="10"/>
        <v>0</v>
      </c>
      <c r="K190" s="501">
        <f>IFERROR(SUMIFS('JPM St'!$M:$M,'JPM St'!$A:$A,$V$2,'JPM St'!$C:$C,D190),"")</f>
        <v>0</v>
      </c>
      <c r="L190" s="501">
        <f>IFERROR(SUMIFS('JPM St'!$M:$M,'JPM St'!$A:$A,$V$3,'JPM St'!$C:$C,D190),"")</f>
        <v>0</v>
      </c>
      <c r="M190" s="501">
        <f>IFERROR(SUMIFS('JPM St'!$M:$M,'JPM St'!$A:$A,$V$4,'JPM St'!$C:$C,D190),"")</f>
        <v>0</v>
      </c>
    </row>
    <row r="191" spans="1:13" x14ac:dyDescent="0.25">
      <c r="A191" s="497" t="s">
        <v>90</v>
      </c>
      <c r="B191" s="497" t="str">
        <f>IFERROR(IF(VLOOKUP(D191,'JPM St'!$C:$G,3,0)="Fixed Income &amp; Cash","Cash",VLOOKUP(D191,'JPM St'!$C:$G,3,0)),"")</f>
        <v/>
      </c>
      <c r="C191" s="497" t="str">
        <f>IFERROR(VLOOKUP(D191,'JPM St'!$C:$L,10,0),"")</f>
        <v/>
      </c>
      <c r="E191" s="500" t="str">
        <f>IFERROR(VLOOKUP(D191,'JPM St'!$C:$D,2,0),"")</f>
        <v/>
      </c>
      <c r="F191" s="501">
        <f t="shared" si="9"/>
        <v>0</v>
      </c>
      <c r="G191" s="501">
        <f>SUMIFS('JPM St'!$K:$K,'JPM St'!$A:$A,$V$2,'JPM St'!$C:$C,D191)</f>
        <v>0</v>
      </c>
      <c r="H191" s="501">
        <f>SUMIFS('JPM St'!$K:$K,'JPM St'!$A:$A,$V$3,'JPM St'!$C:$C,D191)</f>
        <v>0</v>
      </c>
      <c r="I191" s="501">
        <f>SUMIFS('JPM St'!$K:$K,'JPM St'!$A:$A,$V$4,'JPM St'!$C:$C,D191)</f>
        <v>0</v>
      </c>
      <c r="J191" s="619">
        <f t="shared" si="10"/>
        <v>0</v>
      </c>
      <c r="K191" s="501">
        <f>IFERROR(SUMIFS('JPM St'!$M:$M,'JPM St'!$A:$A,$V$2,'JPM St'!$C:$C,D191),"")</f>
        <v>0</v>
      </c>
      <c r="L191" s="501">
        <f>IFERROR(SUMIFS('JPM St'!$M:$M,'JPM St'!$A:$A,$V$3,'JPM St'!$C:$C,D191),"")</f>
        <v>0</v>
      </c>
      <c r="M191" s="501">
        <f>IFERROR(SUMIFS('JPM St'!$M:$M,'JPM St'!$A:$A,$V$4,'JPM St'!$C:$C,D191),"")</f>
        <v>0</v>
      </c>
    </row>
    <row r="192" spans="1:13" x14ac:dyDescent="0.25">
      <c r="A192" s="497" t="s">
        <v>90</v>
      </c>
      <c r="B192" s="497" t="str">
        <f>IFERROR(IF(VLOOKUP(D192,'JPM St'!$C:$G,3,0)="Fixed Income &amp; Cash","Cash",VLOOKUP(D192,'JPM St'!$C:$G,3,0)),"")</f>
        <v/>
      </c>
      <c r="C192" s="497" t="str">
        <f>IFERROR(VLOOKUP(D192,'JPM St'!$C:$L,10,0),"")</f>
        <v/>
      </c>
      <c r="E192" s="500" t="str">
        <f>IFERROR(VLOOKUP(D192,'JPM St'!$C:$D,2,0),"")</f>
        <v/>
      </c>
      <c r="F192" s="501">
        <f t="shared" si="9"/>
        <v>0</v>
      </c>
      <c r="G192" s="501">
        <f>SUMIFS('JPM St'!$K:$K,'JPM St'!$A:$A,$V$2,'JPM St'!$C:$C,D192)</f>
        <v>0</v>
      </c>
      <c r="H192" s="501">
        <f>SUMIFS('JPM St'!$K:$K,'JPM St'!$A:$A,$V$3,'JPM St'!$C:$C,D192)</f>
        <v>0</v>
      </c>
      <c r="I192" s="501">
        <f>SUMIFS('JPM St'!$K:$K,'JPM St'!$A:$A,$V$4,'JPM St'!$C:$C,D192)</f>
        <v>0</v>
      </c>
      <c r="J192" s="619">
        <f t="shared" si="10"/>
        <v>0</v>
      </c>
      <c r="K192" s="501">
        <f>IFERROR(SUMIFS('JPM St'!$M:$M,'JPM St'!$A:$A,$V$2,'JPM St'!$C:$C,D192),"")</f>
        <v>0</v>
      </c>
      <c r="L192" s="501">
        <f>IFERROR(SUMIFS('JPM St'!$M:$M,'JPM St'!$A:$A,$V$3,'JPM St'!$C:$C,D192),"")</f>
        <v>0</v>
      </c>
      <c r="M192" s="501">
        <f>IFERROR(SUMIFS('JPM St'!$M:$M,'JPM St'!$A:$A,$V$4,'JPM St'!$C:$C,D192),"")</f>
        <v>0</v>
      </c>
    </row>
    <row r="193" spans="1:13" x14ac:dyDescent="0.25">
      <c r="A193" s="497" t="s">
        <v>90</v>
      </c>
      <c r="B193" s="497" t="str">
        <f>IFERROR(IF(VLOOKUP(D193,'JPM St'!$C:$G,3,0)="Fixed Income &amp; Cash","Cash",VLOOKUP(D193,'JPM St'!$C:$G,3,0)),"")</f>
        <v/>
      </c>
      <c r="C193" s="497" t="str">
        <f>IFERROR(VLOOKUP(D193,'JPM St'!$C:$L,10,0),"")</f>
        <v/>
      </c>
      <c r="E193" s="500" t="str">
        <f>IFERROR(VLOOKUP(D193,'JPM St'!$C:$D,2,0),"")</f>
        <v/>
      </c>
      <c r="F193" s="501">
        <f t="shared" si="9"/>
        <v>0</v>
      </c>
      <c r="G193" s="501">
        <f>SUMIFS('JPM St'!$K:$K,'JPM St'!$A:$A,$V$2,'JPM St'!$C:$C,D193)</f>
        <v>0</v>
      </c>
      <c r="H193" s="501">
        <f>SUMIFS('JPM St'!$K:$K,'JPM St'!$A:$A,$V$3,'JPM St'!$C:$C,D193)</f>
        <v>0</v>
      </c>
      <c r="I193" s="501">
        <f>SUMIFS('JPM St'!$K:$K,'JPM St'!$A:$A,$V$4,'JPM St'!$C:$C,D193)</f>
        <v>0</v>
      </c>
      <c r="J193" s="619">
        <f t="shared" si="10"/>
        <v>0</v>
      </c>
      <c r="K193" s="501">
        <f>IFERROR(SUMIFS('JPM St'!$M:$M,'JPM St'!$A:$A,$V$2,'JPM St'!$C:$C,D193),"")</f>
        <v>0</v>
      </c>
      <c r="L193" s="501">
        <f>IFERROR(SUMIFS('JPM St'!$M:$M,'JPM St'!$A:$A,$V$3,'JPM St'!$C:$C,D193),"")</f>
        <v>0</v>
      </c>
      <c r="M193" s="501">
        <f>IFERROR(SUMIFS('JPM St'!$M:$M,'JPM St'!$A:$A,$V$4,'JPM St'!$C:$C,D193),"")</f>
        <v>0</v>
      </c>
    </row>
    <row r="194" spans="1:13" x14ac:dyDescent="0.25">
      <c r="A194" s="497" t="s">
        <v>90</v>
      </c>
      <c r="B194" s="497" t="str">
        <f>IFERROR(IF(VLOOKUP(D194,'JPM St'!$C:$G,3,0)="Fixed Income &amp; Cash","Cash",VLOOKUP(D194,'JPM St'!$C:$G,3,0)),"")</f>
        <v/>
      </c>
      <c r="C194" s="497" t="str">
        <f>IFERROR(VLOOKUP(D194,'JPM St'!$C:$L,10,0),"")</f>
        <v/>
      </c>
      <c r="E194" s="500" t="str">
        <f>IFERROR(VLOOKUP(D194,'JPM St'!$C:$D,2,0),"")</f>
        <v/>
      </c>
      <c r="F194" s="501">
        <f t="shared" si="9"/>
        <v>0</v>
      </c>
      <c r="G194" s="501">
        <f>SUMIFS('JPM St'!$K:$K,'JPM St'!$A:$A,$V$2,'JPM St'!$C:$C,D194)</f>
        <v>0</v>
      </c>
      <c r="H194" s="501">
        <f>SUMIFS('JPM St'!$K:$K,'JPM St'!$A:$A,$V$3,'JPM St'!$C:$C,D194)</f>
        <v>0</v>
      </c>
      <c r="I194" s="501">
        <f>SUMIFS('JPM St'!$K:$K,'JPM St'!$A:$A,$V$4,'JPM St'!$C:$C,D194)</f>
        <v>0</v>
      </c>
      <c r="J194" s="619">
        <f t="shared" si="10"/>
        <v>0</v>
      </c>
      <c r="K194" s="501">
        <f>IFERROR(SUMIFS('JPM St'!$M:$M,'JPM St'!$A:$A,$V$2,'JPM St'!$C:$C,D194),"")</f>
        <v>0</v>
      </c>
      <c r="L194" s="501">
        <f>IFERROR(SUMIFS('JPM St'!$M:$M,'JPM St'!$A:$A,$V$3,'JPM St'!$C:$C,D194),"")</f>
        <v>0</v>
      </c>
      <c r="M194" s="501">
        <f>IFERROR(SUMIFS('JPM St'!$M:$M,'JPM St'!$A:$A,$V$4,'JPM St'!$C:$C,D194),"")</f>
        <v>0</v>
      </c>
    </row>
    <row r="195" spans="1:13" x14ac:dyDescent="0.25">
      <c r="A195" s="497" t="s">
        <v>90</v>
      </c>
      <c r="B195" s="497" t="str">
        <f>IFERROR(IF(VLOOKUP(D195,'JPM St'!$C:$G,3,0)="Fixed Income &amp; Cash","Cash",VLOOKUP(D195,'JPM St'!$C:$G,3,0)),"")</f>
        <v/>
      </c>
      <c r="C195" s="497" t="str">
        <f>IFERROR(VLOOKUP(D195,'JPM St'!$C:$L,10,0),"")</f>
        <v/>
      </c>
      <c r="E195" s="500" t="str">
        <f>IFERROR(VLOOKUP(D195,'JPM St'!$C:$D,2,0),"")</f>
        <v/>
      </c>
      <c r="F195" s="501">
        <f t="shared" ref="F195:F258" si="11">SUM(G195:I195)</f>
        <v>0</v>
      </c>
      <c r="G195" s="501">
        <f>SUMIFS('JPM St'!$K:$K,'JPM St'!$A:$A,$V$2,'JPM St'!$C:$C,D195)</f>
        <v>0</v>
      </c>
      <c r="H195" s="501">
        <f>SUMIFS('JPM St'!$K:$K,'JPM St'!$A:$A,$V$3,'JPM St'!$C:$C,D195)</f>
        <v>0</v>
      </c>
      <c r="I195" s="501">
        <f>SUMIFS('JPM St'!$K:$K,'JPM St'!$A:$A,$V$4,'JPM St'!$C:$C,D195)</f>
        <v>0</v>
      </c>
      <c r="J195" s="619">
        <f t="shared" ref="J195:J258" si="12">SUM(K195:M195)</f>
        <v>0</v>
      </c>
      <c r="K195" s="501">
        <f>IFERROR(SUMIFS('JPM St'!$M:$M,'JPM St'!$A:$A,$V$2,'JPM St'!$C:$C,D195),"")</f>
        <v>0</v>
      </c>
      <c r="L195" s="501">
        <f>IFERROR(SUMIFS('JPM St'!$M:$M,'JPM St'!$A:$A,$V$3,'JPM St'!$C:$C,D195),"")</f>
        <v>0</v>
      </c>
      <c r="M195" s="501">
        <f>IFERROR(SUMIFS('JPM St'!$M:$M,'JPM St'!$A:$A,$V$4,'JPM St'!$C:$C,D195),"")</f>
        <v>0</v>
      </c>
    </row>
    <row r="196" spans="1:13" x14ac:dyDescent="0.25">
      <c r="A196" s="497" t="s">
        <v>90</v>
      </c>
      <c r="B196" s="497" t="str">
        <f>IFERROR(IF(VLOOKUP(D196,'JPM St'!$C:$G,3,0)="Fixed Income &amp; Cash","Cash",VLOOKUP(D196,'JPM St'!$C:$G,3,0)),"")</f>
        <v/>
      </c>
      <c r="C196" s="497" t="str">
        <f>IFERROR(VLOOKUP(D196,'JPM St'!$C:$L,10,0),"")</f>
        <v/>
      </c>
      <c r="E196" s="500" t="str">
        <f>IFERROR(VLOOKUP(D196,'JPM St'!$C:$D,2,0),"")</f>
        <v/>
      </c>
      <c r="F196" s="501">
        <f t="shared" si="11"/>
        <v>0</v>
      </c>
      <c r="G196" s="501">
        <f>SUMIFS('JPM St'!$K:$K,'JPM St'!$A:$A,$V$2,'JPM St'!$C:$C,D196)</f>
        <v>0</v>
      </c>
      <c r="H196" s="501">
        <f>SUMIFS('JPM St'!$K:$K,'JPM St'!$A:$A,$V$3,'JPM St'!$C:$C,D196)</f>
        <v>0</v>
      </c>
      <c r="I196" s="501">
        <f>SUMIFS('JPM St'!$K:$K,'JPM St'!$A:$A,$V$4,'JPM St'!$C:$C,D196)</f>
        <v>0</v>
      </c>
      <c r="J196" s="619">
        <f t="shared" si="12"/>
        <v>0</v>
      </c>
      <c r="K196" s="501">
        <f>IFERROR(SUMIFS('JPM St'!$M:$M,'JPM St'!$A:$A,$V$2,'JPM St'!$C:$C,D196),"")</f>
        <v>0</v>
      </c>
      <c r="L196" s="501">
        <f>IFERROR(SUMIFS('JPM St'!$M:$M,'JPM St'!$A:$A,$V$3,'JPM St'!$C:$C,D196),"")</f>
        <v>0</v>
      </c>
      <c r="M196" s="501">
        <f>IFERROR(SUMIFS('JPM St'!$M:$M,'JPM St'!$A:$A,$V$4,'JPM St'!$C:$C,D196),"")</f>
        <v>0</v>
      </c>
    </row>
    <row r="197" spans="1:13" x14ac:dyDescent="0.25">
      <c r="A197" s="497" t="s">
        <v>90</v>
      </c>
      <c r="B197" s="497" t="str">
        <f>IFERROR(IF(VLOOKUP(D197,'JPM St'!$C:$G,3,0)="Fixed Income &amp; Cash","Cash",VLOOKUP(D197,'JPM St'!$C:$G,3,0)),"")</f>
        <v/>
      </c>
      <c r="C197" s="497" t="str">
        <f>IFERROR(VLOOKUP(D197,'JPM St'!$C:$L,10,0),"")</f>
        <v/>
      </c>
      <c r="E197" s="500" t="str">
        <f>IFERROR(VLOOKUP(D197,'JPM St'!$C:$D,2,0),"")</f>
        <v/>
      </c>
      <c r="F197" s="501">
        <f t="shared" si="11"/>
        <v>0</v>
      </c>
      <c r="G197" s="501">
        <f>SUMIFS('JPM St'!$K:$K,'JPM St'!$A:$A,$V$2,'JPM St'!$C:$C,D197)</f>
        <v>0</v>
      </c>
      <c r="H197" s="501">
        <f>SUMIFS('JPM St'!$K:$K,'JPM St'!$A:$A,$V$3,'JPM St'!$C:$C,D197)</f>
        <v>0</v>
      </c>
      <c r="I197" s="501">
        <f>SUMIFS('JPM St'!$K:$K,'JPM St'!$A:$A,$V$4,'JPM St'!$C:$C,D197)</f>
        <v>0</v>
      </c>
      <c r="J197" s="619">
        <f t="shared" si="12"/>
        <v>0</v>
      </c>
      <c r="K197" s="501">
        <f>IFERROR(SUMIFS('JPM St'!$M:$M,'JPM St'!$A:$A,$V$2,'JPM St'!$C:$C,D197),"")</f>
        <v>0</v>
      </c>
      <c r="L197" s="501">
        <f>IFERROR(SUMIFS('JPM St'!$M:$M,'JPM St'!$A:$A,$V$3,'JPM St'!$C:$C,D197),"")</f>
        <v>0</v>
      </c>
      <c r="M197" s="501">
        <f>IFERROR(SUMIFS('JPM St'!$M:$M,'JPM St'!$A:$A,$V$4,'JPM St'!$C:$C,D197),"")</f>
        <v>0</v>
      </c>
    </row>
    <row r="198" spans="1:13" x14ac:dyDescent="0.25">
      <c r="A198" s="497" t="s">
        <v>90</v>
      </c>
      <c r="B198" s="497" t="str">
        <f>IFERROR(IF(VLOOKUP(D198,'JPM St'!$C:$G,3,0)="Fixed Income &amp; Cash","Cash",VLOOKUP(D198,'JPM St'!$C:$G,3,0)),"")</f>
        <v/>
      </c>
      <c r="C198" s="497" t="str">
        <f>IFERROR(VLOOKUP(D198,'JPM St'!$C:$L,10,0),"")</f>
        <v/>
      </c>
      <c r="E198" s="500" t="str">
        <f>IFERROR(VLOOKUP(D198,'JPM St'!$C:$D,2,0),"")</f>
        <v/>
      </c>
      <c r="F198" s="501">
        <f t="shared" si="11"/>
        <v>0</v>
      </c>
      <c r="G198" s="501">
        <f>SUMIFS('JPM St'!$K:$K,'JPM St'!$A:$A,$V$2,'JPM St'!$C:$C,D198)</f>
        <v>0</v>
      </c>
      <c r="H198" s="501">
        <f>SUMIFS('JPM St'!$K:$K,'JPM St'!$A:$A,$V$3,'JPM St'!$C:$C,D198)</f>
        <v>0</v>
      </c>
      <c r="I198" s="501">
        <f>SUMIFS('JPM St'!$K:$K,'JPM St'!$A:$A,$V$4,'JPM St'!$C:$C,D198)</f>
        <v>0</v>
      </c>
      <c r="J198" s="619">
        <f t="shared" si="12"/>
        <v>0</v>
      </c>
      <c r="K198" s="501">
        <f>IFERROR(SUMIFS('JPM St'!$M:$M,'JPM St'!$A:$A,$V$2,'JPM St'!$C:$C,D198),"")</f>
        <v>0</v>
      </c>
      <c r="L198" s="501">
        <f>IFERROR(SUMIFS('JPM St'!$M:$M,'JPM St'!$A:$A,$V$3,'JPM St'!$C:$C,D198),"")</f>
        <v>0</v>
      </c>
      <c r="M198" s="501">
        <f>IFERROR(SUMIFS('JPM St'!$M:$M,'JPM St'!$A:$A,$V$4,'JPM St'!$C:$C,D198),"")</f>
        <v>0</v>
      </c>
    </row>
    <row r="199" spans="1:13" x14ac:dyDescent="0.25">
      <c r="A199" s="497" t="s">
        <v>90</v>
      </c>
      <c r="B199" s="497" t="str">
        <f>IFERROR(IF(VLOOKUP(D199,'JPM St'!$C:$G,3,0)="Fixed Income &amp; Cash","Cash",VLOOKUP(D199,'JPM St'!$C:$G,3,0)),"")</f>
        <v/>
      </c>
      <c r="C199" s="497" t="str">
        <f>IFERROR(VLOOKUP(D199,'JPM St'!$C:$L,10,0),"")</f>
        <v/>
      </c>
      <c r="E199" s="500" t="str">
        <f>IFERROR(VLOOKUP(D199,'JPM St'!$C:$D,2,0),"")</f>
        <v/>
      </c>
      <c r="F199" s="501">
        <f t="shared" si="11"/>
        <v>0</v>
      </c>
      <c r="G199" s="501">
        <f>SUMIFS('JPM St'!$K:$K,'JPM St'!$A:$A,$V$2,'JPM St'!$C:$C,D199)</f>
        <v>0</v>
      </c>
      <c r="H199" s="501">
        <f>SUMIFS('JPM St'!$K:$K,'JPM St'!$A:$A,$V$3,'JPM St'!$C:$C,D199)</f>
        <v>0</v>
      </c>
      <c r="I199" s="501">
        <f>SUMIFS('JPM St'!$K:$K,'JPM St'!$A:$A,$V$4,'JPM St'!$C:$C,D199)</f>
        <v>0</v>
      </c>
      <c r="J199" s="619">
        <f t="shared" si="12"/>
        <v>0</v>
      </c>
      <c r="K199" s="501">
        <f>IFERROR(SUMIFS('JPM St'!$M:$M,'JPM St'!$A:$A,$V$2,'JPM St'!$C:$C,D199),"")</f>
        <v>0</v>
      </c>
      <c r="L199" s="501">
        <f>IFERROR(SUMIFS('JPM St'!$M:$M,'JPM St'!$A:$A,$V$3,'JPM St'!$C:$C,D199),"")</f>
        <v>0</v>
      </c>
      <c r="M199" s="501">
        <f>IFERROR(SUMIFS('JPM St'!$M:$M,'JPM St'!$A:$A,$V$4,'JPM St'!$C:$C,D199),"")</f>
        <v>0</v>
      </c>
    </row>
    <row r="200" spans="1:13" x14ac:dyDescent="0.25">
      <c r="A200" s="497" t="s">
        <v>90</v>
      </c>
      <c r="B200" s="497" t="str">
        <f>IFERROR(IF(VLOOKUP(D200,'JPM St'!$C:$G,3,0)="Fixed Income &amp; Cash","Cash",VLOOKUP(D200,'JPM St'!$C:$G,3,0)),"")</f>
        <v/>
      </c>
      <c r="C200" s="497" t="str">
        <f>IFERROR(VLOOKUP(D200,'JPM St'!$C:$L,10,0),"")</f>
        <v/>
      </c>
      <c r="E200" s="500" t="str">
        <f>IFERROR(VLOOKUP(D200,'JPM St'!$C:$D,2,0),"")</f>
        <v/>
      </c>
      <c r="F200" s="501">
        <f t="shared" si="11"/>
        <v>0</v>
      </c>
      <c r="G200" s="501">
        <f>SUMIFS('JPM St'!$K:$K,'JPM St'!$A:$A,$V$2,'JPM St'!$C:$C,D200)</f>
        <v>0</v>
      </c>
      <c r="H200" s="501">
        <f>SUMIFS('JPM St'!$K:$K,'JPM St'!$A:$A,$V$3,'JPM St'!$C:$C,D200)</f>
        <v>0</v>
      </c>
      <c r="I200" s="501">
        <f>SUMIFS('JPM St'!$K:$K,'JPM St'!$A:$A,$V$4,'JPM St'!$C:$C,D200)</f>
        <v>0</v>
      </c>
      <c r="J200" s="619">
        <f t="shared" si="12"/>
        <v>0</v>
      </c>
      <c r="K200" s="501">
        <f>IFERROR(SUMIFS('JPM St'!$M:$M,'JPM St'!$A:$A,$V$2,'JPM St'!$C:$C,D200),"")</f>
        <v>0</v>
      </c>
      <c r="L200" s="501">
        <f>IFERROR(SUMIFS('JPM St'!$M:$M,'JPM St'!$A:$A,$V$3,'JPM St'!$C:$C,D200),"")</f>
        <v>0</v>
      </c>
      <c r="M200" s="501">
        <f>IFERROR(SUMIFS('JPM St'!$M:$M,'JPM St'!$A:$A,$V$4,'JPM St'!$C:$C,D200),"")</f>
        <v>0</v>
      </c>
    </row>
    <row r="201" spans="1:13" x14ac:dyDescent="0.25">
      <c r="A201" s="497" t="s">
        <v>90</v>
      </c>
      <c r="B201" s="497" t="str">
        <f>IFERROR(IF(VLOOKUP(D201,'JPM St'!$C:$G,3,0)="Fixed Income &amp; Cash","Cash",VLOOKUP(D201,'JPM St'!$C:$G,3,0)),"")</f>
        <v/>
      </c>
      <c r="C201" s="497" t="str">
        <f>IFERROR(VLOOKUP(D201,'JPM St'!$C:$L,10,0),"")</f>
        <v/>
      </c>
      <c r="E201" s="500" t="str">
        <f>IFERROR(VLOOKUP(D201,'JPM St'!$C:$D,2,0),"")</f>
        <v/>
      </c>
      <c r="F201" s="501">
        <f t="shared" si="11"/>
        <v>0</v>
      </c>
      <c r="G201" s="501">
        <f>SUMIFS('JPM St'!$K:$K,'JPM St'!$A:$A,$V$2,'JPM St'!$C:$C,D201)</f>
        <v>0</v>
      </c>
      <c r="H201" s="501">
        <f>SUMIFS('JPM St'!$K:$K,'JPM St'!$A:$A,$V$3,'JPM St'!$C:$C,D201)</f>
        <v>0</v>
      </c>
      <c r="I201" s="501">
        <f>SUMIFS('JPM St'!$K:$K,'JPM St'!$A:$A,$V$4,'JPM St'!$C:$C,D201)</f>
        <v>0</v>
      </c>
      <c r="J201" s="619">
        <f t="shared" si="12"/>
        <v>0</v>
      </c>
      <c r="K201" s="501">
        <f>IFERROR(SUMIFS('JPM St'!$M:$M,'JPM St'!$A:$A,$V$2,'JPM St'!$C:$C,D201),"")</f>
        <v>0</v>
      </c>
      <c r="L201" s="501">
        <f>IFERROR(SUMIFS('JPM St'!$M:$M,'JPM St'!$A:$A,$V$3,'JPM St'!$C:$C,D201),"")</f>
        <v>0</v>
      </c>
      <c r="M201" s="501">
        <f>IFERROR(SUMIFS('JPM St'!$M:$M,'JPM St'!$A:$A,$V$4,'JPM St'!$C:$C,D201),"")</f>
        <v>0</v>
      </c>
    </row>
    <row r="202" spans="1:13" x14ac:dyDescent="0.25">
      <c r="A202" s="497" t="s">
        <v>90</v>
      </c>
      <c r="B202" s="497" t="str">
        <f>IFERROR(IF(VLOOKUP(D202,'JPM St'!$C:$G,3,0)="Fixed Income &amp; Cash","Cash",VLOOKUP(D202,'JPM St'!$C:$G,3,0)),"")</f>
        <v/>
      </c>
      <c r="C202" s="497" t="str">
        <f>IFERROR(VLOOKUP(D202,'JPM St'!$C:$L,10,0),"")</f>
        <v/>
      </c>
      <c r="E202" s="500" t="str">
        <f>IFERROR(VLOOKUP(D202,'JPM St'!$C:$D,2,0),"")</f>
        <v/>
      </c>
      <c r="F202" s="501">
        <f t="shared" si="11"/>
        <v>0</v>
      </c>
      <c r="G202" s="501">
        <f>SUMIFS('JPM St'!$K:$K,'JPM St'!$A:$A,$V$2,'JPM St'!$C:$C,D202)</f>
        <v>0</v>
      </c>
      <c r="H202" s="501">
        <f>SUMIFS('JPM St'!$K:$K,'JPM St'!$A:$A,$V$3,'JPM St'!$C:$C,D202)</f>
        <v>0</v>
      </c>
      <c r="I202" s="501">
        <f>SUMIFS('JPM St'!$K:$K,'JPM St'!$A:$A,$V$4,'JPM St'!$C:$C,D202)</f>
        <v>0</v>
      </c>
      <c r="J202" s="619">
        <f t="shared" si="12"/>
        <v>0</v>
      </c>
      <c r="K202" s="501">
        <f>IFERROR(SUMIFS('JPM St'!$M:$M,'JPM St'!$A:$A,$V$2,'JPM St'!$C:$C,D202),"")</f>
        <v>0</v>
      </c>
      <c r="L202" s="501">
        <f>IFERROR(SUMIFS('JPM St'!$M:$M,'JPM St'!$A:$A,$V$3,'JPM St'!$C:$C,D202),"")</f>
        <v>0</v>
      </c>
      <c r="M202" s="501">
        <f>IFERROR(SUMIFS('JPM St'!$M:$M,'JPM St'!$A:$A,$V$4,'JPM St'!$C:$C,D202),"")</f>
        <v>0</v>
      </c>
    </row>
    <row r="203" spans="1:13" x14ac:dyDescent="0.25">
      <c r="A203" s="497" t="s">
        <v>90</v>
      </c>
      <c r="B203" s="497" t="str">
        <f>IFERROR(IF(VLOOKUP(D203,'JPM St'!$C:$G,3,0)="Fixed Income &amp; Cash","Cash",VLOOKUP(D203,'JPM St'!$C:$G,3,0)),"")</f>
        <v/>
      </c>
      <c r="C203" s="497" t="str">
        <f>IFERROR(VLOOKUP(D203,'JPM St'!$C:$L,10,0),"")</f>
        <v/>
      </c>
      <c r="E203" s="500" t="str">
        <f>IFERROR(VLOOKUP(D203,'JPM St'!$C:$D,2,0),"")</f>
        <v/>
      </c>
      <c r="F203" s="501">
        <f t="shared" si="11"/>
        <v>0</v>
      </c>
      <c r="G203" s="501">
        <f>SUMIFS('JPM St'!$K:$K,'JPM St'!$A:$A,$V$2,'JPM St'!$C:$C,D203)</f>
        <v>0</v>
      </c>
      <c r="H203" s="501">
        <f>SUMIFS('JPM St'!$K:$K,'JPM St'!$A:$A,$V$3,'JPM St'!$C:$C,D203)</f>
        <v>0</v>
      </c>
      <c r="I203" s="501">
        <f>SUMIFS('JPM St'!$K:$K,'JPM St'!$A:$A,$V$4,'JPM St'!$C:$C,D203)</f>
        <v>0</v>
      </c>
      <c r="J203" s="619">
        <f t="shared" si="12"/>
        <v>0</v>
      </c>
      <c r="K203" s="501">
        <f>IFERROR(SUMIFS('JPM St'!$M:$M,'JPM St'!$A:$A,$V$2,'JPM St'!$C:$C,D203),"")</f>
        <v>0</v>
      </c>
      <c r="L203" s="501">
        <f>IFERROR(SUMIFS('JPM St'!$M:$M,'JPM St'!$A:$A,$V$3,'JPM St'!$C:$C,D203),"")</f>
        <v>0</v>
      </c>
      <c r="M203" s="501">
        <f>IFERROR(SUMIFS('JPM St'!$M:$M,'JPM St'!$A:$A,$V$4,'JPM St'!$C:$C,D203),"")</f>
        <v>0</v>
      </c>
    </row>
    <row r="204" spans="1:13" x14ac:dyDescent="0.25">
      <c r="A204" s="497" t="s">
        <v>90</v>
      </c>
      <c r="B204" s="497" t="str">
        <f>IFERROR(IF(VLOOKUP(D204,'JPM St'!$C:$G,3,0)="Fixed Income &amp; Cash","Cash",VLOOKUP(D204,'JPM St'!$C:$G,3,0)),"")</f>
        <v/>
      </c>
      <c r="C204" s="497" t="str">
        <f>IFERROR(VLOOKUP(D204,'JPM St'!$C:$L,10,0),"")</f>
        <v/>
      </c>
      <c r="E204" s="500" t="str">
        <f>IFERROR(VLOOKUP(D204,'JPM St'!$C:$D,2,0),"")</f>
        <v/>
      </c>
      <c r="F204" s="501">
        <f t="shared" si="11"/>
        <v>0</v>
      </c>
      <c r="G204" s="501">
        <f>SUMIFS('JPM St'!$K:$K,'JPM St'!$A:$A,$V$2,'JPM St'!$C:$C,D204)</f>
        <v>0</v>
      </c>
      <c r="H204" s="501">
        <f>SUMIFS('JPM St'!$K:$K,'JPM St'!$A:$A,$V$3,'JPM St'!$C:$C,D204)</f>
        <v>0</v>
      </c>
      <c r="I204" s="501">
        <f>SUMIFS('JPM St'!$K:$K,'JPM St'!$A:$A,$V$4,'JPM St'!$C:$C,D204)</f>
        <v>0</v>
      </c>
      <c r="J204" s="619">
        <f t="shared" si="12"/>
        <v>0</v>
      </c>
      <c r="K204" s="501">
        <f>IFERROR(SUMIFS('JPM St'!$M:$M,'JPM St'!$A:$A,$V$2,'JPM St'!$C:$C,D204),"")</f>
        <v>0</v>
      </c>
      <c r="L204" s="501">
        <f>IFERROR(SUMIFS('JPM St'!$M:$M,'JPM St'!$A:$A,$V$3,'JPM St'!$C:$C,D204),"")</f>
        <v>0</v>
      </c>
      <c r="M204" s="501">
        <f>IFERROR(SUMIFS('JPM St'!$M:$M,'JPM St'!$A:$A,$V$4,'JPM St'!$C:$C,D204),"")</f>
        <v>0</v>
      </c>
    </row>
    <row r="205" spans="1:13" x14ac:dyDescent="0.25">
      <c r="A205" s="497" t="s">
        <v>90</v>
      </c>
      <c r="B205" s="497" t="str">
        <f>IFERROR(IF(VLOOKUP(D205,'JPM St'!$C:$G,3,0)="Fixed Income &amp; Cash","Cash",VLOOKUP(D205,'JPM St'!$C:$G,3,0)),"")</f>
        <v/>
      </c>
      <c r="C205" s="497" t="str">
        <f>IFERROR(VLOOKUP(D205,'JPM St'!$C:$L,10,0),"")</f>
        <v/>
      </c>
      <c r="E205" s="500" t="str">
        <f>IFERROR(VLOOKUP(D205,'JPM St'!$C:$D,2,0),"")</f>
        <v/>
      </c>
      <c r="F205" s="501">
        <f t="shared" si="11"/>
        <v>0</v>
      </c>
      <c r="G205" s="501">
        <f>SUMIFS('JPM St'!$K:$K,'JPM St'!$A:$A,$V$2,'JPM St'!$C:$C,D205)</f>
        <v>0</v>
      </c>
      <c r="H205" s="501">
        <f>SUMIFS('JPM St'!$K:$K,'JPM St'!$A:$A,$V$3,'JPM St'!$C:$C,D205)</f>
        <v>0</v>
      </c>
      <c r="I205" s="501">
        <f>SUMIFS('JPM St'!$K:$K,'JPM St'!$A:$A,$V$4,'JPM St'!$C:$C,D205)</f>
        <v>0</v>
      </c>
      <c r="J205" s="619">
        <f t="shared" si="12"/>
        <v>0</v>
      </c>
      <c r="K205" s="501">
        <f>IFERROR(SUMIFS('JPM St'!$M:$M,'JPM St'!$A:$A,$V$2,'JPM St'!$C:$C,D205),"")</f>
        <v>0</v>
      </c>
      <c r="L205" s="501">
        <f>IFERROR(SUMIFS('JPM St'!$M:$M,'JPM St'!$A:$A,$V$3,'JPM St'!$C:$C,D205),"")</f>
        <v>0</v>
      </c>
      <c r="M205" s="501">
        <f>IFERROR(SUMIFS('JPM St'!$M:$M,'JPM St'!$A:$A,$V$4,'JPM St'!$C:$C,D205),"")</f>
        <v>0</v>
      </c>
    </row>
    <row r="206" spans="1:13" x14ac:dyDescent="0.25">
      <c r="A206" s="497" t="s">
        <v>90</v>
      </c>
      <c r="B206" s="497" t="str">
        <f>IFERROR(IF(VLOOKUP(D206,'JPM St'!$C:$G,3,0)="Fixed Income &amp; Cash","Cash",VLOOKUP(D206,'JPM St'!$C:$G,3,0)),"")</f>
        <v/>
      </c>
      <c r="C206" s="497" t="str">
        <f>IFERROR(VLOOKUP(D206,'JPM St'!$C:$L,10,0),"")</f>
        <v/>
      </c>
      <c r="E206" s="500" t="str">
        <f>IFERROR(VLOOKUP(D206,'JPM St'!$C:$D,2,0),"")</f>
        <v/>
      </c>
      <c r="F206" s="501">
        <f t="shared" si="11"/>
        <v>0</v>
      </c>
      <c r="G206" s="501">
        <f>SUMIFS('JPM St'!$K:$K,'JPM St'!$A:$A,$V$2,'JPM St'!$C:$C,D206)</f>
        <v>0</v>
      </c>
      <c r="H206" s="501">
        <f>SUMIFS('JPM St'!$K:$K,'JPM St'!$A:$A,$V$3,'JPM St'!$C:$C,D206)</f>
        <v>0</v>
      </c>
      <c r="I206" s="501">
        <f>SUMIFS('JPM St'!$K:$K,'JPM St'!$A:$A,$V$4,'JPM St'!$C:$C,D206)</f>
        <v>0</v>
      </c>
      <c r="J206" s="619">
        <f t="shared" si="12"/>
        <v>0</v>
      </c>
      <c r="K206" s="501">
        <f>IFERROR(SUMIFS('JPM St'!$M:$M,'JPM St'!$A:$A,$V$2,'JPM St'!$C:$C,D206),"")</f>
        <v>0</v>
      </c>
      <c r="L206" s="501">
        <f>IFERROR(SUMIFS('JPM St'!$M:$M,'JPM St'!$A:$A,$V$3,'JPM St'!$C:$C,D206),"")</f>
        <v>0</v>
      </c>
      <c r="M206" s="501">
        <f>IFERROR(SUMIFS('JPM St'!$M:$M,'JPM St'!$A:$A,$V$4,'JPM St'!$C:$C,D206),"")</f>
        <v>0</v>
      </c>
    </row>
    <row r="207" spans="1:13" x14ac:dyDescent="0.25">
      <c r="A207" s="497" t="s">
        <v>90</v>
      </c>
      <c r="B207" s="497" t="str">
        <f>IFERROR(IF(VLOOKUP(D207,'JPM St'!$C:$G,3,0)="Fixed Income &amp; Cash","Cash",VLOOKUP(D207,'JPM St'!$C:$G,3,0)),"")</f>
        <v/>
      </c>
      <c r="C207" s="497" t="str">
        <f>IFERROR(VLOOKUP(D207,'JPM St'!$C:$L,10,0),"")</f>
        <v/>
      </c>
      <c r="E207" s="500" t="str">
        <f>IFERROR(VLOOKUP(D207,'JPM St'!$C:$D,2,0),"")</f>
        <v/>
      </c>
      <c r="F207" s="501">
        <f t="shared" si="11"/>
        <v>0</v>
      </c>
      <c r="G207" s="501">
        <f>SUMIFS('JPM St'!$K:$K,'JPM St'!$A:$A,$V$2,'JPM St'!$C:$C,D207)</f>
        <v>0</v>
      </c>
      <c r="H207" s="501">
        <f>SUMIFS('JPM St'!$K:$K,'JPM St'!$A:$A,$V$3,'JPM St'!$C:$C,D207)</f>
        <v>0</v>
      </c>
      <c r="I207" s="501">
        <f>SUMIFS('JPM St'!$K:$K,'JPM St'!$A:$A,$V$4,'JPM St'!$C:$C,D207)</f>
        <v>0</v>
      </c>
      <c r="J207" s="619">
        <f t="shared" si="12"/>
        <v>0</v>
      </c>
      <c r="K207" s="501">
        <f>IFERROR(SUMIFS('JPM St'!$M:$M,'JPM St'!$A:$A,$V$2,'JPM St'!$C:$C,D207),"")</f>
        <v>0</v>
      </c>
      <c r="L207" s="501">
        <f>IFERROR(SUMIFS('JPM St'!$M:$M,'JPM St'!$A:$A,$V$3,'JPM St'!$C:$C,D207),"")</f>
        <v>0</v>
      </c>
      <c r="M207" s="501">
        <f>IFERROR(SUMIFS('JPM St'!$M:$M,'JPM St'!$A:$A,$V$4,'JPM St'!$C:$C,D207),"")</f>
        <v>0</v>
      </c>
    </row>
    <row r="208" spans="1:13" x14ac:dyDescent="0.25">
      <c r="A208" s="497" t="s">
        <v>90</v>
      </c>
      <c r="B208" s="497" t="str">
        <f>IFERROR(IF(VLOOKUP(D208,'JPM St'!$C:$G,3,0)="Fixed Income &amp; Cash","Cash",VLOOKUP(D208,'JPM St'!$C:$G,3,0)),"")</f>
        <v/>
      </c>
      <c r="C208" s="497" t="str">
        <f>IFERROR(VLOOKUP(D208,'JPM St'!$C:$L,10,0),"")</f>
        <v/>
      </c>
      <c r="E208" s="500" t="str">
        <f>IFERROR(VLOOKUP(D208,'JPM St'!$C:$D,2,0),"")</f>
        <v/>
      </c>
      <c r="F208" s="501">
        <f t="shared" si="11"/>
        <v>0</v>
      </c>
      <c r="G208" s="501">
        <f>SUMIFS('JPM St'!$K:$K,'JPM St'!$A:$A,$V$2,'JPM St'!$C:$C,D208)</f>
        <v>0</v>
      </c>
      <c r="H208" s="501">
        <f>SUMIFS('JPM St'!$K:$K,'JPM St'!$A:$A,$V$3,'JPM St'!$C:$C,D208)</f>
        <v>0</v>
      </c>
      <c r="I208" s="501">
        <f>SUMIFS('JPM St'!$K:$K,'JPM St'!$A:$A,$V$4,'JPM St'!$C:$C,D208)</f>
        <v>0</v>
      </c>
      <c r="J208" s="619">
        <f t="shared" si="12"/>
        <v>0</v>
      </c>
      <c r="K208" s="501">
        <f>IFERROR(SUMIFS('JPM St'!$M:$M,'JPM St'!$A:$A,$V$2,'JPM St'!$C:$C,D208),"")</f>
        <v>0</v>
      </c>
      <c r="L208" s="501">
        <f>IFERROR(SUMIFS('JPM St'!$M:$M,'JPM St'!$A:$A,$V$3,'JPM St'!$C:$C,D208),"")</f>
        <v>0</v>
      </c>
      <c r="M208" s="501">
        <f>IFERROR(SUMIFS('JPM St'!$M:$M,'JPM St'!$A:$A,$V$4,'JPM St'!$C:$C,D208),"")</f>
        <v>0</v>
      </c>
    </row>
    <row r="209" spans="1:13" x14ac:dyDescent="0.25">
      <c r="A209" s="497" t="s">
        <v>90</v>
      </c>
      <c r="B209" s="497" t="str">
        <f>IFERROR(IF(VLOOKUP(D209,'JPM St'!$C:$G,3,0)="Fixed Income &amp; Cash","Cash",VLOOKUP(D209,'JPM St'!$C:$G,3,0)),"")</f>
        <v/>
      </c>
      <c r="C209" s="497" t="str">
        <f>IFERROR(VLOOKUP(D209,'JPM St'!$C:$L,10,0),"")</f>
        <v/>
      </c>
      <c r="E209" s="500" t="str">
        <f>IFERROR(VLOOKUP(D209,'JPM St'!$C:$D,2,0),"")</f>
        <v/>
      </c>
      <c r="F209" s="501">
        <f t="shared" si="11"/>
        <v>0</v>
      </c>
      <c r="G209" s="501">
        <f>SUMIFS('JPM St'!$K:$K,'JPM St'!$A:$A,$V$2,'JPM St'!$C:$C,D209)</f>
        <v>0</v>
      </c>
      <c r="H209" s="501">
        <f>SUMIFS('JPM St'!$K:$K,'JPM St'!$A:$A,$V$3,'JPM St'!$C:$C,D209)</f>
        <v>0</v>
      </c>
      <c r="I209" s="501">
        <f>SUMIFS('JPM St'!$K:$K,'JPM St'!$A:$A,$V$4,'JPM St'!$C:$C,D209)</f>
        <v>0</v>
      </c>
      <c r="J209" s="619">
        <f t="shared" si="12"/>
        <v>0</v>
      </c>
      <c r="K209" s="501">
        <f>IFERROR(SUMIFS('JPM St'!$M:$M,'JPM St'!$A:$A,$V$2,'JPM St'!$C:$C,D209),"")</f>
        <v>0</v>
      </c>
      <c r="L209" s="501">
        <f>IFERROR(SUMIFS('JPM St'!$M:$M,'JPM St'!$A:$A,$V$3,'JPM St'!$C:$C,D209),"")</f>
        <v>0</v>
      </c>
      <c r="M209" s="501">
        <f>IFERROR(SUMIFS('JPM St'!$M:$M,'JPM St'!$A:$A,$V$4,'JPM St'!$C:$C,D209),"")</f>
        <v>0</v>
      </c>
    </row>
    <row r="210" spans="1:13" x14ac:dyDescent="0.25">
      <c r="A210" s="497" t="s">
        <v>90</v>
      </c>
      <c r="B210" s="497" t="str">
        <f>IFERROR(IF(VLOOKUP(D210,'JPM St'!$C:$G,3,0)="Fixed Income &amp; Cash","Cash",VLOOKUP(D210,'JPM St'!$C:$G,3,0)),"")</f>
        <v/>
      </c>
      <c r="C210" s="497" t="str">
        <f>IFERROR(VLOOKUP(D210,'JPM St'!$C:$L,10,0),"")</f>
        <v/>
      </c>
      <c r="E210" s="500" t="str">
        <f>IFERROR(VLOOKUP(D210,'JPM St'!$C:$D,2,0),"")</f>
        <v/>
      </c>
      <c r="F210" s="501">
        <f t="shared" si="11"/>
        <v>0</v>
      </c>
      <c r="G210" s="501">
        <f>SUMIFS('JPM St'!$K:$K,'JPM St'!$A:$A,$V$2,'JPM St'!$C:$C,D210)</f>
        <v>0</v>
      </c>
      <c r="H210" s="501">
        <f>SUMIFS('JPM St'!$K:$K,'JPM St'!$A:$A,$V$3,'JPM St'!$C:$C,D210)</f>
        <v>0</v>
      </c>
      <c r="I210" s="501">
        <f>SUMIFS('JPM St'!$K:$K,'JPM St'!$A:$A,$V$4,'JPM St'!$C:$C,D210)</f>
        <v>0</v>
      </c>
      <c r="J210" s="619">
        <f t="shared" si="12"/>
        <v>0</v>
      </c>
      <c r="K210" s="501">
        <f>IFERROR(SUMIFS('JPM St'!$M:$M,'JPM St'!$A:$A,$V$2,'JPM St'!$C:$C,D210),"")</f>
        <v>0</v>
      </c>
      <c r="L210" s="501">
        <f>IFERROR(SUMIFS('JPM St'!$M:$M,'JPM St'!$A:$A,$V$3,'JPM St'!$C:$C,D210),"")</f>
        <v>0</v>
      </c>
      <c r="M210" s="501">
        <f>IFERROR(SUMIFS('JPM St'!$M:$M,'JPM St'!$A:$A,$V$4,'JPM St'!$C:$C,D210),"")</f>
        <v>0</v>
      </c>
    </row>
    <row r="211" spans="1:13" x14ac:dyDescent="0.25">
      <c r="A211" s="497" t="s">
        <v>90</v>
      </c>
      <c r="B211" s="497" t="str">
        <f>IFERROR(IF(VLOOKUP(D211,'JPM St'!$C:$G,3,0)="Fixed Income &amp; Cash","Cash",VLOOKUP(D211,'JPM St'!$C:$G,3,0)),"")</f>
        <v/>
      </c>
      <c r="C211" s="497" t="str">
        <f>IFERROR(VLOOKUP(D211,'JPM St'!$C:$L,10,0),"")</f>
        <v/>
      </c>
      <c r="E211" s="500" t="str">
        <f>IFERROR(VLOOKUP(D211,'JPM St'!$C:$D,2,0),"")</f>
        <v/>
      </c>
      <c r="F211" s="501">
        <f t="shared" si="11"/>
        <v>0</v>
      </c>
      <c r="G211" s="501">
        <f>SUMIFS('JPM St'!$K:$K,'JPM St'!$A:$A,$V$2,'JPM St'!$C:$C,D211)</f>
        <v>0</v>
      </c>
      <c r="H211" s="501">
        <f>SUMIFS('JPM St'!$K:$K,'JPM St'!$A:$A,$V$3,'JPM St'!$C:$C,D211)</f>
        <v>0</v>
      </c>
      <c r="I211" s="501">
        <f>SUMIFS('JPM St'!$K:$K,'JPM St'!$A:$A,$V$4,'JPM St'!$C:$C,D211)</f>
        <v>0</v>
      </c>
      <c r="J211" s="619">
        <f t="shared" si="12"/>
        <v>0</v>
      </c>
      <c r="K211" s="501">
        <f>IFERROR(SUMIFS('JPM St'!$M:$M,'JPM St'!$A:$A,$V$2,'JPM St'!$C:$C,D211),"")</f>
        <v>0</v>
      </c>
      <c r="L211" s="501">
        <f>IFERROR(SUMIFS('JPM St'!$M:$M,'JPM St'!$A:$A,$V$3,'JPM St'!$C:$C,D211),"")</f>
        <v>0</v>
      </c>
      <c r="M211" s="501">
        <f>IFERROR(SUMIFS('JPM St'!$M:$M,'JPM St'!$A:$A,$V$4,'JPM St'!$C:$C,D211),"")</f>
        <v>0</v>
      </c>
    </row>
    <row r="212" spans="1:13" x14ac:dyDescent="0.25">
      <c r="A212" s="497" t="s">
        <v>90</v>
      </c>
      <c r="B212" s="497" t="str">
        <f>IFERROR(IF(VLOOKUP(D212,'JPM St'!$C:$G,3,0)="Fixed Income &amp; Cash","Cash",VLOOKUP(D212,'JPM St'!$C:$G,3,0)),"")</f>
        <v/>
      </c>
      <c r="C212" s="497" t="str">
        <f>IFERROR(VLOOKUP(D212,'JPM St'!$C:$L,10,0),"")</f>
        <v/>
      </c>
      <c r="E212" s="500" t="str">
        <f>IFERROR(VLOOKUP(D212,'JPM St'!$C:$D,2,0),"")</f>
        <v/>
      </c>
      <c r="F212" s="501">
        <f t="shared" si="11"/>
        <v>0</v>
      </c>
      <c r="G212" s="501">
        <f>SUMIFS('JPM St'!$K:$K,'JPM St'!$A:$A,$V$2,'JPM St'!$C:$C,D212)</f>
        <v>0</v>
      </c>
      <c r="H212" s="501">
        <f>SUMIFS('JPM St'!$K:$K,'JPM St'!$A:$A,$V$3,'JPM St'!$C:$C,D212)</f>
        <v>0</v>
      </c>
      <c r="I212" s="501">
        <f>SUMIFS('JPM St'!$K:$K,'JPM St'!$A:$A,$V$4,'JPM St'!$C:$C,D212)</f>
        <v>0</v>
      </c>
      <c r="J212" s="619">
        <f t="shared" si="12"/>
        <v>0</v>
      </c>
      <c r="K212" s="501">
        <f>IFERROR(SUMIFS('JPM St'!$M:$M,'JPM St'!$A:$A,$V$2,'JPM St'!$C:$C,D212),"")</f>
        <v>0</v>
      </c>
      <c r="L212" s="501">
        <f>IFERROR(SUMIFS('JPM St'!$M:$M,'JPM St'!$A:$A,$V$3,'JPM St'!$C:$C,D212),"")</f>
        <v>0</v>
      </c>
      <c r="M212" s="501">
        <f>IFERROR(SUMIFS('JPM St'!$M:$M,'JPM St'!$A:$A,$V$4,'JPM St'!$C:$C,D212),"")</f>
        <v>0</v>
      </c>
    </row>
    <row r="213" spans="1:13" x14ac:dyDescent="0.25">
      <c r="A213" s="497" t="s">
        <v>90</v>
      </c>
      <c r="B213" s="497" t="str">
        <f>IFERROR(IF(VLOOKUP(D213,'JPM St'!$C:$G,3,0)="Fixed Income &amp; Cash","Cash",VLOOKUP(D213,'JPM St'!$C:$G,3,0)),"")</f>
        <v/>
      </c>
      <c r="C213" s="497" t="str">
        <f>IFERROR(VLOOKUP(D213,'JPM St'!$C:$L,10,0),"")</f>
        <v/>
      </c>
      <c r="E213" s="500" t="str">
        <f>IFERROR(VLOOKUP(D213,'JPM St'!$C:$D,2,0),"")</f>
        <v/>
      </c>
      <c r="F213" s="501">
        <f t="shared" si="11"/>
        <v>0</v>
      </c>
      <c r="G213" s="501">
        <f>SUMIFS('JPM St'!$K:$K,'JPM St'!$A:$A,$V$2,'JPM St'!$C:$C,D213)</f>
        <v>0</v>
      </c>
      <c r="H213" s="501">
        <f>SUMIFS('JPM St'!$K:$K,'JPM St'!$A:$A,$V$3,'JPM St'!$C:$C,D213)</f>
        <v>0</v>
      </c>
      <c r="I213" s="501">
        <f>SUMIFS('JPM St'!$K:$K,'JPM St'!$A:$A,$V$4,'JPM St'!$C:$C,D213)</f>
        <v>0</v>
      </c>
      <c r="J213" s="619">
        <f t="shared" si="12"/>
        <v>0</v>
      </c>
      <c r="K213" s="501">
        <f>IFERROR(SUMIFS('JPM St'!$M:$M,'JPM St'!$A:$A,$V$2,'JPM St'!$C:$C,D213),"")</f>
        <v>0</v>
      </c>
      <c r="L213" s="501">
        <f>IFERROR(SUMIFS('JPM St'!$M:$M,'JPM St'!$A:$A,$V$3,'JPM St'!$C:$C,D213),"")</f>
        <v>0</v>
      </c>
      <c r="M213" s="501">
        <f>IFERROR(SUMIFS('JPM St'!$M:$M,'JPM St'!$A:$A,$V$4,'JPM St'!$C:$C,D213),"")</f>
        <v>0</v>
      </c>
    </row>
    <row r="214" spans="1:13" x14ac:dyDescent="0.25">
      <c r="A214" s="497" t="s">
        <v>90</v>
      </c>
      <c r="B214" s="497" t="str">
        <f>IFERROR(IF(VLOOKUP(D214,'JPM St'!$C:$G,3,0)="Fixed Income &amp; Cash","Cash",VLOOKUP(D214,'JPM St'!$C:$G,3,0)),"")</f>
        <v/>
      </c>
      <c r="C214" s="497" t="str">
        <f>IFERROR(VLOOKUP(D214,'JPM St'!$C:$L,10,0),"")</f>
        <v/>
      </c>
      <c r="E214" s="500" t="str">
        <f>IFERROR(VLOOKUP(D214,'JPM St'!$C:$D,2,0),"")</f>
        <v/>
      </c>
      <c r="F214" s="501">
        <f t="shared" si="11"/>
        <v>0</v>
      </c>
      <c r="G214" s="501">
        <f>SUMIFS('JPM St'!$K:$K,'JPM St'!$A:$A,$V$2,'JPM St'!$C:$C,D214)</f>
        <v>0</v>
      </c>
      <c r="H214" s="501">
        <f>SUMIFS('JPM St'!$K:$K,'JPM St'!$A:$A,$V$3,'JPM St'!$C:$C,D214)</f>
        <v>0</v>
      </c>
      <c r="I214" s="501">
        <f>SUMIFS('JPM St'!$K:$K,'JPM St'!$A:$A,$V$4,'JPM St'!$C:$C,D214)</f>
        <v>0</v>
      </c>
      <c r="J214" s="619">
        <f t="shared" si="12"/>
        <v>0</v>
      </c>
      <c r="K214" s="501">
        <f>IFERROR(SUMIFS('JPM St'!$M:$M,'JPM St'!$A:$A,$V$2,'JPM St'!$C:$C,D214),"")</f>
        <v>0</v>
      </c>
      <c r="L214" s="501">
        <f>IFERROR(SUMIFS('JPM St'!$M:$M,'JPM St'!$A:$A,$V$3,'JPM St'!$C:$C,D214),"")</f>
        <v>0</v>
      </c>
      <c r="M214" s="501">
        <f>IFERROR(SUMIFS('JPM St'!$M:$M,'JPM St'!$A:$A,$V$4,'JPM St'!$C:$C,D214),"")</f>
        <v>0</v>
      </c>
    </row>
    <row r="215" spans="1:13" x14ac:dyDescent="0.25">
      <c r="A215" s="497" t="s">
        <v>90</v>
      </c>
      <c r="B215" s="497" t="str">
        <f>IFERROR(IF(VLOOKUP(D215,'JPM St'!$C:$G,3,0)="Fixed Income &amp; Cash","Cash",VLOOKUP(D215,'JPM St'!$C:$G,3,0)),"")</f>
        <v/>
      </c>
      <c r="C215" s="497" t="str">
        <f>IFERROR(VLOOKUP(D215,'JPM St'!$C:$L,10,0),"")</f>
        <v/>
      </c>
      <c r="E215" s="500" t="str">
        <f>IFERROR(VLOOKUP(D215,'JPM St'!$C:$D,2,0),"")</f>
        <v/>
      </c>
      <c r="F215" s="501">
        <f t="shared" si="11"/>
        <v>0</v>
      </c>
      <c r="G215" s="501">
        <f>SUMIFS('JPM St'!$K:$K,'JPM St'!$A:$A,$V$2,'JPM St'!$C:$C,D215)</f>
        <v>0</v>
      </c>
      <c r="H215" s="501">
        <f>SUMIFS('JPM St'!$K:$K,'JPM St'!$A:$A,$V$3,'JPM St'!$C:$C,D215)</f>
        <v>0</v>
      </c>
      <c r="I215" s="501">
        <f>SUMIFS('JPM St'!$K:$K,'JPM St'!$A:$A,$V$4,'JPM St'!$C:$C,D215)</f>
        <v>0</v>
      </c>
      <c r="J215" s="619">
        <f t="shared" si="12"/>
        <v>0</v>
      </c>
      <c r="K215" s="501">
        <f>IFERROR(SUMIFS('JPM St'!$M:$M,'JPM St'!$A:$A,$V$2,'JPM St'!$C:$C,D215),"")</f>
        <v>0</v>
      </c>
      <c r="L215" s="501">
        <f>IFERROR(SUMIFS('JPM St'!$M:$M,'JPM St'!$A:$A,$V$3,'JPM St'!$C:$C,D215),"")</f>
        <v>0</v>
      </c>
      <c r="M215" s="501">
        <f>IFERROR(SUMIFS('JPM St'!$M:$M,'JPM St'!$A:$A,$V$4,'JPM St'!$C:$C,D215),"")</f>
        <v>0</v>
      </c>
    </row>
    <row r="216" spans="1:13" x14ac:dyDescent="0.25">
      <c r="A216" s="497" t="s">
        <v>90</v>
      </c>
      <c r="B216" s="497" t="str">
        <f>IFERROR(IF(VLOOKUP(D216,'JPM St'!$C:$G,3,0)="Fixed Income &amp; Cash","Cash",VLOOKUP(D216,'JPM St'!$C:$G,3,0)),"")</f>
        <v/>
      </c>
      <c r="C216" s="497" t="str">
        <f>IFERROR(VLOOKUP(D216,'JPM St'!$C:$L,10,0),"")</f>
        <v/>
      </c>
      <c r="E216" s="500" t="str">
        <f>IFERROR(VLOOKUP(D216,'JPM St'!$C:$D,2,0),"")</f>
        <v/>
      </c>
      <c r="F216" s="501">
        <f t="shared" si="11"/>
        <v>0</v>
      </c>
      <c r="G216" s="501">
        <f>SUMIFS('JPM St'!$K:$K,'JPM St'!$A:$A,$V$2,'JPM St'!$C:$C,D216)</f>
        <v>0</v>
      </c>
      <c r="H216" s="501">
        <f>SUMIFS('JPM St'!$K:$K,'JPM St'!$A:$A,$V$3,'JPM St'!$C:$C,D216)</f>
        <v>0</v>
      </c>
      <c r="I216" s="501">
        <f>SUMIFS('JPM St'!$K:$K,'JPM St'!$A:$A,$V$4,'JPM St'!$C:$C,D216)</f>
        <v>0</v>
      </c>
      <c r="J216" s="619">
        <f t="shared" si="12"/>
        <v>0</v>
      </c>
      <c r="K216" s="501">
        <f>IFERROR(SUMIFS('JPM St'!$M:$M,'JPM St'!$A:$A,$V$2,'JPM St'!$C:$C,D216),"")</f>
        <v>0</v>
      </c>
      <c r="L216" s="501">
        <f>IFERROR(SUMIFS('JPM St'!$M:$M,'JPM St'!$A:$A,$V$3,'JPM St'!$C:$C,D216),"")</f>
        <v>0</v>
      </c>
      <c r="M216" s="501">
        <f>IFERROR(SUMIFS('JPM St'!$M:$M,'JPM St'!$A:$A,$V$4,'JPM St'!$C:$C,D216),"")</f>
        <v>0</v>
      </c>
    </row>
    <row r="217" spans="1:13" x14ac:dyDescent="0.25">
      <c r="A217" s="497" t="s">
        <v>90</v>
      </c>
      <c r="B217" s="497" t="str">
        <f>IFERROR(IF(VLOOKUP(D217,'JPM St'!$C:$G,3,0)="Fixed Income &amp; Cash","Cash",VLOOKUP(D217,'JPM St'!$C:$G,3,0)),"")</f>
        <v/>
      </c>
      <c r="C217" s="497" t="str">
        <f>IFERROR(VLOOKUP(D217,'JPM St'!$C:$L,10,0),"")</f>
        <v/>
      </c>
      <c r="E217" s="500" t="str">
        <f>IFERROR(VLOOKUP(D217,'JPM St'!$C:$D,2,0),"")</f>
        <v/>
      </c>
      <c r="F217" s="501">
        <f t="shared" si="11"/>
        <v>0</v>
      </c>
      <c r="G217" s="501">
        <f>SUMIFS('JPM St'!$K:$K,'JPM St'!$A:$A,$V$2,'JPM St'!$C:$C,D217)</f>
        <v>0</v>
      </c>
      <c r="H217" s="501">
        <f>SUMIFS('JPM St'!$K:$K,'JPM St'!$A:$A,$V$3,'JPM St'!$C:$C,D217)</f>
        <v>0</v>
      </c>
      <c r="I217" s="501">
        <f>SUMIFS('JPM St'!$K:$K,'JPM St'!$A:$A,$V$4,'JPM St'!$C:$C,D217)</f>
        <v>0</v>
      </c>
      <c r="J217" s="619">
        <f t="shared" si="12"/>
        <v>0</v>
      </c>
      <c r="K217" s="501">
        <f>IFERROR(SUMIFS('JPM St'!$M:$M,'JPM St'!$A:$A,$V$2,'JPM St'!$C:$C,D217),"")</f>
        <v>0</v>
      </c>
      <c r="L217" s="501">
        <f>IFERROR(SUMIFS('JPM St'!$M:$M,'JPM St'!$A:$A,$V$3,'JPM St'!$C:$C,D217),"")</f>
        <v>0</v>
      </c>
      <c r="M217" s="501">
        <f>IFERROR(SUMIFS('JPM St'!$M:$M,'JPM St'!$A:$A,$V$4,'JPM St'!$C:$C,D217),"")</f>
        <v>0</v>
      </c>
    </row>
    <row r="218" spans="1:13" x14ac:dyDescent="0.25">
      <c r="A218" s="497" t="s">
        <v>90</v>
      </c>
      <c r="B218" s="497" t="str">
        <f>IFERROR(IF(VLOOKUP(D218,'JPM St'!$C:$G,3,0)="Fixed Income &amp; Cash","Cash",VLOOKUP(D218,'JPM St'!$C:$G,3,0)),"")</f>
        <v/>
      </c>
      <c r="C218" s="497" t="str">
        <f>IFERROR(VLOOKUP(D218,'JPM St'!$C:$L,10,0),"")</f>
        <v/>
      </c>
      <c r="E218" s="500" t="str">
        <f>IFERROR(VLOOKUP(D218,'JPM St'!$C:$D,2,0),"")</f>
        <v/>
      </c>
      <c r="F218" s="501">
        <f t="shared" si="11"/>
        <v>0</v>
      </c>
      <c r="G218" s="501">
        <f>SUMIFS('JPM St'!$K:$K,'JPM St'!$A:$A,$V$2,'JPM St'!$C:$C,D218)</f>
        <v>0</v>
      </c>
      <c r="H218" s="501">
        <f>SUMIFS('JPM St'!$K:$K,'JPM St'!$A:$A,$V$3,'JPM St'!$C:$C,D218)</f>
        <v>0</v>
      </c>
      <c r="I218" s="501">
        <f>SUMIFS('JPM St'!$K:$K,'JPM St'!$A:$A,$V$4,'JPM St'!$C:$C,D218)</f>
        <v>0</v>
      </c>
      <c r="J218" s="619">
        <f t="shared" si="12"/>
        <v>0</v>
      </c>
      <c r="K218" s="501">
        <f>IFERROR(SUMIFS('JPM St'!$M:$M,'JPM St'!$A:$A,$V$2,'JPM St'!$C:$C,D218),"")</f>
        <v>0</v>
      </c>
      <c r="L218" s="501">
        <f>IFERROR(SUMIFS('JPM St'!$M:$M,'JPM St'!$A:$A,$V$3,'JPM St'!$C:$C,D218),"")</f>
        <v>0</v>
      </c>
      <c r="M218" s="501">
        <f>IFERROR(SUMIFS('JPM St'!$M:$M,'JPM St'!$A:$A,$V$4,'JPM St'!$C:$C,D218),"")</f>
        <v>0</v>
      </c>
    </row>
    <row r="219" spans="1:13" x14ac:dyDescent="0.25">
      <c r="A219" s="497" t="s">
        <v>90</v>
      </c>
      <c r="B219" s="497" t="str">
        <f>IFERROR(IF(VLOOKUP(D219,'JPM St'!$C:$G,3,0)="Fixed Income &amp; Cash","Cash",VLOOKUP(D219,'JPM St'!$C:$G,3,0)),"")</f>
        <v/>
      </c>
      <c r="C219" s="497" t="str">
        <f>IFERROR(VLOOKUP(D219,'JPM St'!$C:$L,10,0),"")</f>
        <v/>
      </c>
      <c r="E219" s="500" t="str">
        <f>IFERROR(VLOOKUP(D219,'JPM St'!$C:$D,2,0),"")</f>
        <v/>
      </c>
      <c r="F219" s="501">
        <f t="shared" si="11"/>
        <v>0</v>
      </c>
      <c r="G219" s="501">
        <f>SUMIFS('JPM St'!$K:$K,'JPM St'!$A:$A,$V$2,'JPM St'!$C:$C,D219)</f>
        <v>0</v>
      </c>
      <c r="H219" s="501">
        <f>SUMIFS('JPM St'!$K:$K,'JPM St'!$A:$A,$V$3,'JPM St'!$C:$C,D219)</f>
        <v>0</v>
      </c>
      <c r="I219" s="501">
        <f>SUMIFS('JPM St'!$K:$K,'JPM St'!$A:$A,$V$4,'JPM St'!$C:$C,D219)</f>
        <v>0</v>
      </c>
      <c r="J219" s="619">
        <f t="shared" si="12"/>
        <v>0</v>
      </c>
      <c r="K219" s="501">
        <f>IFERROR(SUMIFS('JPM St'!$M:$M,'JPM St'!$A:$A,$V$2,'JPM St'!$C:$C,D219),"")</f>
        <v>0</v>
      </c>
      <c r="L219" s="501">
        <f>IFERROR(SUMIFS('JPM St'!$M:$M,'JPM St'!$A:$A,$V$3,'JPM St'!$C:$C,D219),"")</f>
        <v>0</v>
      </c>
      <c r="M219" s="501">
        <f>IFERROR(SUMIFS('JPM St'!$M:$M,'JPM St'!$A:$A,$V$4,'JPM St'!$C:$C,D219),"")</f>
        <v>0</v>
      </c>
    </row>
    <row r="220" spans="1:13" x14ac:dyDescent="0.25">
      <c r="A220" s="497" t="s">
        <v>90</v>
      </c>
      <c r="B220" s="497" t="str">
        <f>IFERROR(IF(VLOOKUP(D220,'JPM St'!$C:$G,3,0)="Fixed Income &amp; Cash","Cash",VLOOKUP(D220,'JPM St'!$C:$G,3,0)),"")</f>
        <v/>
      </c>
      <c r="C220" s="497" t="str">
        <f>IFERROR(VLOOKUP(D220,'JPM St'!$C:$L,10,0),"")</f>
        <v/>
      </c>
      <c r="E220" s="500" t="str">
        <f>IFERROR(VLOOKUP(D220,'JPM St'!$C:$D,2,0),"")</f>
        <v/>
      </c>
      <c r="F220" s="501">
        <f t="shared" si="11"/>
        <v>0</v>
      </c>
      <c r="G220" s="501">
        <f>SUMIFS('JPM St'!$K:$K,'JPM St'!$A:$A,$V$2,'JPM St'!$C:$C,D220)</f>
        <v>0</v>
      </c>
      <c r="H220" s="501">
        <f>SUMIFS('JPM St'!$K:$K,'JPM St'!$A:$A,$V$3,'JPM St'!$C:$C,D220)</f>
        <v>0</v>
      </c>
      <c r="I220" s="501">
        <f>SUMIFS('JPM St'!$K:$K,'JPM St'!$A:$A,$V$4,'JPM St'!$C:$C,D220)</f>
        <v>0</v>
      </c>
      <c r="J220" s="619">
        <f t="shared" si="12"/>
        <v>0</v>
      </c>
      <c r="K220" s="501">
        <f>IFERROR(SUMIFS('JPM St'!$M:$M,'JPM St'!$A:$A,$V$2,'JPM St'!$C:$C,D220),"")</f>
        <v>0</v>
      </c>
      <c r="L220" s="501">
        <f>IFERROR(SUMIFS('JPM St'!$M:$M,'JPM St'!$A:$A,$V$3,'JPM St'!$C:$C,D220),"")</f>
        <v>0</v>
      </c>
      <c r="M220" s="501">
        <f>IFERROR(SUMIFS('JPM St'!$M:$M,'JPM St'!$A:$A,$V$4,'JPM St'!$C:$C,D220),"")</f>
        <v>0</v>
      </c>
    </row>
    <row r="221" spans="1:13" x14ac:dyDescent="0.25">
      <c r="A221" s="497" t="s">
        <v>90</v>
      </c>
      <c r="B221" s="497" t="str">
        <f>IFERROR(IF(VLOOKUP(D221,'JPM St'!$C:$G,3,0)="Fixed Income &amp; Cash","Cash",VLOOKUP(D221,'JPM St'!$C:$G,3,0)),"")</f>
        <v/>
      </c>
      <c r="C221" s="497" t="str">
        <f>IFERROR(VLOOKUP(D221,'JPM St'!$C:$L,10,0),"")</f>
        <v/>
      </c>
      <c r="E221" s="500" t="str">
        <f>IFERROR(VLOOKUP(D221,'JPM St'!$C:$D,2,0),"")</f>
        <v/>
      </c>
      <c r="F221" s="501">
        <f t="shared" si="11"/>
        <v>0</v>
      </c>
      <c r="G221" s="501">
        <f>SUMIFS('JPM St'!$K:$K,'JPM St'!$A:$A,$V$2,'JPM St'!$C:$C,D221)</f>
        <v>0</v>
      </c>
      <c r="H221" s="501">
        <f>SUMIFS('JPM St'!$K:$K,'JPM St'!$A:$A,$V$3,'JPM St'!$C:$C,D221)</f>
        <v>0</v>
      </c>
      <c r="I221" s="501">
        <f>SUMIFS('JPM St'!$K:$K,'JPM St'!$A:$A,$V$4,'JPM St'!$C:$C,D221)</f>
        <v>0</v>
      </c>
      <c r="J221" s="619">
        <f t="shared" si="12"/>
        <v>0</v>
      </c>
      <c r="K221" s="501">
        <f>IFERROR(SUMIFS('JPM St'!$M:$M,'JPM St'!$A:$A,$V$2,'JPM St'!$C:$C,D221),"")</f>
        <v>0</v>
      </c>
      <c r="L221" s="501">
        <f>IFERROR(SUMIFS('JPM St'!$M:$M,'JPM St'!$A:$A,$V$3,'JPM St'!$C:$C,D221),"")</f>
        <v>0</v>
      </c>
      <c r="M221" s="501">
        <f>IFERROR(SUMIFS('JPM St'!$M:$M,'JPM St'!$A:$A,$V$4,'JPM St'!$C:$C,D221),"")</f>
        <v>0</v>
      </c>
    </row>
    <row r="222" spans="1:13" x14ac:dyDescent="0.25">
      <c r="A222" s="497" t="s">
        <v>90</v>
      </c>
      <c r="B222" s="497" t="str">
        <f>IFERROR(IF(VLOOKUP(D222,'JPM St'!$C:$G,3,0)="Fixed Income &amp; Cash","Cash",VLOOKUP(D222,'JPM St'!$C:$G,3,0)),"")</f>
        <v/>
      </c>
      <c r="C222" s="497" t="str">
        <f>IFERROR(VLOOKUP(D222,'JPM St'!$C:$L,10,0),"")</f>
        <v/>
      </c>
      <c r="E222" s="500" t="str">
        <f>IFERROR(VLOOKUP(D222,'JPM St'!$C:$D,2,0),"")</f>
        <v/>
      </c>
      <c r="F222" s="501">
        <f t="shared" si="11"/>
        <v>0</v>
      </c>
      <c r="G222" s="501">
        <f>SUMIFS('JPM St'!$K:$K,'JPM St'!$A:$A,$V$2,'JPM St'!$C:$C,D222)</f>
        <v>0</v>
      </c>
      <c r="H222" s="501">
        <f>SUMIFS('JPM St'!$K:$K,'JPM St'!$A:$A,$V$3,'JPM St'!$C:$C,D222)</f>
        <v>0</v>
      </c>
      <c r="I222" s="501">
        <f>SUMIFS('JPM St'!$K:$K,'JPM St'!$A:$A,$V$4,'JPM St'!$C:$C,D222)</f>
        <v>0</v>
      </c>
      <c r="J222" s="619">
        <f t="shared" si="12"/>
        <v>0</v>
      </c>
      <c r="K222" s="501">
        <f>IFERROR(SUMIFS('JPM St'!$M:$M,'JPM St'!$A:$A,$V$2,'JPM St'!$C:$C,D222),"")</f>
        <v>0</v>
      </c>
      <c r="L222" s="501">
        <f>IFERROR(SUMIFS('JPM St'!$M:$M,'JPM St'!$A:$A,$V$3,'JPM St'!$C:$C,D222),"")</f>
        <v>0</v>
      </c>
      <c r="M222" s="501">
        <f>IFERROR(SUMIFS('JPM St'!$M:$M,'JPM St'!$A:$A,$V$4,'JPM St'!$C:$C,D222),"")</f>
        <v>0</v>
      </c>
    </row>
    <row r="223" spans="1:13" x14ac:dyDescent="0.25">
      <c r="A223" s="497" t="s">
        <v>90</v>
      </c>
      <c r="B223" s="497" t="str">
        <f>IFERROR(IF(VLOOKUP(D223,'JPM St'!$C:$G,3,0)="Fixed Income &amp; Cash","Cash",VLOOKUP(D223,'JPM St'!$C:$G,3,0)),"")</f>
        <v/>
      </c>
      <c r="C223" s="497" t="str">
        <f>IFERROR(VLOOKUP(D223,'JPM St'!$C:$L,10,0),"")</f>
        <v/>
      </c>
      <c r="E223" s="500" t="str">
        <f>IFERROR(VLOOKUP(D223,'JPM St'!$C:$D,2,0),"")</f>
        <v/>
      </c>
      <c r="F223" s="501">
        <f t="shared" si="11"/>
        <v>0</v>
      </c>
      <c r="G223" s="501">
        <f>SUMIFS('JPM St'!$K:$K,'JPM St'!$A:$A,$V$2,'JPM St'!$C:$C,D223)</f>
        <v>0</v>
      </c>
      <c r="H223" s="501">
        <f>SUMIFS('JPM St'!$K:$K,'JPM St'!$A:$A,$V$3,'JPM St'!$C:$C,D223)</f>
        <v>0</v>
      </c>
      <c r="I223" s="501">
        <f>SUMIFS('JPM St'!$K:$K,'JPM St'!$A:$A,$V$4,'JPM St'!$C:$C,D223)</f>
        <v>0</v>
      </c>
      <c r="J223" s="619">
        <f t="shared" si="12"/>
        <v>0</v>
      </c>
      <c r="K223" s="501">
        <f>IFERROR(SUMIFS('JPM St'!$M:$M,'JPM St'!$A:$A,$V$2,'JPM St'!$C:$C,D223),"")</f>
        <v>0</v>
      </c>
      <c r="L223" s="501">
        <f>IFERROR(SUMIFS('JPM St'!$M:$M,'JPM St'!$A:$A,$V$3,'JPM St'!$C:$C,D223),"")</f>
        <v>0</v>
      </c>
      <c r="M223" s="501">
        <f>IFERROR(SUMIFS('JPM St'!$M:$M,'JPM St'!$A:$A,$V$4,'JPM St'!$C:$C,D223),"")</f>
        <v>0</v>
      </c>
    </row>
    <row r="224" spans="1:13" x14ac:dyDescent="0.25">
      <c r="A224" s="497" t="s">
        <v>90</v>
      </c>
      <c r="B224" s="497" t="str">
        <f>IFERROR(IF(VLOOKUP(D224,'JPM St'!$C:$G,3,0)="Fixed Income &amp; Cash","Cash",VLOOKUP(D224,'JPM St'!$C:$G,3,0)),"")</f>
        <v/>
      </c>
      <c r="C224" s="497" t="str">
        <f>IFERROR(VLOOKUP(D224,'JPM St'!$C:$L,10,0),"")</f>
        <v/>
      </c>
      <c r="E224" s="500" t="str">
        <f>IFERROR(VLOOKUP(D224,'JPM St'!$C:$D,2,0),"")</f>
        <v/>
      </c>
      <c r="F224" s="501">
        <f t="shared" si="11"/>
        <v>0</v>
      </c>
      <c r="G224" s="501">
        <f>SUMIFS('JPM St'!$K:$K,'JPM St'!$A:$A,$V$2,'JPM St'!$C:$C,D224)</f>
        <v>0</v>
      </c>
      <c r="H224" s="501">
        <f>SUMIFS('JPM St'!$K:$K,'JPM St'!$A:$A,$V$3,'JPM St'!$C:$C,D224)</f>
        <v>0</v>
      </c>
      <c r="I224" s="501">
        <f>SUMIFS('JPM St'!$K:$K,'JPM St'!$A:$A,$V$4,'JPM St'!$C:$C,D224)</f>
        <v>0</v>
      </c>
      <c r="J224" s="619">
        <f t="shared" si="12"/>
        <v>0</v>
      </c>
      <c r="K224" s="501">
        <f>IFERROR(SUMIFS('JPM St'!$M:$M,'JPM St'!$A:$A,$V$2,'JPM St'!$C:$C,D224),"")</f>
        <v>0</v>
      </c>
      <c r="L224" s="501">
        <f>IFERROR(SUMIFS('JPM St'!$M:$M,'JPM St'!$A:$A,$V$3,'JPM St'!$C:$C,D224),"")</f>
        <v>0</v>
      </c>
      <c r="M224" s="501">
        <f>IFERROR(SUMIFS('JPM St'!$M:$M,'JPM St'!$A:$A,$V$4,'JPM St'!$C:$C,D224),"")</f>
        <v>0</v>
      </c>
    </row>
    <row r="225" spans="1:13" x14ac:dyDescent="0.25">
      <c r="A225" s="497" t="s">
        <v>90</v>
      </c>
      <c r="B225" s="497" t="str">
        <f>IFERROR(IF(VLOOKUP(D225,'JPM St'!$C:$G,3,0)="Fixed Income &amp; Cash","Cash",VLOOKUP(D225,'JPM St'!$C:$G,3,0)),"")</f>
        <v/>
      </c>
      <c r="C225" s="497" t="str">
        <f>IFERROR(VLOOKUP(D225,'JPM St'!$C:$L,10,0),"")</f>
        <v/>
      </c>
      <c r="E225" s="500" t="str">
        <f>IFERROR(VLOOKUP(D225,'JPM St'!$C:$D,2,0),"")</f>
        <v/>
      </c>
      <c r="F225" s="501">
        <f t="shared" si="11"/>
        <v>0</v>
      </c>
      <c r="G225" s="501">
        <f>SUMIFS('JPM St'!$K:$K,'JPM St'!$A:$A,$V$2,'JPM St'!$C:$C,D225)</f>
        <v>0</v>
      </c>
      <c r="H225" s="501">
        <f>SUMIFS('JPM St'!$K:$K,'JPM St'!$A:$A,$V$3,'JPM St'!$C:$C,D225)</f>
        <v>0</v>
      </c>
      <c r="I225" s="501">
        <f>SUMIFS('JPM St'!$K:$K,'JPM St'!$A:$A,$V$4,'JPM St'!$C:$C,D225)</f>
        <v>0</v>
      </c>
      <c r="J225" s="619">
        <f t="shared" si="12"/>
        <v>0</v>
      </c>
      <c r="K225" s="501">
        <f>IFERROR(SUMIFS('JPM St'!$M:$M,'JPM St'!$A:$A,$V$2,'JPM St'!$C:$C,D225),"")</f>
        <v>0</v>
      </c>
      <c r="L225" s="501">
        <f>IFERROR(SUMIFS('JPM St'!$M:$M,'JPM St'!$A:$A,$V$3,'JPM St'!$C:$C,D225),"")</f>
        <v>0</v>
      </c>
      <c r="M225" s="501">
        <f>IFERROR(SUMIFS('JPM St'!$M:$M,'JPM St'!$A:$A,$V$4,'JPM St'!$C:$C,D225),"")</f>
        <v>0</v>
      </c>
    </row>
    <row r="226" spans="1:13" x14ac:dyDescent="0.25">
      <c r="A226" s="497" t="s">
        <v>90</v>
      </c>
      <c r="B226" s="497" t="str">
        <f>IFERROR(IF(VLOOKUP(D226,'JPM St'!$C:$G,3,0)="Fixed Income &amp; Cash","Cash",VLOOKUP(D226,'JPM St'!$C:$G,3,0)),"")</f>
        <v/>
      </c>
      <c r="C226" s="497" t="str">
        <f>IFERROR(VLOOKUP(D226,'JPM St'!$C:$L,10,0),"")</f>
        <v/>
      </c>
      <c r="E226" s="500" t="str">
        <f>IFERROR(VLOOKUP(D226,'JPM St'!$C:$D,2,0),"")</f>
        <v/>
      </c>
      <c r="F226" s="501">
        <f t="shared" si="11"/>
        <v>0</v>
      </c>
      <c r="G226" s="501">
        <f>SUMIFS('JPM St'!$K:$K,'JPM St'!$A:$A,$V$2,'JPM St'!$C:$C,D226)</f>
        <v>0</v>
      </c>
      <c r="H226" s="501">
        <f>SUMIFS('JPM St'!$K:$K,'JPM St'!$A:$A,$V$3,'JPM St'!$C:$C,D226)</f>
        <v>0</v>
      </c>
      <c r="I226" s="501">
        <f>SUMIFS('JPM St'!$K:$K,'JPM St'!$A:$A,$V$4,'JPM St'!$C:$C,D226)</f>
        <v>0</v>
      </c>
      <c r="J226" s="619">
        <f t="shared" si="12"/>
        <v>0</v>
      </c>
      <c r="K226" s="501">
        <f>IFERROR(SUMIFS('JPM St'!$M:$M,'JPM St'!$A:$A,$V$2,'JPM St'!$C:$C,D226),"")</f>
        <v>0</v>
      </c>
      <c r="L226" s="501">
        <f>IFERROR(SUMIFS('JPM St'!$M:$M,'JPM St'!$A:$A,$V$3,'JPM St'!$C:$C,D226),"")</f>
        <v>0</v>
      </c>
      <c r="M226" s="501">
        <f>IFERROR(SUMIFS('JPM St'!$M:$M,'JPM St'!$A:$A,$V$4,'JPM St'!$C:$C,D226),"")</f>
        <v>0</v>
      </c>
    </row>
    <row r="227" spans="1:13" x14ac:dyDescent="0.25">
      <c r="A227" s="497" t="s">
        <v>90</v>
      </c>
      <c r="B227" s="497" t="str">
        <f>IFERROR(IF(VLOOKUP(D227,'JPM St'!$C:$G,3,0)="Fixed Income &amp; Cash","Cash",VLOOKUP(D227,'JPM St'!$C:$G,3,0)),"")</f>
        <v/>
      </c>
      <c r="C227" s="497" t="str">
        <f>IFERROR(VLOOKUP(D227,'JPM St'!$C:$L,10,0),"")</f>
        <v/>
      </c>
      <c r="E227" s="500" t="str">
        <f>IFERROR(VLOOKUP(D227,'JPM St'!$C:$D,2,0),"")</f>
        <v/>
      </c>
      <c r="F227" s="501">
        <f t="shared" si="11"/>
        <v>0</v>
      </c>
      <c r="G227" s="501">
        <f>SUMIFS('JPM St'!$K:$K,'JPM St'!$A:$A,$V$2,'JPM St'!$C:$C,D227)</f>
        <v>0</v>
      </c>
      <c r="H227" s="501">
        <f>SUMIFS('JPM St'!$K:$K,'JPM St'!$A:$A,$V$3,'JPM St'!$C:$C,D227)</f>
        <v>0</v>
      </c>
      <c r="I227" s="501">
        <f>SUMIFS('JPM St'!$K:$K,'JPM St'!$A:$A,$V$4,'JPM St'!$C:$C,D227)</f>
        <v>0</v>
      </c>
      <c r="J227" s="619">
        <f t="shared" si="12"/>
        <v>0</v>
      </c>
      <c r="K227" s="501">
        <f>IFERROR(SUMIFS('JPM St'!$M:$M,'JPM St'!$A:$A,$V$2,'JPM St'!$C:$C,D227),"")</f>
        <v>0</v>
      </c>
      <c r="L227" s="501">
        <f>IFERROR(SUMIFS('JPM St'!$M:$M,'JPM St'!$A:$A,$V$3,'JPM St'!$C:$C,D227),"")</f>
        <v>0</v>
      </c>
      <c r="M227" s="501">
        <f>IFERROR(SUMIFS('JPM St'!$M:$M,'JPM St'!$A:$A,$V$4,'JPM St'!$C:$C,D227),"")</f>
        <v>0</v>
      </c>
    </row>
    <row r="228" spans="1:13" x14ac:dyDescent="0.25">
      <c r="A228" s="497" t="s">
        <v>90</v>
      </c>
      <c r="B228" s="497" t="str">
        <f>IFERROR(IF(VLOOKUP(D228,'JPM St'!$C:$G,3,0)="Fixed Income &amp; Cash","Cash",VLOOKUP(D228,'JPM St'!$C:$G,3,0)),"")</f>
        <v/>
      </c>
      <c r="C228" s="497" t="str">
        <f>IFERROR(VLOOKUP(D228,'JPM St'!$C:$L,10,0),"")</f>
        <v/>
      </c>
      <c r="E228" s="500" t="str">
        <f>IFERROR(VLOOKUP(D228,'JPM St'!$C:$D,2,0),"")</f>
        <v/>
      </c>
      <c r="F228" s="501">
        <f t="shared" si="11"/>
        <v>0</v>
      </c>
      <c r="G228" s="501">
        <f>SUMIFS('JPM St'!$K:$K,'JPM St'!$A:$A,$V$2,'JPM St'!$C:$C,D228)</f>
        <v>0</v>
      </c>
      <c r="H228" s="501">
        <f>SUMIFS('JPM St'!$K:$K,'JPM St'!$A:$A,$V$3,'JPM St'!$C:$C,D228)</f>
        <v>0</v>
      </c>
      <c r="I228" s="501">
        <f>SUMIFS('JPM St'!$K:$K,'JPM St'!$A:$A,$V$4,'JPM St'!$C:$C,D228)</f>
        <v>0</v>
      </c>
      <c r="J228" s="619">
        <f t="shared" si="12"/>
        <v>0</v>
      </c>
      <c r="K228" s="501">
        <f>IFERROR(SUMIFS('JPM St'!$M:$M,'JPM St'!$A:$A,$V$2,'JPM St'!$C:$C,D228),"")</f>
        <v>0</v>
      </c>
      <c r="L228" s="501">
        <f>IFERROR(SUMIFS('JPM St'!$M:$M,'JPM St'!$A:$A,$V$3,'JPM St'!$C:$C,D228),"")</f>
        <v>0</v>
      </c>
      <c r="M228" s="501">
        <f>IFERROR(SUMIFS('JPM St'!$M:$M,'JPM St'!$A:$A,$V$4,'JPM St'!$C:$C,D228),"")</f>
        <v>0</v>
      </c>
    </row>
    <row r="229" spans="1:13" x14ac:dyDescent="0.25">
      <c r="A229" s="497" t="s">
        <v>90</v>
      </c>
      <c r="B229" s="497" t="str">
        <f>IFERROR(IF(VLOOKUP(D229,'JPM St'!$C:$G,3,0)="Fixed Income &amp; Cash","Cash",VLOOKUP(D229,'JPM St'!$C:$G,3,0)),"")</f>
        <v/>
      </c>
      <c r="C229" s="497" t="str">
        <f>IFERROR(VLOOKUP(D229,'JPM St'!$C:$L,10,0),"")</f>
        <v/>
      </c>
      <c r="E229" s="500" t="str">
        <f>IFERROR(VLOOKUP(D229,'JPM St'!$C:$D,2,0),"")</f>
        <v/>
      </c>
      <c r="F229" s="501">
        <f t="shared" si="11"/>
        <v>0</v>
      </c>
      <c r="G229" s="501">
        <f>SUMIFS('JPM St'!$K:$K,'JPM St'!$A:$A,$V$2,'JPM St'!$C:$C,D229)</f>
        <v>0</v>
      </c>
      <c r="H229" s="501">
        <f>SUMIFS('JPM St'!$K:$K,'JPM St'!$A:$A,$V$3,'JPM St'!$C:$C,D229)</f>
        <v>0</v>
      </c>
      <c r="I229" s="501">
        <f>SUMIFS('JPM St'!$K:$K,'JPM St'!$A:$A,$V$4,'JPM St'!$C:$C,D229)</f>
        <v>0</v>
      </c>
      <c r="J229" s="619">
        <f t="shared" si="12"/>
        <v>0</v>
      </c>
      <c r="K229" s="501">
        <f>IFERROR(SUMIFS('JPM St'!$M:$M,'JPM St'!$A:$A,$V$2,'JPM St'!$C:$C,D229),"")</f>
        <v>0</v>
      </c>
      <c r="L229" s="501">
        <f>IFERROR(SUMIFS('JPM St'!$M:$M,'JPM St'!$A:$A,$V$3,'JPM St'!$C:$C,D229),"")</f>
        <v>0</v>
      </c>
      <c r="M229" s="501">
        <f>IFERROR(SUMIFS('JPM St'!$M:$M,'JPM St'!$A:$A,$V$4,'JPM St'!$C:$C,D229),"")</f>
        <v>0</v>
      </c>
    </row>
    <row r="230" spans="1:13" x14ac:dyDescent="0.25">
      <c r="A230" s="497" t="s">
        <v>90</v>
      </c>
      <c r="B230" s="497" t="str">
        <f>IFERROR(IF(VLOOKUP(D230,'JPM St'!$C:$G,3,0)="Fixed Income &amp; Cash","Cash",VLOOKUP(D230,'JPM St'!$C:$G,3,0)),"")</f>
        <v/>
      </c>
      <c r="C230" s="497" t="str">
        <f>IFERROR(VLOOKUP(D230,'JPM St'!$C:$L,10,0),"")</f>
        <v/>
      </c>
      <c r="E230" s="500" t="str">
        <f>IFERROR(VLOOKUP(D230,'JPM St'!$C:$D,2,0),"")</f>
        <v/>
      </c>
      <c r="F230" s="501">
        <f t="shared" si="11"/>
        <v>0</v>
      </c>
      <c r="G230" s="501">
        <f>SUMIFS('JPM St'!$K:$K,'JPM St'!$A:$A,$V$2,'JPM St'!$C:$C,D230)</f>
        <v>0</v>
      </c>
      <c r="H230" s="501">
        <f>SUMIFS('JPM St'!$K:$K,'JPM St'!$A:$A,$V$3,'JPM St'!$C:$C,D230)</f>
        <v>0</v>
      </c>
      <c r="I230" s="501">
        <f>SUMIFS('JPM St'!$K:$K,'JPM St'!$A:$A,$V$4,'JPM St'!$C:$C,D230)</f>
        <v>0</v>
      </c>
      <c r="J230" s="619">
        <f t="shared" si="12"/>
        <v>0</v>
      </c>
      <c r="K230" s="501">
        <f>IFERROR(SUMIFS('JPM St'!$M:$M,'JPM St'!$A:$A,$V$2,'JPM St'!$C:$C,D230),"")</f>
        <v>0</v>
      </c>
      <c r="L230" s="501">
        <f>IFERROR(SUMIFS('JPM St'!$M:$M,'JPM St'!$A:$A,$V$3,'JPM St'!$C:$C,D230),"")</f>
        <v>0</v>
      </c>
      <c r="M230" s="501">
        <f>IFERROR(SUMIFS('JPM St'!$M:$M,'JPM St'!$A:$A,$V$4,'JPM St'!$C:$C,D230),"")</f>
        <v>0</v>
      </c>
    </row>
    <row r="231" spans="1:13" x14ac:dyDescent="0.25">
      <c r="A231" s="497" t="s">
        <v>90</v>
      </c>
      <c r="B231" s="497" t="str">
        <f>IFERROR(IF(VLOOKUP(D231,'JPM St'!$C:$G,3,0)="Fixed Income &amp; Cash","Cash",VLOOKUP(D231,'JPM St'!$C:$G,3,0)),"")</f>
        <v/>
      </c>
      <c r="C231" s="497" t="str">
        <f>IFERROR(VLOOKUP(D231,'JPM St'!$C:$L,10,0),"")</f>
        <v/>
      </c>
      <c r="E231" s="500" t="str">
        <f>IFERROR(VLOOKUP(D231,'JPM St'!$C:$D,2,0),"")</f>
        <v/>
      </c>
      <c r="F231" s="501">
        <f t="shared" si="11"/>
        <v>0</v>
      </c>
      <c r="G231" s="501">
        <f>SUMIFS('JPM St'!$K:$K,'JPM St'!$A:$A,$V$2,'JPM St'!$C:$C,D231)</f>
        <v>0</v>
      </c>
      <c r="H231" s="501">
        <f>SUMIFS('JPM St'!$K:$K,'JPM St'!$A:$A,$V$3,'JPM St'!$C:$C,D231)</f>
        <v>0</v>
      </c>
      <c r="I231" s="501">
        <f>SUMIFS('JPM St'!$K:$K,'JPM St'!$A:$A,$V$4,'JPM St'!$C:$C,D231)</f>
        <v>0</v>
      </c>
      <c r="J231" s="619">
        <f t="shared" si="12"/>
        <v>0</v>
      </c>
      <c r="K231" s="501">
        <f>IFERROR(SUMIFS('JPM St'!$M:$M,'JPM St'!$A:$A,$V$2,'JPM St'!$C:$C,D231),"")</f>
        <v>0</v>
      </c>
      <c r="L231" s="501">
        <f>IFERROR(SUMIFS('JPM St'!$M:$M,'JPM St'!$A:$A,$V$3,'JPM St'!$C:$C,D231),"")</f>
        <v>0</v>
      </c>
      <c r="M231" s="501">
        <f>IFERROR(SUMIFS('JPM St'!$M:$M,'JPM St'!$A:$A,$V$4,'JPM St'!$C:$C,D231),"")</f>
        <v>0</v>
      </c>
    </row>
    <row r="232" spans="1:13" x14ac:dyDescent="0.25">
      <c r="A232" s="497" t="s">
        <v>90</v>
      </c>
      <c r="B232" s="497" t="str">
        <f>IFERROR(IF(VLOOKUP(D232,'JPM St'!$C:$G,3,0)="Fixed Income &amp; Cash","Cash",VLOOKUP(D232,'JPM St'!$C:$G,3,0)),"")</f>
        <v/>
      </c>
      <c r="C232" s="497" t="str">
        <f>IFERROR(VLOOKUP(D232,'JPM St'!$C:$L,10,0),"")</f>
        <v/>
      </c>
      <c r="E232" s="500" t="str">
        <f>IFERROR(VLOOKUP(D232,'JPM St'!$C:$D,2,0),"")</f>
        <v/>
      </c>
      <c r="F232" s="501">
        <f t="shared" si="11"/>
        <v>0</v>
      </c>
      <c r="G232" s="501">
        <f>SUMIFS('JPM St'!$K:$K,'JPM St'!$A:$A,$V$2,'JPM St'!$C:$C,D232)</f>
        <v>0</v>
      </c>
      <c r="H232" s="501">
        <f>SUMIFS('JPM St'!$K:$K,'JPM St'!$A:$A,$V$3,'JPM St'!$C:$C,D232)</f>
        <v>0</v>
      </c>
      <c r="I232" s="501">
        <f>SUMIFS('JPM St'!$K:$K,'JPM St'!$A:$A,$V$4,'JPM St'!$C:$C,D232)</f>
        <v>0</v>
      </c>
      <c r="J232" s="619">
        <f t="shared" si="12"/>
        <v>0</v>
      </c>
      <c r="K232" s="501">
        <f>IFERROR(SUMIFS('JPM St'!$M:$M,'JPM St'!$A:$A,$V$2,'JPM St'!$C:$C,D232),"")</f>
        <v>0</v>
      </c>
      <c r="L232" s="501">
        <f>IFERROR(SUMIFS('JPM St'!$M:$M,'JPM St'!$A:$A,$V$3,'JPM St'!$C:$C,D232),"")</f>
        <v>0</v>
      </c>
      <c r="M232" s="501">
        <f>IFERROR(SUMIFS('JPM St'!$M:$M,'JPM St'!$A:$A,$V$4,'JPM St'!$C:$C,D232),"")</f>
        <v>0</v>
      </c>
    </row>
    <row r="233" spans="1:13" x14ac:dyDescent="0.25">
      <c r="A233" s="497" t="s">
        <v>90</v>
      </c>
      <c r="B233" s="497" t="str">
        <f>IFERROR(IF(VLOOKUP(D233,'JPM St'!$C:$G,3,0)="Fixed Income &amp; Cash","Cash",VLOOKUP(D233,'JPM St'!$C:$G,3,0)),"")</f>
        <v/>
      </c>
      <c r="C233" s="497" t="str">
        <f>IFERROR(VLOOKUP(D233,'JPM St'!$C:$L,10,0),"")</f>
        <v/>
      </c>
      <c r="E233" s="500" t="str">
        <f>IFERROR(VLOOKUP(D233,'JPM St'!$C:$D,2,0),"")</f>
        <v/>
      </c>
      <c r="F233" s="501">
        <f t="shared" si="11"/>
        <v>0</v>
      </c>
      <c r="G233" s="501">
        <f>SUMIFS('JPM St'!$K:$K,'JPM St'!$A:$A,$V$2,'JPM St'!$C:$C,D233)</f>
        <v>0</v>
      </c>
      <c r="H233" s="501">
        <f>SUMIFS('JPM St'!$K:$K,'JPM St'!$A:$A,$V$3,'JPM St'!$C:$C,D233)</f>
        <v>0</v>
      </c>
      <c r="I233" s="501">
        <f>SUMIFS('JPM St'!$K:$K,'JPM St'!$A:$A,$V$4,'JPM St'!$C:$C,D233)</f>
        <v>0</v>
      </c>
      <c r="J233" s="619">
        <f t="shared" si="12"/>
        <v>0</v>
      </c>
      <c r="K233" s="501">
        <f>IFERROR(SUMIFS('JPM St'!$M:$M,'JPM St'!$A:$A,$V$2,'JPM St'!$C:$C,D233),"")</f>
        <v>0</v>
      </c>
      <c r="L233" s="501">
        <f>IFERROR(SUMIFS('JPM St'!$M:$M,'JPM St'!$A:$A,$V$3,'JPM St'!$C:$C,D233),"")</f>
        <v>0</v>
      </c>
      <c r="M233" s="501">
        <f>IFERROR(SUMIFS('JPM St'!$M:$M,'JPM St'!$A:$A,$V$4,'JPM St'!$C:$C,D233),"")</f>
        <v>0</v>
      </c>
    </row>
    <row r="234" spans="1:13" x14ac:dyDescent="0.25">
      <c r="A234" s="497" t="s">
        <v>90</v>
      </c>
      <c r="B234" s="497" t="str">
        <f>IFERROR(IF(VLOOKUP(D234,'JPM St'!$C:$G,3,0)="Fixed Income &amp; Cash","Cash",VLOOKUP(D234,'JPM St'!$C:$G,3,0)),"")</f>
        <v/>
      </c>
      <c r="C234" s="497" t="str">
        <f>IFERROR(VLOOKUP(D234,'JPM St'!$C:$L,10,0),"")</f>
        <v/>
      </c>
      <c r="E234" s="500" t="str">
        <f>IFERROR(VLOOKUP(D234,'JPM St'!$C:$D,2,0),"")</f>
        <v/>
      </c>
      <c r="F234" s="501">
        <f t="shared" si="11"/>
        <v>0</v>
      </c>
      <c r="G234" s="501">
        <f>SUMIFS('JPM St'!$K:$K,'JPM St'!$A:$A,$V$2,'JPM St'!$C:$C,D234)</f>
        <v>0</v>
      </c>
      <c r="H234" s="501">
        <f>SUMIFS('JPM St'!$K:$K,'JPM St'!$A:$A,$V$3,'JPM St'!$C:$C,D234)</f>
        <v>0</v>
      </c>
      <c r="I234" s="501">
        <f>SUMIFS('JPM St'!$K:$K,'JPM St'!$A:$A,$V$4,'JPM St'!$C:$C,D234)</f>
        <v>0</v>
      </c>
      <c r="J234" s="619">
        <f t="shared" si="12"/>
        <v>0</v>
      </c>
      <c r="K234" s="501">
        <f>IFERROR(SUMIFS('JPM St'!$M:$M,'JPM St'!$A:$A,$V$2,'JPM St'!$C:$C,D234),"")</f>
        <v>0</v>
      </c>
      <c r="L234" s="501">
        <f>IFERROR(SUMIFS('JPM St'!$M:$M,'JPM St'!$A:$A,$V$3,'JPM St'!$C:$C,D234),"")</f>
        <v>0</v>
      </c>
      <c r="M234" s="501">
        <f>IFERROR(SUMIFS('JPM St'!$M:$M,'JPM St'!$A:$A,$V$4,'JPM St'!$C:$C,D234),"")</f>
        <v>0</v>
      </c>
    </row>
    <row r="235" spans="1:13" x14ac:dyDescent="0.25">
      <c r="A235" s="497" t="s">
        <v>90</v>
      </c>
      <c r="B235" s="497" t="str">
        <f>IFERROR(IF(VLOOKUP(D235,'JPM St'!$C:$G,3,0)="Fixed Income &amp; Cash","Cash",VLOOKUP(D235,'JPM St'!$C:$G,3,0)),"")</f>
        <v/>
      </c>
      <c r="C235" s="497" t="str">
        <f>IFERROR(VLOOKUP(D235,'JPM St'!$C:$L,10,0),"")</f>
        <v/>
      </c>
      <c r="E235" s="500" t="str">
        <f>IFERROR(VLOOKUP(D235,'JPM St'!$C:$D,2,0),"")</f>
        <v/>
      </c>
      <c r="F235" s="501">
        <f t="shared" si="11"/>
        <v>0</v>
      </c>
      <c r="G235" s="501">
        <f>SUMIFS('JPM St'!$K:$K,'JPM St'!$A:$A,$V$2,'JPM St'!$C:$C,D235)</f>
        <v>0</v>
      </c>
      <c r="H235" s="501">
        <f>SUMIFS('JPM St'!$K:$K,'JPM St'!$A:$A,$V$3,'JPM St'!$C:$C,D235)</f>
        <v>0</v>
      </c>
      <c r="I235" s="501">
        <f>SUMIFS('JPM St'!$K:$K,'JPM St'!$A:$A,$V$4,'JPM St'!$C:$C,D235)</f>
        <v>0</v>
      </c>
      <c r="J235" s="619">
        <f t="shared" si="12"/>
        <v>0</v>
      </c>
      <c r="K235" s="501">
        <f>IFERROR(SUMIFS('JPM St'!$M:$M,'JPM St'!$A:$A,$V$2,'JPM St'!$C:$C,D235),"")</f>
        <v>0</v>
      </c>
      <c r="L235" s="501">
        <f>IFERROR(SUMIFS('JPM St'!$M:$M,'JPM St'!$A:$A,$V$3,'JPM St'!$C:$C,D235),"")</f>
        <v>0</v>
      </c>
      <c r="M235" s="501">
        <f>IFERROR(SUMIFS('JPM St'!$M:$M,'JPM St'!$A:$A,$V$4,'JPM St'!$C:$C,D235),"")</f>
        <v>0</v>
      </c>
    </row>
    <row r="236" spans="1:13" x14ac:dyDescent="0.25">
      <c r="A236" s="497" t="s">
        <v>90</v>
      </c>
      <c r="B236" s="497" t="str">
        <f>IFERROR(IF(VLOOKUP(D236,'JPM St'!$C:$G,3,0)="Fixed Income &amp; Cash","Cash",VLOOKUP(D236,'JPM St'!$C:$G,3,0)),"")</f>
        <v/>
      </c>
      <c r="C236" s="497" t="str">
        <f>IFERROR(VLOOKUP(D236,'JPM St'!$C:$L,10,0),"")</f>
        <v/>
      </c>
      <c r="E236" s="500" t="str">
        <f>IFERROR(VLOOKUP(D236,'JPM St'!$C:$D,2,0),"")</f>
        <v/>
      </c>
      <c r="F236" s="501">
        <f t="shared" si="11"/>
        <v>0</v>
      </c>
      <c r="G236" s="501">
        <f>SUMIFS('JPM St'!$K:$K,'JPM St'!$A:$A,$V$2,'JPM St'!$C:$C,D236)</f>
        <v>0</v>
      </c>
      <c r="H236" s="501">
        <f>SUMIFS('JPM St'!$K:$K,'JPM St'!$A:$A,$V$3,'JPM St'!$C:$C,D236)</f>
        <v>0</v>
      </c>
      <c r="I236" s="501">
        <f>SUMIFS('JPM St'!$K:$K,'JPM St'!$A:$A,$V$4,'JPM St'!$C:$C,D236)</f>
        <v>0</v>
      </c>
      <c r="J236" s="619">
        <f t="shared" si="12"/>
        <v>0</v>
      </c>
      <c r="K236" s="501">
        <f>IFERROR(SUMIFS('JPM St'!$M:$M,'JPM St'!$A:$A,$V$2,'JPM St'!$C:$C,D236),"")</f>
        <v>0</v>
      </c>
      <c r="L236" s="501">
        <f>IFERROR(SUMIFS('JPM St'!$M:$M,'JPM St'!$A:$A,$V$3,'JPM St'!$C:$C,D236),"")</f>
        <v>0</v>
      </c>
      <c r="M236" s="501">
        <f>IFERROR(SUMIFS('JPM St'!$M:$M,'JPM St'!$A:$A,$V$4,'JPM St'!$C:$C,D236),"")</f>
        <v>0</v>
      </c>
    </row>
    <row r="237" spans="1:13" x14ac:dyDescent="0.25">
      <c r="A237" s="497" t="s">
        <v>90</v>
      </c>
      <c r="B237" s="497" t="str">
        <f>IFERROR(IF(VLOOKUP(D237,'JPM St'!$C:$G,3,0)="Fixed Income &amp; Cash","Cash",VLOOKUP(D237,'JPM St'!$C:$G,3,0)),"")</f>
        <v/>
      </c>
      <c r="C237" s="497" t="str">
        <f>IFERROR(VLOOKUP(D237,'JPM St'!$C:$L,10,0),"")</f>
        <v/>
      </c>
      <c r="E237" s="500" t="str">
        <f>IFERROR(VLOOKUP(D237,'JPM St'!$C:$D,2,0),"")</f>
        <v/>
      </c>
      <c r="F237" s="501">
        <f t="shared" si="11"/>
        <v>0</v>
      </c>
      <c r="G237" s="501">
        <f>SUMIFS('JPM St'!$K:$K,'JPM St'!$A:$A,$V$2,'JPM St'!$C:$C,D237)</f>
        <v>0</v>
      </c>
      <c r="H237" s="501">
        <f>SUMIFS('JPM St'!$K:$K,'JPM St'!$A:$A,$V$3,'JPM St'!$C:$C,D237)</f>
        <v>0</v>
      </c>
      <c r="I237" s="501">
        <f>SUMIFS('JPM St'!$K:$K,'JPM St'!$A:$A,$V$4,'JPM St'!$C:$C,D237)</f>
        <v>0</v>
      </c>
      <c r="J237" s="619">
        <f t="shared" si="12"/>
        <v>0</v>
      </c>
      <c r="K237" s="501">
        <f>IFERROR(SUMIFS('JPM St'!$M:$M,'JPM St'!$A:$A,$V$2,'JPM St'!$C:$C,D237),"")</f>
        <v>0</v>
      </c>
      <c r="L237" s="501">
        <f>IFERROR(SUMIFS('JPM St'!$M:$M,'JPM St'!$A:$A,$V$3,'JPM St'!$C:$C,D237),"")</f>
        <v>0</v>
      </c>
      <c r="M237" s="501">
        <f>IFERROR(SUMIFS('JPM St'!$M:$M,'JPM St'!$A:$A,$V$4,'JPM St'!$C:$C,D237),"")</f>
        <v>0</v>
      </c>
    </row>
    <row r="238" spans="1:13" x14ac:dyDescent="0.25">
      <c r="A238" s="497" t="s">
        <v>90</v>
      </c>
      <c r="B238" s="497" t="str">
        <f>IFERROR(IF(VLOOKUP(D238,'JPM St'!$C:$G,3,0)="Fixed Income &amp; Cash","Cash",VLOOKUP(D238,'JPM St'!$C:$G,3,0)),"")</f>
        <v/>
      </c>
      <c r="C238" s="497" t="str">
        <f>IFERROR(VLOOKUP(D238,'JPM St'!$C:$L,10,0),"")</f>
        <v/>
      </c>
      <c r="E238" s="500" t="str">
        <f>IFERROR(VLOOKUP(D238,'JPM St'!$C:$D,2,0),"")</f>
        <v/>
      </c>
      <c r="F238" s="501">
        <f t="shared" si="11"/>
        <v>0</v>
      </c>
      <c r="G238" s="501">
        <f>SUMIFS('JPM St'!$K:$K,'JPM St'!$A:$A,$V$2,'JPM St'!$C:$C,D238)</f>
        <v>0</v>
      </c>
      <c r="H238" s="501">
        <f>SUMIFS('JPM St'!$K:$K,'JPM St'!$A:$A,$V$3,'JPM St'!$C:$C,D238)</f>
        <v>0</v>
      </c>
      <c r="I238" s="501">
        <f>SUMIFS('JPM St'!$K:$K,'JPM St'!$A:$A,$V$4,'JPM St'!$C:$C,D238)</f>
        <v>0</v>
      </c>
      <c r="J238" s="619">
        <f t="shared" si="12"/>
        <v>0</v>
      </c>
      <c r="K238" s="501">
        <f>IFERROR(SUMIFS('JPM St'!$M:$M,'JPM St'!$A:$A,$V$2,'JPM St'!$C:$C,D238),"")</f>
        <v>0</v>
      </c>
      <c r="L238" s="501">
        <f>IFERROR(SUMIFS('JPM St'!$M:$M,'JPM St'!$A:$A,$V$3,'JPM St'!$C:$C,D238),"")</f>
        <v>0</v>
      </c>
      <c r="M238" s="501">
        <f>IFERROR(SUMIFS('JPM St'!$M:$M,'JPM St'!$A:$A,$V$4,'JPM St'!$C:$C,D238),"")</f>
        <v>0</v>
      </c>
    </row>
    <row r="239" spans="1:13" x14ac:dyDescent="0.25">
      <c r="A239" s="497" t="s">
        <v>90</v>
      </c>
      <c r="B239" s="497" t="str">
        <f>IFERROR(IF(VLOOKUP(D239,'JPM St'!$C:$G,3,0)="Fixed Income &amp; Cash","Cash",VLOOKUP(D239,'JPM St'!$C:$G,3,0)),"")</f>
        <v/>
      </c>
      <c r="C239" s="497" t="str">
        <f>IFERROR(VLOOKUP(D239,'JPM St'!$C:$L,10,0),"")</f>
        <v/>
      </c>
      <c r="E239" s="500" t="str">
        <f>IFERROR(VLOOKUP(D239,'JPM St'!$C:$D,2,0),"")</f>
        <v/>
      </c>
      <c r="F239" s="501">
        <f t="shared" si="11"/>
        <v>0</v>
      </c>
      <c r="G239" s="501">
        <f>SUMIFS('JPM St'!$K:$K,'JPM St'!$A:$A,$V$2,'JPM St'!$C:$C,D239)</f>
        <v>0</v>
      </c>
      <c r="H239" s="501">
        <f>SUMIFS('JPM St'!$K:$K,'JPM St'!$A:$A,$V$3,'JPM St'!$C:$C,D239)</f>
        <v>0</v>
      </c>
      <c r="I239" s="501">
        <f>SUMIFS('JPM St'!$K:$K,'JPM St'!$A:$A,$V$4,'JPM St'!$C:$C,D239)</f>
        <v>0</v>
      </c>
      <c r="J239" s="619">
        <f t="shared" si="12"/>
        <v>0</v>
      </c>
      <c r="K239" s="501">
        <f>IFERROR(SUMIFS('JPM St'!$M:$M,'JPM St'!$A:$A,$V$2,'JPM St'!$C:$C,D239),"")</f>
        <v>0</v>
      </c>
      <c r="L239" s="501">
        <f>IFERROR(SUMIFS('JPM St'!$M:$M,'JPM St'!$A:$A,$V$3,'JPM St'!$C:$C,D239),"")</f>
        <v>0</v>
      </c>
      <c r="M239" s="501">
        <f>IFERROR(SUMIFS('JPM St'!$M:$M,'JPM St'!$A:$A,$V$4,'JPM St'!$C:$C,D239),"")</f>
        <v>0</v>
      </c>
    </row>
    <row r="240" spans="1:13" x14ac:dyDescent="0.25">
      <c r="A240" s="497" t="s">
        <v>90</v>
      </c>
      <c r="B240" s="497" t="str">
        <f>IFERROR(IF(VLOOKUP(D240,'JPM St'!$C:$G,3,0)="Fixed Income &amp; Cash","Cash",VLOOKUP(D240,'JPM St'!$C:$G,3,0)),"")</f>
        <v/>
      </c>
      <c r="C240" s="497" t="str">
        <f>IFERROR(VLOOKUP(D240,'JPM St'!$C:$L,10,0),"")</f>
        <v/>
      </c>
      <c r="E240" s="500" t="str">
        <f>IFERROR(VLOOKUP(D240,'JPM St'!$C:$D,2,0),"")</f>
        <v/>
      </c>
      <c r="F240" s="501">
        <f t="shared" si="11"/>
        <v>0</v>
      </c>
      <c r="G240" s="501">
        <f>SUMIFS('JPM St'!$K:$K,'JPM St'!$A:$A,$V$2,'JPM St'!$C:$C,D240)</f>
        <v>0</v>
      </c>
      <c r="H240" s="501">
        <f>SUMIFS('JPM St'!$K:$K,'JPM St'!$A:$A,$V$3,'JPM St'!$C:$C,D240)</f>
        <v>0</v>
      </c>
      <c r="I240" s="501">
        <f>SUMIFS('JPM St'!$K:$K,'JPM St'!$A:$A,$V$4,'JPM St'!$C:$C,D240)</f>
        <v>0</v>
      </c>
      <c r="J240" s="619">
        <f t="shared" si="12"/>
        <v>0</v>
      </c>
      <c r="K240" s="501">
        <f>IFERROR(SUMIFS('JPM St'!$M:$M,'JPM St'!$A:$A,$V$2,'JPM St'!$C:$C,D240),"")</f>
        <v>0</v>
      </c>
      <c r="L240" s="501">
        <f>IFERROR(SUMIFS('JPM St'!$M:$M,'JPM St'!$A:$A,$V$3,'JPM St'!$C:$C,D240),"")</f>
        <v>0</v>
      </c>
      <c r="M240" s="501">
        <f>IFERROR(SUMIFS('JPM St'!$M:$M,'JPM St'!$A:$A,$V$4,'JPM St'!$C:$C,D240),"")</f>
        <v>0</v>
      </c>
    </row>
    <row r="241" spans="1:13" x14ac:dyDescent="0.25">
      <c r="A241" s="497" t="s">
        <v>90</v>
      </c>
      <c r="B241" s="497" t="str">
        <f>IFERROR(IF(VLOOKUP(D241,'JPM St'!$C:$G,3,0)="Fixed Income &amp; Cash","Cash",VLOOKUP(D241,'JPM St'!$C:$G,3,0)),"")</f>
        <v/>
      </c>
      <c r="C241" s="497" t="str">
        <f>IFERROR(VLOOKUP(D241,'JPM St'!$C:$L,10,0),"")</f>
        <v/>
      </c>
      <c r="E241" s="500" t="str">
        <f>IFERROR(VLOOKUP(D241,'JPM St'!$C:$D,2,0),"")</f>
        <v/>
      </c>
      <c r="F241" s="501">
        <f t="shared" si="11"/>
        <v>0</v>
      </c>
      <c r="G241" s="501">
        <f>SUMIFS('JPM St'!$K:$K,'JPM St'!$A:$A,$V$2,'JPM St'!$C:$C,D241)</f>
        <v>0</v>
      </c>
      <c r="H241" s="501">
        <f>SUMIFS('JPM St'!$K:$K,'JPM St'!$A:$A,$V$3,'JPM St'!$C:$C,D241)</f>
        <v>0</v>
      </c>
      <c r="I241" s="501">
        <f>SUMIFS('JPM St'!$K:$K,'JPM St'!$A:$A,$V$4,'JPM St'!$C:$C,D241)</f>
        <v>0</v>
      </c>
      <c r="J241" s="619">
        <f t="shared" si="12"/>
        <v>0</v>
      </c>
      <c r="K241" s="501">
        <f>IFERROR(SUMIFS('JPM St'!$M:$M,'JPM St'!$A:$A,$V$2,'JPM St'!$C:$C,D241),"")</f>
        <v>0</v>
      </c>
      <c r="L241" s="501">
        <f>IFERROR(SUMIFS('JPM St'!$M:$M,'JPM St'!$A:$A,$V$3,'JPM St'!$C:$C,D241),"")</f>
        <v>0</v>
      </c>
      <c r="M241" s="501">
        <f>IFERROR(SUMIFS('JPM St'!$M:$M,'JPM St'!$A:$A,$V$4,'JPM St'!$C:$C,D241),"")</f>
        <v>0</v>
      </c>
    </row>
    <row r="242" spans="1:13" x14ac:dyDescent="0.25">
      <c r="A242" s="497" t="s">
        <v>90</v>
      </c>
      <c r="B242" s="497" t="str">
        <f>IFERROR(IF(VLOOKUP(D242,'JPM St'!$C:$G,3,0)="Fixed Income &amp; Cash","Cash",VLOOKUP(D242,'JPM St'!$C:$G,3,0)),"")</f>
        <v/>
      </c>
      <c r="C242" s="497" t="str">
        <f>IFERROR(VLOOKUP(D242,'JPM St'!$C:$L,10,0),"")</f>
        <v/>
      </c>
      <c r="E242" s="500" t="str">
        <f>IFERROR(VLOOKUP(D242,'JPM St'!$C:$D,2,0),"")</f>
        <v/>
      </c>
      <c r="F242" s="501">
        <f t="shared" si="11"/>
        <v>0</v>
      </c>
      <c r="G242" s="501">
        <f>SUMIFS('JPM St'!$K:$K,'JPM St'!$A:$A,$V$2,'JPM St'!$C:$C,D242)</f>
        <v>0</v>
      </c>
      <c r="H242" s="501">
        <f>SUMIFS('JPM St'!$K:$K,'JPM St'!$A:$A,$V$3,'JPM St'!$C:$C,D242)</f>
        <v>0</v>
      </c>
      <c r="I242" s="501">
        <f>SUMIFS('JPM St'!$K:$K,'JPM St'!$A:$A,$V$4,'JPM St'!$C:$C,D242)</f>
        <v>0</v>
      </c>
      <c r="J242" s="619">
        <f t="shared" si="12"/>
        <v>0</v>
      </c>
      <c r="K242" s="501">
        <f>IFERROR(SUMIFS('JPM St'!$M:$M,'JPM St'!$A:$A,$V$2,'JPM St'!$C:$C,D242),"")</f>
        <v>0</v>
      </c>
      <c r="L242" s="501">
        <f>IFERROR(SUMIFS('JPM St'!$M:$M,'JPM St'!$A:$A,$V$3,'JPM St'!$C:$C,D242),"")</f>
        <v>0</v>
      </c>
      <c r="M242" s="501">
        <f>IFERROR(SUMIFS('JPM St'!$M:$M,'JPM St'!$A:$A,$V$4,'JPM St'!$C:$C,D242),"")</f>
        <v>0</v>
      </c>
    </row>
    <row r="243" spans="1:13" x14ac:dyDescent="0.25">
      <c r="A243" s="497" t="s">
        <v>90</v>
      </c>
      <c r="B243" s="497" t="str">
        <f>IFERROR(IF(VLOOKUP(D243,'JPM St'!$C:$G,3,0)="Fixed Income &amp; Cash","Cash",VLOOKUP(D243,'JPM St'!$C:$G,3,0)),"")</f>
        <v/>
      </c>
      <c r="C243" s="497" t="str">
        <f>IFERROR(VLOOKUP(D243,'JPM St'!$C:$L,10,0),"")</f>
        <v/>
      </c>
      <c r="E243" s="500" t="str">
        <f>IFERROR(VLOOKUP(D243,'JPM St'!$C:$D,2,0),"")</f>
        <v/>
      </c>
      <c r="F243" s="501">
        <f t="shared" si="11"/>
        <v>0</v>
      </c>
      <c r="G243" s="501">
        <f>SUMIFS('JPM St'!$K:$K,'JPM St'!$A:$A,$V$2,'JPM St'!$C:$C,D243)</f>
        <v>0</v>
      </c>
      <c r="H243" s="501">
        <f>SUMIFS('JPM St'!$K:$K,'JPM St'!$A:$A,$V$3,'JPM St'!$C:$C,D243)</f>
        <v>0</v>
      </c>
      <c r="I243" s="501">
        <f>SUMIFS('JPM St'!$K:$K,'JPM St'!$A:$A,$V$4,'JPM St'!$C:$C,D243)</f>
        <v>0</v>
      </c>
      <c r="J243" s="619">
        <f t="shared" si="12"/>
        <v>0</v>
      </c>
      <c r="K243" s="501">
        <f>IFERROR(SUMIFS('JPM St'!$M:$M,'JPM St'!$A:$A,$V$2,'JPM St'!$C:$C,D243),"")</f>
        <v>0</v>
      </c>
      <c r="L243" s="501">
        <f>IFERROR(SUMIFS('JPM St'!$M:$M,'JPM St'!$A:$A,$V$3,'JPM St'!$C:$C,D243),"")</f>
        <v>0</v>
      </c>
      <c r="M243" s="501">
        <f>IFERROR(SUMIFS('JPM St'!$M:$M,'JPM St'!$A:$A,$V$4,'JPM St'!$C:$C,D243),"")</f>
        <v>0</v>
      </c>
    </row>
    <row r="244" spans="1:13" x14ac:dyDescent="0.25">
      <c r="A244" s="497" t="s">
        <v>90</v>
      </c>
      <c r="B244" s="497" t="str">
        <f>IFERROR(IF(VLOOKUP(D244,'JPM St'!$C:$G,3,0)="Fixed Income &amp; Cash","Cash",VLOOKUP(D244,'JPM St'!$C:$G,3,0)),"")</f>
        <v/>
      </c>
      <c r="C244" s="497" t="str">
        <f>IFERROR(VLOOKUP(D244,'JPM St'!$C:$L,10,0),"")</f>
        <v/>
      </c>
      <c r="E244" s="500" t="str">
        <f>IFERROR(VLOOKUP(D244,'JPM St'!$C:$D,2,0),"")</f>
        <v/>
      </c>
      <c r="F244" s="501">
        <f t="shared" si="11"/>
        <v>0</v>
      </c>
      <c r="G244" s="501">
        <f>SUMIFS('JPM St'!$K:$K,'JPM St'!$A:$A,$V$2,'JPM St'!$C:$C,D244)</f>
        <v>0</v>
      </c>
      <c r="H244" s="501">
        <f>SUMIFS('JPM St'!$K:$K,'JPM St'!$A:$A,$V$3,'JPM St'!$C:$C,D244)</f>
        <v>0</v>
      </c>
      <c r="I244" s="501">
        <f>SUMIFS('JPM St'!$K:$K,'JPM St'!$A:$A,$V$4,'JPM St'!$C:$C,D244)</f>
        <v>0</v>
      </c>
      <c r="J244" s="619">
        <f t="shared" si="12"/>
        <v>0</v>
      </c>
      <c r="K244" s="501">
        <f>IFERROR(SUMIFS('JPM St'!$M:$M,'JPM St'!$A:$A,$V$2,'JPM St'!$C:$C,D244),"")</f>
        <v>0</v>
      </c>
      <c r="L244" s="501">
        <f>IFERROR(SUMIFS('JPM St'!$M:$M,'JPM St'!$A:$A,$V$3,'JPM St'!$C:$C,D244),"")</f>
        <v>0</v>
      </c>
      <c r="M244" s="501">
        <f>IFERROR(SUMIFS('JPM St'!$M:$M,'JPM St'!$A:$A,$V$4,'JPM St'!$C:$C,D244),"")</f>
        <v>0</v>
      </c>
    </row>
    <row r="245" spans="1:13" x14ac:dyDescent="0.25">
      <c r="A245" s="497" t="s">
        <v>90</v>
      </c>
      <c r="B245" s="497" t="str">
        <f>IFERROR(IF(VLOOKUP(D245,'JPM St'!$C:$G,3,0)="Fixed Income &amp; Cash","Cash",VLOOKUP(D245,'JPM St'!$C:$G,3,0)),"")</f>
        <v/>
      </c>
      <c r="C245" s="497" t="str">
        <f>IFERROR(VLOOKUP(D245,'JPM St'!$C:$L,10,0),"")</f>
        <v/>
      </c>
      <c r="E245" s="500" t="str">
        <f>IFERROR(VLOOKUP(D245,'JPM St'!$C:$D,2,0),"")</f>
        <v/>
      </c>
      <c r="F245" s="501">
        <f t="shared" si="11"/>
        <v>0</v>
      </c>
      <c r="G245" s="501">
        <f>SUMIFS('JPM St'!$K:$K,'JPM St'!$A:$A,$V$2,'JPM St'!$C:$C,D245)</f>
        <v>0</v>
      </c>
      <c r="H245" s="501">
        <f>SUMIFS('JPM St'!$K:$K,'JPM St'!$A:$A,$V$3,'JPM St'!$C:$C,D245)</f>
        <v>0</v>
      </c>
      <c r="I245" s="501">
        <f>SUMIFS('JPM St'!$K:$K,'JPM St'!$A:$A,$V$4,'JPM St'!$C:$C,D245)</f>
        <v>0</v>
      </c>
      <c r="J245" s="619">
        <f t="shared" si="12"/>
        <v>0</v>
      </c>
      <c r="K245" s="501">
        <f>IFERROR(SUMIFS('JPM St'!$M:$M,'JPM St'!$A:$A,$V$2,'JPM St'!$C:$C,D245),"")</f>
        <v>0</v>
      </c>
      <c r="L245" s="501">
        <f>IFERROR(SUMIFS('JPM St'!$M:$M,'JPM St'!$A:$A,$V$3,'JPM St'!$C:$C,D245),"")</f>
        <v>0</v>
      </c>
      <c r="M245" s="501">
        <f>IFERROR(SUMIFS('JPM St'!$M:$M,'JPM St'!$A:$A,$V$4,'JPM St'!$C:$C,D245),"")</f>
        <v>0</v>
      </c>
    </row>
    <row r="246" spans="1:13" x14ac:dyDescent="0.25">
      <c r="A246" s="497" t="s">
        <v>90</v>
      </c>
      <c r="B246" s="497" t="str">
        <f>IFERROR(IF(VLOOKUP(D246,'JPM St'!$C:$G,3,0)="Fixed Income &amp; Cash","Cash",VLOOKUP(D246,'JPM St'!$C:$G,3,0)),"")</f>
        <v/>
      </c>
      <c r="C246" s="497" t="str">
        <f>IFERROR(VLOOKUP(D246,'JPM St'!$C:$L,10,0),"")</f>
        <v/>
      </c>
      <c r="E246" s="500" t="str">
        <f>IFERROR(VLOOKUP(D246,'JPM St'!$C:$D,2,0),"")</f>
        <v/>
      </c>
      <c r="F246" s="501">
        <f t="shared" si="11"/>
        <v>0</v>
      </c>
      <c r="G246" s="501">
        <f>SUMIFS('JPM St'!$K:$K,'JPM St'!$A:$A,$V$2,'JPM St'!$C:$C,D246)</f>
        <v>0</v>
      </c>
      <c r="H246" s="501">
        <f>SUMIFS('JPM St'!$K:$K,'JPM St'!$A:$A,$V$3,'JPM St'!$C:$C,D246)</f>
        <v>0</v>
      </c>
      <c r="I246" s="501">
        <f>SUMIFS('JPM St'!$K:$K,'JPM St'!$A:$A,$V$4,'JPM St'!$C:$C,D246)</f>
        <v>0</v>
      </c>
      <c r="J246" s="619">
        <f t="shared" si="12"/>
        <v>0</v>
      </c>
      <c r="K246" s="501">
        <f>IFERROR(SUMIFS('JPM St'!$M:$M,'JPM St'!$A:$A,$V$2,'JPM St'!$C:$C,D246),"")</f>
        <v>0</v>
      </c>
      <c r="L246" s="501">
        <f>IFERROR(SUMIFS('JPM St'!$M:$M,'JPM St'!$A:$A,$V$3,'JPM St'!$C:$C,D246),"")</f>
        <v>0</v>
      </c>
      <c r="M246" s="501">
        <f>IFERROR(SUMIFS('JPM St'!$M:$M,'JPM St'!$A:$A,$V$4,'JPM St'!$C:$C,D246),"")</f>
        <v>0</v>
      </c>
    </row>
    <row r="247" spans="1:13" x14ac:dyDescent="0.25">
      <c r="A247" s="497" t="s">
        <v>90</v>
      </c>
      <c r="B247" s="497" t="str">
        <f>IFERROR(IF(VLOOKUP(D247,'JPM St'!$C:$G,3,0)="Fixed Income &amp; Cash","Cash",VLOOKUP(D247,'JPM St'!$C:$G,3,0)),"")</f>
        <v/>
      </c>
      <c r="C247" s="497" t="str">
        <f>IFERROR(VLOOKUP(D247,'JPM St'!$C:$L,10,0),"")</f>
        <v/>
      </c>
      <c r="E247" s="500" t="str">
        <f>IFERROR(VLOOKUP(D247,'JPM St'!$C:$D,2,0),"")</f>
        <v/>
      </c>
      <c r="F247" s="501">
        <f t="shared" si="11"/>
        <v>0</v>
      </c>
      <c r="G247" s="501">
        <f>SUMIFS('JPM St'!$K:$K,'JPM St'!$A:$A,$V$2,'JPM St'!$C:$C,D247)</f>
        <v>0</v>
      </c>
      <c r="H247" s="501">
        <f>SUMIFS('JPM St'!$K:$K,'JPM St'!$A:$A,$V$3,'JPM St'!$C:$C,D247)</f>
        <v>0</v>
      </c>
      <c r="I247" s="501">
        <f>SUMIFS('JPM St'!$K:$K,'JPM St'!$A:$A,$V$4,'JPM St'!$C:$C,D247)</f>
        <v>0</v>
      </c>
      <c r="J247" s="619">
        <f t="shared" si="12"/>
        <v>0</v>
      </c>
      <c r="K247" s="501">
        <f>IFERROR(SUMIFS('JPM St'!$M:$M,'JPM St'!$A:$A,$V$2,'JPM St'!$C:$C,D247),"")</f>
        <v>0</v>
      </c>
      <c r="L247" s="501">
        <f>IFERROR(SUMIFS('JPM St'!$M:$M,'JPM St'!$A:$A,$V$3,'JPM St'!$C:$C,D247),"")</f>
        <v>0</v>
      </c>
      <c r="M247" s="501">
        <f>IFERROR(SUMIFS('JPM St'!$M:$M,'JPM St'!$A:$A,$V$4,'JPM St'!$C:$C,D247),"")</f>
        <v>0</v>
      </c>
    </row>
    <row r="248" spans="1:13" x14ac:dyDescent="0.25">
      <c r="A248" s="497" t="s">
        <v>90</v>
      </c>
      <c r="B248" s="497" t="str">
        <f>IFERROR(IF(VLOOKUP(D248,'JPM St'!$C:$G,3,0)="Fixed Income &amp; Cash","Cash",VLOOKUP(D248,'JPM St'!$C:$G,3,0)),"")</f>
        <v/>
      </c>
      <c r="C248" s="497" t="str">
        <f>IFERROR(VLOOKUP(D248,'JPM St'!$C:$L,10,0),"")</f>
        <v/>
      </c>
      <c r="E248" s="500" t="str">
        <f>IFERROR(VLOOKUP(D248,'JPM St'!$C:$D,2,0),"")</f>
        <v/>
      </c>
      <c r="F248" s="501">
        <f t="shared" si="11"/>
        <v>0</v>
      </c>
      <c r="G248" s="501">
        <f>SUMIFS('JPM St'!$K:$K,'JPM St'!$A:$A,$V$2,'JPM St'!$C:$C,D248)</f>
        <v>0</v>
      </c>
      <c r="H248" s="501">
        <f>SUMIFS('JPM St'!$K:$K,'JPM St'!$A:$A,$V$3,'JPM St'!$C:$C,D248)</f>
        <v>0</v>
      </c>
      <c r="I248" s="501">
        <f>SUMIFS('JPM St'!$K:$K,'JPM St'!$A:$A,$V$4,'JPM St'!$C:$C,D248)</f>
        <v>0</v>
      </c>
      <c r="J248" s="619">
        <f t="shared" si="12"/>
        <v>0</v>
      </c>
      <c r="K248" s="501">
        <f>IFERROR(SUMIFS('JPM St'!$M:$M,'JPM St'!$A:$A,$V$2,'JPM St'!$C:$C,D248),"")</f>
        <v>0</v>
      </c>
      <c r="L248" s="501">
        <f>IFERROR(SUMIFS('JPM St'!$M:$M,'JPM St'!$A:$A,$V$3,'JPM St'!$C:$C,D248),"")</f>
        <v>0</v>
      </c>
      <c r="M248" s="501">
        <f>IFERROR(SUMIFS('JPM St'!$M:$M,'JPM St'!$A:$A,$V$4,'JPM St'!$C:$C,D248),"")</f>
        <v>0</v>
      </c>
    </row>
    <row r="249" spans="1:13" x14ac:dyDescent="0.25">
      <c r="A249" s="497" t="s">
        <v>90</v>
      </c>
      <c r="B249" s="497" t="str">
        <f>IFERROR(IF(VLOOKUP(D249,'JPM St'!$C:$G,3,0)="Fixed Income &amp; Cash","Cash",VLOOKUP(D249,'JPM St'!$C:$G,3,0)),"")</f>
        <v/>
      </c>
      <c r="C249" s="497" t="str">
        <f>IFERROR(VLOOKUP(D249,'JPM St'!$C:$L,10,0),"")</f>
        <v/>
      </c>
      <c r="E249" s="500" t="str">
        <f>IFERROR(VLOOKUP(D249,'JPM St'!$C:$D,2,0),"")</f>
        <v/>
      </c>
      <c r="F249" s="501">
        <f t="shared" si="11"/>
        <v>0</v>
      </c>
      <c r="G249" s="501">
        <f>SUMIFS('JPM St'!$K:$K,'JPM St'!$A:$A,$V$2,'JPM St'!$C:$C,D249)</f>
        <v>0</v>
      </c>
      <c r="H249" s="501">
        <f>SUMIFS('JPM St'!$K:$K,'JPM St'!$A:$A,$V$3,'JPM St'!$C:$C,D249)</f>
        <v>0</v>
      </c>
      <c r="I249" s="501">
        <f>SUMIFS('JPM St'!$K:$K,'JPM St'!$A:$A,$V$4,'JPM St'!$C:$C,D249)</f>
        <v>0</v>
      </c>
      <c r="J249" s="619">
        <f t="shared" si="12"/>
        <v>0</v>
      </c>
      <c r="K249" s="501">
        <f>IFERROR(SUMIFS('JPM St'!$M:$M,'JPM St'!$A:$A,$V$2,'JPM St'!$C:$C,D249),"")</f>
        <v>0</v>
      </c>
      <c r="L249" s="501">
        <f>IFERROR(SUMIFS('JPM St'!$M:$M,'JPM St'!$A:$A,$V$3,'JPM St'!$C:$C,D249),"")</f>
        <v>0</v>
      </c>
      <c r="M249" s="501">
        <f>IFERROR(SUMIFS('JPM St'!$M:$M,'JPM St'!$A:$A,$V$4,'JPM St'!$C:$C,D249),"")</f>
        <v>0</v>
      </c>
    </row>
    <row r="250" spans="1:13" x14ac:dyDescent="0.25">
      <c r="A250" s="497" t="s">
        <v>90</v>
      </c>
      <c r="B250" s="497" t="str">
        <f>IFERROR(IF(VLOOKUP(D250,'JPM St'!$C:$G,3,0)="Fixed Income &amp; Cash","Cash",VLOOKUP(D250,'JPM St'!$C:$G,3,0)),"")</f>
        <v/>
      </c>
      <c r="C250" s="497" t="str">
        <f>IFERROR(VLOOKUP(D250,'JPM St'!$C:$L,10,0),"")</f>
        <v/>
      </c>
      <c r="E250" s="500" t="str">
        <f>IFERROR(VLOOKUP(D250,'JPM St'!$C:$D,2,0),"")</f>
        <v/>
      </c>
      <c r="F250" s="501">
        <f t="shared" si="11"/>
        <v>0</v>
      </c>
      <c r="G250" s="501">
        <f>SUMIFS('JPM St'!$K:$K,'JPM St'!$A:$A,$V$2,'JPM St'!$C:$C,D250)</f>
        <v>0</v>
      </c>
      <c r="H250" s="501">
        <f>SUMIFS('JPM St'!$K:$K,'JPM St'!$A:$A,$V$3,'JPM St'!$C:$C,D250)</f>
        <v>0</v>
      </c>
      <c r="I250" s="501">
        <f>SUMIFS('JPM St'!$K:$K,'JPM St'!$A:$A,$V$4,'JPM St'!$C:$C,D250)</f>
        <v>0</v>
      </c>
      <c r="J250" s="619">
        <f t="shared" si="12"/>
        <v>0</v>
      </c>
      <c r="K250" s="501">
        <f>IFERROR(SUMIFS('JPM St'!$M:$M,'JPM St'!$A:$A,$V$2,'JPM St'!$C:$C,D250),"")</f>
        <v>0</v>
      </c>
      <c r="L250" s="501">
        <f>IFERROR(SUMIFS('JPM St'!$M:$M,'JPM St'!$A:$A,$V$3,'JPM St'!$C:$C,D250),"")</f>
        <v>0</v>
      </c>
      <c r="M250" s="501">
        <f>IFERROR(SUMIFS('JPM St'!$M:$M,'JPM St'!$A:$A,$V$4,'JPM St'!$C:$C,D250),"")</f>
        <v>0</v>
      </c>
    </row>
    <row r="251" spans="1:13" x14ac:dyDescent="0.25">
      <c r="A251" s="497" t="s">
        <v>90</v>
      </c>
      <c r="B251" s="497" t="str">
        <f>IFERROR(IF(VLOOKUP(D251,'JPM St'!$C:$G,3,0)="Fixed Income &amp; Cash","Cash",VLOOKUP(D251,'JPM St'!$C:$G,3,0)),"")</f>
        <v/>
      </c>
      <c r="C251" s="497" t="str">
        <f>IFERROR(VLOOKUP(D251,'JPM St'!$C:$L,10,0),"")</f>
        <v/>
      </c>
      <c r="E251" s="500" t="str">
        <f>IFERROR(VLOOKUP(D251,'JPM St'!$C:$D,2,0),"")</f>
        <v/>
      </c>
      <c r="F251" s="501">
        <f t="shared" si="11"/>
        <v>0</v>
      </c>
      <c r="G251" s="501">
        <f>SUMIFS('JPM St'!$K:$K,'JPM St'!$A:$A,$V$2,'JPM St'!$C:$C,D251)</f>
        <v>0</v>
      </c>
      <c r="H251" s="501">
        <f>SUMIFS('JPM St'!$K:$K,'JPM St'!$A:$A,$V$3,'JPM St'!$C:$C,D251)</f>
        <v>0</v>
      </c>
      <c r="I251" s="501">
        <f>SUMIFS('JPM St'!$K:$K,'JPM St'!$A:$A,$V$4,'JPM St'!$C:$C,D251)</f>
        <v>0</v>
      </c>
      <c r="J251" s="619">
        <f t="shared" si="12"/>
        <v>0</v>
      </c>
      <c r="K251" s="501">
        <f>IFERROR(SUMIFS('JPM St'!$M:$M,'JPM St'!$A:$A,$V$2,'JPM St'!$C:$C,D251),"")</f>
        <v>0</v>
      </c>
      <c r="L251" s="501">
        <f>IFERROR(SUMIFS('JPM St'!$M:$M,'JPM St'!$A:$A,$V$3,'JPM St'!$C:$C,D251),"")</f>
        <v>0</v>
      </c>
      <c r="M251" s="501">
        <f>IFERROR(SUMIFS('JPM St'!$M:$M,'JPM St'!$A:$A,$V$4,'JPM St'!$C:$C,D251),"")</f>
        <v>0</v>
      </c>
    </row>
    <row r="252" spans="1:13" x14ac:dyDescent="0.25">
      <c r="A252" s="497" t="s">
        <v>90</v>
      </c>
      <c r="B252" s="497" t="str">
        <f>IFERROR(IF(VLOOKUP(D252,'JPM St'!$C:$G,3,0)="Fixed Income &amp; Cash","Cash",VLOOKUP(D252,'JPM St'!$C:$G,3,0)),"")</f>
        <v/>
      </c>
      <c r="C252" s="497" t="str">
        <f>IFERROR(VLOOKUP(D252,'JPM St'!$C:$L,10,0),"")</f>
        <v/>
      </c>
      <c r="E252" s="500" t="str">
        <f>IFERROR(VLOOKUP(D252,'JPM St'!$C:$D,2,0),"")</f>
        <v/>
      </c>
      <c r="F252" s="501">
        <f t="shared" si="11"/>
        <v>0</v>
      </c>
      <c r="G252" s="501">
        <f>SUMIFS('JPM St'!$K:$K,'JPM St'!$A:$A,$V$2,'JPM St'!$C:$C,D252)</f>
        <v>0</v>
      </c>
      <c r="H252" s="501">
        <f>SUMIFS('JPM St'!$K:$K,'JPM St'!$A:$A,$V$3,'JPM St'!$C:$C,D252)</f>
        <v>0</v>
      </c>
      <c r="I252" s="501">
        <f>SUMIFS('JPM St'!$K:$K,'JPM St'!$A:$A,$V$4,'JPM St'!$C:$C,D252)</f>
        <v>0</v>
      </c>
      <c r="J252" s="619">
        <f t="shared" si="12"/>
        <v>0</v>
      </c>
      <c r="K252" s="501">
        <f>IFERROR(SUMIFS('JPM St'!$M:$M,'JPM St'!$A:$A,$V$2,'JPM St'!$C:$C,D252),"")</f>
        <v>0</v>
      </c>
      <c r="L252" s="501">
        <f>IFERROR(SUMIFS('JPM St'!$M:$M,'JPM St'!$A:$A,$V$3,'JPM St'!$C:$C,D252),"")</f>
        <v>0</v>
      </c>
      <c r="M252" s="501">
        <f>IFERROR(SUMIFS('JPM St'!$M:$M,'JPM St'!$A:$A,$V$4,'JPM St'!$C:$C,D252),"")</f>
        <v>0</v>
      </c>
    </row>
    <row r="253" spans="1:13" x14ac:dyDescent="0.25">
      <c r="A253" s="497" t="s">
        <v>90</v>
      </c>
      <c r="B253" s="497" t="str">
        <f>IFERROR(IF(VLOOKUP(D253,'JPM St'!$C:$G,3,0)="Fixed Income &amp; Cash","Cash",VLOOKUP(D253,'JPM St'!$C:$G,3,0)),"")</f>
        <v/>
      </c>
      <c r="C253" s="497" t="str">
        <f>IFERROR(VLOOKUP(D253,'JPM St'!$C:$L,10,0),"")</f>
        <v/>
      </c>
      <c r="E253" s="500" t="str">
        <f>IFERROR(VLOOKUP(D253,'JPM St'!$C:$D,2,0),"")</f>
        <v/>
      </c>
      <c r="F253" s="501">
        <f t="shared" si="11"/>
        <v>0</v>
      </c>
      <c r="G253" s="501">
        <f>SUMIFS('JPM St'!$K:$K,'JPM St'!$A:$A,$V$2,'JPM St'!$C:$C,D253)</f>
        <v>0</v>
      </c>
      <c r="H253" s="501">
        <f>SUMIFS('JPM St'!$K:$K,'JPM St'!$A:$A,$V$3,'JPM St'!$C:$C,D253)</f>
        <v>0</v>
      </c>
      <c r="I253" s="501">
        <f>SUMIFS('JPM St'!$K:$K,'JPM St'!$A:$A,$V$4,'JPM St'!$C:$C,D253)</f>
        <v>0</v>
      </c>
      <c r="J253" s="619">
        <f t="shared" si="12"/>
        <v>0</v>
      </c>
      <c r="K253" s="501">
        <f>IFERROR(SUMIFS('JPM St'!$M:$M,'JPM St'!$A:$A,$V$2,'JPM St'!$C:$C,D253),"")</f>
        <v>0</v>
      </c>
      <c r="L253" s="501">
        <f>IFERROR(SUMIFS('JPM St'!$M:$M,'JPM St'!$A:$A,$V$3,'JPM St'!$C:$C,D253),"")</f>
        <v>0</v>
      </c>
      <c r="M253" s="501">
        <f>IFERROR(SUMIFS('JPM St'!$M:$M,'JPM St'!$A:$A,$V$4,'JPM St'!$C:$C,D253),"")</f>
        <v>0</v>
      </c>
    </row>
    <row r="254" spans="1:13" x14ac:dyDescent="0.25">
      <c r="A254" s="497" t="s">
        <v>90</v>
      </c>
      <c r="B254" s="497" t="str">
        <f>IFERROR(IF(VLOOKUP(D254,'JPM St'!$C:$G,3,0)="Fixed Income &amp; Cash","Cash",VLOOKUP(D254,'JPM St'!$C:$G,3,0)),"")</f>
        <v/>
      </c>
      <c r="C254" s="497" t="str">
        <f>IFERROR(VLOOKUP(D254,'JPM St'!$C:$L,10,0),"")</f>
        <v/>
      </c>
      <c r="E254" s="500" t="str">
        <f>IFERROR(VLOOKUP(D254,'JPM St'!$C:$D,2,0),"")</f>
        <v/>
      </c>
      <c r="F254" s="501">
        <f t="shared" si="11"/>
        <v>0</v>
      </c>
      <c r="G254" s="501">
        <f>SUMIFS('JPM St'!$K:$K,'JPM St'!$A:$A,$V$2,'JPM St'!$C:$C,D254)</f>
        <v>0</v>
      </c>
      <c r="H254" s="501">
        <f>SUMIFS('JPM St'!$K:$K,'JPM St'!$A:$A,$V$3,'JPM St'!$C:$C,D254)</f>
        <v>0</v>
      </c>
      <c r="I254" s="501">
        <f>SUMIFS('JPM St'!$K:$K,'JPM St'!$A:$A,$V$4,'JPM St'!$C:$C,D254)</f>
        <v>0</v>
      </c>
      <c r="J254" s="619">
        <f t="shared" si="12"/>
        <v>0</v>
      </c>
      <c r="K254" s="501">
        <f>IFERROR(SUMIFS('JPM St'!$M:$M,'JPM St'!$A:$A,$V$2,'JPM St'!$C:$C,D254),"")</f>
        <v>0</v>
      </c>
      <c r="L254" s="501">
        <f>IFERROR(SUMIFS('JPM St'!$M:$M,'JPM St'!$A:$A,$V$3,'JPM St'!$C:$C,D254),"")</f>
        <v>0</v>
      </c>
      <c r="M254" s="501">
        <f>IFERROR(SUMIFS('JPM St'!$M:$M,'JPM St'!$A:$A,$V$4,'JPM St'!$C:$C,D254),"")</f>
        <v>0</v>
      </c>
    </row>
    <row r="255" spans="1:13" x14ac:dyDescent="0.25">
      <c r="A255" s="497" t="s">
        <v>90</v>
      </c>
      <c r="B255" s="497" t="str">
        <f>IFERROR(IF(VLOOKUP(D255,'JPM St'!$C:$G,3,0)="Fixed Income &amp; Cash","Cash",VLOOKUP(D255,'JPM St'!$C:$G,3,0)),"")</f>
        <v/>
      </c>
      <c r="C255" s="497" t="str">
        <f>IFERROR(VLOOKUP(D255,'JPM St'!$C:$L,10,0),"")</f>
        <v/>
      </c>
      <c r="E255" s="500" t="str">
        <f>IFERROR(VLOOKUP(D255,'JPM St'!$C:$D,2,0),"")</f>
        <v/>
      </c>
      <c r="F255" s="501">
        <f t="shared" si="11"/>
        <v>0</v>
      </c>
      <c r="G255" s="501">
        <f>SUMIFS('JPM St'!$K:$K,'JPM St'!$A:$A,$V$2,'JPM St'!$C:$C,D255)</f>
        <v>0</v>
      </c>
      <c r="H255" s="501">
        <f>SUMIFS('JPM St'!$K:$K,'JPM St'!$A:$A,$V$3,'JPM St'!$C:$C,D255)</f>
        <v>0</v>
      </c>
      <c r="I255" s="501">
        <f>SUMIFS('JPM St'!$K:$K,'JPM St'!$A:$A,$V$4,'JPM St'!$C:$C,D255)</f>
        <v>0</v>
      </c>
      <c r="J255" s="619">
        <f t="shared" si="12"/>
        <v>0</v>
      </c>
      <c r="K255" s="501">
        <f>IFERROR(SUMIFS('JPM St'!$M:$M,'JPM St'!$A:$A,$V$2,'JPM St'!$C:$C,D255),"")</f>
        <v>0</v>
      </c>
      <c r="L255" s="501">
        <f>IFERROR(SUMIFS('JPM St'!$M:$M,'JPM St'!$A:$A,$V$3,'JPM St'!$C:$C,D255),"")</f>
        <v>0</v>
      </c>
      <c r="M255" s="501">
        <f>IFERROR(SUMIFS('JPM St'!$M:$M,'JPM St'!$A:$A,$V$4,'JPM St'!$C:$C,D255),"")</f>
        <v>0</v>
      </c>
    </row>
    <row r="256" spans="1:13" x14ac:dyDescent="0.25">
      <c r="A256" s="497" t="s">
        <v>90</v>
      </c>
      <c r="B256" s="497" t="str">
        <f>IFERROR(IF(VLOOKUP(D256,'JPM St'!$C:$G,3,0)="Fixed Income &amp; Cash","Cash",VLOOKUP(D256,'JPM St'!$C:$G,3,0)),"")</f>
        <v/>
      </c>
      <c r="C256" s="497" t="str">
        <f>IFERROR(VLOOKUP(D256,'JPM St'!$C:$L,10,0),"")</f>
        <v/>
      </c>
      <c r="E256" s="500" t="str">
        <f>IFERROR(VLOOKUP(D256,'JPM St'!$C:$D,2,0),"")</f>
        <v/>
      </c>
      <c r="F256" s="501">
        <f t="shared" si="11"/>
        <v>0</v>
      </c>
      <c r="G256" s="501">
        <f>SUMIFS('JPM St'!$K:$K,'JPM St'!$A:$A,$V$2,'JPM St'!$C:$C,D256)</f>
        <v>0</v>
      </c>
      <c r="H256" s="501">
        <f>SUMIFS('JPM St'!$K:$K,'JPM St'!$A:$A,$V$3,'JPM St'!$C:$C,D256)</f>
        <v>0</v>
      </c>
      <c r="I256" s="501">
        <f>SUMIFS('JPM St'!$K:$K,'JPM St'!$A:$A,$V$4,'JPM St'!$C:$C,D256)</f>
        <v>0</v>
      </c>
      <c r="J256" s="619">
        <f t="shared" si="12"/>
        <v>0</v>
      </c>
      <c r="K256" s="501">
        <f>IFERROR(SUMIFS('JPM St'!$M:$M,'JPM St'!$A:$A,$V$2,'JPM St'!$C:$C,D256),"")</f>
        <v>0</v>
      </c>
      <c r="L256" s="501">
        <f>IFERROR(SUMIFS('JPM St'!$M:$M,'JPM St'!$A:$A,$V$3,'JPM St'!$C:$C,D256),"")</f>
        <v>0</v>
      </c>
      <c r="M256" s="501">
        <f>IFERROR(SUMIFS('JPM St'!$M:$M,'JPM St'!$A:$A,$V$4,'JPM St'!$C:$C,D256),"")</f>
        <v>0</v>
      </c>
    </row>
    <row r="257" spans="1:13" x14ac:dyDescent="0.25">
      <c r="A257" s="497" t="s">
        <v>90</v>
      </c>
      <c r="B257" s="497" t="str">
        <f>IFERROR(IF(VLOOKUP(D257,'JPM St'!$C:$G,3,0)="Fixed Income &amp; Cash","Cash",VLOOKUP(D257,'JPM St'!$C:$G,3,0)),"")</f>
        <v/>
      </c>
      <c r="C257" s="497" t="str">
        <f>IFERROR(VLOOKUP(D257,'JPM St'!$C:$L,10,0),"")</f>
        <v/>
      </c>
      <c r="E257" s="500" t="str">
        <f>IFERROR(VLOOKUP(D257,'JPM St'!$C:$D,2,0),"")</f>
        <v/>
      </c>
      <c r="F257" s="501">
        <f t="shared" si="11"/>
        <v>0</v>
      </c>
      <c r="G257" s="501">
        <f>SUMIFS('JPM St'!$K:$K,'JPM St'!$A:$A,$V$2,'JPM St'!$C:$C,D257)</f>
        <v>0</v>
      </c>
      <c r="H257" s="501">
        <f>SUMIFS('JPM St'!$K:$K,'JPM St'!$A:$A,$V$3,'JPM St'!$C:$C,D257)</f>
        <v>0</v>
      </c>
      <c r="I257" s="501">
        <f>SUMIFS('JPM St'!$K:$K,'JPM St'!$A:$A,$V$4,'JPM St'!$C:$C,D257)</f>
        <v>0</v>
      </c>
      <c r="J257" s="619">
        <f t="shared" si="12"/>
        <v>0</v>
      </c>
      <c r="K257" s="501">
        <f>IFERROR(SUMIFS('JPM St'!$M:$M,'JPM St'!$A:$A,$V$2,'JPM St'!$C:$C,D257),"")</f>
        <v>0</v>
      </c>
      <c r="L257" s="501">
        <f>IFERROR(SUMIFS('JPM St'!$M:$M,'JPM St'!$A:$A,$V$3,'JPM St'!$C:$C,D257),"")</f>
        <v>0</v>
      </c>
      <c r="M257" s="501">
        <f>IFERROR(SUMIFS('JPM St'!$M:$M,'JPM St'!$A:$A,$V$4,'JPM St'!$C:$C,D257),"")</f>
        <v>0</v>
      </c>
    </row>
    <row r="258" spans="1:13" x14ac:dyDescent="0.25">
      <c r="A258" s="497" t="s">
        <v>90</v>
      </c>
      <c r="B258" s="497" t="str">
        <f>IFERROR(IF(VLOOKUP(D258,'JPM St'!$C:$G,3,0)="Fixed Income &amp; Cash","Cash",VLOOKUP(D258,'JPM St'!$C:$G,3,0)),"")</f>
        <v/>
      </c>
      <c r="C258" s="497" t="str">
        <f>IFERROR(VLOOKUP(D258,'JPM St'!$C:$L,10,0),"")</f>
        <v/>
      </c>
      <c r="E258" s="500" t="str">
        <f>IFERROR(VLOOKUP(D258,'JPM St'!$C:$D,2,0),"")</f>
        <v/>
      </c>
      <c r="F258" s="501">
        <f t="shared" si="11"/>
        <v>0</v>
      </c>
      <c r="G258" s="501">
        <f>SUMIFS('JPM St'!$K:$K,'JPM St'!$A:$A,$V$2,'JPM St'!$C:$C,D258)</f>
        <v>0</v>
      </c>
      <c r="H258" s="501">
        <f>SUMIFS('JPM St'!$K:$K,'JPM St'!$A:$A,$V$3,'JPM St'!$C:$C,D258)</f>
        <v>0</v>
      </c>
      <c r="I258" s="501">
        <f>SUMIFS('JPM St'!$K:$K,'JPM St'!$A:$A,$V$4,'JPM St'!$C:$C,D258)</f>
        <v>0</v>
      </c>
      <c r="J258" s="619">
        <f t="shared" si="12"/>
        <v>0</v>
      </c>
      <c r="K258" s="501">
        <f>IFERROR(SUMIFS('JPM St'!$M:$M,'JPM St'!$A:$A,$V$2,'JPM St'!$C:$C,D258),"")</f>
        <v>0</v>
      </c>
      <c r="L258" s="501">
        <f>IFERROR(SUMIFS('JPM St'!$M:$M,'JPM St'!$A:$A,$V$3,'JPM St'!$C:$C,D258),"")</f>
        <v>0</v>
      </c>
      <c r="M258" s="501">
        <f>IFERROR(SUMIFS('JPM St'!$M:$M,'JPM St'!$A:$A,$V$4,'JPM St'!$C:$C,D258),"")</f>
        <v>0</v>
      </c>
    </row>
    <row r="259" spans="1:13" x14ac:dyDescent="0.25">
      <c r="A259" s="497" t="s">
        <v>90</v>
      </c>
      <c r="B259" s="497" t="str">
        <f>IFERROR(IF(VLOOKUP(D259,'JPM St'!$C:$G,3,0)="Fixed Income &amp; Cash","Cash",VLOOKUP(D259,'JPM St'!$C:$G,3,0)),"")</f>
        <v/>
      </c>
      <c r="C259" s="497" t="str">
        <f>IFERROR(VLOOKUP(D259,'JPM St'!$C:$L,10,0),"")</f>
        <v/>
      </c>
      <c r="E259" s="500" t="str">
        <f>IFERROR(VLOOKUP(D259,'JPM St'!$C:$D,2,0),"")</f>
        <v/>
      </c>
      <c r="F259" s="501">
        <f t="shared" ref="F259:F322" si="13">SUM(G259:I259)</f>
        <v>0</v>
      </c>
      <c r="G259" s="501">
        <f>SUMIFS('JPM St'!$K:$K,'JPM St'!$A:$A,$V$2,'JPM St'!$C:$C,D259)</f>
        <v>0</v>
      </c>
      <c r="H259" s="501">
        <f>SUMIFS('JPM St'!$K:$K,'JPM St'!$A:$A,$V$3,'JPM St'!$C:$C,D259)</f>
        <v>0</v>
      </c>
      <c r="I259" s="501">
        <f>SUMIFS('JPM St'!$K:$K,'JPM St'!$A:$A,$V$4,'JPM St'!$C:$C,D259)</f>
        <v>0</v>
      </c>
      <c r="J259" s="619">
        <f t="shared" ref="J259:J322" si="14">SUM(K259:M259)</f>
        <v>0</v>
      </c>
      <c r="K259" s="501">
        <f>IFERROR(SUMIFS('JPM St'!$M:$M,'JPM St'!$A:$A,$V$2,'JPM St'!$C:$C,D259),"")</f>
        <v>0</v>
      </c>
      <c r="L259" s="501">
        <f>IFERROR(SUMIFS('JPM St'!$M:$M,'JPM St'!$A:$A,$V$3,'JPM St'!$C:$C,D259),"")</f>
        <v>0</v>
      </c>
      <c r="M259" s="501">
        <f>IFERROR(SUMIFS('JPM St'!$M:$M,'JPM St'!$A:$A,$V$4,'JPM St'!$C:$C,D259),"")</f>
        <v>0</v>
      </c>
    </row>
    <row r="260" spans="1:13" x14ac:dyDescent="0.25">
      <c r="A260" s="497" t="s">
        <v>90</v>
      </c>
      <c r="B260" s="497" t="str">
        <f>IFERROR(IF(VLOOKUP(D260,'JPM St'!$C:$G,3,0)="Fixed Income &amp; Cash","Cash",VLOOKUP(D260,'JPM St'!$C:$G,3,0)),"")</f>
        <v/>
      </c>
      <c r="C260" s="497" t="str">
        <f>IFERROR(VLOOKUP(D260,'JPM St'!$C:$L,10,0),"")</f>
        <v/>
      </c>
      <c r="E260" s="500" t="str">
        <f>IFERROR(VLOOKUP(D260,'JPM St'!$C:$D,2,0),"")</f>
        <v/>
      </c>
      <c r="F260" s="501">
        <f t="shared" si="13"/>
        <v>0</v>
      </c>
      <c r="G260" s="501">
        <f>SUMIFS('JPM St'!$K:$K,'JPM St'!$A:$A,$V$2,'JPM St'!$C:$C,D260)</f>
        <v>0</v>
      </c>
      <c r="H260" s="501">
        <f>SUMIFS('JPM St'!$K:$K,'JPM St'!$A:$A,$V$3,'JPM St'!$C:$C,D260)</f>
        <v>0</v>
      </c>
      <c r="I260" s="501">
        <f>SUMIFS('JPM St'!$K:$K,'JPM St'!$A:$A,$V$4,'JPM St'!$C:$C,D260)</f>
        <v>0</v>
      </c>
      <c r="J260" s="619">
        <f t="shared" si="14"/>
        <v>0</v>
      </c>
      <c r="K260" s="501">
        <f>IFERROR(SUMIFS('JPM St'!$M:$M,'JPM St'!$A:$A,$V$2,'JPM St'!$C:$C,D260),"")</f>
        <v>0</v>
      </c>
      <c r="L260" s="501">
        <f>IFERROR(SUMIFS('JPM St'!$M:$M,'JPM St'!$A:$A,$V$3,'JPM St'!$C:$C,D260),"")</f>
        <v>0</v>
      </c>
      <c r="M260" s="501">
        <f>IFERROR(SUMIFS('JPM St'!$M:$M,'JPM St'!$A:$A,$V$4,'JPM St'!$C:$C,D260),"")</f>
        <v>0</v>
      </c>
    </row>
    <row r="261" spans="1:13" x14ac:dyDescent="0.25">
      <c r="A261" s="497" t="s">
        <v>90</v>
      </c>
      <c r="B261" s="497" t="str">
        <f>IFERROR(IF(VLOOKUP(D261,'JPM St'!$C:$G,3,0)="Fixed Income &amp; Cash","Cash",VLOOKUP(D261,'JPM St'!$C:$G,3,0)),"")</f>
        <v/>
      </c>
      <c r="C261" s="497" t="str">
        <f>IFERROR(VLOOKUP(D261,'JPM St'!$C:$L,10,0),"")</f>
        <v/>
      </c>
      <c r="E261" s="500" t="str">
        <f>IFERROR(VLOOKUP(D261,'JPM St'!$C:$D,2,0),"")</f>
        <v/>
      </c>
      <c r="F261" s="501">
        <f t="shared" si="13"/>
        <v>0</v>
      </c>
      <c r="G261" s="501">
        <f>SUMIFS('JPM St'!$K:$K,'JPM St'!$A:$A,$V$2,'JPM St'!$C:$C,D261)</f>
        <v>0</v>
      </c>
      <c r="H261" s="501">
        <f>SUMIFS('JPM St'!$K:$K,'JPM St'!$A:$A,$V$3,'JPM St'!$C:$C,D261)</f>
        <v>0</v>
      </c>
      <c r="I261" s="501">
        <f>SUMIFS('JPM St'!$K:$K,'JPM St'!$A:$A,$V$4,'JPM St'!$C:$C,D261)</f>
        <v>0</v>
      </c>
      <c r="J261" s="619">
        <f t="shared" si="14"/>
        <v>0</v>
      </c>
      <c r="K261" s="501">
        <f>IFERROR(SUMIFS('JPM St'!$M:$M,'JPM St'!$A:$A,$V$2,'JPM St'!$C:$C,D261),"")</f>
        <v>0</v>
      </c>
      <c r="L261" s="501">
        <f>IFERROR(SUMIFS('JPM St'!$M:$M,'JPM St'!$A:$A,$V$3,'JPM St'!$C:$C,D261),"")</f>
        <v>0</v>
      </c>
      <c r="M261" s="501">
        <f>IFERROR(SUMIFS('JPM St'!$M:$M,'JPM St'!$A:$A,$V$4,'JPM St'!$C:$C,D261),"")</f>
        <v>0</v>
      </c>
    </row>
    <row r="262" spans="1:13" x14ac:dyDescent="0.25">
      <c r="A262" s="497" t="s">
        <v>90</v>
      </c>
      <c r="B262" s="497" t="str">
        <f>IFERROR(IF(VLOOKUP(D262,'JPM St'!$C:$G,3,0)="Fixed Income &amp; Cash","Cash",VLOOKUP(D262,'JPM St'!$C:$G,3,0)),"")</f>
        <v/>
      </c>
      <c r="C262" s="497" t="str">
        <f>IFERROR(VLOOKUP(D262,'JPM St'!$C:$L,10,0),"")</f>
        <v/>
      </c>
      <c r="E262" s="500" t="str">
        <f>IFERROR(VLOOKUP(D262,'JPM St'!$C:$D,2,0),"")</f>
        <v/>
      </c>
      <c r="F262" s="501">
        <f t="shared" si="13"/>
        <v>0</v>
      </c>
      <c r="G262" s="501">
        <f>SUMIFS('JPM St'!$K:$K,'JPM St'!$A:$A,$V$2,'JPM St'!$C:$C,D262)</f>
        <v>0</v>
      </c>
      <c r="H262" s="501">
        <f>SUMIFS('JPM St'!$K:$K,'JPM St'!$A:$A,$V$3,'JPM St'!$C:$C,D262)</f>
        <v>0</v>
      </c>
      <c r="I262" s="501">
        <f>SUMIFS('JPM St'!$K:$K,'JPM St'!$A:$A,$V$4,'JPM St'!$C:$C,D262)</f>
        <v>0</v>
      </c>
      <c r="J262" s="619">
        <f t="shared" si="14"/>
        <v>0</v>
      </c>
      <c r="K262" s="501">
        <f>IFERROR(SUMIFS('JPM St'!$M:$M,'JPM St'!$A:$A,$V$2,'JPM St'!$C:$C,D262),"")</f>
        <v>0</v>
      </c>
      <c r="L262" s="501">
        <f>IFERROR(SUMIFS('JPM St'!$M:$M,'JPM St'!$A:$A,$V$3,'JPM St'!$C:$C,D262),"")</f>
        <v>0</v>
      </c>
      <c r="M262" s="501">
        <f>IFERROR(SUMIFS('JPM St'!$M:$M,'JPM St'!$A:$A,$V$4,'JPM St'!$C:$C,D262),"")</f>
        <v>0</v>
      </c>
    </row>
    <row r="263" spans="1:13" x14ac:dyDescent="0.25">
      <c r="A263" s="497" t="s">
        <v>90</v>
      </c>
      <c r="B263" s="497" t="str">
        <f>IFERROR(IF(VLOOKUP(D263,'JPM St'!$C:$G,3,0)="Fixed Income &amp; Cash","Cash",VLOOKUP(D263,'JPM St'!$C:$G,3,0)),"")</f>
        <v/>
      </c>
      <c r="C263" s="497" t="str">
        <f>IFERROR(VLOOKUP(D263,'JPM St'!$C:$L,10,0),"")</f>
        <v/>
      </c>
      <c r="E263" s="500" t="str">
        <f>IFERROR(VLOOKUP(D263,'JPM St'!$C:$D,2,0),"")</f>
        <v/>
      </c>
      <c r="F263" s="501">
        <f t="shared" si="13"/>
        <v>0</v>
      </c>
      <c r="G263" s="501">
        <f>SUMIFS('JPM St'!$K:$K,'JPM St'!$A:$A,$V$2,'JPM St'!$C:$C,D263)</f>
        <v>0</v>
      </c>
      <c r="H263" s="501">
        <f>SUMIFS('JPM St'!$K:$K,'JPM St'!$A:$A,$V$3,'JPM St'!$C:$C,D263)</f>
        <v>0</v>
      </c>
      <c r="I263" s="501">
        <f>SUMIFS('JPM St'!$K:$K,'JPM St'!$A:$A,$V$4,'JPM St'!$C:$C,D263)</f>
        <v>0</v>
      </c>
      <c r="J263" s="619">
        <f t="shared" si="14"/>
        <v>0</v>
      </c>
      <c r="K263" s="501">
        <f>IFERROR(SUMIFS('JPM St'!$M:$M,'JPM St'!$A:$A,$V$2,'JPM St'!$C:$C,D263),"")</f>
        <v>0</v>
      </c>
      <c r="L263" s="501">
        <f>IFERROR(SUMIFS('JPM St'!$M:$M,'JPM St'!$A:$A,$V$3,'JPM St'!$C:$C,D263),"")</f>
        <v>0</v>
      </c>
      <c r="M263" s="501">
        <f>IFERROR(SUMIFS('JPM St'!$M:$M,'JPM St'!$A:$A,$V$4,'JPM St'!$C:$C,D263),"")</f>
        <v>0</v>
      </c>
    </row>
    <row r="264" spans="1:13" x14ac:dyDescent="0.25">
      <c r="A264" s="497" t="s">
        <v>90</v>
      </c>
      <c r="B264" s="497" t="str">
        <f>IFERROR(IF(VLOOKUP(D264,'JPM St'!$C:$G,3,0)="Fixed Income &amp; Cash","Cash",VLOOKUP(D264,'JPM St'!$C:$G,3,0)),"")</f>
        <v/>
      </c>
      <c r="C264" s="497" t="str">
        <f>IFERROR(VLOOKUP(D264,'JPM St'!$C:$L,10,0),"")</f>
        <v/>
      </c>
      <c r="E264" s="500" t="str">
        <f>IFERROR(VLOOKUP(D264,'JPM St'!$C:$D,2,0),"")</f>
        <v/>
      </c>
      <c r="F264" s="501">
        <f t="shared" si="13"/>
        <v>0</v>
      </c>
      <c r="G264" s="501">
        <f>SUMIFS('JPM St'!$K:$K,'JPM St'!$A:$A,$V$2,'JPM St'!$C:$C,D264)</f>
        <v>0</v>
      </c>
      <c r="H264" s="501">
        <f>SUMIFS('JPM St'!$K:$K,'JPM St'!$A:$A,$V$3,'JPM St'!$C:$C,D264)</f>
        <v>0</v>
      </c>
      <c r="I264" s="501">
        <f>SUMIFS('JPM St'!$K:$K,'JPM St'!$A:$A,$V$4,'JPM St'!$C:$C,D264)</f>
        <v>0</v>
      </c>
      <c r="J264" s="619">
        <f t="shared" si="14"/>
        <v>0</v>
      </c>
      <c r="K264" s="501">
        <f>IFERROR(SUMIFS('JPM St'!$M:$M,'JPM St'!$A:$A,$V$2,'JPM St'!$C:$C,D264),"")</f>
        <v>0</v>
      </c>
      <c r="L264" s="501">
        <f>IFERROR(SUMIFS('JPM St'!$M:$M,'JPM St'!$A:$A,$V$3,'JPM St'!$C:$C,D264),"")</f>
        <v>0</v>
      </c>
      <c r="M264" s="501">
        <f>IFERROR(SUMIFS('JPM St'!$M:$M,'JPM St'!$A:$A,$V$4,'JPM St'!$C:$C,D264),"")</f>
        <v>0</v>
      </c>
    </row>
    <row r="265" spans="1:13" x14ac:dyDescent="0.25">
      <c r="A265" s="497" t="s">
        <v>90</v>
      </c>
      <c r="B265" s="497" t="str">
        <f>IFERROR(IF(VLOOKUP(D265,'JPM St'!$C:$G,3,0)="Fixed Income &amp; Cash","Cash",VLOOKUP(D265,'JPM St'!$C:$G,3,0)),"")</f>
        <v/>
      </c>
      <c r="C265" s="497" t="str">
        <f>IFERROR(VLOOKUP(D265,'JPM St'!$C:$L,10,0),"")</f>
        <v/>
      </c>
      <c r="E265" s="500" t="str">
        <f>IFERROR(VLOOKUP(D265,'JPM St'!$C:$D,2,0),"")</f>
        <v/>
      </c>
      <c r="F265" s="501">
        <f t="shared" si="13"/>
        <v>0</v>
      </c>
      <c r="G265" s="501">
        <f>SUMIFS('JPM St'!$K:$K,'JPM St'!$A:$A,$V$2,'JPM St'!$C:$C,D265)</f>
        <v>0</v>
      </c>
      <c r="H265" s="501">
        <f>SUMIFS('JPM St'!$K:$K,'JPM St'!$A:$A,$V$3,'JPM St'!$C:$C,D265)</f>
        <v>0</v>
      </c>
      <c r="I265" s="501">
        <f>SUMIFS('JPM St'!$K:$K,'JPM St'!$A:$A,$V$4,'JPM St'!$C:$C,D265)</f>
        <v>0</v>
      </c>
      <c r="J265" s="619">
        <f t="shared" si="14"/>
        <v>0</v>
      </c>
      <c r="K265" s="501">
        <f>IFERROR(SUMIFS('JPM St'!$M:$M,'JPM St'!$A:$A,$V$2,'JPM St'!$C:$C,D265),"")</f>
        <v>0</v>
      </c>
      <c r="L265" s="501">
        <f>IFERROR(SUMIFS('JPM St'!$M:$M,'JPM St'!$A:$A,$V$3,'JPM St'!$C:$C,D265),"")</f>
        <v>0</v>
      </c>
      <c r="M265" s="501">
        <f>IFERROR(SUMIFS('JPM St'!$M:$M,'JPM St'!$A:$A,$V$4,'JPM St'!$C:$C,D265),"")</f>
        <v>0</v>
      </c>
    </row>
    <row r="266" spans="1:13" x14ac:dyDescent="0.25">
      <c r="A266" s="497" t="s">
        <v>90</v>
      </c>
      <c r="B266" s="497" t="str">
        <f>IFERROR(IF(VLOOKUP(D266,'JPM St'!$C:$G,3,0)="Fixed Income &amp; Cash","Cash",VLOOKUP(D266,'JPM St'!$C:$G,3,0)),"")</f>
        <v/>
      </c>
      <c r="C266" s="497" t="str">
        <f>IFERROR(VLOOKUP(D266,'JPM St'!$C:$L,10,0),"")</f>
        <v/>
      </c>
      <c r="E266" s="500" t="str">
        <f>IFERROR(VLOOKUP(D266,'JPM St'!$C:$D,2,0),"")</f>
        <v/>
      </c>
      <c r="F266" s="501">
        <f t="shared" si="13"/>
        <v>0</v>
      </c>
      <c r="G266" s="501">
        <f>SUMIFS('JPM St'!$K:$K,'JPM St'!$A:$A,$V$2,'JPM St'!$C:$C,D266)</f>
        <v>0</v>
      </c>
      <c r="H266" s="501">
        <f>SUMIFS('JPM St'!$K:$K,'JPM St'!$A:$A,$V$3,'JPM St'!$C:$C,D266)</f>
        <v>0</v>
      </c>
      <c r="I266" s="501">
        <f>SUMIFS('JPM St'!$K:$K,'JPM St'!$A:$A,$V$4,'JPM St'!$C:$C,D266)</f>
        <v>0</v>
      </c>
      <c r="J266" s="619">
        <f t="shared" si="14"/>
        <v>0</v>
      </c>
      <c r="K266" s="501">
        <f>IFERROR(SUMIFS('JPM St'!$M:$M,'JPM St'!$A:$A,$V$2,'JPM St'!$C:$C,D266),"")</f>
        <v>0</v>
      </c>
      <c r="L266" s="501">
        <f>IFERROR(SUMIFS('JPM St'!$M:$M,'JPM St'!$A:$A,$V$3,'JPM St'!$C:$C,D266),"")</f>
        <v>0</v>
      </c>
      <c r="M266" s="501">
        <f>IFERROR(SUMIFS('JPM St'!$M:$M,'JPM St'!$A:$A,$V$4,'JPM St'!$C:$C,D266),"")</f>
        <v>0</v>
      </c>
    </row>
    <row r="267" spans="1:13" x14ac:dyDescent="0.25">
      <c r="A267" s="497" t="s">
        <v>90</v>
      </c>
      <c r="B267" s="497" t="str">
        <f>IFERROR(IF(VLOOKUP(D267,'JPM St'!$C:$G,3,0)="Fixed Income &amp; Cash","Cash",VLOOKUP(D267,'JPM St'!$C:$G,3,0)),"")</f>
        <v/>
      </c>
      <c r="C267" s="497" t="str">
        <f>IFERROR(VLOOKUP(D267,'JPM St'!$C:$L,10,0),"")</f>
        <v/>
      </c>
      <c r="E267" s="500" t="str">
        <f>IFERROR(VLOOKUP(D267,'JPM St'!$C:$D,2,0),"")</f>
        <v/>
      </c>
      <c r="F267" s="501">
        <f t="shared" si="13"/>
        <v>0</v>
      </c>
      <c r="G267" s="501">
        <f>SUMIFS('JPM St'!$K:$K,'JPM St'!$A:$A,$V$2,'JPM St'!$C:$C,D267)</f>
        <v>0</v>
      </c>
      <c r="H267" s="501">
        <f>SUMIFS('JPM St'!$K:$K,'JPM St'!$A:$A,$V$3,'JPM St'!$C:$C,D267)</f>
        <v>0</v>
      </c>
      <c r="I267" s="501">
        <f>SUMIFS('JPM St'!$K:$K,'JPM St'!$A:$A,$V$4,'JPM St'!$C:$C,D267)</f>
        <v>0</v>
      </c>
      <c r="J267" s="619">
        <f t="shared" si="14"/>
        <v>0</v>
      </c>
      <c r="K267" s="501">
        <f>IFERROR(SUMIFS('JPM St'!$M:$M,'JPM St'!$A:$A,$V$2,'JPM St'!$C:$C,D267),"")</f>
        <v>0</v>
      </c>
      <c r="L267" s="501">
        <f>IFERROR(SUMIFS('JPM St'!$M:$M,'JPM St'!$A:$A,$V$3,'JPM St'!$C:$C,D267),"")</f>
        <v>0</v>
      </c>
      <c r="M267" s="501">
        <f>IFERROR(SUMIFS('JPM St'!$M:$M,'JPM St'!$A:$A,$V$4,'JPM St'!$C:$C,D267),"")</f>
        <v>0</v>
      </c>
    </row>
    <row r="268" spans="1:13" x14ac:dyDescent="0.25">
      <c r="A268" s="497" t="s">
        <v>90</v>
      </c>
      <c r="B268" s="497" t="str">
        <f>IFERROR(IF(VLOOKUP(D268,'JPM St'!$C:$G,3,0)="Fixed Income &amp; Cash","Cash",VLOOKUP(D268,'JPM St'!$C:$G,3,0)),"")</f>
        <v/>
      </c>
      <c r="C268" s="497" t="str">
        <f>IFERROR(VLOOKUP(D268,'JPM St'!$C:$L,10,0),"")</f>
        <v/>
      </c>
      <c r="E268" s="500" t="str">
        <f>IFERROR(VLOOKUP(D268,'JPM St'!$C:$D,2,0),"")</f>
        <v/>
      </c>
      <c r="F268" s="501">
        <f t="shared" si="13"/>
        <v>0</v>
      </c>
      <c r="G268" s="501">
        <f>SUMIFS('JPM St'!$K:$K,'JPM St'!$A:$A,$V$2,'JPM St'!$C:$C,D268)</f>
        <v>0</v>
      </c>
      <c r="H268" s="501">
        <f>SUMIFS('JPM St'!$K:$K,'JPM St'!$A:$A,$V$3,'JPM St'!$C:$C,D268)</f>
        <v>0</v>
      </c>
      <c r="I268" s="501">
        <f>SUMIFS('JPM St'!$K:$K,'JPM St'!$A:$A,$V$4,'JPM St'!$C:$C,D268)</f>
        <v>0</v>
      </c>
      <c r="J268" s="619">
        <f t="shared" si="14"/>
        <v>0</v>
      </c>
      <c r="K268" s="501">
        <f>IFERROR(SUMIFS('JPM St'!$M:$M,'JPM St'!$A:$A,$V$2,'JPM St'!$C:$C,D268),"")</f>
        <v>0</v>
      </c>
      <c r="L268" s="501">
        <f>IFERROR(SUMIFS('JPM St'!$M:$M,'JPM St'!$A:$A,$V$3,'JPM St'!$C:$C,D268),"")</f>
        <v>0</v>
      </c>
      <c r="M268" s="501">
        <f>IFERROR(SUMIFS('JPM St'!$M:$M,'JPM St'!$A:$A,$V$4,'JPM St'!$C:$C,D268),"")</f>
        <v>0</v>
      </c>
    </row>
    <row r="269" spans="1:13" x14ac:dyDescent="0.25">
      <c r="A269" s="497" t="s">
        <v>90</v>
      </c>
      <c r="B269" s="497" t="str">
        <f>IFERROR(IF(VLOOKUP(D269,'JPM St'!$C:$G,3,0)="Fixed Income &amp; Cash","Cash",VLOOKUP(D269,'JPM St'!$C:$G,3,0)),"")</f>
        <v/>
      </c>
      <c r="C269" s="497" t="str">
        <f>IFERROR(VLOOKUP(D269,'JPM St'!$C:$L,10,0),"")</f>
        <v/>
      </c>
      <c r="E269" s="500" t="str">
        <f>IFERROR(VLOOKUP(D269,'JPM St'!$C:$D,2,0),"")</f>
        <v/>
      </c>
      <c r="F269" s="501">
        <f t="shared" si="13"/>
        <v>0</v>
      </c>
      <c r="G269" s="501">
        <f>SUMIFS('JPM St'!$K:$K,'JPM St'!$A:$A,$V$2,'JPM St'!$C:$C,D269)</f>
        <v>0</v>
      </c>
      <c r="H269" s="501">
        <f>SUMIFS('JPM St'!$K:$K,'JPM St'!$A:$A,$V$3,'JPM St'!$C:$C,D269)</f>
        <v>0</v>
      </c>
      <c r="I269" s="501">
        <f>SUMIFS('JPM St'!$K:$K,'JPM St'!$A:$A,$V$4,'JPM St'!$C:$C,D269)</f>
        <v>0</v>
      </c>
      <c r="J269" s="619">
        <f t="shared" si="14"/>
        <v>0</v>
      </c>
      <c r="K269" s="501">
        <f>IFERROR(SUMIFS('JPM St'!$M:$M,'JPM St'!$A:$A,$V$2,'JPM St'!$C:$C,D269),"")</f>
        <v>0</v>
      </c>
      <c r="L269" s="501">
        <f>IFERROR(SUMIFS('JPM St'!$M:$M,'JPM St'!$A:$A,$V$3,'JPM St'!$C:$C,D269),"")</f>
        <v>0</v>
      </c>
      <c r="M269" s="501">
        <f>IFERROR(SUMIFS('JPM St'!$M:$M,'JPM St'!$A:$A,$V$4,'JPM St'!$C:$C,D269),"")</f>
        <v>0</v>
      </c>
    </row>
    <row r="270" spans="1:13" x14ac:dyDescent="0.25">
      <c r="A270" s="497" t="s">
        <v>90</v>
      </c>
      <c r="B270" s="497" t="str">
        <f>IFERROR(IF(VLOOKUP(D270,'JPM St'!$C:$G,3,0)="Fixed Income &amp; Cash","Cash",VLOOKUP(D270,'JPM St'!$C:$G,3,0)),"")</f>
        <v/>
      </c>
      <c r="C270" s="497" t="str">
        <f>IFERROR(VLOOKUP(D270,'JPM St'!$C:$L,10,0),"")</f>
        <v/>
      </c>
      <c r="E270" s="500" t="str">
        <f>IFERROR(VLOOKUP(D270,'JPM St'!$C:$D,2,0),"")</f>
        <v/>
      </c>
      <c r="F270" s="501">
        <f t="shared" si="13"/>
        <v>0</v>
      </c>
      <c r="G270" s="501">
        <f>SUMIFS('JPM St'!$K:$K,'JPM St'!$A:$A,$V$2,'JPM St'!$C:$C,D270)</f>
        <v>0</v>
      </c>
      <c r="H270" s="501">
        <f>SUMIFS('JPM St'!$K:$K,'JPM St'!$A:$A,$V$3,'JPM St'!$C:$C,D270)</f>
        <v>0</v>
      </c>
      <c r="I270" s="501">
        <f>SUMIFS('JPM St'!$K:$K,'JPM St'!$A:$A,$V$4,'JPM St'!$C:$C,D270)</f>
        <v>0</v>
      </c>
      <c r="J270" s="619">
        <f t="shared" si="14"/>
        <v>0</v>
      </c>
      <c r="K270" s="501">
        <f>IFERROR(SUMIFS('JPM St'!$M:$M,'JPM St'!$A:$A,$V$2,'JPM St'!$C:$C,D270),"")</f>
        <v>0</v>
      </c>
      <c r="L270" s="501">
        <f>IFERROR(SUMIFS('JPM St'!$M:$M,'JPM St'!$A:$A,$V$3,'JPM St'!$C:$C,D270),"")</f>
        <v>0</v>
      </c>
      <c r="M270" s="501">
        <f>IFERROR(SUMIFS('JPM St'!$M:$M,'JPM St'!$A:$A,$V$4,'JPM St'!$C:$C,D270),"")</f>
        <v>0</v>
      </c>
    </row>
    <row r="271" spans="1:13" x14ac:dyDescent="0.25">
      <c r="A271" s="497" t="s">
        <v>90</v>
      </c>
      <c r="B271" s="497" t="str">
        <f>IFERROR(IF(VLOOKUP(D271,'JPM St'!$C:$G,3,0)="Fixed Income &amp; Cash","Cash",VLOOKUP(D271,'JPM St'!$C:$G,3,0)),"")</f>
        <v/>
      </c>
      <c r="C271" s="497" t="str">
        <f>IFERROR(VLOOKUP(D271,'JPM St'!$C:$L,10,0),"")</f>
        <v/>
      </c>
      <c r="E271" s="500" t="str">
        <f>IFERROR(VLOOKUP(D271,'JPM St'!$C:$D,2,0),"")</f>
        <v/>
      </c>
      <c r="F271" s="501">
        <f t="shared" si="13"/>
        <v>0</v>
      </c>
      <c r="G271" s="501">
        <f>SUMIFS('JPM St'!$K:$K,'JPM St'!$A:$A,$V$2,'JPM St'!$C:$C,D271)</f>
        <v>0</v>
      </c>
      <c r="H271" s="501">
        <f>SUMIFS('JPM St'!$K:$K,'JPM St'!$A:$A,$V$3,'JPM St'!$C:$C,D271)</f>
        <v>0</v>
      </c>
      <c r="I271" s="501">
        <f>SUMIFS('JPM St'!$K:$K,'JPM St'!$A:$A,$V$4,'JPM St'!$C:$C,D271)</f>
        <v>0</v>
      </c>
      <c r="J271" s="619">
        <f t="shared" si="14"/>
        <v>0</v>
      </c>
      <c r="K271" s="501">
        <f>IFERROR(SUMIFS('JPM St'!$M:$M,'JPM St'!$A:$A,$V$2,'JPM St'!$C:$C,D271),"")</f>
        <v>0</v>
      </c>
      <c r="L271" s="501">
        <f>IFERROR(SUMIFS('JPM St'!$M:$M,'JPM St'!$A:$A,$V$3,'JPM St'!$C:$C,D271),"")</f>
        <v>0</v>
      </c>
      <c r="M271" s="501">
        <f>IFERROR(SUMIFS('JPM St'!$M:$M,'JPM St'!$A:$A,$V$4,'JPM St'!$C:$C,D271),"")</f>
        <v>0</v>
      </c>
    </row>
    <row r="272" spans="1:13" x14ac:dyDescent="0.25">
      <c r="A272" s="497" t="s">
        <v>90</v>
      </c>
      <c r="B272" s="497" t="str">
        <f>IFERROR(IF(VLOOKUP(D272,'JPM St'!$C:$G,3,0)="Fixed Income &amp; Cash","Cash",VLOOKUP(D272,'JPM St'!$C:$G,3,0)),"")</f>
        <v/>
      </c>
      <c r="C272" s="497" t="str">
        <f>IFERROR(VLOOKUP(D272,'JPM St'!$C:$L,10,0),"")</f>
        <v/>
      </c>
      <c r="E272" s="500" t="str">
        <f>IFERROR(VLOOKUP(D272,'JPM St'!$C:$D,2,0),"")</f>
        <v/>
      </c>
      <c r="F272" s="501">
        <f t="shared" si="13"/>
        <v>0</v>
      </c>
      <c r="G272" s="501">
        <f>SUMIFS('JPM St'!$K:$K,'JPM St'!$A:$A,$V$2,'JPM St'!$C:$C,D272)</f>
        <v>0</v>
      </c>
      <c r="H272" s="501">
        <f>SUMIFS('JPM St'!$K:$K,'JPM St'!$A:$A,$V$3,'JPM St'!$C:$C,D272)</f>
        <v>0</v>
      </c>
      <c r="I272" s="501">
        <f>SUMIFS('JPM St'!$K:$K,'JPM St'!$A:$A,$V$4,'JPM St'!$C:$C,D272)</f>
        <v>0</v>
      </c>
      <c r="J272" s="619">
        <f t="shared" si="14"/>
        <v>0</v>
      </c>
      <c r="K272" s="501">
        <f>IFERROR(SUMIFS('JPM St'!$M:$M,'JPM St'!$A:$A,$V$2,'JPM St'!$C:$C,D272),"")</f>
        <v>0</v>
      </c>
      <c r="L272" s="501">
        <f>IFERROR(SUMIFS('JPM St'!$M:$M,'JPM St'!$A:$A,$V$3,'JPM St'!$C:$C,D272),"")</f>
        <v>0</v>
      </c>
      <c r="M272" s="501">
        <f>IFERROR(SUMIFS('JPM St'!$M:$M,'JPM St'!$A:$A,$V$4,'JPM St'!$C:$C,D272),"")</f>
        <v>0</v>
      </c>
    </row>
    <row r="273" spans="1:13" x14ac:dyDescent="0.25">
      <c r="A273" s="497" t="s">
        <v>90</v>
      </c>
      <c r="B273" s="497" t="str">
        <f>IFERROR(IF(VLOOKUP(D273,'JPM St'!$C:$G,3,0)="Fixed Income &amp; Cash","Cash",VLOOKUP(D273,'JPM St'!$C:$G,3,0)),"")</f>
        <v/>
      </c>
      <c r="C273" s="497" t="str">
        <f>IFERROR(VLOOKUP(D273,'JPM St'!$C:$L,10,0),"")</f>
        <v/>
      </c>
      <c r="E273" s="500" t="str">
        <f>IFERROR(VLOOKUP(D273,'JPM St'!$C:$D,2,0),"")</f>
        <v/>
      </c>
      <c r="F273" s="501">
        <f t="shared" si="13"/>
        <v>0</v>
      </c>
      <c r="G273" s="501">
        <f>SUMIFS('JPM St'!$K:$K,'JPM St'!$A:$A,$V$2,'JPM St'!$C:$C,D273)</f>
        <v>0</v>
      </c>
      <c r="H273" s="501">
        <f>SUMIFS('JPM St'!$K:$K,'JPM St'!$A:$A,$V$3,'JPM St'!$C:$C,D273)</f>
        <v>0</v>
      </c>
      <c r="I273" s="501">
        <f>SUMIFS('JPM St'!$K:$K,'JPM St'!$A:$A,$V$4,'JPM St'!$C:$C,D273)</f>
        <v>0</v>
      </c>
      <c r="J273" s="619">
        <f t="shared" si="14"/>
        <v>0</v>
      </c>
      <c r="K273" s="501">
        <f>IFERROR(SUMIFS('JPM St'!$M:$M,'JPM St'!$A:$A,$V$2,'JPM St'!$C:$C,D273),"")</f>
        <v>0</v>
      </c>
      <c r="L273" s="501">
        <f>IFERROR(SUMIFS('JPM St'!$M:$M,'JPM St'!$A:$A,$V$3,'JPM St'!$C:$C,D273),"")</f>
        <v>0</v>
      </c>
      <c r="M273" s="501">
        <f>IFERROR(SUMIFS('JPM St'!$M:$M,'JPM St'!$A:$A,$V$4,'JPM St'!$C:$C,D273),"")</f>
        <v>0</v>
      </c>
    </row>
    <row r="274" spans="1:13" x14ac:dyDescent="0.25">
      <c r="A274" s="497" t="s">
        <v>90</v>
      </c>
      <c r="B274" s="497" t="str">
        <f>IFERROR(IF(VLOOKUP(D274,'JPM St'!$C:$G,3,0)="Fixed Income &amp; Cash","Cash",VLOOKUP(D274,'JPM St'!$C:$G,3,0)),"")</f>
        <v/>
      </c>
      <c r="C274" s="497" t="str">
        <f>IFERROR(VLOOKUP(D274,'JPM St'!$C:$L,10,0),"")</f>
        <v/>
      </c>
      <c r="E274" s="500" t="str">
        <f>IFERROR(VLOOKUP(D274,'JPM St'!$C:$D,2,0),"")</f>
        <v/>
      </c>
      <c r="F274" s="501">
        <f t="shared" si="13"/>
        <v>0</v>
      </c>
      <c r="G274" s="501">
        <f>SUMIFS('JPM St'!$K:$K,'JPM St'!$A:$A,$V$2,'JPM St'!$C:$C,D274)</f>
        <v>0</v>
      </c>
      <c r="H274" s="501">
        <f>SUMIFS('JPM St'!$K:$K,'JPM St'!$A:$A,$V$3,'JPM St'!$C:$C,D274)</f>
        <v>0</v>
      </c>
      <c r="I274" s="501">
        <f>SUMIFS('JPM St'!$K:$K,'JPM St'!$A:$A,$V$4,'JPM St'!$C:$C,D274)</f>
        <v>0</v>
      </c>
      <c r="J274" s="619">
        <f t="shared" si="14"/>
        <v>0</v>
      </c>
      <c r="K274" s="501">
        <f>IFERROR(SUMIFS('JPM St'!$M:$M,'JPM St'!$A:$A,$V$2,'JPM St'!$C:$C,D274),"")</f>
        <v>0</v>
      </c>
      <c r="L274" s="501">
        <f>IFERROR(SUMIFS('JPM St'!$M:$M,'JPM St'!$A:$A,$V$3,'JPM St'!$C:$C,D274),"")</f>
        <v>0</v>
      </c>
      <c r="M274" s="501">
        <f>IFERROR(SUMIFS('JPM St'!$M:$M,'JPM St'!$A:$A,$V$4,'JPM St'!$C:$C,D274),"")</f>
        <v>0</v>
      </c>
    </row>
    <row r="275" spans="1:13" x14ac:dyDescent="0.25">
      <c r="A275" s="497" t="s">
        <v>90</v>
      </c>
      <c r="B275" s="497" t="str">
        <f>IFERROR(IF(VLOOKUP(D275,'JPM St'!$C:$G,3,0)="Fixed Income &amp; Cash","Cash",VLOOKUP(D275,'JPM St'!$C:$G,3,0)),"")</f>
        <v/>
      </c>
      <c r="C275" s="497" t="str">
        <f>IFERROR(VLOOKUP(D275,'JPM St'!$C:$L,10,0),"")</f>
        <v/>
      </c>
      <c r="E275" s="500" t="str">
        <f>IFERROR(VLOOKUP(D275,'JPM St'!$C:$D,2,0),"")</f>
        <v/>
      </c>
      <c r="F275" s="501">
        <f t="shared" si="13"/>
        <v>0</v>
      </c>
      <c r="G275" s="501">
        <f>SUMIFS('JPM St'!$K:$K,'JPM St'!$A:$A,$V$2,'JPM St'!$C:$C,D275)</f>
        <v>0</v>
      </c>
      <c r="H275" s="501">
        <f>SUMIFS('JPM St'!$K:$K,'JPM St'!$A:$A,$V$3,'JPM St'!$C:$C,D275)</f>
        <v>0</v>
      </c>
      <c r="I275" s="501">
        <f>SUMIFS('JPM St'!$K:$K,'JPM St'!$A:$A,$V$4,'JPM St'!$C:$C,D275)</f>
        <v>0</v>
      </c>
      <c r="J275" s="619">
        <f t="shared" si="14"/>
        <v>0</v>
      </c>
      <c r="K275" s="501">
        <f>IFERROR(SUMIFS('JPM St'!$M:$M,'JPM St'!$A:$A,$V$2,'JPM St'!$C:$C,D275),"")</f>
        <v>0</v>
      </c>
      <c r="L275" s="501">
        <f>IFERROR(SUMIFS('JPM St'!$M:$M,'JPM St'!$A:$A,$V$3,'JPM St'!$C:$C,D275),"")</f>
        <v>0</v>
      </c>
      <c r="M275" s="501">
        <f>IFERROR(SUMIFS('JPM St'!$M:$M,'JPM St'!$A:$A,$V$4,'JPM St'!$C:$C,D275),"")</f>
        <v>0</v>
      </c>
    </row>
    <row r="276" spans="1:13" x14ac:dyDescent="0.25">
      <c r="A276" s="497" t="s">
        <v>90</v>
      </c>
      <c r="B276" s="497" t="str">
        <f>IFERROR(IF(VLOOKUP(D276,'JPM St'!$C:$G,3,0)="Fixed Income &amp; Cash","Cash",VLOOKUP(D276,'JPM St'!$C:$G,3,0)),"")</f>
        <v/>
      </c>
      <c r="C276" s="497" t="str">
        <f>IFERROR(VLOOKUP(D276,'JPM St'!$C:$L,10,0),"")</f>
        <v/>
      </c>
      <c r="E276" s="500" t="str">
        <f>IFERROR(VLOOKUP(D276,'JPM St'!$C:$D,2,0),"")</f>
        <v/>
      </c>
      <c r="F276" s="501">
        <f t="shared" si="13"/>
        <v>0</v>
      </c>
      <c r="G276" s="501">
        <f>SUMIFS('JPM St'!$K:$K,'JPM St'!$A:$A,$V$2,'JPM St'!$C:$C,D276)</f>
        <v>0</v>
      </c>
      <c r="H276" s="501">
        <f>SUMIFS('JPM St'!$K:$K,'JPM St'!$A:$A,$V$3,'JPM St'!$C:$C,D276)</f>
        <v>0</v>
      </c>
      <c r="I276" s="501">
        <f>SUMIFS('JPM St'!$K:$K,'JPM St'!$A:$A,$V$4,'JPM St'!$C:$C,D276)</f>
        <v>0</v>
      </c>
      <c r="J276" s="619">
        <f t="shared" si="14"/>
        <v>0</v>
      </c>
      <c r="K276" s="501">
        <f>IFERROR(SUMIFS('JPM St'!$M:$M,'JPM St'!$A:$A,$V$2,'JPM St'!$C:$C,D276),"")</f>
        <v>0</v>
      </c>
      <c r="L276" s="501">
        <f>IFERROR(SUMIFS('JPM St'!$M:$M,'JPM St'!$A:$A,$V$3,'JPM St'!$C:$C,D276),"")</f>
        <v>0</v>
      </c>
      <c r="M276" s="501">
        <f>IFERROR(SUMIFS('JPM St'!$M:$M,'JPM St'!$A:$A,$V$4,'JPM St'!$C:$C,D276),"")</f>
        <v>0</v>
      </c>
    </row>
    <row r="277" spans="1:13" x14ac:dyDescent="0.25">
      <c r="A277" s="497" t="s">
        <v>90</v>
      </c>
      <c r="B277" s="497" t="str">
        <f>IFERROR(IF(VLOOKUP(D277,'JPM St'!$C:$G,3,0)="Fixed Income &amp; Cash","Cash",VLOOKUP(D277,'JPM St'!$C:$G,3,0)),"")</f>
        <v/>
      </c>
      <c r="C277" s="497" t="str">
        <f>IFERROR(VLOOKUP(D277,'JPM St'!$C:$L,10,0),"")</f>
        <v/>
      </c>
      <c r="E277" s="500" t="str">
        <f>IFERROR(VLOOKUP(D277,'JPM St'!$C:$D,2,0),"")</f>
        <v/>
      </c>
      <c r="F277" s="501">
        <f t="shared" si="13"/>
        <v>0</v>
      </c>
      <c r="G277" s="501">
        <f>SUMIFS('JPM St'!$K:$K,'JPM St'!$A:$A,$V$2,'JPM St'!$C:$C,D277)</f>
        <v>0</v>
      </c>
      <c r="H277" s="501">
        <f>SUMIFS('JPM St'!$K:$K,'JPM St'!$A:$A,$V$3,'JPM St'!$C:$C,D277)</f>
        <v>0</v>
      </c>
      <c r="I277" s="501">
        <f>SUMIFS('JPM St'!$K:$K,'JPM St'!$A:$A,$V$4,'JPM St'!$C:$C,D277)</f>
        <v>0</v>
      </c>
      <c r="J277" s="619">
        <f t="shared" si="14"/>
        <v>0</v>
      </c>
      <c r="K277" s="501">
        <f>IFERROR(SUMIFS('JPM St'!$M:$M,'JPM St'!$A:$A,$V$2,'JPM St'!$C:$C,D277),"")</f>
        <v>0</v>
      </c>
      <c r="L277" s="501">
        <f>IFERROR(SUMIFS('JPM St'!$M:$M,'JPM St'!$A:$A,$V$3,'JPM St'!$C:$C,D277),"")</f>
        <v>0</v>
      </c>
      <c r="M277" s="501">
        <f>IFERROR(SUMIFS('JPM St'!$M:$M,'JPM St'!$A:$A,$V$4,'JPM St'!$C:$C,D277),"")</f>
        <v>0</v>
      </c>
    </row>
    <row r="278" spans="1:13" x14ac:dyDescent="0.25">
      <c r="A278" s="497" t="s">
        <v>90</v>
      </c>
      <c r="B278" s="497" t="str">
        <f>IFERROR(IF(VLOOKUP(D278,'JPM St'!$C:$G,3,0)="Fixed Income &amp; Cash","Cash",VLOOKUP(D278,'JPM St'!$C:$G,3,0)),"")</f>
        <v/>
      </c>
      <c r="C278" s="497" t="str">
        <f>IFERROR(VLOOKUP(D278,'JPM St'!$C:$L,10,0),"")</f>
        <v/>
      </c>
      <c r="E278" s="500" t="str">
        <f>IFERROR(VLOOKUP(D278,'JPM St'!$C:$D,2,0),"")</f>
        <v/>
      </c>
      <c r="F278" s="501">
        <f t="shared" si="13"/>
        <v>0</v>
      </c>
      <c r="G278" s="501">
        <f>SUMIFS('JPM St'!$K:$K,'JPM St'!$A:$A,$V$2,'JPM St'!$C:$C,D278)</f>
        <v>0</v>
      </c>
      <c r="H278" s="501">
        <f>SUMIFS('JPM St'!$K:$K,'JPM St'!$A:$A,$V$3,'JPM St'!$C:$C,D278)</f>
        <v>0</v>
      </c>
      <c r="I278" s="501">
        <f>SUMIFS('JPM St'!$K:$K,'JPM St'!$A:$A,$V$4,'JPM St'!$C:$C,D278)</f>
        <v>0</v>
      </c>
      <c r="J278" s="619">
        <f t="shared" si="14"/>
        <v>0</v>
      </c>
      <c r="K278" s="501">
        <f>IFERROR(SUMIFS('JPM St'!$M:$M,'JPM St'!$A:$A,$V$2,'JPM St'!$C:$C,D278),"")</f>
        <v>0</v>
      </c>
      <c r="L278" s="501">
        <f>IFERROR(SUMIFS('JPM St'!$M:$M,'JPM St'!$A:$A,$V$3,'JPM St'!$C:$C,D278),"")</f>
        <v>0</v>
      </c>
      <c r="M278" s="501">
        <f>IFERROR(SUMIFS('JPM St'!$M:$M,'JPM St'!$A:$A,$V$4,'JPM St'!$C:$C,D278),"")</f>
        <v>0</v>
      </c>
    </row>
    <row r="279" spans="1:13" x14ac:dyDescent="0.25">
      <c r="A279" s="497" t="s">
        <v>90</v>
      </c>
      <c r="B279" s="497" t="str">
        <f>IFERROR(IF(VLOOKUP(D279,'JPM St'!$C:$G,3,0)="Fixed Income &amp; Cash","Cash",VLOOKUP(D279,'JPM St'!$C:$G,3,0)),"")</f>
        <v/>
      </c>
      <c r="C279" s="497" t="str">
        <f>IFERROR(VLOOKUP(D279,'JPM St'!$C:$L,10,0),"")</f>
        <v/>
      </c>
      <c r="E279" s="500" t="str">
        <f>IFERROR(VLOOKUP(D279,'JPM St'!$C:$D,2,0),"")</f>
        <v/>
      </c>
      <c r="F279" s="501">
        <f t="shared" si="13"/>
        <v>0</v>
      </c>
      <c r="G279" s="501">
        <f>SUMIFS('JPM St'!$K:$K,'JPM St'!$A:$A,$V$2,'JPM St'!$C:$C,D279)</f>
        <v>0</v>
      </c>
      <c r="H279" s="501">
        <f>SUMIFS('JPM St'!$K:$K,'JPM St'!$A:$A,$V$3,'JPM St'!$C:$C,D279)</f>
        <v>0</v>
      </c>
      <c r="I279" s="501">
        <f>SUMIFS('JPM St'!$K:$K,'JPM St'!$A:$A,$V$4,'JPM St'!$C:$C,D279)</f>
        <v>0</v>
      </c>
      <c r="J279" s="619">
        <f t="shared" si="14"/>
        <v>0</v>
      </c>
      <c r="K279" s="501">
        <f>IFERROR(SUMIFS('JPM St'!$M:$M,'JPM St'!$A:$A,$V$2,'JPM St'!$C:$C,D279),"")</f>
        <v>0</v>
      </c>
      <c r="L279" s="501">
        <f>IFERROR(SUMIFS('JPM St'!$M:$M,'JPM St'!$A:$A,$V$3,'JPM St'!$C:$C,D279),"")</f>
        <v>0</v>
      </c>
      <c r="M279" s="501">
        <f>IFERROR(SUMIFS('JPM St'!$M:$M,'JPM St'!$A:$A,$V$4,'JPM St'!$C:$C,D279),"")</f>
        <v>0</v>
      </c>
    </row>
    <row r="280" spans="1:13" x14ac:dyDescent="0.25">
      <c r="A280" s="497" t="s">
        <v>90</v>
      </c>
      <c r="B280" s="497" t="str">
        <f>IFERROR(IF(VLOOKUP(D280,'JPM St'!$C:$G,3,0)="Fixed Income &amp; Cash","Cash",VLOOKUP(D280,'JPM St'!$C:$G,3,0)),"")</f>
        <v/>
      </c>
      <c r="C280" s="497" t="str">
        <f>IFERROR(VLOOKUP(D280,'JPM St'!$C:$L,10,0),"")</f>
        <v/>
      </c>
      <c r="E280" s="500" t="str">
        <f>IFERROR(VLOOKUP(D280,'JPM St'!$C:$D,2,0),"")</f>
        <v/>
      </c>
      <c r="F280" s="501">
        <f t="shared" si="13"/>
        <v>0</v>
      </c>
      <c r="G280" s="501">
        <f>SUMIFS('JPM St'!$K:$K,'JPM St'!$A:$A,$V$2,'JPM St'!$C:$C,D280)</f>
        <v>0</v>
      </c>
      <c r="H280" s="501">
        <f>SUMIFS('JPM St'!$K:$K,'JPM St'!$A:$A,$V$3,'JPM St'!$C:$C,D280)</f>
        <v>0</v>
      </c>
      <c r="I280" s="501">
        <f>SUMIFS('JPM St'!$K:$K,'JPM St'!$A:$A,$V$4,'JPM St'!$C:$C,D280)</f>
        <v>0</v>
      </c>
      <c r="J280" s="619">
        <f t="shared" si="14"/>
        <v>0</v>
      </c>
      <c r="K280" s="501">
        <f>IFERROR(SUMIFS('JPM St'!$M:$M,'JPM St'!$A:$A,$V$2,'JPM St'!$C:$C,D280),"")</f>
        <v>0</v>
      </c>
      <c r="L280" s="501">
        <f>IFERROR(SUMIFS('JPM St'!$M:$M,'JPM St'!$A:$A,$V$3,'JPM St'!$C:$C,D280),"")</f>
        <v>0</v>
      </c>
      <c r="M280" s="501">
        <f>IFERROR(SUMIFS('JPM St'!$M:$M,'JPM St'!$A:$A,$V$4,'JPM St'!$C:$C,D280),"")</f>
        <v>0</v>
      </c>
    </row>
    <row r="281" spans="1:13" x14ac:dyDescent="0.25">
      <c r="A281" s="497" t="s">
        <v>90</v>
      </c>
      <c r="B281" s="497" t="str">
        <f>IFERROR(IF(VLOOKUP(D281,'JPM St'!$C:$G,3,0)="Fixed Income &amp; Cash","Cash",VLOOKUP(D281,'JPM St'!$C:$G,3,0)),"")</f>
        <v/>
      </c>
      <c r="C281" s="497" t="str">
        <f>IFERROR(VLOOKUP(D281,'JPM St'!$C:$L,10,0),"")</f>
        <v/>
      </c>
      <c r="E281" s="500" t="str">
        <f>IFERROR(VLOOKUP(D281,'JPM St'!$C:$D,2,0),"")</f>
        <v/>
      </c>
      <c r="F281" s="501">
        <f t="shared" si="13"/>
        <v>0</v>
      </c>
      <c r="G281" s="501">
        <f>SUMIFS('JPM St'!$K:$K,'JPM St'!$A:$A,$V$2,'JPM St'!$C:$C,D281)</f>
        <v>0</v>
      </c>
      <c r="H281" s="501">
        <f>SUMIFS('JPM St'!$K:$K,'JPM St'!$A:$A,$V$3,'JPM St'!$C:$C,D281)</f>
        <v>0</v>
      </c>
      <c r="I281" s="501">
        <f>SUMIFS('JPM St'!$K:$K,'JPM St'!$A:$A,$V$4,'JPM St'!$C:$C,D281)</f>
        <v>0</v>
      </c>
      <c r="J281" s="619">
        <f t="shared" si="14"/>
        <v>0</v>
      </c>
      <c r="K281" s="501">
        <f>IFERROR(SUMIFS('JPM St'!$M:$M,'JPM St'!$A:$A,$V$2,'JPM St'!$C:$C,D281),"")</f>
        <v>0</v>
      </c>
      <c r="L281" s="501">
        <f>IFERROR(SUMIFS('JPM St'!$M:$M,'JPM St'!$A:$A,$V$3,'JPM St'!$C:$C,D281),"")</f>
        <v>0</v>
      </c>
      <c r="M281" s="501">
        <f>IFERROR(SUMIFS('JPM St'!$M:$M,'JPM St'!$A:$A,$V$4,'JPM St'!$C:$C,D281),"")</f>
        <v>0</v>
      </c>
    </row>
    <row r="282" spans="1:13" x14ac:dyDescent="0.25">
      <c r="A282" s="497" t="s">
        <v>90</v>
      </c>
      <c r="B282" s="497" t="str">
        <f>IFERROR(IF(VLOOKUP(D282,'JPM St'!$C:$G,3,0)="Fixed Income &amp; Cash","Cash",VLOOKUP(D282,'JPM St'!$C:$G,3,0)),"")</f>
        <v/>
      </c>
      <c r="C282" s="497" t="str">
        <f>IFERROR(VLOOKUP(D282,'JPM St'!$C:$L,10,0),"")</f>
        <v/>
      </c>
      <c r="E282" s="500" t="str">
        <f>IFERROR(VLOOKUP(D282,'JPM St'!$C:$D,2,0),"")</f>
        <v/>
      </c>
      <c r="F282" s="501">
        <f t="shared" si="13"/>
        <v>0</v>
      </c>
      <c r="G282" s="501">
        <f>SUMIFS('JPM St'!$K:$K,'JPM St'!$A:$A,$V$2,'JPM St'!$C:$C,D282)</f>
        <v>0</v>
      </c>
      <c r="H282" s="501">
        <f>SUMIFS('JPM St'!$K:$K,'JPM St'!$A:$A,$V$3,'JPM St'!$C:$C,D282)</f>
        <v>0</v>
      </c>
      <c r="I282" s="501">
        <f>SUMIFS('JPM St'!$K:$K,'JPM St'!$A:$A,$V$4,'JPM St'!$C:$C,D282)</f>
        <v>0</v>
      </c>
      <c r="J282" s="619">
        <f t="shared" si="14"/>
        <v>0</v>
      </c>
      <c r="K282" s="501">
        <f>IFERROR(SUMIFS('JPM St'!$M:$M,'JPM St'!$A:$A,$V$2,'JPM St'!$C:$C,D282),"")</f>
        <v>0</v>
      </c>
      <c r="L282" s="501">
        <f>IFERROR(SUMIFS('JPM St'!$M:$M,'JPM St'!$A:$A,$V$3,'JPM St'!$C:$C,D282),"")</f>
        <v>0</v>
      </c>
      <c r="M282" s="501">
        <f>IFERROR(SUMIFS('JPM St'!$M:$M,'JPM St'!$A:$A,$V$4,'JPM St'!$C:$C,D282),"")</f>
        <v>0</v>
      </c>
    </row>
    <row r="283" spans="1:13" x14ac:dyDescent="0.25">
      <c r="A283" s="497" t="s">
        <v>90</v>
      </c>
      <c r="B283" s="497" t="str">
        <f>IFERROR(IF(VLOOKUP(D283,'JPM St'!$C:$G,3,0)="Fixed Income &amp; Cash","Cash",VLOOKUP(D283,'JPM St'!$C:$G,3,0)),"")</f>
        <v/>
      </c>
      <c r="C283" s="497" t="str">
        <f>IFERROR(VLOOKUP(D283,'JPM St'!$C:$L,10,0),"")</f>
        <v/>
      </c>
      <c r="E283" s="500" t="str">
        <f>IFERROR(VLOOKUP(D283,'JPM St'!$C:$D,2,0),"")</f>
        <v/>
      </c>
      <c r="F283" s="501">
        <f t="shared" si="13"/>
        <v>0</v>
      </c>
      <c r="G283" s="501">
        <f>SUMIFS('JPM St'!$K:$K,'JPM St'!$A:$A,$V$2,'JPM St'!$C:$C,D283)</f>
        <v>0</v>
      </c>
      <c r="H283" s="501">
        <f>SUMIFS('JPM St'!$K:$K,'JPM St'!$A:$A,$V$3,'JPM St'!$C:$C,D283)</f>
        <v>0</v>
      </c>
      <c r="I283" s="501">
        <f>SUMIFS('JPM St'!$K:$K,'JPM St'!$A:$A,$V$4,'JPM St'!$C:$C,D283)</f>
        <v>0</v>
      </c>
      <c r="J283" s="619">
        <f t="shared" si="14"/>
        <v>0</v>
      </c>
      <c r="K283" s="501">
        <f>IFERROR(SUMIFS('JPM St'!$M:$M,'JPM St'!$A:$A,$V$2,'JPM St'!$C:$C,D283),"")</f>
        <v>0</v>
      </c>
      <c r="L283" s="501">
        <f>IFERROR(SUMIFS('JPM St'!$M:$M,'JPM St'!$A:$A,$V$3,'JPM St'!$C:$C,D283),"")</f>
        <v>0</v>
      </c>
      <c r="M283" s="501">
        <f>IFERROR(SUMIFS('JPM St'!$M:$M,'JPM St'!$A:$A,$V$4,'JPM St'!$C:$C,D283),"")</f>
        <v>0</v>
      </c>
    </row>
    <row r="284" spans="1:13" x14ac:dyDescent="0.25">
      <c r="A284" s="497" t="s">
        <v>90</v>
      </c>
      <c r="B284" s="497" t="str">
        <f>IFERROR(IF(VLOOKUP(D284,'JPM St'!$C:$G,3,0)="Fixed Income &amp; Cash","Cash",VLOOKUP(D284,'JPM St'!$C:$G,3,0)),"")</f>
        <v/>
      </c>
      <c r="C284" s="497" t="str">
        <f>IFERROR(VLOOKUP(D284,'JPM St'!$C:$L,10,0),"")</f>
        <v/>
      </c>
      <c r="E284" s="500" t="str">
        <f>IFERROR(VLOOKUP(D284,'JPM St'!$C:$D,2,0),"")</f>
        <v/>
      </c>
      <c r="F284" s="501">
        <f t="shared" si="13"/>
        <v>0</v>
      </c>
      <c r="G284" s="501">
        <f>SUMIFS('JPM St'!$K:$K,'JPM St'!$A:$A,$V$2,'JPM St'!$C:$C,D284)</f>
        <v>0</v>
      </c>
      <c r="H284" s="501">
        <f>SUMIFS('JPM St'!$K:$K,'JPM St'!$A:$A,$V$3,'JPM St'!$C:$C,D284)</f>
        <v>0</v>
      </c>
      <c r="I284" s="501">
        <f>SUMIFS('JPM St'!$K:$K,'JPM St'!$A:$A,$V$4,'JPM St'!$C:$C,D284)</f>
        <v>0</v>
      </c>
      <c r="J284" s="619">
        <f t="shared" si="14"/>
        <v>0</v>
      </c>
      <c r="K284" s="501">
        <f>IFERROR(SUMIFS('JPM St'!$M:$M,'JPM St'!$A:$A,$V$2,'JPM St'!$C:$C,D284),"")</f>
        <v>0</v>
      </c>
      <c r="L284" s="501">
        <f>IFERROR(SUMIFS('JPM St'!$M:$M,'JPM St'!$A:$A,$V$3,'JPM St'!$C:$C,D284),"")</f>
        <v>0</v>
      </c>
      <c r="M284" s="501">
        <f>IFERROR(SUMIFS('JPM St'!$M:$M,'JPM St'!$A:$A,$V$4,'JPM St'!$C:$C,D284),"")</f>
        <v>0</v>
      </c>
    </row>
    <row r="285" spans="1:13" x14ac:dyDescent="0.25">
      <c r="A285" s="497" t="s">
        <v>90</v>
      </c>
      <c r="B285" s="497" t="str">
        <f>IFERROR(IF(VLOOKUP(D285,'JPM St'!$C:$G,3,0)="Fixed Income &amp; Cash","Cash",VLOOKUP(D285,'JPM St'!$C:$G,3,0)),"")</f>
        <v/>
      </c>
      <c r="C285" s="497" t="str">
        <f>IFERROR(VLOOKUP(D285,'JPM St'!$C:$L,10,0),"")</f>
        <v/>
      </c>
      <c r="E285" s="500" t="str">
        <f>IFERROR(VLOOKUP(D285,'JPM St'!$C:$D,2,0),"")</f>
        <v/>
      </c>
      <c r="F285" s="501">
        <f t="shared" si="13"/>
        <v>0</v>
      </c>
      <c r="G285" s="501">
        <f>SUMIFS('JPM St'!$K:$K,'JPM St'!$A:$A,$V$2,'JPM St'!$C:$C,D285)</f>
        <v>0</v>
      </c>
      <c r="H285" s="501">
        <f>SUMIFS('JPM St'!$K:$K,'JPM St'!$A:$A,$V$3,'JPM St'!$C:$C,D285)</f>
        <v>0</v>
      </c>
      <c r="I285" s="501">
        <f>SUMIFS('JPM St'!$K:$K,'JPM St'!$A:$A,$V$4,'JPM St'!$C:$C,D285)</f>
        <v>0</v>
      </c>
      <c r="J285" s="619">
        <f t="shared" si="14"/>
        <v>0</v>
      </c>
      <c r="K285" s="501">
        <f>IFERROR(SUMIFS('JPM St'!$M:$M,'JPM St'!$A:$A,$V$2,'JPM St'!$C:$C,D285),"")</f>
        <v>0</v>
      </c>
      <c r="L285" s="501">
        <f>IFERROR(SUMIFS('JPM St'!$M:$M,'JPM St'!$A:$A,$V$3,'JPM St'!$C:$C,D285),"")</f>
        <v>0</v>
      </c>
      <c r="M285" s="501">
        <f>IFERROR(SUMIFS('JPM St'!$M:$M,'JPM St'!$A:$A,$V$4,'JPM St'!$C:$C,D285),"")</f>
        <v>0</v>
      </c>
    </row>
    <row r="286" spans="1:13" x14ac:dyDescent="0.25">
      <c r="A286" s="497" t="s">
        <v>90</v>
      </c>
      <c r="B286" s="497" t="str">
        <f>IFERROR(IF(VLOOKUP(D286,'JPM St'!$C:$G,3,0)="Fixed Income &amp; Cash","Cash",VLOOKUP(D286,'JPM St'!$C:$G,3,0)),"")</f>
        <v/>
      </c>
      <c r="C286" s="497" t="str">
        <f>IFERROR(VLOOKUP(D286,'JPM St'!$C:$L,10,0),"")</f>
        <v/>
      </c>
      <c r="E286" s="500" t="str">
        <f>IFERROR(VLOOKUP(D286,'JPM St'!$C:$D,2,0),"")</f>
        <v/>
      </c>
      <c r="F286" s="501">
        <f t="shared" si="13"/>
        <v>0</v>
      </c>
      <c r="G286" s="501">
        <f>SUMIFS('JPM St'!$K:$K,'JPM St'!$A:$A,$V$2,'JPM St'!$C:$C,D286)</f>
        <v>0</v>
      </c>
      <c r="H286" s="501">
        <f>SUMIFS('JPM St'!$K:$K,'JPM St'!$A:$A,$V$3,'JPM St'!$C:$C,D286)</f>
        <v>0</v>
      </c>
      <c r="I286" s="501">
        <f>SUMIFS('JPM St'!$K:$K,'JPM St'!$A:$A,$V$4,'JPM St'!$C:$C,D286)</f>
        <v>0</v>
      </c>
      <c r="J286" s="619">
        <f t="shared" si="14"/>
        <v>0</v>
      </c>
      <c r="K286" s="501">
        <f>IFERROR(SUMIFS('JPM St'!$M:$M,'JPM St'!$A:$A,$V$2,'JPM St'!$C:$C,D286),"")</f>
        <v>0</v>
      </c>
      <c r="L286" s="501">
        <f>IFERROR(SUMIFS('JPM St'!$M:$M,'JPM St'!$A:$A,$V$3,'JPM St'!$C:$C,D286),"")</f>
        <v>0</v>
      </c>
      <c r="M286" s="501">
        <f>IFERROR(SUMIFS('JPM St'!$M:$M,'JPM St'!$A:$A,$V$4,'JPM St'!$C:$C,D286),"")</f>
        <v>0</v>
      </c>
    </row>
    <row r="287" spans="1:13" x14ac:dyDescent="0.25">
      <c r="A287" s="497" t="s">
        <v>90</v>
      </c>
      <c r="B287" s="497" t="str">
        <f>IFERROR(IF(VLOOKUP(D287,'JPM St'!$C:$G,3,0)="Fixed Income &amp; Cash","Cash",VLOOKUP(D287,'JPM St'!$C:$G,3,0)),"")</f>
        <v/>
      </c>
      <c r="C287" s="497" t="str">
        <f>IFERROR(VLOOKUP(D287,'JPM St'!$C:$L,10,0),"")</f>
        <v/>
      </c>
      <c r="E287" s="500" t="str">
        <f>IFERROR(VLOOKUP(D287,'JPM St'!$C:$D,2,0),"")</f>
        <v/>
      </c>
      <c r="F287" s="501">
        <f t="shared" si="13"/>
        <v>0</v>
      </c>
      <c r="G287" s="501">
        <f>SUMIFS('JPM St'!$K:$K,'JPM St'!$A:$A,$V$2,'JPM St'!$C:$C,D287)</f>
        <v>0</v>
      </c>
      <c r="H287" s="501">
        <f>SUMIFS('JPM St'!$K:$K,'JPM St'!$A:$A,$V$3,'JPM St'!$C:$C,D287)</f>
        <v>0</v>
      </c>
      <c r="I287" s="501">
        <f>SUMIFS('JPM St'!$K:$K,'JPM St'!$A:$A,$V$4,'JPM St'!$C:$C,D287)</f>
        <v>0</v>
      </c>
      <c r="J287" s="619">
        <f t="shared" si="14"/>
        <v>0</v>
      </c>
      <c r="K287" s="501">
        <f>IFERROR(SUMIFS('JPM St'!$M:$M,'JPM St'!$A:$A,$V$2,'JPM St'!$C:$C,D287),"")</f>
        <v>0</v>
      </c>
      <c r="L287" s="501">
        <f>IFERROR(SUMIFS('JPM St'!$M:$M,'JPM St'!$A:$A,$V$3,'JPM St'!$C:$C,D287),"")</f>
        <v>0</v>
      </c>
      <c r="M287" s="501">
        <f>IFERROR(SUMIFS('JPM St'!$M:$M,'JPM St'!$A:$A,$V$4,'JPM St'!$C:$C,D287),"")</f>
        <v>0</v>
      </c>
    </row>
    <row r="288" spans="1:13" x14ac:dyDescent="0.25">
      <c r="A288" s="497" t="s">
        <v>90</v>
      </c>
      <c r="B288" s="497" t="str">
        <f>IFERROR(IF(VLOOKUP(D288,'JPM St'!$C:$G,3,0)="Fixed Income &amp; Cash","Cash",VLOOKUP(D288,'JPM St'!$C:$G,3,0)),"")</f>
        <v/>
      </c>
      <c r="C288" s="497" t="str">
        <f>IFERROR(VLOOKUP(D288,'JPM St'!$C:$L,10,0),"")</f>
        <v/>
      </c>
      <c r="E288" s="500" t="str">
        <f>IFERROR(VLOOKUP(D288,'JPM St'!$C:$D,2,0),"")</f>
        <v/>
      </c>
      <c r="F288" s="501">
        <f t="shared" si="13"/>
        <v>0</v>
      </c>
      <c r="G288" s="501">
        <f>SUMIFS('JPM St'!$K:$K,'JPM St'!$A:$A,$V$2,'JPM St'!$C:$C,D288)</f>
        <v>0</v>
      </c>
      <c r="H288" s="501">
        <f>SUMIFS('JPM St'!$K:$K,'JPM St'!$A:$A,$V$3,'JPM St'!$C:$C,D288)</f>
        <v>0</v>
      </c>
      <c r="I288" s="501">
        <f>SUMIFS('JPM St'!$K:$K,'JPM St'!$A:$A,$V$4,'JPM St'!$C:$C,D288)</f>
        <v>0</v>
      </c>
      <c r="J288" s="619">
        <f t="shared" si="14"/>
        <v>0</v>
      </c>
      <c r="K288" s="501">
        <f>IFERROR(SUMIFS('JPM St'!$M:$M,'JPM St'!$A:$A,$V$2,'JPM St'!$C:$C,D288),"")</f>
        <v>0</v>
      </c>
      <c r="L288" s="501">
        <f>IFERROR(SUMIFS('JPM St'!$M:$M,'JPM St'!$A:$A,$V$3,'JPM St'!$C:$C,D288),"")</f>
        <v>0</v>
      </c>
      <c r="M288" s="501">
        <f>IFERROR(SUMIFS('JPM St'!$M:$M,'JPM St'!$A:$A,$V$4,'JPM St'!$C:$C,D288),"")</f>
        <v>0</v>
      </c>
    </row>
    <row r="289" spans="1:13" x14ac:dyDescent="0.25">
      <c r="A289" s="497" t="s">
        <v>90</v>
      </c>
      <c r="B289" s="497" t="str">
        <f>IFERROR(IF(VLOOKUP(D289,'JPM St'!$C:$G,3,0)="Fixed Income &amp; Cash","Cash",VLOOKUP(D289,'JPM St'!$C:$G,3,0)),"")</f>
        <v/>
      </c>
      <c r="C289" s="497" t="str">
        <f>IFERROR(VLOOKUP(D289,'JPM St'!$C:$L,10,0),"")</f>
        <v/>
      </c>
      <c r="E289" s="500" t="str">
        <f>IFERROR(VLOOKUP(D289,'JPM St'!$C:$D,2,0),"")</f>
        <v/>
      </c>
      <c r="F289" s="501">
        <f t="shared" si="13"/>
        <v>0</v>
      </c>
      <c r="G289" s="501">
        <f>SUMIFS('JPM St'!$K:$K,'JPM St'!$A:$A,$V$2,'JPM St'!$C:$C,D289)</f>
        <v>0</v>
      </c>
      <c r="H289" s="501">
        <f>SUMIFS('JPM St'!$K:$K,'JPM St'!$A:$A,$V$3,'JPM St'!$C:$C,D289)</f>
        <v>0</v>
      </c>
      <c r="I289" s="501">
        <f>SUMIFS('JPM St'!$K:$K,'JPM St'!$A:$A,$V$4,'JPM St'!$C:$C,D289)</f>
        <v>0</v>
      </c>
      <c r="J289" s="619">
        <f t="shared" si="14"/>
        <v>0</v>
      </c>
      <c r="K289" s="501">
        <f>IFERROR(SUMIFS('JPM St'!$M:$M,'JPM St'!$A:$A,$V$2,'JPM St'!$C:$C,D289),"")</f>
        <v>0</v>
      </c>
      <c r="L289" s="501">
        <f>IFERROR(SUMIFS('JPM St'!$M:$M,'JPM St'!$A:$A,$V$3,'JPM St'!$C:$C,D289),"")</f>
        <v>0</v>
      </c>
      <c r="M289" s="501">
        <f>IFERROR(SUMIFS('JPM St'!$M:$M,'JPM St'!$A:$A,$V$4,'JPM St'!$C:$C,D289),"")</f>
        <v>0</v>
      </c>
    </row>
    <row r="290" spans="1:13" x14ac:dyDescent="0.25">
      <c r="A290" s="497" t="s">
        <v>90</v>
      </c>
      <c r="B290" s="497" t="str">
        <f>IFERROR(IF(VLOOKUP(D290,'JPM St'!$C:$G,3,0)="Fixed Income &amp; Cash","Cash",VLOOKUP(D290,'JPM St'!$C:$G,3,0)),"")</f>
        <v/>
      </c>
      <c r="C290" s="497" t="str">
        <f>IFERROR(VLOOKUP(D290,'JPM St'!$C:$L,10,0),"")</f>
        <v/>
      </c>
      <c r="E290" s="500" t="str">
        <f>IFERROR(VLOOKUP(D290,'JPM St'!$C:$D,2,0),"")</f>
        <v/>
      </c>
      <c r="F290" s="501">
        <f t="shared" si="13"/>
        <v>0</v>
      </c>
      <c r="G290" s="501">
        <f>SUMIFS('JPM St'!$K:$K,'JPM St'!$A:$A,$V$2,'JPM St'!$C:$C,D290)</f>
        <v>0</v>
      </c>
      <c r="H290" s="501">
        <f>SUMIFS('JPM St'!$K:$K,'JPM St'!$A:$A,$V$3,'JPM St'!$C:$C,D290)</f>
        <v>0</v>
      </c>
      <c r="I290" s="501">
        <f>SUMIFS('JPM St'!$K:$K,'JPM St'!$A:$A,$V$4,'JPM St'!$C:$C,D290)</f>
        <v>0</v>
      </c>
      <c r="J290" s="619">
        <f t="shared" si="14"/>
        <v>0</v>
      </c>
      <c r="K290" s="501">
        <f>IFERROR(SUMIFS('JPM St'!$M:$M,'JPM St'!$A:$A,$V$2,'JPM St'!$C:$C,D290),"")</f>
        <v>0</v>
      </c>
      <c r="L290" s="501">
        <f>IFERROR(SUMIFS('JPM St'!$M:$M,'JPM St'!$A:$A,$V$3,'JPM St'!$C:$C,D290),"")</f>
        <v>0</v>
      </c>
      <c r="M290" s="501">
        <f>IFERROR(SUMIFS('JPM St'!$M:$M,'JPM St'!$A:$A,$V$4,'JPM St'!$C:$C,D290),"")</f>
        <v>0</v>
      </c>
    </row>
    <row r="291" spans="1:13" x14ac:dyDescent="0.25">
      <c r="A291" s="497" t="s">
        <v>90</v>
      </c>
      <c r="B291" s="497" t="str">
        <f>IFERROR(IF(VLOOKUP(D291,'JPM St'!$C:$G,3,0)="Fixed Income &amp; Cash","Cash",VLOOKUP(D291,'JPM St'!$C:$G,3,0)),"")</f>
        <v/>
      </c>
      <c r="C291" s="497" t="str">
        <f>IFERROR(VLOOKUP(D291,'JPM St'!$C:$L,10,0),"")</f>
        <v/>
      </c>
      <c r="E291" s="500" t="str">
        <f>IFERROR(VLOOKUP(D291,'JPM St'!$C:$D,2,0),"")</f>
        <v/>
      </c>
      <c r="F291" s="501">
        <f t="shared" si="13"/>
        <v>0</v>
      </c>
      <c r="G291" s="501">
        <f>SUMIFS('JPM St'!$K:$K,'JPM St'!$A:$A,$V$2,'JPM St'!$C:$C,D291)</f>
        <v>0</v>
      </c>
      <c r="H291" s="501">
        <f>SUMIFS('JPM St'!$K:$K,'JPM St'!$A:$A,$V$3,'JPM St'!$C:$C,D291)</f>
        <v>0</v>
      </c>
      <c r="I291" s="501">
        <f>SUMIFS('JPM St'!$K:$K,'JPM St'!$A:$A,$V$4,'JPM St'!$C:$C,D291)</f>
        <v>0</v>
      </c>
      <c r="J291" s="619">
        <f t="shared" si="14"/>
        <v>0</v>
      </c>
      <c r="K291" s="501">
        <f>IFERROR(SUMIFS('JPM St'!$M:$M,'JPM St'!$A:$A,$V$2,'JPM St'!$C:$C,D291),"")</f>
        <v>0</v>
      </c>
      <c r="L291" s="501">
        <f>IFERROR(SUMIFS('JPM St'!$M:$M,'JPM St'!$A:$A,$V$3,'JPM St'!$C:$C,D291),"")</f>
        <v>0</v>
      </c>
      <c r="M291" s="501">
        <f>IFERROR(SUMIFS('JPM St'!$M:$M,'JPM St'!$A:$A,$V$4,'JPM St'!$C:$C,D291),"")</f>
        <v>0</v>
      </c>
    </row>
    <row r="292" spans="1:13" x14ac:dyDescent="0.25">
      <c r="A292" s="497" t="s">
        <v>90</v>
      </c>
      <c r="B292" s="497" t="str">
        <f>IFERROR(IF(VLOOKUP(D292,'JPM St'!$C:$G,3,0)="Fixed Income &amp; Cash","Cash",VLOOKUP(D292,'JPM St'!$C:$G,3,0)),"")</f>
        <v/>
      </c>
      <c r="C292" s="497" t="str">
        <f>IFERROR(VLOOKUP(D292,'JPM St'!$C:$L,10,0),"")</f>
        <v/>
      </c>
      <c r="E292" s="500" t="str">
        <f>IFERROR(VLOOKUP(D292,'JPM St'!$C:$D,2,0),"")</f>
        <v/>
      </c>
      <c r="F292" s="501">
        <f t="shared" si="13"/>
        <v>0</v>
      </c>
      <c r="G292" s="501">
        <f>SUMIFS('JPM St'!$K:$K,'JPM St'!$A:$A,$V$2,'JPM St'!$C:$C,D292)</f>
        <v>0</v>
      </c>
      <c r="H292" s="501">
        <f>SUMIFS('JPM St'!$K:$K,'JPM St'!$A:$A,$V$3,'JPM St'!$C:$C,D292)</f>
        <v>0</v>
      </c>
      <c r="I292" s="501">
        <f>SUMIFS('JPM St'!$K:$K,'JPM St'!$A:$A,$V$4,'JPM St'!$C:$C,D292)</f>
        <v>0</v>
      </c>
      <c r="J292" s="619">
        <f t="shared" si="14"/>
        <v>0</v>
      </c>
      <c r="K292" s="501">
        <f>IFERROR(SUMIFS('JPM St'!$M:$M,'JPM St'!$A:$A,$V$2,'JPM St'!$C:$C,D292),"")</f>
        <v>0</v>
      </c>
      <c r="L292" s="501">
        <f>IFERROR(SUMIFS('JPM St'!$M:$M,'JPM St'!$A:$A,$V$3,'JPM St'!$C:$C,D292),"")</f>
        <v>0</v>
      </c>
      <c r="M292" s="501">
        <f>IFERROR(SUMIFS('JPM St'!$M:$M,'JPM St'!$A:$A,$V$4,'JPM St'!$C:$C,D292),"")</f>
        <v>0</v>
      </c>
    </row>
    <row r="293" spans="1:13" x14ac:dyDescent="0.25">
      <c r="A293" s="497" t="s">
        <v>90</v>
      </c>
      <c r="B293" s="497" t="str">
        <f>IFERROR(IF(VLOOKUP(D293,'JPM St'!$C:$G,3,0)="Fixed Income &amp; Cash","Cash",VLOOKUP(D293,'JPM St'!$C:$G,3,0)),"")</f>
        <v/>
      </c>
      <c r="C293" s="497" t="str">
        <f>IFERROR(VLOOKUP(D293,'JPM St'!$C:$L,10,0),"")</f>
        <v/>
      </c>
      <c r="E293" s="500" t="str">
        <f>IFERROR(VLOOKUP(D293,'JPM St'!$C:$D,2,0),"")</f>
        <v/>
      </c>
      <c r="F293" s="501">
        <f t="shared" si="13"/>
        <v>0</v>
      </c>
      <c r="G293" s="501">
        <f>SUMIFS('JPM St'!$K:$K,'JPM St'!$A:$A,$V$2,'JPM St'!$C:$C,D293)</f>
        <v>0</v>
      </c>
      <c r="H293" s="501">
        <f>SUMIFS('JPM St'!$K:$K,'JPM St'!$A:$A,$V$3,'JPM St'!$C:$C,D293)</f>
        <v>0</v>
      </c>
      <c r="I293" s="501">
        <f>SUMIFS('JPM St'!$K:$K,'JPM St'!$A:$A,$V$4,'JPM St'!$C:$C,D293)</f>
        <v>0</v>
      </c>
      <c r="J293" s="619">
        <f t="shared" si="14"/>
        <v>0</v>
      </c>
      <c r="K293" s="501">
        <f>IFERROR(SUMIFS('JPM St'!$M:$M,'JPM St'!$A:$A,$V$2,'JPM St'!$C:$C,D293),"")</f>
        <v>0</v>
      </c>
      <c r="L293" s="501">
        <f>IFERROR(SUMIFS('JPM St'!$M:$M,'JPM St'!$A:$A,$V$3,'JPM St'!$C:$C,D293),"")</f>
        <v>0</v>
      </c>
      <c r="M293" s="501">
        <f>IFERROR(SUMIFS('JPM St'!$M:$M,'JPM St'!$A:$A,$V$4,'JPM St'!$C:$C,D293),"")</f>
        <v>0</v>
      </c>
    </row>
    <row r="294" spans="1:13" x14ac:dyDescent="0.25">
      <c r="A294" s="497" t="s">
        <v>90</v>
      </c>
      <c r="B294" s="497" t="str">
        <f>IFERROR(IF(VLOOKUP(D294,'JPM St'!$C:$G,3,0)="Fixed Income &amp; Cash","Cash",VLOOKUP(D294,'JPM St'!$C:$G,3,0)),"")</f>
        <v/>
      </c>
      <c r="C294" s="497" t="str">
        <f>IFERROR(VLOOKUP(D294,'JPM St'!$C:$L,10,0),"")</f>
        <v/>
      </c>
      <c r="E294" s="500" t="str">
        <f>IFERROR(VLOOKUP(D294,'JPM St'!$C:$D,2,0),"")</f>
        <v/>
      </c>
      <c r="F294" s="501">
        <f t="shared" si="13"/>
        <v>0</v>
      </c>
      <c r="G294" s="501">
        <f>SUMIFS('JPM St'!$K:$K,'JPM St'!$A:$A,$V$2,'JPM St'!$C:$C,D294)</f>
        <v>0</v>
      </c>
      <c r="H294" s="501">
        <f>SUMIFS('JPM St'!$K:$K,'JPM St'!$A:$A,$V$3,'JPM St'!$C:$C,D294)</f>
        <v>0</v>
      </c>
      <c r="I294" s="501">
        <f>SUMIFS('JPM St'!$K:$K,'JPM St'!$A:$A,$V$4,'JPM St'!$C:$C,D294)</f>
        <v>0</v>
      </c>
      <c r="J294" s="619">
        <f t="shared" si="14"/>
        <v>0</v>
      </c>
      <c r="K294" s="501">
        <f>IFERROR(SUMIFS('JPM St'!$M:$M,'JPM St'!$A:$A,$V$2,'JPM St'!$C:$C,D294),"")</f>
        <v>0</v>
      </c>
      <c r="L294" s="501">
        <f>IFERROR(SUMIFS('JPM St'!$M:$M,'JPM St'!$A:$A,$V$3,'JPM St'!$C:$C,D294),"")</f>
        <v>0</v>
      </c>
      <c r="M294" s="501">
        <f>IFERROR(SUMIFS('JPM St'!$M:$M,'JPM St'!$A:$A,$V$4,'JPM St'!$C:$C,D294),"")</f>
        <v>0</v>
      </c>
    </row>
    <row r="295" spans="1:13" x14ac:dyDescent="0.25">
      <c r="A295" s="497" t="s">
        <v>90</v>
      </c>
      <c r="B295" s="497" t="str">
        <f>IFERROR(IF(VLOOKUP(D295,'JPM St'!$C:$G,3,0)="Fixed Income &amp; Cash","Cash",VLOOKUP(D295,'JPM St'!$C:$G,3,0)),"")</f>
        <v/>
      </c>
      <c r="C295" s="497" t="str">
        <f>IFERROR(VLOOKUP(D295,'JPM St'!$C:$L,10,0),"")</f>
        <v/>
      </c>
      <c r="E295" s="500" t="str">
        <f>IFERROR(VLOOKUP(D295,'JPM St'!$C:$D,2,0),"")</f>
        <v/>
      </c>
      <c r="F295" s="501">
        <f t="shared" si="13"/>
        <v>0</v>
      </c>
      <c r="G295" s="501">
        <f>SUMIFS('JPM St'!$K:$K,'JPM St'!$A:$A,$V$2,'JPM St'!$C:$C,D295)</f>
        <v>0</v>
      </c>
      <c r="H295" s="501">
        <f>SUMIFS('JPM St'!$K:$K,'JPM St'!$A:$A,$V$3,'JPM St'!$C:$C,D295)</f>
        <v>0</v>
      </c>
      <c r="I295" s="501">
        <f>SUMIFS('JPM St'!$K:$K,'JPM St'!$A:$A,$V$4,'JPM St'!$C:$C,D295)</f>
        <v>0</v>
      </c>
      <c r="J295" s="619">
        <f t="shared" si="14"/>
        <v>0</v>
      </c>
      <c r="K295" s="501">
        <f>IFERROR(SUMIFS('JPM St'!$M:$M,'JPM St'!$A:$A,$V$2,'JPM St'!$C:$C,D295),"")</f>
        <v>0</v>
      </c>
      <c r="L295" s="501">
        <f>IFERROR(SUMIFS('JPM St'!$M:$M,'JPM St'!$A:$A,$V$3,'JPM St'!$C:$C,D295),"")</f>
        <v>0</v>
      </c>
      <c r="M295" s="501">
        <f>IFERROR(SUMIFS('JPM St'!$M:$M,'JPM St'!$A:$A,$V$4,'JPM St'!$C:$C,D295),"")</f>
        <v>0</v>
      </c>
    </row>
    <row r="296" spans="1:13" x14ac:dyDescent="0.25">
      <c r="A296" s="497" t="s">
        <v>90</v>
      </c>
      <c r="B296" s="497" t="str">
        <f>IFERROR(IF(VLOOKUP(D296,'JPM St'!$C:$G,3,0)="Fixed Income &amp; Cash","Cash",VLOOKUP(D296,'JPM St'!$C:$G,3,0)),"")</f>
        <v/>
      </c>
      <c r="C296" s="497" t="str">
        <f>IFERROR(VLOOKUP(D296,'JPM St'!$C:$L,10,0),"")</f>
        <v/>
      </c>
      <c r="E296" s="500" t="str">
        <f>IFERROR(VLOOKUP(D296,'JPM St'!$C:$D,2,0),"")</f>
        <v/>
      </c>
      <c r="F296" s="501">
        <f t="shared" si="13"/>
        <v>0</v>
      </c>
      <c r="G296" s="501">
        <f>SUMIFS('JPM St'!$K:$K,'JPM St'!$A:$A,$V$2,'JPM St'!$C:$C,D296)</f>
        <v>0</v>
      </c>
      <c r="H296" s="501">
        <f>SUMIFS('JPM St'!$K:$K,'JPM St'!$A:$A,$V$3,'JPM St'!$C:$C,D296)</f>
        <v>0</v>
      </c>
      <c r="I296" s="501">
        <f>SUMIFS('JPM St'!$K:$K,'JPM St'!$A:$A,$V$4,'JPM St'!$C:$C,D296)</f>
        <v>0</v>
      </c>
      <c r="J296" s="619">
        <f t="shared" si="14"/>
        <v>0</v>
      </c>
      <c r="K296" s="501">
        <f>IFERROR(SUMIFS('JPM St'!$M:$M,'JPM St'!$A:$A,$V$2,'JPM St'!$C:$C,D296),"")</f>
        <v>0</v>
      </c>
      <c r="L296" s="501">
        <f>IFERROR(SUMIFS('JPM St'!$M:$M,'JPM St'!$A:$A,$V$3,'JPM St'!$C:$C,D296),"")</f>
        <v>0</v>
      </c>
      <c r="M296" s="501">
        <f>IFERROR(SUMIFS('JPM St'!$M:$M,'JPM St'!$A:$A,$V$4,'JPM St'!$C:$C,D296),"")</f>
        <v>0</v>
      </c>
    </row>
    <row r="297" spans="1:13" x14ac:dyDescent="0.25">
      <c r="A297" s="497" t="s">
        <v>90</v>
      </c>
      <c r="B297" s="497" t="str">
        <f>IFERROR(IF(VLOOKUP(D297,'JPM St'!$C:$G,3,0)="Fixed Income &amp; Cash","Cash",VLOOKUP(D297,'JPM St'!$C:$G,3,0)),"")</f>
        <v/>
      </c>
      <c r="C297" s="497" t="str">
        <f>IFERROR(VLOOKUP(D297,'JPM St'!$C:$L,10,0),"")</f>
        <v/>
      </c>
      <c r="E297" s="500" t="str">
        <f>IFERROR(VLOOKUP(D297,'JPM St'!$C:$D,2,0),"")</f>
        <v/>
      </c>
      <c r="F297" s="501">
        <f t="shared" si="13"/>
        <v>0</v>
      </c>
      <c r="G297" s="501">
        <f>SUMIFS('JPM St'!$K:$K,'JPM St'!$A:$A,$V$2,'JPM St'!$C:$C,D297)</f>
        <v>0</v>
      </c>
      <c r="H297" s="501">
        <f>SUMIFS('JPM St'!$K:$K,'JPM St'!$A:$A,$V$3,'JPM St'!$C:$C,D297)</f>
        <v>0</v>
      </c>
      <c r="I297" s="501">
        <f>SUMIFS('JPM St'!$K:$K,'JPM St'!$A:$A,$V$4,'JPM St'!$C:$C,D297)</f>
        <v>0</v>
      </c>
      <c r="J297" s="619">
        <f t="shared" si="14"/>
        <v>0</v>
      </c>
      <c r="K297" s="501">
        <f>IFERROR(SUMIFS('JPM St'!$M:$M,'JPM St'!$A:$A,$V$2,'JPM St'!$C:$C,D297),"")</f>
        <v>0</v>
      </c>
      <c r="L297" s="501">
        <f>IFERROR(SUMIFS('JPM St'!$M:$M,'JPM St'!$A:$A,$V$3,'JPM St'!$C:$C,D297),"")</f>
        <v>0</v>
      </c>
      <c r="M297" s="501">
        <f>IFERROR(SUMIFS('JPM St'!$M:$M,'JPM St'!$A:$A,$V$4,'JPM St'!$C:$C,D297),"")</f>
        <v>0</v>
      </c>
    </row>
    <row r="298" spans="1:13" x14ac:dyDescent="0.25">
      <c r="A298" s="497" t="s">
        <v>90</v>
      </c>
      <c r="B298" s="497" t="str">
        <f>IFERROR(IF(VLOOKUP(D298,'JPM St'!$C:$G,3,0)="Fixed Income &amp; Cash","Cash",VLOOKUP(D298,'JPM St'!$C:$G,3,0)),"")</f>
        <v/>
      </c>
      <c r="C298" s="497" t="str">
        <f>IFERROR(VLOOKUP(D298,'JPM St'!$C:$L,10,0),"")</f>
        <v/>
      </c>
      <c r="E298" s="500" t="str">
        <f>IFERROR(VLOOKUP(D298,'JPM St'!$C:$D,2,0),"")</f>
        <v/>
      </c>
      <c r="F298" s="501">
        <f t="shared" si="13"/>
        <v>0</v>
      </c>
      <c r="G298" s="501">
        <f>SUMIFS('JPM St'!$K:$K,'JPM St'!$A:$A,$V$2,'JPM St'!$C:$C,D298)</f>
        <v>0</v>
      </c>
      <c r="H298" s="501">
        <f>SUMIFS('JPM St'!$K:$K,'JPM St'!$A:$A,$V$3,'JPM St'!$C:$C,D298)</f>
        <v>0</v>
      </c>
      <c r="I298" s="501">
        <f>SUMIFS('JPM St'!$K:$K,'JPM St'!$A:$A,$V$4,'JPM St'!$C:$C,D298)</f>
        <v>0</v>
      </c>
      <c r="J298" s="619">
        <f t="shared" si="14"/>
        <v>0</v>
      </c>
      <c r="K298" s="501">
        <f>IFERROR(SUMIFS('JPM St'!$M:$M,'JPM St'!$A:$A,$V$2,'JPM St'!$C:$C,D298),"")</f>
        <v>0</v>
      </c>
      <c r="L298" s="501">
        <f>IFERROR(SUMIFS('JPM St'!$M:$M,'JPM St'!$A:$A,$V$3,'JPM St'!$C:$C,D298),"")</f>
        <v>0</v>
      </c>
      <c r="M298" s="501">
        <f>IFERROR(SUMIFS('JPM St'!$M:$M,'JPM St'!$A:$A,$V$4,'JPM St'!$C:$C,D298),"")</f>
        <v>0</v>
      </c>
    </row>
    <row r="299" spans="1:13" x14ac:dyDescent="0.25">
      <c r="A299" s="497" t="s">
        <v>90</v>
      </c>
      <c r="B299" s="497" t="str">
        <f>IFERROR(IF(VLOOKUP(D299,'JPM St'!$C:$G,3,0)="Fixed Income &amp; Cash","Cash",VLOOKUP(D299,'JPM St'!$C:$G,3,0)),"")</f>
        <v/>
      </c>
      <c r="C299" s="497" t="str">
        <f>IFERROR(VLOOKUP(D299,'JPM St'!$C:$L,10,0),"")</f>
        <v/>
      </c>
      <c r="E299" s="500" t="str">
        <f>IFERROR(VLOOKUP(D299,'JPM St'!$C:$D,2,0),"")</f>
        <v/>
      </c>
      <c r="F299" s="501">
        <f t="shared" si="13"/>
        <v>0</v>
      </c>
      <c r="G299" s="501">
        <f>SUMIFS('JPM St'!$K:$K,'JPM St'!$A:$A,$V$2,'JPM St'!$C:$C,D299)</f>
        <v>0</v>
      </c>
      <c r="H299" s="501">
        <f>SUMIFS('JPM St'!$K:$K,'JPM St'!$A:$A,$V$3,'JPM St'!$C:$C,D299)</f>
        <v>0</v>
      </c>
      <c r="I299" s="501">
        <f>SUMIFS('JPM St'!$K:$K,'JPM St'!$A:$A,$V$4,'JPM St'!$C:$C,D299)</f>
        <v>0</v>
      </c>
      <c r="J299" s="619">
        <f t="shared" si="14"/>
        <v>0</v>
      </c>
      <c r="K299" s="501">
        <f>IFERROR(SUMIFS('JPM St'!$M:$M,'JPM St'!$A:$A,$V$2,'JPM St'!$C:$C,D299),"")</f>
        <v>0</v>
      </c>
      <c r="L299" s="501">
        <f>IFERROR(SUMIFS('JPM St'!$M:$M,'JPM St'!$A:$A,$V$3,'JPM St'!$C:$C,D299),"")</f>
        <v>0</v>
      </c>
      <c r="M299" s="501">
        <f>IFERROR(SUMIFS('JPM St'!$M:$M,'JPM St'!$A:$A,$V$4,'JPM St'!$C:$C,D299),"")</f>
        <v>0</v>
      </c>
    </row>
    <row r="300" spans="1:13" x14ac:dyDescent="0.25">
      <c r="A300" s="497" t="s">
        <v>90</v>
      </c>
      <c r="B300" s="497" t="str">
        <f>IFERROR(IF(VLOOKUP(D300,'JPM St'!$C:$G,3,0)="Fixed Income &amp; Cash","Cash",VLOOKUP(D300,'JPM St'!$C:$G,3,0)),"")</f>
        <v/>
      </c>
      <c r="C300" s="497" t="str">
        <f>IFERROR(VLOOKUP(D300,'JPM St'!$C:$L,10,0),"")</f>
        <v/>
      </c>
      <c r="E300" s="500" t="str">
        <f>IFERROR(VLOOKUP(D300,'JPM St'!$C:$D,2,0),"")</f>
        <v/>
      </c>
      <c r="F300" s="501">
        <f t="shared" si="13"/>
        <v>0</v>
      </c>
      <c r="G300" s="501">
        <f>SUMIFS('JPM St'!$K:$K,'JPM St'!$A:$A,$V$2,'JPM St'!$C:$C,D300)</f>
        <v>0</v>
      </c>
      <c r="H300" s="501">
        <f>SUMIFS('JPM St'!$K:$K,'JPM St'!$A:$A,$V$3,'JPM St'!$C:$C,D300)</f>
        <v>0</v>
      </c>
      <c r="I300" s="501">
        <f>SUMIFS('JPM St'!$K:$K,'JPM St'!$A:$A,$V$4,'JPM St'!$C:$C,D300)</f>
        <v>0</v>
      </c>
      <c r="J300" s="619">
        <f t="shared" si="14"/>
        <v>0</v>
      </c>
      <c r="K300" s="501">
        <f>IFERROR(SUMIFS('JPM St'!$M:$M,'JPM St'!$A:$A,$V$2,'JPM St'!$C:$C,D300),"")</f>
        <v>0</v>
      </c>
      <c r="L300" s="501">
        <f>IFERROR(SUMIFS('JPM St'!$M:$M,'JPM St'!$A:$A,$V$3,'JPM St'!$C:$C,D300),"")</f>
        <v>0</v>
      </c>
      <c r="M300" s="501">
        <f>IFERROR(SUMIFS('JPM St'!$M:$M,'JPM St'!$A:$A,$V$4,'JPM St'!$C:$C,D300),"")</f>
        <v>0</v>
      </c>
    </row>
    <row r="301" spans="1:13" x14ac:dyDescent="0.25">
      <c r="A301" s="497" t="s">
        <v>90</v>
      </c>
      <c r="B301" s="497" t="str">
        <f>IFERROR(IF(VLOOKUP(D301,'JPM St'!$C:$G,3,0)="Fixed Income &amp; Cash","Cash",VLOOKUP(D301,'JPM St'!$C:$G,3,0)),"")</f>
        <v/>
      </c>
      <c r="C301" s="497" t="str">
        <f>IFERROR(VLOOKUP(D301,'JPM St'!$C:$L,10,0),"")</f>
        <v/>
      </c>
      <c r="E301" s="500" t="str">
        <f>IFERROR(VLOOKUP(D301,'JPM St'!$C:$D,2,0),"")</f>
        <v/>
      </c>
      <c r="F301" s="501">
        <f t="shared" si="13"/>
        <v>0</v>
      </c>
      <c r="G301" s="501">
        <f>SUMIFS('JPM St'!$K:$K,'JPM St'!$A:$A,$V$2,'JPM St'!$C:$C,D301)</f>
        <v>0</v>
      </c>
      <c r="H301" s="501">
        <f>SUMIFS('JPM St'!$K:$K,'JPM St'!$A:$A,$V$3,'JPM St'!$C:$C,D301)</f>
        <v>0</v>
      </c>
      <c r="I301" s="501">
        <f>SUMIFS('JPM St'!$K:$K,'JPM St'!$A:$A,$V$4,'JPM St'!$C:$C,D301)</f>
        <v>0</v>
      </c>
      <c r="J301" s="619">
        <f t="shared" si="14"/>
        <v>0</v>
      </c>
      <c r="K301" s="501">
        <f>IFERROR(SUMIFS('JPM St'!$M:$M,'JPM St'!$A:$A,$V$2,'JPM St'!$C:$C,D301),"")</f>
        <v>0</v>
      </c>
      <c r="L301" s="501">
        <f>IFERROR(SUMIFS('JPM St'!$M:$M,'JPM St'!$A:$A,$V$3,'JPM St'!$C:$C,D301),"")</f>
        <v>0</v>
      </c>
      <c r="M301" s="501">
        <f>IFERROR(SUMIFS('JPM St'!$M:$M,'JPM St'!$A:$A,$V$4,'JPM St'!$C:$C,D301),"")</f>
        <v>0</v>
      </c>
    </row>
    <row r="302" spans="1:13" x14ac:dyDescent="0.25">
      <c r="A302" s="497" t="s">
        <v>90</v>
      </c>
      <c r="B302" s="497" t="str">
        <f>IFERROR(IF(VLOOKUP(D302,'JPM St'!$C:$G,3,0)="Fixed Income &amp; Cash","Cash",VLOOKUP(D302,'JPM St'!$C:$G,3,0)),"")</f>
        <v/>
      </c>
      <c r="C302" s="497" t="str">
        <f>IFERROR(VLOOKUP(D302,'JPM St'!$C:$L,10,0),"")</f>
        <v/>
      </c>
      <c r="E302" s="500" t="str">
        <f>IFERROR(VLOOKUP(D302,'JPM St'!$C:$D,2,0),"")</f>
        <v/>
      </c>
      <c r="F302" s="501">
        <f t="shared" si="13"/>
        <v>0</v>
      </c>
      <c r="G302" s="501">
        <f>SUMIFS('JPM St'!$K:$K,'JPM St'!$A:$A,$V$2,'JPM St'!$C:$C,D302)</f>
        <v>0</v>
      </c>
      <c r="H302" s="501">
        <f>SUMIFS('JPM St'!$K:$K,'JPM St'!$A:$A,$V$3,'JPM St'!$C:$C,D302)</f>
        <v>0</v>
      </c>
      <c r="I302" s="501">
        <f>SUMIFS('JPM St'!$K:$K,'JPM St'!$A:$A,$V$4,'JPM St'!$C:$C,D302)</f>
        <v>0</v>
      </c>
      <c r="J302" s="619">
        <f t="shared" si="14"/>
        <v>0</v>
      </c>
      <c r="K302" s="501">
        <f>IFERROR(SUMIFS('JPM St'!$M:$M,'JPM St'!$A:$A,$V$2,'JPM St'!$C:$C,D302),"")</f>
        <v>0</v>
      </c>
      <c r="L302" s="501">
        <f>IFERROR(SUMIFS('JPM St'!$M:$M,'JPM St'!$A:$A,$V$3,'JPM St'!$C:$C,D302),"")</f>
        <v>0</v>
      </c>
      <c r="M302" s="501">
        <f>IFERROR(SUMIFS('JPM St'!$M:$M,'JPM St'!$A:$A,$V$4,'JPM St'!$C:$C,D302),"")</f>
        <v>0</v>
      </c>
    </row>
    <row r="303" spans="1:13" x14ac:dyDescent="0.25">
      <c r="A303" s="497" t="s">
        <v>90</v>
      </c>
      <c r="B303" s="497" t="str">
        <f>IFERROR(IF(VLOOKUP(D303,'JPM St'!$C:$G,3,0)="Fixed Income &amp; Cash","Cash",VLOOKUP(D303,'JPM St'!$C:$G,3,0)),"")</f>
        <v/>
      </c>
      <c r="C303" s="497" t="str">
        <f>IFERROR(VLOOKUP(D303,'JPM St'!$C:$L,10,0),"")</f>
        <v/>
      </c>
      <c r="E303" s="500" t="str">
        <f>IFERROR(VLOOKUP(D303,'JPM St'!$C:$D,2,0),"")</f>
        <v/>
      </c>
      <c r="F303" s="501">
        <f t="shared" si="13"/>
        <v>0</v>
      </c>
      <c r="G303" s="501">
        <f>SUMIFS('JPM St'!$K:$K,'JPM St'!$A:$A,$V$2,'JPM St'!$C:$C,D303)</f>
        <v>0</v>
      </c>
      <c r="H303" s="501">
        <f>SUMIFS('JPM St'!$K:$K,'JPM St'!$A:$A,$V$3,'JPM St'!$C:$C,D303)</f>
        <v>0</v>
      </c>
      <c r="I303" s="501">
        <f>SUMIFS('JPM St'!$K:$K,'JPM St'!$A:$A,$V$4,'JPM St'!$C:$C,D303)</f>
        <v>0</v>
      </c>
      <c r="J303" s="619">
        <f t="shared" si="14"/>
        <v>0</v>
      </c>
      <c r="K303" s="501">
        <f>IFERROR(SUMIFS('JPM St'!$M:$M,'JPM St'!$A:$A,$V$2,'JPM St'!$C:$C,D303),"")</f>
        <v>0</v>
      </c>
      <c r="L303" s="501">
        <f>IFERROR(SUMIFS('JPM St'!$M:$M,'JPM St'!$A:$A,$V$3,'JPM St'!$C:$C,D303),"")</f>
        <v>0</v>
      </c>
      <c r="M303" s="501">
        <f>IFERROR(SUMIFS('JPM St'!$M:$M,'JPM St'!$A:$A,$V$4,'JPM St'!$C:$C,D303),"")</f>
        <v>0</v>
      </c>
    </row>
    <row r="304" spans="1:13" x14ac:dyDescent="0.25">
      <c r="A304" s="497" t="s">
        <v>90</v>
      </c>
      <c r="B304" s="497" t="str">
        <f>IFERROR(IF(VLOOKUP(D304,'JPM St'!$C:$G,3,0)="Fixed Income &amp; Cash","Cash",VLOOKUP(D304,'JPM St'!$C:$G,3,0)),"")</f>
        <v/>
      </c>
      <c r="C304" s="497" t="str">
        <f>IFERROR(VLOOKUP(D304,'JPM St'!$C:$L,10,0),"")</f>
        <v/>
      </c>
      <c r="E304" s="500" t="str">
        <f>IFERROR(VLOOKUP(D304,'JPM St'!$C:$D,2,0),"")</f>
        <v/>
      </c>
      <c r="F304" s="501">
        <f t="shared" si="13"/>
        <v>0</v>
      </c>
      <c r="G304" s="501">
        <f>SUMIFS('JPM St'!$K:$K,'JPM St'!$A:$A,$V$2,'JPM St'!$C:$C,D304)</f>
        <v>0</v>
      </c>
      <c r="H304" s="501">
        <f>SUMIFS('JPM St'!$K:$K,'JPM St'!$A:$A,$V$3,'JPM St'!$C:$C,D304)</f>
        <v>0</v>
      </c>
      <c r="I304" s="501">
        <f>SUMIFS('JPM St'!$K:$K,'JPM St'!$A:$A,$V$4,'JPM St'!$C:$C,D304)</f>
        <v>0</v>
      </c>
      <c r="J304" s="619">
        <f t="shared" si="14"/>
        <v>0</v>
      </c>
      <c r="K304" s="501">
        <f>IFERROR(SUMIFS('JPM St'!$M:$M,'JPM St'!$A:$A,$V$2,'JPM St'!$C:$C,D304),"")</f>
        <v>0</v>
      </c>
      <c r="L304" s="501">
        <f>IFERROR(SUMIFS('JPM St'!$M:$M,'JPM St'!$A:$A,$V$3,'JPM St'!$C:$C,D304),"")</f>
        <v>0</v>
      </c>
      <c r="M304" s="501">
        <f>IFERROR(SUMIFS('JPM St'!$M:$M,'JPM St'!$A:$A,$V$4,'JPM St'!$C:$C,D304),"")</f>
        <v>0</v>
      </c>
    </row>
    <row r="305" spans="1:13" x14ac:dyDescent="0.25">
      <c r="A305" s="497" t="s">
        <v>90</v>
      </c>
      <c r="B305" s="497" t="str">
        <f>IFERROR(IF(VLOOKUP(D305,'JPM St'!$C:$G,3,0)="Fixed Income &amp; Cash","Cash",VLOOKUP(D305,'JPM St'!$C:$G,3,0)),"")</f>
        <v/>
      </c>
      <c r="C305" s="497" t="str">
        <f>IFERROR(VLOOKUP(D305,'JPM St'!$C:$L,10,0),"")</f>
        <v/>
      </c>
      <c r="E305" s="500" t="str">
        <f>IFERROR(VLOOKUP(D305,'JPM St'!$C:$D,2,0),"")</f>
        <v/>
      </c>
      <c r="F305" s="501">
        <f t="shared" si="13"/>
        <v>0</v>
      </c>
      <c r="G305" s="501">
        <f>SUMIFS('JPM St'!$K:$K,'JPM St'!$A:$A,$V$2,'JPM St'!$C:$C,D305)</f>
        <v>0</v>
      </c>
      <c r="H305" s="501">
        <f>SUMIFS('JPM St'!$K:$K,'JPM St'!$A:$A,$V$3,'JPM St'!$C:$C,D305)</f>
        <v>0</v>
      </c>
      <c r="I305" s="501">
        <f>SUMIFS('JPM St'!$K:$K,'JPM St'!$A:$A,$V$4,'JPM St'!$C:$C,D305)</f>
        <v>0</v>
      </c>
      <c r="J305" s="619">
        <f t="shared" si="14"/>
        <v>0</v>
      </c>
      <c r="K305" s="501">
        <f>IFERROR(SUMIFS('JPM St'!$M:$M,'JPM St'!$A:$A,$V$2,'JPM St'!$C:$C,D305),"")</f>
        <v>0</v>
      </c>
      <c r="L305" s="501">
        <f>IFERROR(SUMIFS('JPM St'!$M:$M,'JPM St'!$A:$A,$V$3,'JPM St'!$C:$C,D305),"")</f>
        <v>0</v>
      </c>
      <c r="M305" s="501">
        <f>IFERROR(SUMIFS('JPM St'!$M:$M,'JPM St'!$A:$A,$V$4,'JPM St'!$C:$C,D305),"")</f>
        <v>0</v>
      </c>
    </row>
    <row r="306" spans="1:13" x14ac:dyDescent="0.25">
      <c r="A306" s="497" t="s">
        <v>90</v>
      </c>
      <c r="B306" s="497" t="str">
        <f>IFERROR(IF(VLOOKUP(D306,'JPM St'!$C:$G,3,0)="Fixed Income &amp; Cash","Cash",VLOOKUP(D306,'JPM St'!$C:$G,3,0)),"")</f>
        <v/>
      </c>
      <c r="C306" s="497" t="str">
        <f>IFERROR(VLOOKUP(D306,'JPM St'!$C:$L,10,0),"")</f>
        <v/>
      </c>
      <c r="E306" s="500" t="str">
        <f>IFERROR(VLOOKUP(D306,'JPM St'!$C:$D,2,0),"")</f>
        <v/>
      </c>
      <c r="F306" s="501">
        <f t="shared" si="13"/>
        <v>0</v>
      </c>
      <c r="G306" s="501">
        <f>SUMIFS('JPM St'!$K:$K,'JPM St'!$A:$A,$V$2,'JPM St'!$C:$C,D306)</f>
        <v>0</v>
      </c>
      <c r="H306" s="501">
        <f>SUMIFS('JPM St'!$K:$K,'JPM St'!$A:$A,$V$3,'JPM St'!$C:$C,D306)</f>
        <v>0</v>
      </c>
      <c r="I306" s="501">
        <f>SUMIFS('JPM St'!$K:$K,'JPM St'!$A:$A,$V$4,'JPM St'!$C:$C,D306)</f>
        <v>0</v>
      </c>
      <c r="J306" s="619">
        <f t="shared" si="14"/>
        <v>0</v>
      </c>
      <c r="K306" s="501">
        <f>IFERROR(SUMIFS('JPM St'!$M:$M,'JPM St'!$A:$A,$V$2,'JPM St'!$C:$C,D306),"")</f>
        <v>0</v>
      </c>
      <c r="L306" s="501">
        <f>IFERROR(SUMIFS('JPM St'!$M:$M,'JPM St'!$A:$A,$V$3,'JPM St'!$C:$C,D306),"")</f>
        <v>0</v>
      </c>
      <c r="M306" s="501">
        <f>IFERROR(SUMIFS('JPM St'!$M:$M,'JPM St'!$A:$A,$V$4,'JPM St'!$C:$C,D306),"")</f>
        <v>0</v>
      </c>
    </row>
    <row r="307" spans="1:13" x14ac:dyDescent="0.25">
      <c r="A307" s="497" t="s">
        <v>90</v>
      </c>
      <c r="B307" s="497" t="str">
        <f>IFERROR(IF(VLOOKUP(D307,'JPM St'!$C:$G,3,0)="Fixed Income &amp; Cash","Cash",VLOOKUP(D307,'JPM St'!$C:$G,3,0)),"")</f>
        <v/>
      </c>
      <c r="C307" s="497" t="str">
        <f>IFERROR(VLOOKUP(D307,'JPM St'!$C:$L,10,0),"")</f>
        <v/>
      </c>
      <c r="E307" s="500" t="str">
        <f>IFERROR(VLOOKUP(D307,'JPM St'!$C:$D,2,0),"")</f>
        <v/>
      </c>
      <c r="F307" s="501">
        <f t="shared" si="13"/>
        <v>0</v>
      </c>
      <c r="G307" s="501">
        <f>SUMIFS('JPM St'!$K:$K,'JPM St'!$A:$A,$V$2,'JPM St'!$C:$C,D307)</f>
        <v>0</v>
      </c>
      <c r="H307" s="501">
        <f>SUMIFS('JPM St'!$K:$K,'JPM St'!$A:$A,$V$3,'JPM St'!$C:$C,D307)</f>
        <v>0</v>
      </c>
      <c r="I307" s="501">
        <f>SUMIFS('JPM St'!$K:$K,'JPM St'!$A:$A,$V$4,'JPM St'!$C:$C,D307)</f>
        <v>0</v>
      </c>
      <c r="J307" s="619">
        <f t="shared" si="14"/>
        <v>0</v>
      </c>
      <c r="K307" s="501">
        <f>IFERROR(SUMIFS('JPM St'!$M:$M,'JPM St'!$A:$A,$V$2,'JPM St'!$C:$C,D307),"")</f>
        <v>0</v>
      </c>
      <c r="L307" s="501">
        <f>IFERROR(SUMIFS('JPM St'!$M:$M,'JPM St'!$A:$A,$V$3,'JPM St'!$C:$C,D307),"")</f>
        <v>0</v>
      </c>
      <c r="M307" s="501">
        <f>IFERROR(SUMIFS('JPM St'!$M:$M,'JPM St'!$A:$A,$V$4,'JPM St'!$C:$C,D307),"")</f>
        <v>0</v>
      </c>
    </row>
    <row r="308" spans="1:13" x14ac:dyDescent="0.25">
      <c r="A308" s="497" t="s">
        <v>90</v>
      </c>
      <c r="B308" s="497" t="str">
        <f>IFERROR(IF(VLOOKUP(D308,'JPM St'!$C:$G,3,0)="Fixed Income &amp; Cash","Cash",VLOOKUP(D308,'JPM St'!$C:$G,3,0)),"")</f>
        <v/>
      </c>
      <c r="C308" s="497" t="str">
        <f>IFERROR(VLOOKUP(D308,'JPM St'!$C:$L,10,0),"")</f>
        <v/>
      </c>
      <c r="E308" s="500" t="str">
        <f>IFERROR(VLOOKUP(D308,'JPM St'!$C:$D,2,0),"")</f>
        <v/>
      </c>
      <c r="F308" s="501">
        <f t="shared" si="13"/>
        <v>0</v>
      </c>
      <c r="G308" s="501">
        <f>SUMIFS('JPM St'!$K:$K,'JPM St'!$A:$A,$V$2,'JPM St'!$C:$C,D308)</f>
        <v>0</v>
      </c>
      <c r="H308" s="501">
        <f>SUMIFS('JPM St'!$K:$K,'JPM St'!$A:$A,$V$3,'JPM St'!$C:$C,D308)</f>
        <v>0</v>
      </c>
      <c r="I308" s="501">
        <f>SUMIFS('JPM St'!$K:$K,'JPM St'!$A:$A,$V$4,'JPM St'!$C:$C,D308)</f>
        <v>0</v>
      </c>
      <c r="J308" s="619">
        <f t="shared" si="14"/>
        <v>0</v>
      </c>
      <c r="K308" s="501">
        <f>IFERROR(SUMIFS('JPM St'!$M:$M,'JPM St'!$A:$A,$V$2,'JPM St'!$C:$C,D308),"")</f>
        <v>0</v>
      </c>
      <c r="L308" s="501">
        <f>IFERROR(SUMIFS('JPM St'!$M:$M,'JPM St'!$A:$A,$V$3,'JPM St'!$C:$C,D308),"")</f>
        <v>0</v>
      </c>
      <c r="M308" s="501">
        <f>IFERROR(SUMIFS('JPM St'!$M:$M,'JPM St'!$A:$A,$V$4,'JPM St'!$C:$C,D308),"")</f>
        <v>0</v>
      </c>
    </row>
    <row r="309" spans="1:13" x14ac:dyDescent="0.25">
      <c r="A309" s="497" t="s">
        <v>90</v>
      </c>
      <c r="B309" s="497" t="str">
        <f>IFERROR(IF(VLOOKUP(D309,'JPM St'!$C:$G,3,0)="Fixed Income &amp; Cash","Cash",VLOOKUP(D309,'JPM St'!$C:$G,3,0)),"")</f>
        <v/>
      </c>
      <c r="C309" s="497" t="str">
        <f>IFERROR(VLOOKUP(D309,'JPM St'!$C:$L,10,0),"")</f>
        <v/>
      </c>
      <c r="E309" s="500" t="str">
        <f>IFERROR(VLOOKUP(D309,'JPM St'!$C:$D,2,0),"")</f>
        <v/>
      </c>
      <c r="F309" s="501">
        <f t="shared" si="13"/>
        <v>0</v>
      </c>
      <c r="G309" s="501">
        <f>SUMIFS('JPM St'!$K:$K,'JPM St'!$A:$A,$V$2,'JPM St'!$C:$C,D309)</f>
        <v>0</v>
      </c>
      <c r="H309" s="501">
        <f>SUMIFS('JPM St'!$K:$K,'JPM St'!$A:$A,$V$3,'JPM St'!$C:$C,D309)</f>
        <v>0</v>
      </c>
      <c r="I309" s="501">
        <f>SUMIFS('JPM St'!$K:$K,'JPM St'!$A:$A,$V$4,'JPM St'!$C:$C,D309)</f>
        <v>0</v>
      </c>
      <c r="J309" s="619">
        <f t="shared" si="14"/>
        <v>0</v>
      </c>
      <c r="K309" s="501">
        <f>IFERROR(SUMIFS('JPM St'!$M:$M,'JPM St'!$A:$A,$V$2,'JPM St'!$C:$C,D309),"")</f>
        <v>0</v>
      </c>
      <c r="L309" s="501">
        <f>IFERROR(SUMIFS('JPM St'!$M:$M,'JPM St'!$A:$A,$V$3,'JPM St'!$C:$C,D309),"")</f>
        <v>0</v>
      </c>
      <c r="M309" s="501">
        <f>IFERROR(SUMIFS('JPM St'!$M:$M,'JPM St'!$A:$A,$V$4,'JPM St'!$C:$C,D309),"")</f>
        <v>0</v>
      </c>
    </row>
    <row r="310" spans="1:13" x14ac:dyDescent="0.25">
      <c r="A310" s="497" t="s">
        <v>90</v>
      </c>
      <c r="B310" s="497" t="str">
        <f>IFERROR(IF(VLOOKUP(D310,'JPM St'!$C:$G,3,0)="Fixed Income &amp; Cash","Cash",VLOOKUP(D310,'JPM St'!$C:$G,3,0)),"")</f>
        <v/>
      </c>
      <c r="C310" s="497" t="str">
        <f>IFERROR(VLOOKUP(D310,'JPM St'!$C:$L,10,0),"")</f>
        <v/>
      </c>
      <c r="E310" s="500" t="str">
        <f>IFERROR(VLOOKUP(D310,'JPM St'!$C:$D,2,0),"")</f>
        <v/>
      </c>
      <c r="F310" s="501">
        <f t="shared" si="13"/>
        <v>0</v>
      </c>
      <c r="G310" s="501">
        <f>SUMIFS('JPM St'!$K:$K,'JPM St'!$A:$A,$V$2,'JPM St'!$C:$C,D310)</f>
        <v>0</v>
      </c>
      <c r="H310" s="501">
        <f>SUMIFS('JPM St'!$K:$K,'JPM St'!$A:$A,$V$3,'JPM St'!$C:$C,D310)</f>
        <v>0</v>
      </c>
      <c r="I310" s="501">
        <f>SUMIFS('JPM St'!$K:$K,'JPM St'!$A:$A,$V$4,'JPM St'!$C:$C,D310)</f>
        <v>0</v>
      </c>
      <c r="J310" s="619">
        <f t="shared" si="14"/>
        <v>0</v>
      </c>
      <c r="K310" s="501">
        <f>IFERROR(SUMIFS('JPM St'!$M:$M,'JPM St'!$A:$A,$V$2,'JPM St'!$C:$C,D310),"")</f>
        <v>0</v>
      </c>
      <c r="L310" s="501">
        <f>IFERROR(SUMIFS('JPM St'!$M:$M,'JPM St'!$A:$A,$V$3,'JPM St'!$C:$C,D310),"")</f>
        <v>0</v>
      </c>
      <c r="M310" s="501">
        <f>IFERROR(SUMIFS('JPM St'!$M:$M,'JPM St'!$A:$A,$V$4,'JPM St'!$C:$C,D310),"")</f>
        <v>0</v>
      </c>
    </row>
    <row r="311" spans="1:13" x14ac:dyDescent="0.25">
      <c r="A311" s="497" t="s">
        <v>90</v>
      </c>
      <c r="B311" s="497" t="str">
        <f>IFERROR(IF(VLOOKUP(D311,'JPM St'!$C:$G,3,0)="Fixed Income &amp; Cash","Cash",VLOOKUP(D311,'JPM St'!$C:$G,3,0)),"")</f>
        <v/>
      </c>
      <c r="C311" s="497" t="str">
        <f>IFERROR(VLOOKUP(D311,'JPM St'!$C:$L,10,0),"")</f>
        <v/>
      </c>
      <c r="E311" s="500" t="str">
        <f>IFERROR(VLOOKUP(D311,'JPM St'!$C:$D,2,0),"")</f>
        <v/>
      </c>
      <c r="F311" s="501">
        <f t="shared" si="13"/>
        <v>0</v>
      </c>
      <c r="G311" s="501">
        <f>SUMIFS('JPM St'!$K:$K,'JPM St'!$A:$A,$V$2,'JPM St'!$C:$C,D311)</f>
        <v>0</v>
      </c>
      <c r="H311" s="501">
        <f>SUMIFS('JPM St'!$K:$K,'JPM St'!$A:$A,$V$3,'JPM St'!$C:$C,D311)</f>
        <v>0</v>
      </c>
      <c r="I311" s="501">
        <f>SUMIFS('JPM St'!$K:$K,'JPM St'!$A:$A,$V$4,'JPM St'!$C:$C,D311)</f>
        <v>0</v>
      </c>
      <c r="J311" s="619">
        <f t="shared" si="14"/>
        <v>0</v>
      </c>
      <c r="K311" s="501">
        <f>IFERROR(SUMIFS('JPM St'!$M:$M,'JPM St'!$A:$A,$V$2,'JPM St'!$C:$C,D311),"")</f>
        <v>0</v>
      </c>
      <c r="L311" s="501">
        <f>IFERROR(SUMIFS('JPM St'!$M:$M,'JPM St'!$A:$A,$V$3,'JPM St'!$C:$C,D311),"")</f>
        <v>0</v>
      </c>
      <c r="M311" s="501">
        <f>IFERROR(SUMIFS('JPM St'!$M:$M,'JPM St'!$A:$A,$V$4,'JPM St'!$C:$C,D311),"")</f>
        <v>0</v>
      </c>
    </row>
    <row r="312" spans="1:13" x14ac:dyDescent="0.25">
      <c r="A312" s="497" t="s">
        <v>90</v>
      </c>
      <c r="B312" s="497" t="str">
        <f>IFERROR(IF(VLOOKUP(D312,'JPM St'!$C:$G,3,0)="Fixed Income &amp; Cash","Cash",VLOOKUP(D312,'JPM St'!$C:$G,3,0)),"")</f>
        <v/>
      </c>
      <c r="C312" s="497" t="str">
        <f>IFERROR(VLOOKUP(D312,'JPM St'!$C:$L,10,0),"")</f>
        <v/>
      </c>
      <c r="E312" s="500" t="str">
        <f>IFERROR(VLOOKUP(D312,'JPM St'!$C:$D,2,0),"")</f>
        <v/>
      </c>
      <c r="F312" s="501">
        <f t="shared" si="13"/>
        <v>0</v>
      </c>
      <c r="G312" s="501">
        <f>SUMIFS('JPM St'!$K:$K,'JPM St'!$A:$A,$V$2,'JPM St'!$C:$C,D312)</f>
        <v>0</v>
      </c>
      <c r="H312" s="501">
        <f>SUMIFS('JPM St'!$K:$K,'JPM St'!$A:$A,$V$3,'JPM St'!$C:$C,D312)</f>
        <v>0</v>
      </c>
      <c r="I312" s="501">
        <f>SUMIFS('JPM St'!$K:$K,'JPM St'!$A:$A,$V$4,'JPM St'!$C:$C,D312)</f>
        <v>0</v>
      </c>
      <c r="J312" s="619">
        <f t="shared" si="14"/>
        <v>0</v>
      </c>
      <c r="K312" s="501">
        <f>IFERROR(SUMIFS('JPM St'!$M:$M,'JPM St'!$A:$A,$V$2,'JPM St'!$C:$C,D312),"")</f>
        <v>0</v>
      </c>
      <c r="L312" s="501">
        <f>IFERROR(SUMIFS('JPM St'!$M:$M,'JPM St'!$A:$A,$V$3,'JPM St'!$C:$C,D312),"")</f>
        <v>0</v>
      </c>
      <c r="M312" s="501">
        <f>IFERROR(SUMIFS('JPM St'!$M:$M,'JPM St'!$A:$A,$V$4,'JPM St'!$C:$C,D312),"")</f>
        <v>0</v>
      </c>
    </row>
    <row r="313" spans="1:13" x14ac:dyDescent="0.25">
      <c r="A313" s="497" t="s">
        <v>90</v>
      </c>
      <c r="B313" s="497" t="str">
        <f>IFERROR(IF(VLOOKUP(D313,'JPM St'!$C:$G,3,0)="Fixed Income &amp; Cash","Cash",VLOOKUP(D313,'JPM St'!$C:$G,3,0)),"")</f>
        <v/>
      </c>
      <c r="C313" s="497" t="str">
        <f>IFERROR(VLOOKUP(D313,'JPM St'!$C:$L,10,0),"")</f>
        <v/>
      </c>
      <c r="E313" s="500" t="str">
        <f>IFERROR(VLOOKUP(D313,'JPM St'!$C:$D,2,0),"")</f>
        <v/>
      </c>
      <c r="F313" s="501">
        <f t="shared" si="13"/>
        <v>0</v>
      </c>
      <c r="G313" s="501">
        <f>SUMIFS('JPM St'!$K:$K,'JPM St'!$A:$A,$V$2,'JPM St'!$C:$C,D313)</f>
        <v>0</v>
      </c>
      <c r="H313" s="501">
        <f>SUMIFS('JPM St'!$K:$K,'JPM St'!$A:$A,$V$3,'JPM St'!$C:$C,D313)</f>
        <v>0</v>
      </c>
      <c r="I313" s="501">
        <f>SUMIFS('JPM St'!$K:$K,'JPM St'!$A:$A,$V$4,'JPM St'!$C:$C,D313)</f>
        <v>0</v>
      </c>
      <c r="J313" s="619">
        <f t="shared" si="14"/>
        <v>0</v>
      </c>
      <c r="K313" s="501">
        <f>IFERROR(SUMIFS('JPM St'!$M:$M,'JPM St'!$A:$A,$V$2,'JPM St'!$C:$C,D313),"")</f>
        <v>0</v>
      </c>
      <c r="L313" s="501">
        <f>IFERROR(SUMIFS('JPM St'!$M:$M,'JPM St'!$A:$A,$V$3,'JPM St'!$C:$C,D313),"")</f>
        <v>0</v>
      </c>
      <c r="M313" s="501">
        <f>IFERROR(SUMIFS('JPM St'!$M:$M,'JPM St'!$A:$A,$V$4,'JPM St'!$C:$C,D313),"")</f>
        <v>0</v>
      </c>
    </row>
    <row r="314" spans="1:13" x14ac:dyDescent="0.25">
      <c r="A314" s="497" t="s">
        <v>90</v>
      </c>
      <c r="B314" s="497" t="str">
        <f>IFERROR(IF(VLOOKUP(D314,'JPM St'!$C:$G,3,0)="Fixed Income &amp; Cash","Cash",VLOOKUP(D314,'JPM St'!$C:$G,3,0)),"")</f>
        <v/>
      </c>
      <c r="C314" s="497" t="str">
        <f>IFERROR(VLOOKUP(D314,'JPM St'!$C:$L,10,0),"")</f>
        <v/>
      </c>
      <c r="E314" s="500" t="str">
        <f>IFERROR(VLOOKUP(D314,'JPM St'!$C:$D,2,0),"")</f>
        <v/>
      </c>
      <c r="F314" s="501">
        <f t="shared" si="13"/>
        <v>0</v>
      </c>
      <c r="G314" s="501">
        <f>SUMIFS('JPM St'!$K:$K,'JPM St'!$A:$A,$V$2,'JPM St'!$C:$C,D314)</f>
        <v>0</v>
      </c>
      <c r="H314" s="501">
        <f>SUMIFS('JPM St'!$K:$K,'JPM St'!$A:$A,$V$3,'JPM St'!$C:$C,D314)</f>
        <v>0</v>
      </c>
      <c r="I314" s="501">
        <f>SUMIFS('JPM St'!$K:$K,'JPM St'!$A:$A,$V$4,'JPM St'!$C:$C,D314)</f>
        <v>0</v>
      </c>
      <c r="J314" s="619">
        <f t="shared" si="14"/>
        <v>0</v>
      </c>
      <c r="K314" s="501">
        <f>IFERROR(SUMIFS('JPM St'!$M:$M,'JPM St'!$A:$A,$V$2,'JPM St'!$C:$C,D314),"")</f>
        <v>0</v>
      </c>
      <c r="L314" s="501">
        <f>IFERROR(SUMIFS('JPM St'!$M:$M,'JPM St'!$A:$A,$V$3,'JPM St'!$C:$C,D314),"")</f>
        <v>0</v>
      </c>
      <c r="M314" s="501">
        <f>IFERROR(SUMIFS('JPM St'!$M:$M,'JPM St'!$A:$A,$V$4,'JPM St'!$C:$C,D314),"")</f>
        <v>0</v>
      </c>
    </row>
    <row r="315" spans="1:13" x14ac:dyDescent="0.25">
      <c r="A315" s="497" t="s">
        <v>90</v>
      </c>
      <c r="B315" s="497" t="str">
        <f>IFERROR(IF(VLOOKUP(D315,'JPM St'!$C:$G,3,0)="Fixed Income &amp; Cash","Cash",VLOOKUP(D315,'JPM St'!$C:$G,3,0)),"")</f>
        <v/>
      </c>
      <c r="C315" s="497" t="str">
        <f>IFERROR(VLOOKUP(D315,'JPM St'!$C:$L,10,0),"")</f>
        <v/>
      </c>
      <c r="E315" s="500" t="str">
        <f>IFERROR(VLOOKUP(D315,'JPM St'!$C:$D,2,0),"")</f>
        <v/>
      </c>
      <c r="F315" s="501">
        <f t="shared" si="13"/>
        <v>0</v>
      </c>
      <c r="G315" s="501">
        <f>SUMIFS('JPM St'!$K:$K,'JPM St'!$A:$A,$V$2,'JPM St'!$C:$C,D315)</f>
        <v>0</v>
      </c>
      <c r="H315" s="501">
        <f>SUMIFS('JPM St'!$K:$K,'JPM St'!$A:$A,$V$3,'JPM St'!$C:$C,D315)</f>
        <v>0</v>
      </c>
      <c r="I315" s="501">
        <f>SUMIFS('JPM St'!$K:$K,'JPM St'!$A:$A,$V$4,'JPM St'!$C:$C,D315)</f>
        <v>0</v>
      </c>
      <c r="J315" s="619">
        <f t="shared" si="14"/>
        <v>0</v>
      </c>
      <c r="K315" s="501">
        <f>IFERROR(SUMIFS('JPM St'!$M:$M,'JPM St'!$A:$A,$V$2,'JPM St'!$C:$C,D315),"")</f>
        <v>0</v>
      </c>
      <c r="L315" s="501">
        <f>IFERROR(SUMIFS('JPM St'!$M:$M,'JPM St'!$A:$A,$V$3,'JPM St'!$C:$C,D315),"")</f>
        <v>0</v>
      </c>
      <c r="M315" s="501">
        <f>IFERROR(SUMIFS('JPM St'!$M:$M,'JPM St'!$A:$A,$V$4,'JPM St'!$C:$C,D315),"")</f>
        <v>0</v>
      </c>
    </row>
    <row r="316" spans="1:13" x14ac:dyDescent="0.25">
      <c r="A316" s="497" t="s">
        <v>90</v>
      </c>
      <c r="B316" s="497" t="str">
        <f>IFERROR(IF(VLOOKUP(D316,'JPM St'!$C:$G,3,0)="Fixed Income &amp; Cash","Cash",VLOOKUP(D316,'JPM St'!$C:$G,3,0)),"")</f>
        <v/>
      </c>
      <c r="C316" s="497" t="str">
        <f>IFERROR(VLOOKUP(D316,'JPM St'!$C:$L,10,0),"")</f>
        <v/>
      </c>
      <c r="E316" s="500" t="str">
        <f>IFERROR(VLOOKUP(D316,'JPM St'!$C:$D,2,0),"")</f>
        <v/>
      </c>
      <c r="F316" s="501">
        <f t="shared" si="13"/>
        <v>0</v>
      </c>
      <c r="G316" s="501">
        <f>SUMIFS('JPM St'!$K:$K,'JPM St'!$A:$A,$V$2,'JPM St'!$C:$C,D316)</f>
        <v>0</v>
      </c>
      <c r="H316" s="501">
        <f>SUMIFS('JPM St'!$K:$K,'JPM St'!$A:$A,$V$3,'JPM St'!$C:$C,D316)</f>
        <v>0</v>
      </c>
      <c r="I316" s="501">
        <f>SUMIFS('JPM St'!$K:$K,'JPM St'!$A:$A,$V$4,'JPM St'!$C:$C,D316)</f>
        <v>0</v>
      </c>
      <c r="J316" s="619">
        <f t="shared" si="14"/>
        <v>0</v>
      </c>
      <c r="K316" s="501">
        <f>IFERROR(SUMIFS('JPM St'!$M:$M,'JPM St'!$A:$A,$V$2,'JPM St'!$C:$C,D316),"")</f>
        <v>0</v>
      </c>
      <c r="L316" s="501">
        <f>IFERROR(SUMIFS('JPM St'!$M:$M,'JPM St'!$A:$A,$V$3,'JPM St'!$C:$C,D316),"")</f>
        <v>0</v>
      </c>
      <c r="M316" s="501">
        <f>IFERROR(SUMIFS('JPM St'!$M:$M,'JPM St'!$A:$A,$V$4,'JPM St'!$C:$C,D316),"")</f>
        <v>0</v>
      </c>
    </row>
    <row r="317" spans="1:13" x14ac:dyDescent="0.25">
      <c r="A317" s="497" t="s">
        <v>90</v>
      </c>
      <c r="B317" s="497" t="str">
        <f>IFERROR(IF(VLOOKUP(D317,'JPM St'!$C:$G,3,0)="Fixed Income &amp; Cash","Cash",VLOOKUP(D317,'JPM St'!$C:$G,3,0)),"")</f>
        <v/>
      </c>
      <c r="C317" s="497" t="str">
        <f>IFERROR(VLOOKUP(D317,'JPM St'!$C:$L,10,0),"")</f>
        <v/>
      </c>
      <c r="E317" s="500" t="str">
        <f>IFERROR(VLOOKUP(D317,'JPM St'!$C:$D,2,0),"")</f>
        <v/>
      </c>
      <c r="F317" s="501">
        <f t="shared" si="13"/>
        <v>0</v>
      </c>
      <c r="G317" s="501">
        <f>SUMIFS('JPM St'!$K:$K,'JPM St'!$A:$A,$V$2,'JPM St'!$C:$C,D317)</f>
        <v>0</v>
      </c>
      <c r="H317" s="501">
        <f>SUMIFS('JPM St'!$K:$K,'JPM St'!$A:$A,$V$3,'JPM St'!$C:$C,D317)</f>
        <v>0</v>
      </c>
      <c r="I317" s="501">
        <f>SUMIFS('JPM St'!$K:$K,'JPM St'!$A:$A,$V$4,'JPM St'!$C:$C,D317)</f>
        <v>0</v>
      </c>
      <c r="J317" s="619">
        <f t="shared" si="14"/>
        <v>0</v>
      </c>
      <c r="K317" s="501">
        <f>IFERROR(SUMIFS('JPM St'!$M:$M,'JPM St'!$A:$A,$V$2,'JPM St'!$C:$C,D317),"")</f>
        <v>0</v>
      </c>
      <c r="L317" s="501">
        <f>IFERROR(SUMIFS('JPM St'!$M:$M,'JPM St'!$A:$A,$V$3,'JPM St'!$C:$C,D317),"")</f>
        <v>0</v>
      </c>
      <c r="M317" s="501">
        <f>IFERROR(SUMIFS('JPM St'!$M:$M,'JPM St'!$A:$A,$V$4,'JPM St'!$C:$C,D317),"")</f>
        <v>0</v>
      </c>
    </row>
    <row r="318" spans="1:13" x14ac:dyDescent="0.25">
      <c r="A318" s="497" t="s">
        <v>90</v>
      </c>
      <c r="B318" s="497" t="str">
        <f>IFERROR(IF(VLOOKUP(D318,'JPM St'!$C:$G,3,0)="Fixed Income &amp; Cash","Cash",VLOOKUP(D318,'JPM St'!$C:$G,3,0)),"")</f>
        <v/>
      </c>
      <c r="C318" s="497" t="str">
        <f>IFERROR(VLOOKUP(D318,'JPM St'!$C:$L,10,0),"")</f>
        <v/>
      </c>
      <c r="E318" s="500" t="str">
        <f>IFERROR(VLOOKUP(D318,'JPM St'!$C:$D,2,0),"")</f>
        <v/>
      </c>
      <c r="F318" s="501">
        <f t="shared" si="13"/>
        <v>0</v>
      </c>
      <c r="G318" s="501">
        <f>SUMIFS('JPM St'!$K:$K,'JPM St'!$A:$A,$V$2,'JPM St'!$C:$C,D318)</f>
        <v>0</v>
      </c>
      <c r="H318" s="501">
        <f>SUMIFS('JPM St'!$K:$K,'JPM St'!$A:$A,$V$3,'JPM St'!$C:$C,D318)</f>
        <v>0</v>
      </c>
      <c r="I318" s="501">
        <f>SUMIFS('JPM St'!$K:$K,'JPM St'!$A:$A,$V$4,'JPM St'!$C:$C,D318)</f>
        <v>0</v>
      </c>
      <c r="J318" s="619">
        <f t="shared" si="14"/>
        <v>0</v>
      </c>
      <c r="K318" s="501">
        <f>IFERROR(SUMIFS('JPM St'!$M:$M,'JPM St'!$A:$A,$V$2,'JPM St'!$C:$C,D318),"")</f>
        <v>0</v>
      </c>
      <c r="L318" s="501">
        <f>IFERROR(SUMIFS('JPM St'!$M:$M,'JPM St'!$A:$A,$V$3,'JPM St'!$C:$C,D318),"")</f>
        <v>0</v>
      </c>
      <c r="M318" s="501">
        <f>IFERROR(SUMIFS('JPM St'!$M:$M,'JPM St'!$A:$A,$V$4,'JPM St'!$C:$C,D318),"")</f>
        <v>0</v>
      </c>
    </row>
    <row r="319" spans="1:13" x14ac:dyDescent="0.25">
      <c r="A319" s="497" t="s">
        <v>90</v>
      </c>
      <c r="B319" s="497" t="str">
        <f>IFERROR(IF(VLOOKUP(D319,'JPM St'!$C:$G,3,0)="Fixed Income &amp; Cash","Cash",VLOOKUP(D319,'JPM St'!$C:$G,3,0)),"")</f>
        <v/>
      </c>
      <c r="C319" s="497" t="str">
        <f>IFERROR(VLOOKUP(D319,'JPM St'!$C:$L,10,0),"")</f>
        <v/>
      </c>
      <c r="E319" s="500" t="str">
        <f>IFERROR(VLOOKUP(D319,'JPM St'!$C:$D,2,0),"")</f>
        <v/>
      </c>
      <c r="F319" s="501">
        <f t="shared" si="13"/>
        <v>0</v>
      </c>
      <c r="G319" s="501">
        <f>SUMIFS('JPM St'!$K:$K,'JPM St'!$A:$A,$V$2,'JPM St'!$C:$C,D319)</f>
        <v>0</v>
      </c>
      <c r="H319" s="501">
        <f>SUMIFS('JPM St'!$K:$K,'JPM St'!$A:$A,$V$3,'JPM St'!$C:$C,D319)</f>
        <v>0</v>
      </c>
      <c r="I319" s="501">
        <f>SUMIFS('JPM St'!$K:$K,'JPM St'!$A:$A,$V$4,'JPM St'!$C:$C,D319)</f>
        <v>0</v>
      </c>
      <c r="J319" s="619">
        <f t="shared" si="14"/>
        <v>0</v>
      </c>
      <c r="K319" s="501">
        <f>IFERROR(SUMIFS('JPM St'!$M:$M,'JPM St'!$A:$A,$V$2,'JPM St'!$C:$C,D319),"")</f>
        <v>0</v>
      </c>
      <c r="L319" s="501">
        <f>IFERROR(SUMIFS('JPM St'!$M:$M,'JPM St'!$A:$A,$V$3,'JPM St'!$C:$C,D319),"")</f>
        <v>0</v>
      </c>
      <c r="M319" s="501">
        <f>IFERROR(SUMIFS('JPM St'!$M:$M,'JPM St'!$A:$A,$V$4,'JPM St'!$C:$C,D319),"")</f>
        <v>0</v>
      </c>
    </row>
    <row r="320" spans="1:13" x14ac:dyDescent="0.25">
      <c r="A320" s="497" t="s">
        <v>90</v>
      </c>
      <c r="B320" s="497" t="str">
        <f>IFERROR(IF(VLOOKUP(D320,'JPM St'!$C:$G,3,0)="Fixed Income &amp; Cash","Cash",VLOOKUP(D320,'JPM St'!$C:$G,3,0)),"")</f>
        <v/>
      </c>
      <c r="C320" s="497" t="str">
        <f>IFERROR(VLOOKUP(D320,'JPM St'!$C:$L,10,0),"")</f>
        <v/>
      </c>
      <c r="E320" s="500" t="str">
        <f>IFERROR(VLOOKUP(D320,'JPM St'!$C:$D,2,0),"")</f>
        <v/>
      </c>
      <c r="F320" s="501">
        <f t="shared" si="13"/>
        <v>0</v>
      </c>
      <c r="G320" s="501">
        <f>SUMIFS('JPM St'!$K:$K,'JPM St'!$A:$A,$V$2,'JPM St'!$C:$C,D320)</f>
        <v>0</v>
      </c>
      <c r="H320" s="501">
        <f>SUMIFS('JPM St'!$K:$K,'JPM St'!$A:$A,$V$3,'JPM St'!$C:$C,D320)</f>
        <v>0</v>
      </c>
      <c r="I320" s="501">
        <f>SUMIFS('JPM St'!$K:$K,'JPM St'!$A:$A,$V$4,'JPM St'!$C:$C,D320)</f>
        <v>0</v>
      </c>
      <c r="J320" s="619">
        <f t="shared" si="14"/>
        <v>0</v>
      </c>
      <c r="K320" s="501">
        <f>IFERROR(SUMIFS('JPM St'!$M:$M,'JPM St'!$A:$A,$V$2,'JPM St'!$C:$C,D320),"")</f>
        <v>0</v>
      </c>
      <c r="L320" s="501">
        <f>IFERROR(SUMIFS('JPM St'!$M:$M,'JPM St'!$A:$A,$V$3,'JPM St'!$C:$C,D320),"")</f>
        <v>0</v>
      </c>
      <c r="M320" s="501">
        <f>IFERROR(SUMIFS('JPM St'!$M:$M,'JPM St'!$A:$A,$V$4,'JPM St'!$C:$C,D320),"")</f>
        <v>0</v>
      </c>
    </row>
    <row r="321" spans="1:13" x14ac:dyDescent="0.25">
      <c r="A321" s="497" t="s">
        <v>90</v>
      </c>
      <c r="B321" s="497" t="str">
        <f>IFERROR(IF(VLOOKUP(D321,'JPM St'!$C:$G,3,0)="Fixed Income &amp; Cash","Cash",VLOOKUP(D321,'JPM St'!$C:$G,3,0)),"")</f>
        <v/>
      </c>
      <c r="C321" s="497" t="str">
        <f>IFERROR(VLOOKUP(D321,'JPM St'!$C:$L,10,0),"")</f>
        <v/>
      </c>
      <c r="E321" s="500" t="str">
        <f>IFERROR(VLOOKUP(D321,'JPM St'!$C:$D,2,0),"")</f>
        <v/>
      </c>
      <c r="F321" s="501">
        <f t="shared" si="13"/>
        <v>0</v>
      </c>
      <c r="G321" s="501">
        <f>SUMIFS('JPM St'!$K:$K,'JPM St'!$A:$A,$V$2,'JPM St'!$C:$C,D321)</f>
        <v>0</v>
      </c>
      <c r="H321" s="501">
        <f>SUMIFS('JPM St'!$K:$K,'JPM St'!$A:$A,$V$3,'JPM St'!$C:$C,D321)</f>
        <v>0</v>
      </c>
      <c r="I321" s="501">
        <f>SUMIFS('JPM St'!$K:$K,'JPM St'!$A:$A,$V$4,'JPM St'!$C:$C,D321)</f>
        <v>0</v>
      </c>
      <c r="J321" s="619">
        <f t="shared" si="14"/>
        <v>0</v>
      </c>
      <c r="K321" s="501">
        <f>IFERROR(SUMIFS('JPM St'!$M:$M,'JPM St'!$A:$A,$V$2,'JPM St'!$C:$C,D321),"")</f>
        <v>0</v>
      </c>
      <c r="L321" s="501">
        <f>IFERROR(SUMIFS('JPM St'!$M:$M,'JPM St'!$A:$A,$V$3,'JPM St'!$C:$C,D321),"")</f>
        <v>0</v>
      </c>
      <c r="M321" s="501">
        <f>IFERROR(SUMIFS('JPM St'!$M:$M,'JPM St'!$A:$A,$V$4,'JPM St'!$C:$C,D321),"")</f>
        <v>0</v>
      </c>
    </row>
    <row r="322" spans="1:13" x14ac:dyDescent="0.25">
      <c r="A322" s="497" t="s">
        <v>90</v>
      </c>
      <c r="B322" s="497" t="str">
        <f>IFERROR(IF(VLOOKUP(D322,'JPM St'!$C:$G,3,0)="Fixed Income &amp; Cash","Cash",VLOOKUP(D322,'JPM St'!$C:$G,3,0)),"")</f>
        <v/>
      </c>
      <c r="C322" s="497" t="str">
        <f>IFERROR(VLOOKUP(D322,'JPM St'!$C:$L,10,0),"")</f>
        <v/>
      </c>
      <c r="E322" s="500" t="str">
        <f>IFERROR(VLOOKUP(D322,'JPM St'!$C:$D,2,0),"")</f>
        <v/>
      </c>
      <c r="F322" s="501">
        <f t="shared" si="13"/>
        <v>0</v>
      </c>
      <c r="G322" s="501">
        <f>SUMIFS('JPM St'!$K:$K,'JPM St'!$A:$A,$V$2,'JPM St'!$C:$C,D322)</f>
        <v>0</v>
      </c>
      <c r="H322" s="501">
        <f>SUMIFS('JPM St'!$K:$K,'JPM St'!$A:$A,$V$3,'JPM St'!$C:$C,D322)</f>
        <v>0</v>
      </c>
      <c r="I322" s="501">
        <f>SUMIFS('JPM St'!$K:$K,'JPM St'!$A:$A,$V$4,'JPM St'!$C:$C,D322)</f>
        <v>0</v>
      </c>
      <c r="J322" s="619">
        <f t="shared" si="14"/>
        <v>0</v>
      </c>
      <c r="K322" s="501">
        <f>IFERROR(SUMIFS('JPM St'!$M:$M,'JPM St'!$A:$A,$V$2,'JPM St'!$C:$C,D322),"")</f>
        <v>0</v>
      </c>
      <c r="L322" s="501">
        <f>IFERROR(SUMIFS('JPM St'!$M:$M,'JPM St'!$A:$A,$V$3,'JPM St'!$C:$C,D322),"")</f>
        <v>0</v>
      </c>
      <c r="M322" s="501">
        <f>IFERROR(SUMIFS('JPM St'!$M:$M,'JPM St'!$A:$A,$V$4,'JPM St'!$C:$C,D322),"")</f>
        <v>0</v>
      </c>
    </row>
    <row r="323" spans="1:13" x14ac:dyDescent="0.25">
      <c r="A323" s="497" t="s">
        <v>90</v>
      </c>
      <c r="B323" s="497" t="str">
        <f>IFERROR(IF(VLOOKUP(D323,'JPM St'!$C:$G,3,0)="Fixed Income &amp; Cash","Cash",VLOOKUP(D323,'JPM St'!$C:$G,3,0)),"")</f>
        <v/>
      </c>
      <c r="C323" s="497" t="str">
        <f>IFERROR(VLOOKUP(D323,'JPM St'!$C:$L,10,0),"")</f>
        <v/>
      </c>
      <c r="E323" s="500" t="str">
        <f>IFERROR(VLOOKUP(D323,'JPM St'!$C:$D,2,0),"")</f>
        <v/>
      </c>
      <c r="F323" s="501">
        <f t="shared" ref="F323:F386" si="15">SUM(G323:I323)</f>
        <v>0</v>
      </c>
      <c r="G323" s="501">
        <f>SUMIFS('JPM St'!$K:$K,'JPM St'!$A:$A,$V$2,'JPM St'!$C:$C,D323)</f>
        <v>0</v>
      </c>
      <c r="H323" s="501">
        <f>SUMIFS('JPM St'!$K:$K,'JPM St'!$A:$A,$V$3,'JPM St'!$C:$C,D323)</f>
        <v>0</v>
      </c>
      <c r="I323" s="501">
        <f>SUMIFS('JPM St'!$K:$K,'JPM St'!$A:$A,$V$4,'JPM St'!$C:$C,D323)</f>
        <v>0</v>
      </c>
      <c r="J323" s="619">
        <f t="shared" ref="J323:J386" si="16">SUM(K323:M323)</f>
        <v>0</v>
      </c>
      <c r="K323" s="501">
        <f>IFERROR(SUMIFS('JPM St'!$M:$M,'JPM St'!$A:$A,$V$2,'JPM St'!$C:$C,D323),"")</f>
        <v>0</v>
      </c>
      <c r="L323" s="501">
        <f>IFERROR(SUMIFS('JPM St'!$M:$M,'JPM St'!$A:$A,$V$3,'JPM St'!$C:$C,D323),"")</f>
        <v>0</v>
      </c>
      <c r="M323" s="501">
        <f>IFERROR(SUMIFS('JPM St'!$M:$M,'JPM St'!$A:$A,$V$4,'JPM St'!$C:$C,D323),"")</f>
        <v>0</v>
      </c>
    </row>
    <row r="324" spans="1:13" x14ac:dyDescent="0.25">
      <c r="A324" s="497" t="s">
        <v>90</v>
      </c>
      <c r="B324" s="497" t="str">
        <f>IFERROR(IF(VLOOKUP(D324,'JPM St'!$C:$G,3,0)="Fixed Income &amp; Cash","Cash",VLOOKUP(D324,'JPM St'!$C:$G,3,0)),"")</f>
        <v/>
      </c>
      <c r="C324" s="497" t="str">
        <f>IFERROR(VLOOKUP(D324,'JPM St'!$C:$L,10,0),"")</f>
        <v/>
      </c>
      <c r="E324" s="500" t="str">
        <f>IFERROR(VLOOKUP(D324,'JPM St'!$C:$D,2,0),"")</f>
        <v/>
      </c>
      <c r="F324" s="501">
        <f t="shared" si="15"/>
        <v>0</v>
      </c>
      <c r="G324" s="501">
        <f>SUMIFS('JPM St'!$K:$K,'JPM St'!$A:$A,$V$2,'JPM St'!$C:$C,D324)</f>
        <v>0</v>
      </c>
      <c r="H324" s="501">
        <f>SUMIFS('JPM St'!$K:$K,'JPM St'!$A:$A,$V$3,'JPM St'!$C:$C,D324)</f>
        <v>0</v>
      </c>
      <c r="I324" s="501">
        <f>SUMIFS('JPM St'!$K:$K,'JPM St'!$A:$A,$V$4,'JPM St'!$C:$C,D324)</f>
        <v>0</v>
      </c>
      <c r="J324" s="619">
        <f t="shared" si="16"/>
        <v>0</v>
      </c>
      <c r="K324" s="501">
        <f>IFERROR(SUMIFS('JPM St'!$M:$M,'JPM St'!$A:$A,$V$2,'JPM St'!$C:$C,D324),"")</f>
        <v>0</v>
      </c>
      <c r="L324" s="501">
        <f>IFERROR(SUMIFS('JPM St'!$M:$M,'JPM St'!$A:$A,$V$3,'JPM St'!$C:$C,D324),"")</f>
        <v>0</v>
      </c>
      <c r="M324" s="501">
        <f>IFERROR(SUMIFS('JPM St'!$M:$M,'JPM St'!$A:$A,$V$4,'JPM St'!$C:$C,D324),"")</f>
        <v>0</v>
      </c>
    </row>
    <row r="325" spans="1:13" x14ac:dyDescent="0.25">
      <c r="A325" s="497" t="s">
        <v>90</v>
      </c>
      <c r="B325" s="497" t="str">
        <f>IFERROR(IF(VLOOKUP(D325,'JPM St'!$C:$G,3,0)="Fixed Income &amp; Cash","Cash",VLOOKUP(D325,'JPM St'!$C:$G,3,0)),"")</f>
        <v/>
      </c>
      <c r="C325" s="497" t="str">
        <f>IFERROR(VLOOKUP(D325,'JPM St'!$C:$L,10,0),"")</f>
        <v/>
      </c>
      <c r="E325" s="500" t="str">
        <f>IFERROR(VLOOKUP(D325,'JPM St'!$C:$D,2,0),"")</f>
        <v/>
      </c>
      <c r="F325" s="501">
        <f t="shared" si="15"/>
        <v>0</v>
      </c>
      <c r="G325" s="501">
        <f>SUMIFS('JPM St'!$K:$K,'JPM St'!$A:$A,$V$2,'JPM St'!$C:$C,D325)</f>
        <v>0</v>
      </c>
      <c r="H325" s="501">
        <f>SUMIFS('JPM St'!$K:$K,'JPM St'!$A:$A,$V$3,'JPM St'!$C:$C,D325)</f>
        <v>0</v>
      </c>
      <c r="I325" s="501">
        <f>SUMIFS('JPM St'!$K:$K,'JPM St'!$A:$A,$V$4,'JPM St'!$C:$C,D325)</f>
        <v>0</v>
      </c>
      <c r="J325" s="619">
        <f t="shared" si="16"/>
        <v>0</v>
      </c>
      <c r="K325" s="501">
        <f>IFERROR(SUMIFS('JPM St'!$M:$M,'JPM St'!$A:$A,$V$2,'JPM St'!$C:$C,D325),"")</f>
        <v>0</v>
      </c>
      <c r="L325" s="501">
        <f>IFERROR(SUMIFS('JPM St'!$M:$M,'JPM St'!$A:$A,$V$3,'JPM St'!$C:$C,D325),"")</f>
        <v>0</v>
      </c>
      <c r="M325" s="501">
        <f>IFERROR(SUMIFS('JPM St'!$M:$M,'JPM St'!$A:$A,$V$4,'JPM St'!$C:$C,D325),"")</f>
        <v>0</v>
      </c>
    </row>
    <row r="326" spans="1:13" x14ac:dyDescent="0.25">
      <c r="A326" s="497" t="s">
        <v>90</v>
      </c>
      <c r="B326" s="497" t="str">
        <f>IFERROR(IF(VLOOKUP(D326,'JPM St'!$C:$G,3,0)="Fixed Income &amp; Cash","Cash",VLOOKUP(D326,'JPM St'!$C:$G,3,0)),"")</f>
        <v/>
      </c>
      <c r="C326" s="497" t="str">
        <f>IFERROR(VLOOKUP(D326,'JPM St'!$C:$L,10,0),"")</f>
        <v/>
      </c>
      <c r="E326" s="500" t="str">
        <f>IFERROR(VLOOKUP(D326,'JPM St'!$C:$D,2,0),"")</f>
        <v/>
      </c>
      <c r="F326" s="501">
        <f t="shared" si="15"/>
        <v>0</v>
      </c>
      <c r="G326" s="501">
        <f>SUMIFS('JPM St'!$K:$K,'JPM St'!$A:$A,$V$2,'JPM St'!$C:$C,D326)</f>
        <v>0</v>
      </c>
      <c r="H326" s="501">
        <f>SUMIFS('JPM St'!$K:$K,'JPM St'!$A:$A,$V$3,'JPM St'!$C:$C,D326)</f>
        <v>0</v>
      </c>
      <c r="I326" s="501">
        <f>SUMIFS('JPM St'!$K:$K,'JPM St'!$A:$A,$V$4,'JPM St'!$C:$C,D326)</f>
        <v>0</v>
      </c>
      <c r="J326" s="619">
        <f t="shared" si="16"/>
        <v>0</v>
      </c>
      <c r="K326" s="501">
        <f>IFERROR(SUMIFS('JPM St'!$M:$M,'JPM St'!$A:$A,$V$2,'JPM St'!$C:$C,D326),"")</f>
        <v>0</v>
      </c>
      <c r="L326" s="501">
        <f>IFERROR(SUMIFS('JPM St'!$M:$M,'JPM St'!$A:$A,$V$3,'JPM St'!$C:$C,D326),"")</f>
        <v>0</v>
      </c>
      <c r="M326" s="501">
        <f>IFERROR(SUMIFS('JPM St'!$M:$M,'JPM St'!$A:$A,$V$4,'JPM St'!$C:$C,D326),"")</f>
        <v>0</v>
      </c>
    </row>
    <row r="327" spans="1:13" x14ac:dyDescent="0.25">
      <c r="A327" s="497" t="s">
        <v>90</v>
      </c>
      <c r="B327" s="497" t="str">
        <f>IFERROR(IF(VLOOKUP(D327,'JPM St'!$C:$G,3,0)="Fixed Income &amp; Cash","Cash",VLOOKUP(D327,'JPM St'!$C:$G,3,0)),"")</f>
        <v/>
      </c>
      <c r="C327" s="497" t="str">
        <f>IFERROR(VLOOKUP(D327,'JPM St'!$C:$L,10,0),"")</f>
        <v/>
      </c>
      <c r="E327" s="500" t="str">
        <f>IFERROR(VLOOKUP(D327,'JPM St'!$C:$D,2,0),"")</f>
        <v/>
      </c>
      <c r="F327" s="501">
        <f t="shared" si="15"/>
        <v>0</v>
      </c>
      <c r="G327" s="501">
        <f>SUMIFS('JPM St'!$K:$K,'JPM St'!$A:$A,$V$2,'JPM St'!$C:$C,D327)</f>
        <v>0</v>
      </c>
      <c r="H327" s="501">
        <f>SUMIFS('JPM St'!$K:$K,'JPM St'!$A:$A,$V$3,'JPM St'!$C:$C,D327)</f>
        <v>0</v>
      </c>
      <c r="I327" s="501">
        <f>SUMIFS('JPM St'!$K:$K,'JPM St'!$A:$A,$V$4,'JPM St'!$C:$C,D327)</f>
        <v>0</v>
      </c>
      <c r="J327" s="619">
        <f t="shared" si="16"/>
        <v>0</v>
      </c>
      <c r="K327" s="501">
        <f>IFERROR(SUMIFS('JPM St'!$M:$M,'JPM St'!$A:$A,$V$2,'JPM St'!$C:$C,D327),"")</f>
        <v>0</v>
      </c>
      <c r="L327" s="501">
        <f>IFERROR(SUMIFS('JPM St'!$M:$M,'JPM St'!$A:$A,$V$3,'JPM St'!$C:$C,D327),"")</f>
        <v>0</v>
      </c>
      <c r="M327" s="501">
        <f>IFERROR(SUMIFS('JPM St'!$M:$M,'JPM St'!$A:$A,$V$4,'JPM St'!$C:$C,D327),"")</f>
        <v>0</v>
      </c>
    </row>
    <row r="328" spans="1:13" x14ac:dyDescent="0.25">
      <c r="A328" s="497" t="s">
        <v>90</v>
      </c>
      <c r="B328" s="497" t="str">
        <f>IFERROR(IF(VLOOKUP(D328,'JPM St'!$C:$G,3,0)="Fixed Income &amp; Cash","Cash",VLOOKUP(D328,'JPM St'!$C:$G,3,0)),"")</f>
        <v/>
      </c>
      <c r="C328" s="497" t="str">
        <f>IFERROR(VLOOKUP(D328,'JPM St'!$C:$L,10,0),"")</f>
        <v/>
      </c>
      <c r="E328" s="500" t="str">
        <f>IFERROR(VLOOKUP(D328,'JPM St'!$C:$D,2,0),"")</f>
        <v/>
      </c>
      <c r="F328" s="501">
        <f t="shared" si="15"/>
        <v>0</v>
      </c>
      <c r="G328" s="501">
        <f>SUMIFS('JPM St'!$K:$K,'JPM St'!$A:$A,$V$2,'JPM St'!$C:$C,D328)</f>
        <v>0</v>
      </c>
      <c r="H328" s="501">
        <f>SUMIFS('JPM St'!$K:$K,'JPM St'!$A:$A,$V$3,'JPM St'!$C:$C,D328)</f>
        <v>0</v>
      </c>
      <c r="I328" s="501">
        <f>SUMIFS('JPM St'!$K:$K,'JPM St'!$A:$A,$V$4,'JPM St'!$C:$C,D328)</f>
        <v>0</v>
      </c>
      <c r="J328" s="619">
        <f t="shared" si="16"/>
        <v>0</v>
      </c>
      <c r="K328" s="501">
        <f>IFERROR(SUMIFS('JPM St'!$M:$M,'JPM St'!$A:$A,$V$2,'JPM St'!$C:$C,D328),"")</f>
        <v>0</v>
      </c>
      <c r="L328" s="501">
        <f>IFERROR(SUMIFS('JPM St'!$M:$M,'JPM St'!$A:$A,$V$3,'JPM St'!$C:$C,D328),"")</f>
        <v>0</v>
      </c>
      <c r="M328" s="501">
        <f>IFERROR(SUMIFS('JPM St'!$M:$M,'JPM St'!$A:$A,$V$4,'JPM St'!$C:$C,D328),"")</f>
        <v>0</v>
      </c>
    </row>
    <row r="329" spans="1:13" x14ac:dyDescent="0.25">
      <c r="A329" s="497" t="s">
        <v>90</v>
      </c>
      <c r="B329" s="497" t="str">
        <f>IFERROR(IF(VLOOKUP(D329,'JPM St'!$C:$G,3,0)="Fixed Income &amp; Cash","Cash",VLOOKUP(D329,'JPM St'!$C:$G,3,0)),"")</f>
        <v/>
      </c>
      <c r="C329" s="497" t="str">
        <f>IFERROR(VLOOKUP(D329,'JPM St'!$C:$L,10,0),"")</f>
        <v/>
      </c>
      <c r="E329" s="500" t="str">
        <f>IFERROR(VLOOKUP(D329,'JPM St'!$C:$D,2,0),"")</f>
        <v/>
      </c>
      <c r="F329" s="501">
        <f t="shared" si="15"/>
        <v>0</v>
      </c>
      <c r="G329" s="501">
        <f>SUMIFS('JPM St'!$K:$K,'JPM St'!$A:$A,$V$2,'JPM St'!$C:$C,D329)</f>
        <v>0</v>
      </c>
      <c r="H329" s="501">
        <f>SUMIFS('JPM St'!$K:$K,'JPM St'!$A:$A,$V$3,'JPM St'!$C:$C,D329)</f>
        <v>0</v>
      </c>
      <c r="I329" s="501">
        <f>SUMIFS('JPM St'!$K:$K,'JPM St'!$A:$A,$V$4,'JPM St'!$C:$C,D329)</f>
        <v>0</v>
      </c>
      <c r="J329" s="619">
        <f t="shared" si="16"/>
        <v>0</v>
      </c>
      <c r="K329" s="501">
        <f>IFERROR(SUMIFS('JPM St'!$M:$M,'JPM St'!$A:$A,$V$2,'JPM St'!$C:$C,D329),"")</f>
        <v>0</v>
      </c>
      <c r="L329" s="501">
        <f>IFERROR(SUMIFS('JPM St'!$M:$M,'JPM St'!$A:$A,$V$3,'JPM St'!$C:$C,D329),"")</f>
        <v>0</v>
      </c>
      <c r="M329" s="501">
        <f>IFERROR(SUMIFS('JPM St'!$M:$M,'JPM St'!$A:$A,$V$4,'JPM St'!$C:$C,D329),"")</f>
        <v>0</v>
      </c>
    </row>
    <row r="330" spans="1:13" x14ac:dyDescent="0.25">
      <c r="A330" s="497" t="s">
        <v>90</v>
      </c>
      <c r="B330" s="497" t="str">
        <f>IFERROR(IF(VLOOKUP(D330,'JPM St'!$C:$G,3,0)="Fixed Income &amp; Cash","Cash",VLOOKUP(D330,'JPM St'!$C:$G,3,0)),"")</f>
        <v/>
      </c>
      <c r="C330" s="497" t="str">
        <f>IFERROR(VLOOKUP(D330,'JPM St'!$C:$L,10,0),"")</f>
        <v/>
      </c>
      <c r="E330" s="500" t="str">
        <f>IFERROR(VLOOKUP(D330,'JPM St'!$C:$D,2,0),"")</f>
        <v/>
      </c>
      <c r="F330" s="501">
        <f t="shared" si="15"/>
        <v>0</v>
      </c>
      <c r="G330" s="501">
        <f>SUMIFS('JPM St'!$K:$K,'JPM St'!$A:$A,$V$2,'JPM St'!$C:$C,D330)</f>
        <v>0</v>
      </c>
      <c r="H330" s="501">
        <f>SUMIFS('JPM St'!$K:$K,'JPM St'!$A:$A,$V$3,'JPM St'!$C:$C,D330)</f>
        <v>0</v>
      </c>
      <c r="I330" s="501">
        <f>SUMIFS('JPM St'!$K:$K,'JPM St'!$A:$A,$V$4,'JPM St'!$C:$C,D330)</f>
        <v>0</v>
      </c>
      <c r="J330" s="619">
        <f t="shared" si="16"/>
        <v>0</v>
      </c>
      <c r="K330" s="501">
        <f>IFERROR(SUMIFS('JPM St'!$M:$M,'JPM St'!$A:$A,$V$2,'JPM St'!$C:$C,D330),"")</f>
        <v>0</v>
      </c>
      <c r="L330" s="501">
        <f>IFERROR(SUMIFS('JPM St'!$M:$M,'JPM St'!$A:$A,$V$3,'JPM St'!$C:$C,D330),"")</f>
        <v>0</v>
      </c>
      <c r="M330" s="501">
        <f>IFERROR(SUMIFS('JPM St'!$M:$M,'JPM St'!$A:$A,$V$4,'JPM St'!$C:$C,D330),"")</f>
        <v>0</v>
      </c>
    </row>
    <row r="331" spans="1:13" x14ac:dyDescent="0.25">
      <c r="A331" s="497" t="s">
        <v>90</v>
      </c>
      <c r="B331" s="497" t="str">
        <f>IFERROR(IF(VLOOKUP(D331,'JPM St'!$C:$G,3,0)="Fixed Income &amp; Cash","Cash",VLOOKUP(D331,'JPM St'!$C:$G,3,0)),"")</f>
        <v/>
      </c>
      <c r="C331" s="497" t="str">
        <f>IFERROR(VLOOKUP(D331,'JPM St'!$C:$L,10,0),"")</f>
        <v/>
      </c>
      <c r="E331" s="500" t="str">
        <f>IFERROR(VLOOKUP(D331,'JPM St'!$C:$D,2,0),"")</f>
        <v/>
      </c>
      <c r="F331" s="501">
        <f t="shared" si="15"/>
        <v>0</v>
      </c>
      <c r="G331" s="501">
        <f>SUMIFS('JPM St'!$K:$K,'JPM St'!$A:$A,$V$2,'JPM St'!$C:$C,D331)</f>
        <v>0</v>
      </c>
      <c r="H331" s="501">
        <f>SUMIFS('JPM St'!$K:$K,'JPM St'!$A:$A,$V$3,'JPM St'!$C:$C,D331)</f>
        <v>0</v>
      </c>
      <c r="I331" s="501">
        <f>SUMIFS('JPM St'!$K:$K,'JPM St'!$A:$A,$V$4,'JPM St'!$C:$C,D331)</f>
        <v>0</v>
      </c>
      <c r="J331" s="619">
        <f t="shared" si="16"/>
        <v>0</v>
      </c>
      <c r="K331" s="501">
        <f>IFERROR(SUMIFS('JPM St'!$M:$M,'JPM St'!$A:$A,$V$2,'JPM St'!$C:$C,D331),"")</f>
        <v>0</v>
      </c>
      <c r="L331" s="501">
        <f>IFERROR(SUMIFS('JPM St'!$M:$M,'JPM St'!$A:$A,$V$3,'JPM St'!$C:$C,D331),"")</f>
        <v>0</v>
      </c>
      <c r="M331" s="501">
        <f>IFERROR(SUMIFS('JPM St'!$M:$M,'JPM St'!$A:$A,$V$4,'JPM St'!$C:$C,D331),"")</f>
        <v>0</v>
      </c>
    </row>
    <row r="332" spans="1:13" x14ac:dyDescent="0.25">
      <c r="A332" s="497" t="s">
        <v>90</v>
      </c>
      <c r="B332" s="497" t="str">
        <f>IFERROR(IF(VLOOKUP(D332,'JPM St'!$C:$G,3,0)="Fixed Income &amp; Cash","Cash",VLOOKUP(D332,'JPM St'!$C:$G,3,0)),"")</f>
        <v/>
      </c>
      <c r="C332" s="497" t="str">
        <f>IFERROR(VLOOKUP(D332,'JPM St'!$C:$L,10,0),"")</f>
        <v/>
      </c>
      <c r="E332" s="500" t="str">
        <f>IFERROR(VLOOKUP(D332,'JPM St'!$C:$D,2,0),"")</f>
        <v/>
      </c>
      <c r="F332" s="501">
        <f t="shared" si="15"/>
        <v>0</v>
      </c>
      <c r="G332" s="501">
        <f>SUMIFS('JPM St'!$K:$K,'JPM St'!$A:$A,$V$2,'JPM St'!$C:$C,D332)</f>
        <v>0</v>
      </c>
      <c r="H332" s="501">
        <f>SUMIFS('JPM St'!$K:$K,'JPM St'!$A:$A,$V$3,'JPM St'!$C:$C,D332)</f>
        <v>0</v>
      </c>
      <c r="I332" s="501">
        <f>SUMIFS('JPM St'!$K:$K,'JPM St'!$A:$A,$V$4,'JPM St'!$C:$C,D332)</f>
        <v>0</v>
      </c>
      <c r="J332" s="619">
        <f t="shared" si="16"/>
        <v>0</v>
      </c>
      <c r="K332" s="501">
        <f>IFERROR(SUMIFS('JPM St'!$M:$M,'JPM St'!$A:$A,$V$2,'JPM St'!$C:$C,D332),"")</f>
        <v>0</v>
      </c>
      <c r="L332" s="501">
        <f>IFERROR(SUMIFS('JPM St'!$M:$M,'JPM St'!$A:$A,$V$3,'JPM St'!$C:$C,D332),"")</f>
        <v>0</v>
      </c>
      <c r="M332" s="501">
        <f>IFERROR(SUMIFS('JPM St'!$M:$M,'JPM St'!$A:$A,$V$4,'JPM St'!$C:$C,D332),"")</f>
        <v>0</v>
      </c>
    </row>
    <row r="333" spans="1:13" x14ac:dyDescent="0.25">
      <c r="A333" s="497" t="s">
        <v>90</v>
      </c>
      <c r="B333" s="497" t="str">
        <f>IFERROR(IF(VLOOKUP(D333,'JPM St'!$C:$G,3,0)="Fixed Income &amp; Cash","Cash",VLOOKUP(D333,'JPM St'!$C:$G,3,0)),"")</f>
        <v/>
      </c>
      <c r="C333" s="497" t="str">
        <f>IFERROR(VLOOKUP(D333,'JPM St'!$C:$L,10,0),"")</f>
        <v/>
      </c>
      <c r="E333" s="500" t="str">
        <f>IFERROR(VLOOKUP(D333,'JPM St'!$C:$D,2,0),"")</f>
        <v/>
      </c>
      <c r="F333" s="501">
        <f t="shared" si="15"/>
        <v>0</v>
      </c>
      <c r="G333" s="501">
        <f>SUMIFS('JPM St'!$K:$K,'JPM St'!$A:$A,$V$2,'JPM St'!$C:$C,D333)</f>
        <v>0</v>
      </c>
      <c r="H333" s="501">
        <f>SUMIFS('JPM St'!$K:$K,'JPM St'!$A:$A,$V$3,'JPM St'!$C:$C,D333)</f>
        <v>0</v>
      </c>
      <c r="I333" s="501">
        <f>SUMIFS('JPM St'!$K:$K,'JPM St'!$A:$A,$V$4,'JPM St'!$C:$C,D333)</f>
        <v>0</v>
      </c>
      <c r="J333" s="619">
        <f t="shared" si="16"/>
        <v>0</v>
      </c>
      <c r="K333" s="501">
        <f>IFERROR(SUMIFS('JPM St'!$M:$M,'JPM St'!$A:$A,$V$2,'JPM St'!$C:$C,D333),"")</f>
        <v>0</v>
      </c>
      <c r="L333" s="501">
        <f>IFERROR(SUMIFS('JPM St'!$M:$M,'JPM St'!$A:$A,$V$3,'JPM St'!$C:$C,D333),"")</f>
        <v>0</v>
      </c>
      <c r="M333" s="501">
        <f>IFERROR(SUMIFS('JPM St'!$M:$M,'JPM St'!$A:$A,$V$4,'JPM St'!$C:$C,D333),"")</f>
        <v>0</v>
      </c>
    </row>
    <row r="334" spans="1:13" x14ac:dyDescent="0.25">
      <c r="A334" s="497" t="s">
        <v>90</v>
      </c>
      <c r="B334" s="497" t="str">
        <f>IFERROR(IF(VLOOKUP(D334,'JPM St'!$C:$G,3,0)="Fixed Income &amp; Cash","Cash",VLOOKUP(D334,'JPM St'!$C:$G,3,0)),"")</f>
        <v/>
      </c>
      <c r="C334" s="497" t="str">
        <f>IFERROR(VLOOKUP(D334,'JPM St'!$C:$L,10,0),"")</f>
        <v/>
      </c>
      <c r="E334" s="500" t="str">
        <f>IFERROR(VLOOKUP(D334,'JPM St'!$C:$D,2,0),"")</f>
        <v/>
      </c>
      <c r="F334" s="501">
        <f t="shared" si="15"/>
        <v>0</v>
      </c>
      <c r="G334" s="501">
        <f>SUMIFS('JPM St'!$K:$K,'JPM St'!$A:$A,$V$2,'JPM St'!$C:$C,D334)</f>
        <v>0</v>
      </c>
      <c r="H334" s="501">
        <f>SUMIFS('JPM St'!$K:$K,'JPM St'!$A:$A,$V$3,'JPM St'!$C:$C,D334)</f>
        <v>0</v>
      </c>
      <c r="I334" s="501">
        <f>SUMIFS('JPM St'!$K:$K,'JPM St'!$A:$A,$V$4,'JPM St'!$C:$C,D334)</f>
        <v>0</v>
      </c>
      <c r="J334" s="619">
        <f t="shared" si="16"/>
        <v>0</v>
      </c>
      <c r="K334" s="501">
        <f>IFERROR(SUMIFS('JPM St'!$M:$M,'JPM St'!$A:$A,$V$2,'JPM St'!$C:$C,D334),"")</f>
        <v>0</v>
      </c>
      <c r="L334" s="501">
        <f>IFERROR(SUMIFS('JPM St'!$M:$M,'JPM St'!$A:$A,$V$3,'JPM St'!$C:$C,D334),"")</f>
        <v>0</v>
      </c>
      <c r="M334" s="501">
        <f>IFERROR(SUMIFS('JPM St'!$M:$M,'JPM St'!$A:$A,$V$4,'JPM St'!$C:$C,D334),"")</f>
        <v>0</v>
      </c>
    </row>
    <row r="335" spans="1:13" x14ac:dyDescent="0.25">
      <c r="A335" s="497" t="s">
        <v>90</v>
      </c>
      <c r="B335" s="497" t="str">
        <f>IFERROR(IF(VLOOKUP(D335,'JPM St'!$C:$G,3,0)="Fixed Income &amp; Cash","Cash",VLOOKUP(D335,'JPM St'!$C:$G,3,0)),"")</f>
        <v/>
      </c>
      <c r="C335" s="497" t="str">
        <f>IFERROR(VLOOKUP(D335,'JPM St'!$C:$L,10,0),"")</f>
        <v/>
      </c>
      <c r="E335" s="500" t="str">
        <f>IFERROR(VLOOKUP(D335,'JPM St'!$C:$D,2,0),"")</f>
        <v/>
      </c>
      <c r="F335" s="501">
        <f t="shared" si="15"/>
        <v>0</v>
      </c>
      <c r="G335" s="501">
        <f>SUMIFS('JPM St'!$K:$K,'JPM St'!$A:$A,$V$2,'JPM St'!$C:$C,D335)</f>
        <v>0</v>
      </c>
      <c r="H335" s="501">
        <f>SUMIFS('JPM St'!$K:$K,'JPM St'!$A:$A,$V$3,'JPM St'!$C:$C,D335)</f>
        <v>0</v>
      </c>
      <c r="I335" s="501">
        <f>SUMIFS('JPM St'!$K:$K,'JPM St'!$A:$A,$V$4,'JPM St'!$C:$C,D335)</f>
        <v>0</v>
      </c>
      <c r="J335" s="619">
        <f t="shared" si="16"/>
        <v>0</v>
      </c>
      <c r="K335" s="501">
        <f>IFERROR(SUMIFS('JPM St'!$M:$M,'JPM St'!$A:$A,$V$2,'JPM St'!$C:$C,D335),"")</f>
        <v>0</v>
      </c>
      <c r="L335" s="501">
        <f>IFERROR(SUMIFS('JPM St'!$M:$M,'JPM St'!$A:$A,$V$3,'JPM St'!$C:$C,D335),"")</f>
        <v>0</v>
      </c>
      <c r="M335" s="501">
        <f>IFERROR(SUMIFS('JPM St'!$M:$M,'JPM St'!$A:$A,$V$4,'JPM St'!$C:$C,D335),"")</f>
        <v>0</v>
      </c>
    </row>
    <row r="336" spans="1:13" x14ac:dyDescent="0.25">
      <c r="A336" s="497" t="s">
        <v>90</v>
      </c>
      <c r="B336" s="497" t="str">
        <f>IFERROR(IF(VLOOKUP(D336,'JPM St'!$C:$G,3,0)="Fixed Income &amp; Cash","Cash",VLOOKUP(D336,'JPM St'!$C:$G,3,0)),"")</f>
        <v/>
      </c>
      <c r="C336" s="497" t="str">
        <f>IFERROR(VLOOKUP(D336,'JPM St'!$C:$L,10,0),"")</f>
        <v/>
      </c>
      <c r="E336" s="500" t="str">
        <f>IFERROR(VLOOKUP(D336,'JPM St'!$C:$D,2,0),"")</f>
        <v/>
      </c>
      <c r="F336" s="501">
        <f t="shared" si="15"/>
        <v>0</v>
      </c>
      <c r="G336" s="501">
        <f>SUMIFS('JPM St'!$K:$K,'JPM St'!$A:$A,$V$2,'JPM St'!$C:$C,D336)</f>
        <v>0</v>
      </c>
      <c r="H336" s="501">
        <f>SUMIFS('JPM St'!$K:$K,'JPM St'!$A:$A,$V$3,'JPM St'!$C:$C,D336)</f>
        <v>0</v>
      </c>
      <c r="I336" s="501">
        <f>SUMIFS('JPM St'!$K:$K,'JPM St'!$A:$A,$V$4,'JPM St'!$C:$C,D336)</f>
        <v>0</v>
      </c>
      <c r="J336" s="619">
        <f t="shared" si="16"/>
        <v>0</v>
      </c>
      <c r="K336" s="501">
        <f>IFERROR(SUMIFS('JPM St'!$M:$M,'JPM St'!$A:$A,$V$2,'JPM St'!$C:$C,D336),"")</f>
        <v>0</v>
      </c>
      <c r="L336" s="501">
        <f>IFERROR(SUMIFS('JPM St'!$M:$M,'JPM St'!$A:$A,$V$3,'JPM St'!$C:$C,D336),"")</f>
        <v>0</v>
      </c>
      <c r="M336" s="501">
        <f>IFERROR(SUMIFS('JPM St'!$M:$M,'JPM St'!$A:$A,$V$4,'JPM St'!$C:$C,D336),"")</f>
        <v>0</v>
      </c>
    </row>
    <row r="337" spans="1:13" x14ac:dyDescent="0.25">
      <c r="A337" s="497" t="s">
        <v>90</v>
      </c>
      <c r="B337" s="497" t="str">
        <f>IFERROR(IF(VLOOKUP(D337,'JPM St'!$C:$G,3,0)="Fixed Income &amp; Cash","Cash",VLOOKUP(D337,'JPM St'!$C:$G,3,0)),"")</f>
        <v/>
      </c>
      <c r="C337" s="497" t="str">
        <f>IFERROR(VLOOKUP(D337,'JPM St'!$C:$L,10,0),"")</f>
        <v/>
      </c>
      <c r="E337" s="500" t="str">
        <f>IFERROR(VLOOKUP(D337,'JPM St'!$C:$D,2,0),"")</f>
        <v/>
      </c>
      <c r="F337" s="501">
        <f t="shared" si="15"/>
        <v>0</v>
      </c>
      <c r="G337" s="501">
        <f>SUMIFS('JPM St'!$K:$K,'JPM St'!$A:$A,$V$2,'JPM St'!$C:$C,D337)</f>
        <v>0</v>
      </c>
      <c r="H337" s="501">
        <f>SUMIFS('JPM St'!$K:$K,'JPM St'!$A:$A,$V$3,'JPM St'!$C:$C,D337)</f>
        <v>0</v>
      </c>
      <c r="I337" s="501">
        <f>SUMIFS('JPM St'!$K:$K,'JPM St'!$A:$A,$V$4,'JPM St'!$C:$C,D337)</f>
        <v>0</v>
      </c>
      <c r="J337" s="619">
        <f t="shared" si="16"/>
        <v>0</v>
      </c>
      <c r="K337" s="501">
        <f>IFERROR(SUMIFS('JPM St'!$M:$M,'JPM St'!$A:$A,$V$2,'JPM St'!$C:$C,D337),"")</f>
        <v>0</v>
      </c>
      <c r="L337" s="501">
        <f>IFERROR(SUMIFS('JPM St'!$M:$M,'JPM St'!$A:$A,$V$3,'JPM St'!$C:$C,D337),"")</f>
        <v>0</v>
      </c>
      <c r="M337" s="501">
        <f>IFERROR(SUMIFS('JPM St'!$M:$M,'JPM St'!$A:$A,$V$4,'JPM St'!$C:$C,D337),"")</f>
        <v>0</v>
      </c>
    </row>
    <row r="338" spans="1:13" x14ac:dyDescent="0.25">
      <c r="A338" s="497" t="s">
        <v>90</v>
      </c>
      <c r="B338" s="497" t="str">
        <f>IFERROR(IF(VLOOKUP(D338,'JPM St'!$C:$G,3,0)="Fixed Income &amp; Cash","Cash",VLOOKUP(D338,'JPM St'!$C:$G,3,0)),"")</f>
        <v/>
      </c>
      <c r="C338" s="497" t="str">
        <f>IFERROR(VLOOKUP(D338,'JPM St'!$C:$L,10,0),"")</f>
        <v/>
      </c>
      <c r="E338" s="500" t="str">
        <f>IFERROR(VLOOKUP(D338,'JPM St'!$C:$D,2,0),"")</f>
        <v/>
      </c>
      <c r="F338" s="501">
        <f t="shared" si="15"/>
        <v>0</v>
      </c>
      <c r="G338" s="501">
        <f>SUMIFS('JPM St'!$K:$K,'JPM St'!$A:$A,$V$2,'JPM St'!$C:$C,D338)</f>
        <v>0</v>
      </c>
      <c r="H338" s="501">
        <f>SUMIFS('JPM St'!$K:$K,'JPM St'!$A:$A,$V$3,'JPM St'!$C:$C,D338)</f>
        <v>0</v>
      </c>
      <c r="I338" s="501">
        <f>SUMIFS('JPM St'!$K:$K,'JPM St'!$A:$A,$V$4,'JPM St'!$C:$C,D338)</f>
        <v>0</v>
      </c>
      <c r="J338" s="619">
        <f t="shared" si="16"/>
        <v>0</v>
      </c>
      <c r="K338" s="501">
        <f>IFERROR(SUMIFS('JPM St'!$M:$M,'JPM St'!$A:$A,$V$2,'JPM St'!$C:$C,D338),"")</f>
        <v>0</v>
      </c>
      <c r="L338" s="501">
        <f>IFERROR(SUMIFS('JPM St'!$M:$M,'JPM St'!$A:$A,$V$3,'JPM St'!$C:$C,D338),"")</f>
        <v>0</v>
      </c>
      <c r="M338" s="501">
        <f>IFERROR(SUMIFS('JPM St'!$M:$M,'JPM St'!$A:$A,$V$4,'JPM St'!$C:$C,D338),"")</f>
        <v>0</v>
      </c>
    </row>
    <row r="339" spans="1:13" x14ac:dyDescent="0.25">
      <c r="A339" s="497" t="s">
        <v>90</v>
      </c>
      <c r="B339" s="497" t="str">
        <f>IFERROR(IF(VLOOKUP(D339,'JPM St'!$C:$G,3,0)="Fixed Income &amp; Cash","Cash",VLOOKUP(D339,'JPM St'!$C:$G,3,0)),"")</f>
        <v/>
      </c>
      <c r="C339" s="497" t="str">
        <f>IFERROR(VLOOKUP(D339,'JPM St'!$C:$L,10,0),"")</f>
        <v/>
      </c>
      <c r="E339" s="500" t="str">
        <f>IFERROR(VLOOKUP(D339,'JPM St'!$C:$D,2,0),"")</f>
        <v/>
      </c>
      <c r="F339" s="501">
        <f t="shared" si="15"/>
        <v>0</v>
      </c>
      <c r="G339" s="501">
        <f>SUMIFS('JPM St'!$K:$K,'JPM St'!$A:$A,$V$2,'JPM St'!$C:$C,D339)</f>
        <v>0</v>
      </c>
      <c r="H339" s="501">
        <f>SUMIFS('JPM St'!$K:$K,'JPM St'!$A:$A,$V$3,'JPM St'!$C:$C,D339)</f>
        <v>0</v>
      </c>
      <c r="I339" s="501">
        <f>SUMIFS('JPM St'!$K:$K,'JPM St'!$A:$A,$V$4,'JPM St'!$C:$C,D339)</f>
        <v>0</v>
      </c>
      <c r="J339" s="619">
        <f t="shared" si="16"/>
        <v>0</v>
      </c>
      <c r="K339" s="501">
        <f>IFERROR(SUMIFS('JPM St'!$M:$M,'JPM St'!$A:$A,$V$2,'JPM St'!$C:$C,D339),"")</f>
        <v>0</v>
      </c>
      <c r="L339" s="501">
        <f>IFERROR(SUMIFS('JPM St'!$M:$M,'JPM St'!$A:$A,$V$3,'JPM St'!$C:$C,D339),"")</f>
        <v>0</v>
      </c>
      <c r="M339" s="501">
        <f>IFERROR(SUMIFS('JPM St'!$M:$M,'JPM St'!$A:$A,$V$4,'JPM St'!$C:$C,D339),"")</f>
        <v>0</v>
      </c>
    </row>
    <row r="340" spans="1:13" x14ac:dyDescent="0.25">
      <c r="A340" s="497" t="s">
        <v>90</v>
      </c>
      <c r="B340" s="497" t="str">
        <f>IFERROR(IF(VLOOKUP(D340,'JPM St'!$C:$G,3,0)="Fixed Income &amp; Cash","Cash",VLOOKUP(D340,'JPM St'!$C:$G,3,0)),"")</f>
        <v/>
      </c>
      <c r="C340" s="497" t="str">
        <f>IFERROR(VLOOKUP(D340,'JPM St'!$C:$L,10,0),"")</f>
        <v/>
      </c>
      <c r="E340" s="500" t="str">
        <f>IFERROR(VLOOKUP(D340,'JPM St'!$C:$D,2,0),"")</f>
        <v/>
      </c>
      <c r="F340" s="501">
        <f t="shared" si="15"/>
        <v>0</v>
      </c>
      <c r="G340" s="501">
        <f>SUMIFS('JPM St'!$K:$K,'JPM St'!$A:$A,$V$2,'JPM St'!$C:$C,D340)</f>
        <v>0</v>
      </c>
      <c r="H340" s="501">
        <f>SUMIFS('JPM St'!$K:$K,'JPM St'!$A:$A,$V$3,'JPM St'!$C:$C,D340)</f>
        <v>0</v>
      </c>
      <c r="I340" s="501">
        <f>SUMIFS('JPM St'!$K:$K,'JPM St'!$A:$A,$V$4,'JPM St'!$C:$C,D340)</f>
        <v>0</v>
      </c>
      <c r="J340" s="619">
        <f t="shared" si="16"/>
        <v>0</v>
      </c>
      <c r="K340" s="501">
        <f>IFERROR(SUMIFS('JPM St'!$M:$M,'JPM St'!$A:$A,$V$2,'JPM St'!$C:$C,D340),"")</f>
        <v>0</v>
      </c>
      <c r="L340" s="501">
        <f>IFERROR(SUMIFS('JPM St'!$M:$M,'JPM St'!$A:$A,$V$3,'JPM St'!$C:$C,D340),"")</f>
        <v>0</v>
      </c>
      <c r="M340" s="501">
        <f>IFERROR(SUMIFS('JPM St'!$M:$M,'JPM St'!$A:$A,$V$4,'JPM St'!$C:$C,D340),"")</f>
        <v>0</v>
      </c>
    </row>
    <row r="341" spans="1:13" x14ac:dyDescent="0.25">
      <c r="A341" s="497" t="s">
        <v>90</v>
      </c>
      <c r="B341" s="497" t="str">
        <f>IFERROR(IF(VLOOKUP(D341,'JPM St'!$C:$G,3,0)="Fixed Income &amp; Cash","Cash",VLOOKUP(D341,'JPM St'!$C:$G,3,0)),"")</f>
        <v/>
      </c>
      <c r="C341" s="497" t="str">
        <f>IFERROR(VLOOKUP(D341,'JPM St'!$C:$L,10,0),"")</f>
        <v/>
      </c>
      <c r="E341" s="500" t="str">
        <f>IFERROR(VLOOKUP(D341,'JPM St'!$C:$D,2,0),"")</f>
        <v/>
      </c>
      <c r="F341" s="501">
        <f t="shared" si="15"/>
        <v>0</v>
      </c>
      <c r="G341" s="501">
        <f>SUMIFS('JPM St'!$K:$K,'JPM St'!$A:$A,$V$2,'JPM St'!$C:$C,D341)</f>
        <v>0</v>
      </c>
      <c r="H341" s="501">
        <f>SUMIFS('JPM St'!$K:$K,'JPM St'!$A:$A,$V$3,'JPM St'!$C:$C,D341)</f>
        <v>0</v>
      </c>
      <c r="I341" s="501">
        <f>SUMIFS('JPM St'!$K:$K,'JPM St'!$A:$A,$V$4,'JPM St'!$C:$C,D341)</f>
        <v>0</v>
      </c>
      <c r="J341" s="619">
        <f t="shared" si="16"/>
        <v>0</v>
      </c>
      <c r="K341" s="501">
        <f>IFERROR(SUMIFS('JPM St'!$M:$M,'JPM St'!$A:$A,$V$2,'JPM St'!$C:$C,D341),"")</f>
        <v>0</v>
      </c>
      <c r="L341" s="501">
        <f>IFERROR(SUMIFS('JPM St'!$M:$M,'JPM St'!$A:$A,$V$3,'JPM St'!$C:$C,D341),"")</f>
        <v>0</v>
      </c>
      <c r="M341" s="501">
        <f>IFERROR(SUMIFS('JPM St'!$M:$M,'JPM St'!$A:$A,$V$4,'JPM St'!$C:$C,D341),"")</f>
        <v>0</v>
      </c>
    </row>
    <row r="342" spans="1:13" x14ac:dyDescent="0.25">
      <c r="A342" s="497" t="s">
        <v>90</v>
      </c>
      <c r="B342" s="497" t="str">
        <f>IFERROR(IF(VLOOKUP(D342,'JPM St'!$C:$G,3,0)="Fixed Income &amp; Cash","Cash",VLOOKUP(D342,'JPM St'!$C:$G,3,0)),"")</f>
        <v/>
      </c>
      <c r="C342" s="497" t="str">
        <f>IFERROR(VLOOKUP(D342,'JPM St'!$C:$L,10,0),"")</f>
        <v/>
      </c>
      <c r="E342" s="500" t="str">
        <f>IFERROR(VLOOKUP(D342,'JPM St'!$C:$D,2,0),"")</f>
        <v/>
      </c>
      <c r="F342" s="501">
        <f t="shared" si="15"/>
        <v>0</v>
      </c>
      <c r="G342" s="501">
        <f>SUMIFS('JPM St'!$K:$K,'JPM St'!$A:$A,$V$2,'JPM St'!$C:$C,D342)</f>
        <v>0</v>
      </c>
      <c r="H342" s="501">
        <f>SUMIFS('JPM St'!$K:$K,'JPM St'!$A:$A,$V$3,'JPM St'!$C:$C,D342)</f>
        <v>0</v>
      </c>
      <c r="I342" s="501">
        <f>SUMIFS('JPM St'!$K:$K,'JPM St'!$A:$A,$V$4,'JPM St'!$C:$C,D342)</f>
        <v>0</v>
      </c>
      <c r="J342" s="619">
        <f t="shared" si="16"/>
        <v>0</v>
      </c>
      <c r="K342" s="501">
        <f>IFERROR(SUMIFS('JPM St'!$M:$M,'JPM St'!$A:$A,$V$2,'JPM St'!$C:$C,D342),"")</f>
        <v>0</v>
      </c>
      <c r="L342" s="501">
        <f>IFERROR(SUMIFS('JPM St'!$M:$M,'JPM St'!$A:$A,$V$3,'JPM St'!$C:$C,D342),"")</f>
        <v>0</v>
      </c>
      <c r="M342" s="501">
        <f>IFERROR(SUMIFS('JPM St'!$M:$M,'JPM St'!$A:$A,$V$4,'JPM St'!$C:$C,D342),"")</f>
        <v>0</v>
      </c>
    </row>
    <row r="343" spans="1:13" x14ac:dyDescent="0.25">
      <c r="A343" s="497" t="s">
        <v>90</v>
      </c>
      <c r="B343" s="497" t="str">
        <f>IFERROR(IF(VLOOKUP(D343,'JPM St'!$C:$G,3,0)="Fixed Income &amp; Cash","Cash",VLOOKUP(D343,'JPM St'!$C:$G,3,0)),"")</f>
        <v/>
      </c>
      <c r="C343" s="497" t="str">
        <f>IFERROR(VLOOKUP(D343,'JPM St'!$C:$L,10,0),"")</f>
        <v/>
      </c>
      <c r="E343" s="500" t="str">
        <f>IFERROR(VLOOKUP(D343,'JPM St'!$C:$D,2,0),"")</f>
        <v/>
      </c>
      <c r="F343" s="501">
        <f t="shared" si="15"/>
        <v>0</v>
      </c>
      <c r="G343" s="501">
        <f>SUMIFS('JPM St'!$K:$K,'JPM St'!$A:$A,$V$2,'JPM St'!$C:$C,D343)</f>
        <v>0</v>
      </c>
      <c r="H343" s="501">
        <f>SUMIFS('JPM St'!$K:$K,'JPM St'!$A:$A,$V$3,'JPM St'!$C:$C,D343)</f>
        <v>0</v>
      </c>
      <c r="I343" s="501">
        <f>SUMIFS('JPM St'!$K:$K,'JPM St'!$A:$A,$V$4,'JPM St'!$C:$C,D343)</f>
        <v>0</v>
      </c>
      <c r="J343" s="619">
        <f t="shared" si="16"/>
        <v>0</v>
      </c>
      <c r="K343" s="501">
        <f>IFERROR(SUMIFS('JPM St'!$M:$M,'JPM St'!$A:$A,$V$2,'JPM St'!$C:$C,D343),"")</f>
        <v>0</v>
      </c>
      <c r="L343" s="501">
        <f>IFERROR(SUMIFS('JPM St'!$M:$M,'JPM St'!$A:$A,$V$3,'JPM St'!$C:$C,D343),"")</f>
        <v>0</v>
      </c>
      <c r="M343" s="501">
        <f>IFERROR(SUMIFS('JPM St'!$M:$M,'JPM St'!$A:$A,$V$4,'JPM St'!$C:$C,D343),"")</f>
        <v>0</v>
      </c>
    </row>
    <row r="344" spans="1:13" x14ac:dyDescent="0.25">
      <c r="A344" s="497" t="s">
        <v>90</v>
      </c>
      <c r="B344" s="497" t="str">
        <f>IFERROR(IF(VLOOKUP(D344,'JPM St'!$C:$G,3,0)="Fixed Income &amp; Cash","Cash",VLOOKUP(D344,'JPM St'!$C:$G,3,0)),"")</f>
        <v/>
      </c>
      <c r="C344" s="497" t="str">
        <f>IFERROR(VLOOKUP(D344,'JPM St'!$C:$L,10,0),"")</f>
        <v/>
      </c>
      <c r="E344" s="500" t="str">
        <f>IFERROR(VLOOKUP(D344,'JPM St'!$C:$D,2,0),"")</f>
        <v/>
      </c>
      <c r="F344" s="501">
        <f t="shared" si="15"/>
        <v>0</v>
      </c>
      <c r="G344" s="501">
        <f>SUMIFS('JPM St'!$K:$K,'JPM St'!$A:$A,$V$2,'JPM St'!$C:$C,D344)</f>
        <v>0</v>
      </c>
      <c r="H344" s="501">
        <f>SUMIFS('JPM St'!$K:$K,'JPM St'!$A:$A,$V$3,'JPM St'!$C:$C,D344)</f>
        <v>0</v>
      </c>
      <c r="I344" s="501">
        <f>SUMIFS('JPM St'!$K:$K,'JPM St'!$A:$A,$V$4,'JPM St'!$C:$C,D344)</f>
        <v>0</v>
      </c>
      <c r="J344" s="619">
        <f t="shared" si="16"/>
        <v>0</v>
      </c>
      <c r="K344" s="501">
        <f>IFERROR(SUMIFS('JPM St'!$M:$M,'JPM St'!$A:$A,$V$2,'JPM St'!$C:$C,D344),"")</f>
        <v>0</v>
      </c>
      <c r="L344" s="501">
        <f>IFERROR(SUMIFS('JPM St'!$M:$M,'JPM St'!$A:$A,$V$3,'JPM St'!$C:$C,D344),"")</f>
        <v>0</v>
      </c>
      <c r="M344" s="501">
        <f>IFERROR(SUMIFS('JPM St'!$M:$M,'JPM St'!$A:$A,$V$4,'JPM St'!$C:$C,D344),"")</f>
        <v>0</v>
      </c>
    </row>
    <row r="345" spans="1:13" x14ac:dyDescent="0.25">
      <c r="A345" s="497" t="s">
        <v>90</v>
      </c>
      <c r="B345" s="497" t="str">
        <f>IFERROR(IF(VLOOKUP(D345,'JPM St'!$C:$G,3,0)="Fixed Income &amp; Cash","Cash",VLOOKUP(D345,'JPM St'!$C:$G,3,0)),"")</f>
        <v/>
      </c>
      <c r="C345" s="497" t="str">
        <f>IFERROR(VLOOKUP(D345,'JPM St'!$C:$L,10,0),"")</f>
        <v/>
      </c>
      <c r="E345" s="500" t="str">
        <f>IFERROR(VLOOKUP(D345,'JPM St'!$C:$D,2,0),"")</f>
        <v/>
      </c>
      <c r="F345" s="501">
        <f t="shared" si="15"/>
        <v>0</v>
      </c>
      <c r="G345" s="501">
        <f>SUMIFS('JPM St'!$K:$K,'JPM St'!$A:$A,$V$2,'JPM St'!$C:$C,D345)</f>
        <v>0</v>
      </c>
      <c r="H345" s="501">
        <f>SUMIFS('JPM St'!$K:$K,'JPM St'!$A:$A,$V$3,'JPM St'!$C:$C,D345)</f>
        <v>0</v>
      </c>
      <c r="I345" s="501">
        <f>SUMIFS('JPM St'!$K:$K,'JPM St'!$A:$A,$V$4,'JPM St'!$C:$C,D345)</f>
        <v>0</v>
      </c>
      <c r="J345" s="619">
        <f t="shared" si="16"/>
        <v>0</v>
      </c>
      <c r="K345" s="501">
        <f>IFERROR(SUMIFS('JPM St'!$M:$M,'JPM St'!$A:$A,$V$2,'JPM St'!$C:$C,D345),"")</f>
        <v>0</v>
      </c>
      <c r="L345" s="501">
        <f>IFERROR(SUMIFS('JPM St'!$M:$M,'JPM St'!$A:$A,$V$3,'JPM St'!$C:$C,D345),"")</f>
        <v>0</v>
      </c>
      <c r="M345" s="501">
        <f>IFERROR(SUMIFS('JPM St'!$M:$M,'JPM St'!$A:$A,$V$4,'JPM St'!$C:$C,D345),"")</f>
        <v>0</v>
      </c>
    </row>
    <row r="346" spans="1:13" x14ac:dyDescent="0.25">
      <c r="A346" s="497" t="s">
        <v>90</v>
      </c>
      <c r="B346" s="497" t="str">
        <f>IFERROR(IF(VLOOKUP(D346,'JPM St'!$C:$G,3,0)="Fixed Income &amp; Cash","Cash",VLOOKUP(D346,'JPM St'!$C:$G,3,0)),"")</f>
        <v/>
      </c>
      <c r="C346" s="497" t="str">
        <f>IFERROR(VLOOKUP(D346,'JPM St'!$C:$L,10,0),"")</f>
        <v/>
      </c>
      <c r="E346" s="500" t="str">
        <f>IFERROR(VLOOKUP(D346,'JPM St'!$C:$D,2,0),"")</f>
        <v/>
      </c>
      <c r="F346" s="501">
        <f t="shared" si="15"/>
        <v>0</v>
      </c>
      <c r="G346" s="501">
        <f>SUMIFS('JPM St'!$K:$K,'JPM St'!$A:$A,$V$2,'JPM St'!$C:$C,D346)</f>
        <v>0</v>
      </c>
      <c r="H346" s="501">
        <f>SUMIFS('JPM St'!$K:$K,'JPM St'!$A:$A,$V$3,'JPM St'!$C:$C,D346)</f>
        <v>0</v>
      </c>
      <c r="I346" s="501">
        <f>SUMIFS('JPM St'!$K:$K,'JPM St'!$A:$A,$V$4,'JPM St'!$C:$C,D346)</f>
        <v>0</v>
      </c>
      <c r="J346" s="619">
        <f t="shared" si="16"/>
        <v>0</v>
      </c>
      <c r="K346" s="501">
        <f>IFERROR(SUMIFS('JPM St'!$M:$M,'JPM St'!$A:$A,$V$2,'JPM St'!$C:$C,D346),"")</f>
        <v>0</v>
      </c>
      <c r="L346" s="501">
        <f>IFERROR(SUMIFS('JPM St'!$M:$M,'JPM St'!$A:$A,$V$3,'JPM St'!$C:$C,D346),"")</f>
        <v>0</v>
      </c>
      <c r="M346" s="501">
        <f>IFERROR(SUMIFS('JPM St'!$M:$M,'JPM St'!$A:$A,$V$4,'JPM St'!$C:$C,D346),"")</f>
        <v>0</v>
      </c>
    </row>
    <row r="347" spans="1:13" x14ac:dyDescent="0.25">
      <c r="A347" s="497" t="s">
        <v>90</v>
      </c>
      <c r="B347" s="497" t="str">
        <f>IFERROR(IF(VLOOKUP(D347,'JPM St'!$C:$G,3,0)="Fixed Income &amp; Cash","Cash",VLOOKUP(D347,'JPM St'!$C:$G,3,0)),"")</f>
        <v/>
      </c>
      <c r="C347" s="497" t="str">
        <f>IFERROR(VLOOKUP(D347,'JPM St'!$C:$L,10,0),"")</f>
        <v/>
      </c>
      <c r="E347" s="500" t="str">
        <f>IFERROR(VLOOKUP(D347,'JPM St'!$C:$D,2,0),"")</f>
        <v/>
      </c>
      <c r="F347" s="501">
        <f t="shared" si="15"/>
        <v>0</v>
      </c>
      <c r="G347" s="501">
        <f>SUMIFS('JPM St'!$K:$K,'JPM St'!$A:$A,$V$2,'JPM St'!$C:$C,D347)</f>
        <v>0</v>
      </c>
      <c r="H347" s="501">
        <f>SUMIFS('JPM St'!$K:$K,'JPM St'!$A:$A,$V$3,'JPM St'!$C:$C,D347)</f>
        <v>0</v>
      </c>
      <c r="I347" s="501">
        <f>SUMIFS('JPM St'!$K:$K,'JPM St'!$A:$A,$V$4,'JPM St'!$C:$C,D347)</f>
        <v>0</v>
      </c>
      <c r="J347" s="619">
        <f t="shared" si="16"/>
        <v>0</v>
      </c>
      <c r="K347" s="501">
        <f>IFERROR(SUMIFS('JPM St'!$M:$M,'JPM St'!$A:$A,$V$2,'JPM St'!$C:$C,D347),"")</f>
        <v>0</v>
      </c>
      <c r="L347" s="501">
        <f>IFERROR(SUMIFS('JPM St'!$M:$M,'JPM St'!$A:$A,$V$3,'JPM St'!$C:$C,D347),"")</f>
        <v>0</v>
      </c>
      <c r="M347" s="501">
        <f>IFERROR(SUMIFS('JPM St'!$M:$M,'JPM St'!$A:$A,$V$4,'JPM St'!$C:$C,D347),"")</f>
        <v>0</v>
      </c>
    </row>
    <row r="348" spans="1:13" x14ac:dyDescent="0.25">
      <c r="A348" s="497" t="s">
        <v>90</v>
      </c>
      <c r="B348" s="497" t="str">
        <f>IFERROR(IF(VLOOKUP(D348,'JPM St'!$C:$G,3,0)="Fixed Income &amp; Cash","Cash",VLOOKUP(D348,'JPM St'!$C:$G,3,0)),"")</f>
        <v/>
      </c>
      <c r="C348" s="497" t="str">
        <f>IFERROR(VLOOKUP(D348,'JPM St'!$C:$L,10,0),"")</f>
        <v/>
      </c>
      <c r="E348" s="500" t="str">
        <f>IFERROR(VLOOKUP(D348,'JPM St'!$C:$D,2,0),"")</f>
        <v/>
      </c>
      <c r="F348" s="501">
        <f t="shared" si="15"/>
        <v>0</v>
      </c>
      <c r="G348" s="501">
        <f>SUMIFS('JPM St'!$K:$K,'JPM St'!$A:$A,$V$2,'JPM St'!$C:$C,D348)</f>
        <v>0</v>
      </c>
      <c r="H348" s="501">
        <f>SUMIFS('JPM St'!$K:$K,'JPM St'!$A:$A,$V$3,'JPM St'!$C:$C,D348)</f>
        <v>0</v>
      </c>
      <c r="I348" s="501">
        <f>SUMIFS('JPM St'!$K:$K,'JPM St'!$A:$A,$V$4,'JPM St'!$C:$C,D348)</f>
        <v>0</v>
      </c>
      <c r="J348" s="619">
        <f t="shared" si="16"/>
        <v>0</v>
      </c>
      <c r="K348" s="501">
        <f>IFERROR(SUMIFS('JPM St'!$M:$M,'JPM St'!$A:$A,$V$2,'JPM St'!$C:$C,D348),"")</f>
        <v>0</v>
      </c>
      <c r="L348" s="501">
        <f>IFERROR(SUMIFS('JPM St'!$M:$M,'JPM St'!$A:$A,$V$3,'JPM St'!$C:$C,D348),"")</f>
        <v>0</v>
      </c>
      <c r="M348" s="501">
        <f>IFERROR(SUMIFS('JPM St'!$M:$M,'JPM St'!$A:$A,$V$4,'JPM St'!$C:$C,D348),"")</f>
        <v>0</v>
      </c>
    </row>
    <row r="349" spans="1:13" x14ac:dyDescent="0.25">
      <c r="A349" s="497" t="s">
        <v>90</v>
      </c>
      <c r="B349" s="497" t="str">
        <f>IFERROR(IF(VLOOKUP(D349,'JPM St'!$C:$G,3,0)="Fixed Income &amp; Cash","Cash",VLOOKUP(D349,'JPM St'!$C:$G,3,0)),"")</f>
        <v/>
      </c>
      <c r="C349" s="497" t="str">
        <f>IFERROR(VLOOKUP(D349,'JPM St'!$C:$L,10,0),"")</f>
        <v/>
      </c>
      <c r="E349" s="500" t="str">
        <f>IFERROR(VLOOKUP(D349,'JPM St'!$C:$D,2,0),"")</f>
        <v/>
      </c>
      <c r="F349" s="501">
        <f t="shared" si="15"/>
        <v>0</v>
      </c>
      <c r="G349" s="501">
        <f>SUMIFS('JPM St'!$K:$K,'JPM St'!$A:$A,$V$2,'JPM St'!$C:$C,D349)</f>
        <v>0</v>
      </c>
      <c r="H349" s="501">
        <f>SUMIFS('JPM St'!$K:$K,'JPM St'!$A:$A,$V$3,'JPM St'!$C:$C,D349)</f>
        <v>0</v>
      </c>
      <c r="I349" s="501">
        <f>SUMIFS('JPM St'!$K:$K,'JPM St'!$A:$A,$V$4,'JPM St'!$C:$C,D349)</f>
        <v>0</v>
      </c>
      <c r="J349" s="619">
        <f t="shared" si="16"/>
        <v>0</v>
      </c>
      <c r="K349" s="501">
        <f>IFERROR(SUMIFS('JPM St'!$M:$M,'JPM St'!$A:$A,$V$2,'JPM St'!$C:$C,D349),"")</f>
        <v>0</v>
      </c>
      <c r="L349" s="501">
        <f>IFERROR(SUMIFS('JPM St'!$M:$M,'JPM St'!$A:$A,$V$3,'JPM St'!$C:$C,D349),"")</f>
        <v>0</v>
      </c>
      <c r="M349" s="501">
        <f>IFERROR(SUMIFS('JPM St'!$M:$M,'JPM St'!$A:$A,$V$4,'JPM St'!$C:$C,D349),"")</f>
        <v>0</v>
      </c>
    </row>
    <row r="350" spans="1:13" x14ac:dyDescent="0.25">
      <c r="A350" s="497" t="s">
        <v>90</v>
      </c>
      <c r="B350" s="497" t="str">
        <f>IFERROR(IF(VLOOKUP(D350,'JPM St'!$C:$G,3,0)="Fixed Income &amp; Cash","Cash",VLOOKUP(D350,'JPM St'!$C:$G,3,0)),"")</f>
        <v/>
      </c>
      <c r="C350" s="497" t="str">
        <f>IFERROR(VLOOKUP(D350,'JPM St'!$C:$L,10,0),"")</f>
        <v/>
      </c>
      <c r="E350" s="500" t="str">
        <f>IFERROR(VLOOKUP(D350,'JPM St'!$C:$D,2,0),"")</f>
        <v/>
      </c>
      <c r="F350" s="501">
        <f t="shared" si="15"/>
        <v>0</v>
      </c>
      <c r="G350" s="501">
        <f>SUMIFS('JPM St'!$K:$K,'JPM St'!$A:$A,$V$2,'JPM St'!$C:$C,D350)</f>
        <v>0</v>
      </c>
      <c r="H350" s="501">
        <f>SUMIFS('JPM St'!$K:$K,'JPM St'!$A:$A,$V$3,'JPM St'!$C:$C,D350)</f>
        <v>0</v>
      </c>
      <c r="I350" s="501">
        <f>SUMIFS('JPM St'!$K:$K,'JPM St'!$A:$A,$V$4,'JPM St'!$C:$C,D350)</f>
        <v>0</v>
      </c>
      <c r="J350" s="619">
        <f t="shared" si="16"/>
        <v>0</v>
      </c>
      <c r="K350" s="501">
        <f>IFERROR(SUMIFS('JPM St'!$M:$M,'JPM St'!$A:$A,$V$2,'JPM St'!$C:$C,D350),"")</f>
        <v>0</v>
      </c>
      <c r="L350" s="501">
        <f>IFERROR(SUMIFS('JPM St'!$M:$M,'JPM St'!$A:$A,$V$3,'JPM St'!$C:$C,D350),"")</f>
        <v>0</v>
      </c>
      <c r="M350" s="501">
        <f>IFERROR(SUMIFS('JPM St'!$M:$M,'JPM St'!$A:$A,$V$4,'JPM St'!$C:$C,D350),"")</f>
        <v>0</v>
      </c>
    </row>
    <row r="351" spans="1:13" x14ac:dyDescent="0.25">
      <c r="A351" s="497" t="s">
        <v>90</v>
      </c>
      <c r="B351" s="497" t="str">
        <f>IFERROR(IF(VLOOKUP(D351,'JPM St'!$C:$G,3,0)="Fixed Income &amp; Cash","Cash",VLOOKUP(D351,'JPM St'!$C:$G,3,0)),"")</f>
        <v/>
      </c>
      <c r="C351" s="497" t="str">
        <f>IFERROR(VLOOKUP(D351,'JPM St'!$C:$L,10,0),"")</f>
        <v/>
      </c>
      <c r="E351" s="500" t="str">
        <f>IFERROR(VLOOKUP(D351,'JPM St'!$C:$D,2,0),"")</f>
        <v/>
      </c>
      <c r="F351" s="501">
        <f t="shared" si="15"/>
        <v>0</v>
      </c>
      <c r="G351" s="501">
        <f>SUMIFS('JPM St'!$K:$K,'JPM St'!$A:$A,$V$2,'JPM St'!$C:$C,D351)</f>
        <v>0</v>
      </c>
      <c r="H351" s="501">
        <f>SUMIFS('JPM St'!$K:$K,'JPM St'!$A:$A,$V$3,'JPM St'!$C:$C,D351)</f>
        <v>0</v>
      </c>
      <c r="I351" s="501">
        <f>SUMIFS('JPM St'!$K:$K,'JPM St'!$A:$A,$V$4,'JPM St'!$C:$C,D351)</f>
        <v>0</v>
      </c>
      <c r="J351" s="619">
        <f t="shared" si="16"/>
        <v>0</v>
      </c>
      <c r="K351" s="501">
        <f>IFERROR(SUMIFS('JPM St'!$M:$M,'JPM St'!$A:$A,$V$2,'JPM St'!$C:$C,D351),"")</f>
        <v>0</v>
      </c>
      <c r="L351" s="501">
        <f>IFERROR(SUMIFS('JPM St'!$M:$M,'JPM St'!$A:$A,$V$3,'JPM St'!$C:$C,D351),"")</f>
        <v>0</v>
      </c>
      <c r="M351" s="501">
        <f>IFERROR(SUMIFS('JPM St'!$M:$M,'JPM St'!$A:$A,$V$4,'JPM St'!$C:$C,D351),"")</f>
        <v>0</v>
      </c>
    </row>
    <row r="352" spans="1:13" x14ac:dyDescent="0.25">
      <c r="A352" s="497" t="s">
        <v>90</v>
      </c>
      <c r="B352" s="497" t="str">
        <f>IFERROR(IF(VLOOKUP(D352,'JPM St'!$C:$G,3,0)="Fixed Income &amp; Cash","Cash",VLOOKUP(D352,'JPM St'!$C:$G,3,0)),"")</f>
        <v/>
      </c>
      <c r="C352" s="497" t="str">
        <f>IFERROR(VLOOKUP(D352,'JPM St'!$C:$L,10,0),"")</f>
        <v/>
      </c>
      <c r="E352" s="500" t="str">
        <f>IFERROR(VLOOKUP(D352,'JPM St'!$C:$D,2,0),"")</f>
        <v/>
      </c>
      <c r="F352" s="501">
        <f t="shared" si="15"/>
        <v>0</v>
      </c>
      <c r="G352" s="501">
        <f>SUMIFS('JPM St'!$K:$K,'JPM St'!$A:$A,$V$2,'JPM St'!$C:$C,D352)</f>
        <v>0</v>
      </c>
      <c r="H352" s="501">
        <f>SUMIFS('JPM St'!$K:$K,'JPM St'!$A:$A,$V$3,'JPM St'!$C:$C,D352)</f>
        <v>0</v>
      </c>
      <c r="I352" s="501">
        <f>SUMIFS('JPM St'!$K:$K,'JPM St'!$A:$A,$V$4,'JPM St'!$C:$C,D352)</f>
        <v>0</v>
      </c>
      <c r="J352" s="619">
        <f t="shared" si="16"/>
        <v>0</v>
      </c>
      <c r="K352" s="501">
        <f>IFERROR(SUMIFS('JPM St'!$M:$M,'JPM St'!$A:$A,$V$2,'JPM St'!$C:$C,D352),"")</f>
        <v>0</v>
      </c>
      <c r="L352" s="501">
        <f>IFERROR(SUMIFS('JPM St'!$M:$M,'JPM St'!$A:$A,$V$3,'JPM St'!$C:$C,D352),"")</f>
        <v>0</v>
      </c>
      <c r="M352" s="501">
        <f>IFERROR(SUMIFS('JPM St'!$M:$M,'JPM St'!$A:$A,$V$4,'JPM St'!$C:$C,D352),"")</f>
        <v>0</v>
      </c>
    </row>
    <row r="353" spans="1:13" x14ac:dyDescent="0.25">
      <c r="A353" s="497" t="s">
        <v>90</v>
      </c>
      <c r="B353" s="497" t="str">
        <f>IFERROR(IF(VLOOKUP(D353,'JPM St'!$C:$G,3,0)="Fixed Income &amp; Cash","Cash",VLOOKUP(D353,'JPM St'!$C:$G,3,0)),"")</f>
        <v/>
      </c>
      <c r="C353" s="497" t="str">
        <f>IFERROR(VLOOKUP(D353,'JPM St'!$C:$L,10,0),"")</f>
        <v/>
      </c>
      <c r="E353" s="500" t="str">
        <f>IFERROR(VLOOKUP(D353,'JPM St'!$C:$D,2,0),"")</f>
        <v/>
      </c>
      <c r="F353" s="501">
        <f t="shared" si="15"/>
        <v>0</v>
      </c>
      <c r="G353" s="501">
        <f>SUMIFS('JPM St'!$K:$K,'JPM St'!$A:$A,$V$2,'JPM St'!$C:$C,D353)</f>
        <v>0</v>
      </c>
      <c r="H353" s="501">
        <f>SUMIFS('JPM St'!$K:$K,'JPM St'!$A:$A,$V$3,'JPM St'!$C:$C,D353)</f>
        <v>0</v>
      </c>
      <c r="I353" s="501">
        <f>SUMIFS('JPM St'!$K:$K,'JPM St'!$A:$A,$V$4,'JPM St'!$C:$C,D353)</f>
        <v>0</v>
      </c>
      <c r="J353" s="619">
        <f t="shared" si="16"/>
        <v>0</v>
      </c>
      <c r="K353" s="501">
        <f>IFERROR(SUMIFS('JPM St'!$M:$M,'JPM St'!$A:$A,$V$2,'JPM St'!$C:$C,D353),"")</f>
        <v>0</v>
      </c>
      <c r="L353" s="501">
        <f>IFERROR(SUMIFS('JPM St'!$M:$M,'JPM St'!$A:$A,$V$3,'JPM St'!$C:$C,D353),"")</f>
        <v>0</v>
      </c>
      <c r="M353" s="501">
        <f>IFERROR(SUMIFS('JPM St'!$M:$M,'JPM St'!$A:$A,$V$4,'JPM St'!$C:$C,D353),"")</f>
        <v>0</v>
      </c>
    </row>
    <row r="354" spans="1:13" x14ac:dyDescent="0.25">
      <c r="A354" s="497" t="s">
        <v>90</v>
      </c>
      <c r="B354" s="497" t="str">
        <f>IFERROR(IF(VLOOKUP(D354,'JPM St'!$C:$G,3,0)="Fixed Income &amp; Cash","Cash",VLOOKUP(D354,'JPM St'!$C:$G,3,0)),"")</f>
        <v/>
      </c>
      <c r="C354" s="497" t="str">
        <f>IFERROR(VLOOKUP(D354,'JPM St'!$C:$L,10,0),"")</f>
        <v/>
      </c>
      <c r="E354" s="500" t="str">
        <f>IFERROR(VLOOKUP(D354,'JPM St'!$C:$D,2,0),"")</f>
        <v/>
      </c>
      <c r="F354" s="501">
        <f t="shared" si="15"/>
        <v>0</v>
      </c>
      <c r="G354" s="501">
        <f>SUMIFS('JPM St'!$K:$K,'JPM St'!$A:$A,$V$2,'JPM St'!$C:$C,D354)</f>
        <v>0</v>
      </c>
      <c r="H354" s="501">
        <f>SUMIFS('JPM St'!$K:$K,'JPM St'!$A:$A,$V$3,'JPM St'!$C:$C,D354)</f>
        <v>0</v>
      </c>
      <c r="I354" s="501">
        <f>SUMIFS('JPM St'!$K:$K,'JPM St'!$A:$A,$V$4,'JPM St'!$C:$C,D354)</f>
        <v>0</v>
      </c>
      <c r="J354" s="619">
        <f t="shared" si="16"/>
        <v>0</v>
      </c>
      <c r="K354" s="501">
        <f>IFERROR(SUMIFS('JPM St'!$M:$M,'JPM St'!$A:$A,$V$2,'JPM St'!$C:$C,D354),"")</f>
        <v>0</v>
      </c>
      <c r="L354" s="501">
        <f>IFERROR(SUMIFS('JPM St'!$M:$M,'JPM St'!$A:$A,$V$3,'JPM St'!$C:$C,D354),"")</f>
        <v>0</v>
      </c>
      <c r="M354" s="501">
        <f>IFERROR(SUMIFS('JPM St'!$M:$M,'JPM St'!$A:$A,$V$4,'JPM St'!$C:$C,D354),"")</f>
        <v>0</v>
      </c>
    </row>
    <row r="355" spans="1:13" x14ac:dyDescent="0.25">
      <c r="A355" s="497" t="s">
        <v>90</v>
      </c>
      <c r="B355" s="497" t="str">
        <f>IFERROR(IF(VLOOKUP(D355,'JPM St'!$C:$G,3,0)="Fixed Income &amp; Cash","Cash",VLOOKUP(D355,'JPM St'!$C:$G,3,0)),"")</f>
        <v/>
      </c>
      <c r="C355" s="497" t="str">
        <f>IFERROR(VLOOKUP(D355,'JPM St'!$C:$L,10,0),"")</f>
        <v/>
      </c>
      <c r="E355" s="500" t="str">
        <f>IFERROR(VLOOKUP(D355,'JPM St'!$C:$D,2,0),"")</f>
        <v/>
      </c>
      <c r="F355" s="501">
        <f t="shared" si="15"/>
        <v>0</v>
      </c>
      <c r="G355" s="501">
        <f>SUMIFS('JPM St'!$K:$K,'JPM St'!$A:$A,$V$2,'JPM St'!$C:$C,D355)</f>
        <v>0</v>
      </c>
      <c r="H355" s="501">
        <f>SUMIFS('JPM St'!$K:$K,'JPM St'!$A:$A,$V$3,'JPM St'!$C:$C,D355)</f>
        <v>0</v>
      </c>
      <c r="I355" s="501">
        <f>SUMIFS('JPM St'!$K:$K,'JPM St'!$A:$A,$V$4,'JPM St'!$C:$C,D355)</f>
        <v>0</v>
      </c>
      <c r="J355" s="619">
        <f t="shared" si="16"/>
        <v>0</v>
      </c>
      <c r="K355" s="501">
        <f>IFERROR(SUMIFS('JPM St'!$M:$M,'JPM St'!$A:$A,$V$2,'JPM St'!$C:$C,D355),"")</f>
        <v>0</v>
      </c>
      <c r="L355" s="501">
        <f>IFERROR(SUMIFS('JPM St'!$M:$M,'JPM St'!$A:$A,$V$3,'JPM St'!$C:$C,D355),"")</f>
        <v>0</v>
      </c>
      <c r="M355" s="501">
        <f>IFERROR(SUMIFS('JPM St'!$M:$M,'JPM St'!$A:$A,$V$4,'JPM St'!$C:$C,D355),"")</f>
        <v>0</v>
      </c>
    </row>
    <row r="356" spans="1:13" x14ac:dyDescent="0.25">
      <c r="A356" s="497" t="s">
        <v>90</v>
      </c>
      <c r="B356" s="497" t="str">
        <f>IFERROR(IF(VLOOKUP(D356,'JPM St'!$C:$G,3,0)="Fixed Income &amp; Cash","Cash",VLOOKUP(D356,'JPM St'!$C:$G,3,0)),"")</f>
        <v/>
      </c>
      <c r="C356" s="497" t="str">
        <f>IFERROR(VLOOKUP(D356,'JPM St'!$C:$L,10,0),"")</f>
        <v/>
      </c>
      <c r="E356" s="500" t="str">
        <f>IFERROR(VLOOKUP(D356,'JPM St'!$C:$D,2,0),"")</f>
        <v/>
      </c>
      <c r="F356" s="501">
        <f t="shared" si="15"/>
        <v>0</v>
      </c>
      <c r="G356" s="501">
        <f>SUMIFS('JPM St'!$K:$K,'JPM St'!$A:$A,$V$2,'JPM St'!$C:$C,D356)</f>
        <v>0</v>
      </c>
      <c r="H356" s="501">
        <f>SUMIFS('JPM St'!$K:$K,'JPM St'!$A:$A,$V$3,'JPM St'!$C:$C,D356)</f>
        <v>0</v>
      </c>
      <c r="I356" s="501">
        <f>SUMIFS('JPM St'!$K:$K,'JPM St'!$A:$A,$V$4,'JPM St'!$C:$C,D356)</f>
        <v>0</v>
      </c>
      <c r="J356" s="619">
        <f t="shared" si="16"/>
        <v>0</v>
      </c>
      <c r="K356" s="501">
        <f>IFERROR(SUMIFS('JPM St'!$M:$M,'JPM St'!$A:$A,$V$2,'JPM St'!$C:$C,D356),"")</f>
        <v>0</v>
      </c>
      <c r="L356" s="501">
        <f>IFERROR(SUMIFS('JPM St'!$M:$M,'JPM St'!$A:$A,$V$3,'JPM St'!$C:$C,D356),"")</f>
        <v>0</v>
      </c>
      <c r="M356" s="501">
        <f>IFERROR(SUMIFS('JPM St'!$M:$M,'JPM St'!$A:$A,$V$4,'JPM St'!$C:$C,D356),"")</f>
        <v>0</v>
      </c>
    </row>
    <row r="357" spans="1:13" x14ac:dyDescent="0.25">
      <c r="A357" s="497" t="s">
        <v>90</v>
      </c>
      <c r="B357" s="497" t="str">
        <f>IFERROR(IF(VLOOKUP(D357,'JPM St'!$C:$G,3,0)="Fixed Income &amp; Cash","Cash",VLOOKUP(D357,'JPM St'!$C:$G,3,0)),"")</f>
        <v/>
      </c>
      <c r="C357" s="497" t="str">
        <f>IFERROR(VLOOKUP(D357,'JPM St'!$C:$L,10,0),"")</f>
        <v/>
      </c>
      <c r="E357" s="500" t="str">
        <f>IFERROR(VLOOKUP(D357,'JPM St'!$C:$D,2,0),"")</f>
        <v/>
      </c>
      <c r="F357" s="501">
        <f t="shared" si="15"/>
        <v>0</v>
      </c>
      <c r="G357" s="501">
        <f>SUMIFS('JPM St'!$K:$K,'JPM St'!$A:$A,$V$2,'JPM St'!$C:$C,D357)</f>
        <v>0</v>
      </c>
      <c r="H357" s="501">
        <f>SUMIFS('JPM St'!$K:$K,'JPM St'!$A:$A,$V$3,'JPM St'!$C:$C,D357)</f>
        <v>0</v>
      </c>
      <c r="I357" s="501">
        <f>SUMIFS('JPM St'!$K:$K,'JPM St'!$A:$A,$V$4,'JPM St'!$C:$C,D357)</f>
        <v>0</v>
      </c>
      <c r="J357" s="619">
        <f t="shared" si="16"/>
        <v>0</v>
      </c>
      <c r="K357" s="501">
        <f>IFERROR(SUMIFS('JPM St'!$M:$M,'JPM St'!$A:$A,$V$2,'JPM St'!$C:$C,D357),"")</f>
        <v>0</v>
      </c>
      <c r="L357" s="501">
        <f>IFERROR(SUMIFS('JPM St'!$M:$M,'JPM St'!$A:$A,$V$3,'JPM St'!$C:$C,D357),"")</f>
        <v>0</v>
      </c>
      <c r="M357" s="501">
        <f>IFERROR(SUMIFS('JPM St'!$M:$M,'JPM St'!$A:$A,$V$4,'JPM St'!$C:$C,D357),"")</f>
        <v>0</v>
      </c>
    </row>
    <row r="358" spans="1:13" x14ac:dyDescent="0.25">
      <c r="A358" s="497" t="s">
        <v>90</v>
      </c>
      <c r="B358" s="497" t="str">
        <f>IFERROR(IF(VLOOKUP(D358,'JPM St'!$C:$G,3,0)="Fixed Income &amp; Cash","Cash",VLOOKUP(D358,'JPM St'!$C:$G,3,0)),"")</f>
        <v/>
      </c>
      <c r="C358" s="497" t="str">
        <f>IFERROR(VLOOKUP(D358,'JPM St'!$C:$L,10,0),"")</f>
        <v/>
      </c>
      <c r="E358" s="500" t="str">
        <f>IFERROR(VLOOKUP(D358,'JPM St'!$C:$D,2,0),"")</f>
        <v/>
      </c>
      <c r="F358" s="501">
        <f t="shared" si="15"/>
        <v>0</v>
      </c>
      <c r="G358" s="501">
        <f>SUMIFS('JPM St'!$K:$K,'JPM St'!$A:$A,$V$2,'JPM St'!$C:$C,D358)</f>
        <v>0</v>
      </c>
      <c r="H358" s="501">
        <f>SUMIFS('JPM St'!$K:$K,'JPM St'!$A:$A,$V$3,'JPM St'!$C:$C,D358)</f>
        <v>0</v>
      </c>
      <c r="I358" s="501">
        <f>SUMIFS('JPM St'!$K:$K,'JPM St'!$A:$A,$V$4,'JPM St'!$C:$C,D358)</f>
        <v>0</v>
      </c>
      <c r="J358" s="619">
        <f t="shared" si="16"/>
        <v>0</v>
      </c>
      <c r="K358" s="501">
        <f>IFERROR(SUMIFS('JPM St'!$M:$M,'JPM St'!$A:$A,$V$2,'JPM St'!$C:$C,D358),"")</f>
        <v>0</v>
      </c>
      <c r="L358" s="501">
        <f>IFERROR(SUMIFS('JPM St'!$M:$M,'JPM St'!$A:$A,$V$3,'JPM St'!$C:$C,D358),"")</f>
        <v>0</v>
      </c>
      <c r="M358" s="501">
        <f>IFERROR(SUMIFS('JPM St'!$M:$M,'JPM St'!$A:$A,$V$4,'JPM St'!$C:$C,D358),"")</f>
        <v>0</v>
      </c>
    </row>
    <row r="359" spans="1:13" x14ac:dyDescent="0.25">
      <c r="A359" s="497" t="s">
        <v>90</v>
      </c>
      <c r="B359" s="497" t="str">
        <f>IFERROR(IF(VLOOKUP(D359,'JPM St'!$C:$G,3,0)="Fixed Income &amp; Cash","Cash",VLOOKUP(D359,'JPM St'!$C:$G,3,0)),"")</f>
        <v/>
      </c>
      <c r="C359" s="497" t="str">
        <f>IFERROR(VLOOKUP(D359,'JPM St'!$C:$L,10,0),"")</f>
        <v/>
      </c>
      <c r="E359" s="500" t="str">
        <f>IFERROR(VLOOKUP(D359,'JPM St'!$C:$D,2,0),"")</f>
        <v/>
      </c>
      <c r="F359" s="501">
        <f t="shared" si="15"/>
        <v>0</v>
      </c>
      <c r="G359" s="501">
        <f>SUMIFS('JPM St'!$K:$K,'JPM St'!$A:$A,$V$2,'JPM St'!$C:$C,D359)</f>
        <v>0</v>
      </c>
      <c r="H359" s="501">
        <f>SUMIFS('JPM St'!$K:$K,'JPM St'!$A:$A,$V$3,'JPM St'!$C:$C,D359)</f>
        <v>0</v>
      </c>
      <c r="I359" s="501">
        <f>SUMIFS('JPM St'!$K:$K,'JPM St'!$A:$A,$V$4,'JPM St'!$C:$C,D359)</f>
        <v>0</v>
      </c>
      <c r="J359" s="619">
        <f t="shared" si="16"/>
        <v>0</v>
      </c>
      <c r="K359" s="501">
        <f>IFERROR(SUMIFS('JPM St'!$M:$M,'JPM St'!$A:$A,$V$2,'JPM St'!$C:$C,D359),"")</f>
        <v>0</v>
      </c>
      <c r="L359" s="501">
        <f>IFERROR(SUMIFS('JPM St'!$M:$M,'JPM St'!$A:$A,$V$3,'JPM St'!$C:$C,D359),"")</f>
        <v>0</v>
      </c>
      <c r="M359" s="501">
        <f>IFERROR(SUMIFS('JPM St'!$M:$M,'JPM St'!$A:$A,$V$4,'JPM St'!$C:$C,D359),"")</f>
        <v>0</v>
      </c>
    </row>
    <row r="360" spans="1:13" x14ac:dyDescent="0.25">
      <c r="A360" s="497" t="s">
        <v>90</v>
      </c>
      <c r="B360" s="497" t="str">
        <f>IFERROR(IF(VLOOKUP(D360,'JPM St'!$C:$G,3,0)="Fixed Income &amp; Cash","Cash",VLOOKUP(D360,'JPM St'!$C:$G,3,0)),"")</f>
        <v/>
      </c>
      <c r="C360" s="497" t="str">
        <f>IFERROR(VLOOKUP(D360,'JPM St'!$C:$L,10,0),"")</f>
        <v/>
      </c>
      <c r="E360" s="500" t="str">
        <f>IFERROR(VLOOKUP(D360,'JPM St'!$C:$D,2,0),"")</f>
        <v/>
      </c>
      <c r="F360" s="501">
        <f t="shared" si="15"/>
        <v>0</v>
      </c>
      <c r="G360" s="501">
        <f>SUMIFS('JPM St'!$K:$K,'JPM St'!$A:$A,$V$2,'JPM St'!$C:$C,D360)</f>
        <v>0</v>
      </c>
      <c r="H360" s="501">
        <f>SUMIFS('JPM St'!$K:$K,'JPM St'!$A:$A,$V$3,'JPM St'!$C:$C,D360)</f>
        <v>0</v>
      </c>
      <c r="I360" s="501">
        <f>SUMIFS('JPM St'!$K:$K,'JPM St'!$A:$A,$V$4,'JPM St'!$C:$C,D360)</f>
        <v>0</v>
      </c>
      <c r="J360" s="619">
        <f t="shared" si="16"/>
        <v>0</v>
      </c>
      <c r="K360" s="501">
        <f>IFERROR(SUMIFS('JPM St'!$M:$M,'JPM St'!$A:$A,$V$2,'JPM St'!$C:$C,D360),"")</f>
        <v>0</v>
      </c>
      <c r="L360" s="501">
        <f>IFERROR(SUMIFS('JPM St'!$M:$M,'JPM St'!$A:$A,$V$3,'JPM St'!$C:$C,D360),"")</f>
        <v>0</v>
      </c>
      <c r="M360" s="501">
        <f>IFERROR(SUMIFS('JPM St'!$M:$M,'JPM St'!$A:$A,$V$4,'JPM St'!$C:$C,D360),"")</f>
        <v>0</v>
      </c>
    </row>
    <row r="361" spans="1:13" x14ac:dyDescent="0.25">
      <c r="A361" s="497" t="s">
        <v>90</v>
      </c>
      <c r="B361" s="497" t="str">
        <f>IFERROR(IF(VLOOKUP(D361,'JPM St'!$C:$G,3,0)="Fixed Income &amp; Cash","Cash",VLOOKUP(D361,'JPM St'!$C:$G,3,0)),"")</f>
        <v/>
      </c>
      <c r="C361" s="497" t="str">
        <f>IFERROR(VLOOKUP(D361,'JPM St'!$C:$L,10,0),"")</f>
        <v/>
      </c>
      <c r="E361" s="500" t="str">
        <f>IFERROR(VLOOKUP(D361,'JPM St'!$C:$D,2,0),"")</f>
        <v/>
      </c>
      <c r="F361" s="501">
        <f t="shared" si="15"/>
        <v>0</v>
      </c>
      <c r="G361" s="501">
        <f>SUMIFS('JPM St'!$K:$K,'JPM St'!$A:$A,$V$2,'JPM St'!$C:$C,D361)</f>
        <v>0</v>
      </c>
      <c r="H361" s="501">
        <f>SUMIFS('JPM St'!$K:$K,'JPM St'!$A:$A,$V$3,'JPM St'!$C:$C,D361)</f>
        <v>0</v>
      </c>
      <c r="I361" s="501">
        <f>SUMIFS('JPM St'!$K:$K,'JPM St'!$A:$A,$V$4,'JPM St'!$C:$C,D361)</f>
        <v>0</v>
      </c>
      <c r="J361" s="619">
        <f t="shared" si="16"/>
        <v>0</v>
      </c>
      <c r="K361" s="501">
        <f>IFERROR(SUMIFS('JPM St'!$M:$M,'JPM St'!$A:$A,$V$2,'JPM St'!$C:$C,D361),"")</f>
        <v>0</v>
      </c>
      <c r="L361" s="501">
        <f>IFERROR(SUMIFS('JPM St'!$M:$M,'JPM St'!$A:$A,$V$3,'JPM St'!$C:$C,D361),"")</f>
        <v>0</v>
      </c>
      <c r="M361" s="501">
        <f>IFERROR(SUMIFS('JPM St'!$M:$M,'JPM St'!$A:$A,$V$4,'JPM St'!$C:$C,D361),"")</f>
        <v>0</v>
      </c>
    </row>
    <row r="362" spans="1:13" x14ac:dyDescent="0.25">
      <c r="A362" s="497" t="s">
        <v>90</v>
      </c>
      <c r="B362" s="497" t="str">
        <f>IFERROR(IF(VLOOKUP(D362,'JPM St'!$C:$G,3,0)="Fixed Income &amp; Cash","Cash",VLOOKUP(D362,'JPM St'!$C:$G,3,0)),"")</f>
        <v/>
      </c>
      <c r="C362" s="497" t="str">
        <f>IFERROR(VLOOKUP(D362,'JPM St'!$C:$L,10,0),"")</f>
        <v/>
      </c>
      <c r="E362" s="500" t="str">
        <f>IFERROR(VLOOKUP(D362,'JPM St'!$C:$D,2,0),"")</f>
        <v/>
      </c>
      <c r="F362" s="501">
        <f t="shared" si="15"/>
        <v>0</v>
      </c>
      <c r="G362" s="501">
        <f>SUMIFS('JPM St'!$K:$K,'JPM St'!$A:$A,$V$2,'JPM St'!$C:$C,D362)</f>
        <v>0</v>
      </c>
      <c r="H362" s="501">
        <f>SUMIFS('JPM St'!$K:$K,'JPM St'!$A:$A,$V$3,'JPM St'!$C:$C,D362)</f>
        <v>0</v>
      </c>
      <c r="I362" s="501">
        <f>SUMIFS('JPM St'!$K:$K,'JPM St'!$A:$A,$V$4,'JPM St'!$C:$C,D362)</f>
        <v>0</v>
      </c>
      <c r="J362" s="619">
        <f t="shared" si="16"/>
        <v>0</v>
      </c>
      <c r="K362" s="501">
        <f>IFERROR(SUMIFS('JPM St'!$M:$M,'JPM St'!$A:$A,$V$2,'JPM St'!$C:$C,D362),"")</f>
        <v>0</v>
      </c>
      <c r="L362" s="501">
        <f>IFERROR(SUMIFS('JPM St'!$M:$M,'JPM St'!$A:$A,$V$3,'JPM St'!$C:$C,D362),"")</f>
        <v>0</v>
      </c>
      <c r="M362" s="501">
        <f>IFERROR(SUMIFS('JPM St'!$M:$M,'JPM St'!$A:$A,$V$4,'JPM St'!$C:$C,D362),"")</f>
        <v>0</v>
      </c>
    </row>
    <row r="363" spans="1:13" x14ac:dyDescent="0.25">
      <c r="A363" s="497" t="s">
        <v>90</v>
      </c>
      <c r="B363" s="497" t="str">
        <f>IFERROR(IF(VLOOKUP(D363,'JPM St'!$C:$G,3,0)="Fixed Income &amp; Cash","Cash",VLOOKUP(D363,'JPM St'!$C:$G,3,0)),"")</f>
        <v/>
      </c>
      <c r="C363" s="497" t="str">
        <f>IFERROR(VLOOKUP(D363,'JPM St'!$C:$L,10,0),"")</f>
        <v/>
      </c>
      <c r="E363" s="500" t="str">
        <f>IFERROR(VLOOKUP(D363,'JPM St'!$C:$D,2,0),"")</f>
        <v/>
      </c>
      <c r="F363" s="501">
        <f t="shared" si="15"/>
        <v>0</v>
      </c>
      <c r="G363" s="501">
        <f>SUMIFS('JPM St'!$K:$K,'JPM St'!$A:$A,$V$2,'JPM St'!$C:$C,D363)</f>
        <v>0</v>
      </c>
      <c r="H363" s="501">
        <f>SUMIFS('JPM St'!$K:$K,'JPM St'!$A:$A,$V$3,'JPM St'!$C:$C,D363)</f>
        <v>0</v>
      </c>
      <c r="I363" s="501">
        <f>SUMIFS('JPM St'!$K:$K,'JPM St'!$A:$A,$V$4,'JPM St'!$C:$C,D363)</f>
        <v>0</v>
      </c>
      <c r="J363" s="619">
        <f t="shared" si="16"/>
        <v>0</v>
      </c>
      <c r="K363" s="501">
        <f>IFERROR(SUMIFS('JPM St'!$M:$M,'JPM St'!$A:$A,$V$2,'JPM St'!$C:$C,D363),"")</f>
        <v>0</v>
      </c>
      <c r="L363" s="501">
        <f>IFERROR(SUMIFS('JPM St'!$M:$M,'JPM St'!$A:$A,$V$3,'JPM St'!$C:$C,D363),"")</f>
        <v>0</v>
      </c>
      <c r="M363" s="501">
        <f>IFERROR(SUMIFS('JPM St'!$M:$M,'JPM St'!$A:$A,$V$4,'JPM St'!$C:$C,D363),"")</f>
        <v>0</v>
      </c>
    </row>
    <row r="364" spans="1:13" x14ac:dyDescent="0.25">
      <c r="A364" s="497" t="s">
        <v>90</v>
      </c>
      <c r="B364" s="497" t="str">
        <f>IFERROR(IF(VLOOKUP(D364,'JPM St'!$C:$G,3,0)="Fixed Income &amp; Cash","Cash",VLOOKUP(D364,'JPM St'!$C:$G,3,0)),"")</f>
        <v/>
      </c>
      <c r="C364" s="497" t="str">
        <f>IFERROR(VLOOKUP(D364,'JPM St'!$C:$L,10,0),"")</f>
        <v/>
      </c>
      <c r="E364" s="500" t="str">
        <f>IFERROR(VLOOKUP(D364,'JPM St'!$C:$D,2,0),"")</f>
        <v/>
      </c>
      <c r="F364" s="501">
        <f t="shared" si="15"/>
        <v>0</v>
      </c>
      <c r="G364" s="501">
        <f>SUMIFS('JPM St'!$K:$K,'JPM St'!$A:$A,$V$2,'JPM St'!$C:$C,D364)</f>
        <v>0</v>
      </c>
      <c r="H364" s="501">
        <f>SUMIFS('JPM St'!$K:$K,'JPM St'!$A:$A,$V$3,'JPM St'!$C:$C,D364)</f>
        <v>0</v>
      </c>
      <c r="I364" s="501">
        <f>SUMIFS('JPM St'!$K:$K,'JPM St'!$A:$A,$V$4,'JPM St'!$C:$C,D364)</f>
        <v>0</v>
      </c>
      <c r="J364" s="619">
        <f t="shared" si="16"/>
        <v>0</v>
      </c>
      <c r="K364" s="501">
        <f>IFERROR(SUMIFS('JPM St'!$M:$M,'JPM St'!$A:$A,$V$2,'JPM St'!$C:$C,D364),"")</f>
        <v>0</v>
      </c>
      <c r="L364" s="501">
        <f>IFERROR(SUMIFS('JPM St'!$M:$M,'JPM St'!$A:$A,$V$3,'JPM St'!$C:$C,D364),"")</f>
        <v>0</v>
      </c>
      <c r="M364" s="501">
        <f>IFERROR(SUMIFS('JPM St'!$M:$M,'JPM St'!$A:$A,$V$4,'JPM St'!$C:$C,D364),"")</f>
        <v>0</v>
      </c>
    </row>
    <row r="365" spans="1:13" x14ac:dyDescent="0.25">
      <c r="A365" s="497" t="s">
        <v>90</v>
      </c>
      <c r="B365" s="497" t="str">
        <f>IFERROR(IF(VLOOKUP(D365,'JPM St'!$C:$G,3,0)="Fixed Income &amp; Cash","Cash",VLOOKUP(D365,'JPM St'!$C:$G,3,0)),"")</f>
        <v/>
      </c>
      <c r="C365" s="497" t="str">
        <f>IFERROR(VLOOKUP(D365,'JPM St'!$C:$L,10,0),"")</f>
        <v/>
      </c>
      <c r="E365" s="500" t="str">
        <f>IFERROR(VLOOKUP(D365,'JPM St'!$C:$D,2,0),"")</f>
        <v/>
      </c>
      <c r="F365" s="501">
        <f t="shared" si="15"/>
        <v>0</v>
      </c>
      <c r="G365" s="501">
        <f>SUMIFS('JPM St'!$K:$K,'JPM St'!$A:$A,$V$2,'JPM St'!$C:$C,D365)</f>
        <v>0</v>
      </c>
      <c r="H365" s="501">
        <f>SUMIFS('JPM St'!$K:$K,'JPM St'!$A:$A,$V$3,'JPM St'!$C:$C,D365)</f>
        <v>0</v>
      </c>
      <c r="I365" s="501">
        <f>SUMIFS('JPM St'!$K:$K,'JPM St'!$A:$A,$V$4,'JPM St'!$C:$C,D365)</f>
        <v>0</v>
      </c>
      <c r="J365" s="619">
        <f t="shared" si="16"/>
        <v>0</v>
      </c>
      <c r="K365" s="501">
        <f>IFERROR(SUMIFS('JPM St'!$M:$M,'JPM St'!$A:$A,$V$2,'JPM St'!$C:$C,D365),"")</f>
        <v>0</v>
      </c>
      <c r="L365" s="501">
        <f>IFERROR(SUMIFS('JPM St'!$M:$M,'JPM St'!$A:$A,$V$3,'JPM St'!$C:$C,D365),"")</f>
        <v>0</v>
      </c>
      <c r="M365" s="501">
        <f>IFERROR(SUMIFS('JPM St'!$M:$M,'JPM St'!$A:$A,$V$4,'JPM St'!$C:$C,D365),"")</f>
        <v>0</v>
      </c>
    </row>
    <row r="366" spans="1:13" x14ac:dyDescent="0.25">
      <c r="A366" s="497" t="s">
        <v>90</v>
      </c>
      <c r="B366" s="497" t="str">
        <f>IFERROR(IF(VLOOKUP(D366,'JPM St'!$C:$G,3,0)="Fixed Income &amp; Cash","Cash",VLOOKUP(D366,'JPM St'!$C:$G,3,0)),"")</f>
        <v/>
      </c>
      <c r="C366" s="497" t="str">
        <f>IFERROR(VLOOKUP(D366,'JPM St'!$C:$L,10,0),"")</f>
        <v/>
      </c>
      <c r="E366" s="500" t="str">
        <f>IFERROR(VLOOKUP(D366,'JPM St'!$C:$D,2,0),"")</f>
        <v/>
      </c>
      <c r="F366" s="501">
        <f t="shared" si="15"/>
        <v>0</v>
      </c>
      <c r="G366" s="501">
        <f>SUMIFS('JPM St'!$K:$K,'JPM St'!$A:$A,$V$2,'JPM St'!$C:$C,D366)</f>
        <v>0</v>
      </c>
      <c r="H366" s="501">
        <f>SUMIFS('JPM St'!$K:$K,'JPM St'!$A:$A,$V$3,'JPM St'!$C:$C,D366)</f>
        <v>0</v>
      </c>
      <c r="I366" s="501">
        <f>SUMIFS('JPM St'!$K:$K,'JPM St'!$A:$A,$V$4,'JPM St'!$C:$C,D366)</f>
        <v>0</v>
      </c>
      <c r="J366" s="619">
        <f t="shared" si="16"/>
        <v>0</v>
      </c>
      <c r="K366" s="501">
        <f>IFERROR(SUMIFS('JPM St'!$M:$M,'JPM St'!$A:$A,$V$2,'JPM St'!$C:$C,D366),"")</f>
        <v>0</v>
      </c>
      <c r="L366" s="501">
        <f>IFERROR(SUMIFS('JPM St'!$M:$M,'JPM St'!$A:$A,$V$3,'JPM St'!$C:$C,D366),"")</f>
        <v>0</v>
      </c>
      <c r="M366" s="501">
        <f>IFERROR(SUMIFS('JPM St'!$M:$M,'JPM St'!$A:$A,$V$4,'JPM St'!$C:$C,D366),"")</f>
        <v>0</v>
      </c>
    </row>
    <row r="367" spans="1:13" x14ac:dyDescent="0.25">
      <c r="A367" s="497" t="s">
        <v>90</v>
      </c>
      <c r="B367" s="497" t="str">
        <f>IFERROR(IF(VLOOKUP(D367,'JPM St'!$C:$G,3,0)="Fixed Income &amp; Cash","Cash",VLOOKUP(D367,'JPM St'!$C:$G,3,0)),"")</f>
        <v/>
      </c>
      <c r="C367" s="497" t="str">
        <f>IFERROR(VLOOKUP(D367,'JPM St'!$C:$L,10,0),"")</f>
        <v/>
      </c>
      <c r="E367" s="500" t="str">
        <f>IFERROR(VLOOKUP(D367,'JPM St'!$C:$D,2,0),"")</f>
        <v/>
      </c>
      <c r="F367" s="501">
        <f t="shared" si="15"/>
        <v>0</v>
      </c>
      <c r="G367" s="501">
        <f>SUMIFS('JPM St'!$K:$K,'JPM St'!$A:$A,$V$2,'JPM St'!$C:$C,D367)</f>
        <v>0</v>
      </c>
      <c r="H367" s="501">
        <f>SUMIFS('JPM St'!$K:$K,'JPM St'!$A:$A,$V$3,'JPM St'!$C:$C,D367)</f>
        <v>0</v>
      </c>
      <c r="I367" s="501">
        <f>SUMIFS('JPM St'!$K:$K,'JPM St'!$A:$A,$V$4,'JPM St'!$C:$C,D367)</f>
        <v>0</v>
      </c>
      <c r="J367" s="619">
        <f t="shared" si="16"/>
        <v>0</v>
      </c>
      <c r="K367" s="501">
        <f>IFERROR(SUMIFS('JPM St'!$M:$M,'JPM St'!$A:$A,$V$2,'JPM St'!$C:$C,D367),"")</f>
        <v>0</v>
      </c>
      <c r="L367" s="501">
        <f>IFERROR(SUMIFS('JPM St'!$M:$M,'JPM St'!$A:$A,$V$3,'JPM St'!$C:$C,D367),"")</f>
        <v>0</v>
      </c>
      <c r="M367" s="501">
        <f>IFERROR(SUMIFS('JPM St'!$M:$M,'JPM St'!$A:$A,$V$4,'JPM St'!$C:$C,D367),"")</f>
        <v>0</v>
      </c>
    </row>
    <row r="368" spans="1:13" x14ac:dyDescent="0.25">
      <c r="A368" s="497" t="s">
        <v>90</v>
      </c>
      <c r="B368" s="497" t="str">
        <f>IFERROR(IF(VLOOKUP(D368,'JPM St'!$C:$G,3,0)="Fixed Income &amp; Cash","Cash",VLOOKUP(D368,'JPM St'!$C:$G,3,0)),"")</f>
        <v/>
      </c>
      <c r="C368" s="497" t="str">
        <f>IFERROR(VLOOKUP(D368,'JPM St'!$C:$L,10,0),"")</f>
        <v/>
      </c>
      <c r="E368" s="500" t="str">
        <f>IFERROR(VLOOKUP(D368,'JPM St'!$C:$D,2,0),"")</f>
        <v/>
      </c>
      <c r="F368" s="501">
        <f t="shared" si="15"/>
        <v>0</v>
      </c>
      <c r="G368" s="501">
        <f>SUMIFS('JPM St'!$K:$K,'JPM St'!$A:$A,$V$2,'JPM St'!$C:$C,D368)</f>
        <v>0</v>
      </c>
      <c r="H368" s="501">
        <f>SUMIFS('JPM St'!$K:$K,'JPM St'!$A:$A,$V$3,'JPM St'!$C:$C,D368)</f>
        <v>0</v>
      </c>
      <c r="I368" s="501">
        <f>SUMIFS('JPM St'!$K:$K,'JPM St'!$A:$A,$V$4,'JPM St'!$C:$C,D368)</f>
        <v>0</v>
      </c>
      <c r="J368" s="619">
        <f t="shared" si="16"/>
        <v>0</v>
      </c>
      <c r="K368" s="501">
        <f>IFERROR(SUMIFS('JPM St'!$M:$M,'JPM St'!$A:$A,$V$2,'JPM St'!$C:$C,D368),"")</f>
        <v>0</v>
      </c>
      <c r="L368" s="501">
        <f>IFERROR(SUMIFS('JPM St'!$M:$M,'JPM St'!$A:$A,$V$3,'JPM St'!$C:$C,D368),"")</f>
        <v>0</v>
      </c>
      <c r="M368" s="501">
        <f>IFERROR(SUMIFS('JPM St'!$M:$M,'JPM St'!$A:$A,$V$4,'JPM St'!$C:$C,D368),"")</f>
        <v>0</v>
      </c>
    </row>
    <row r="369" spans="1:13" x14ac:dyDescent="0.25">
      <c r="A369" s="497" t="s">
        <v>90</v>
      </c>
      <c r="B369" s="497" t="str">
        <f>IFERROR(IF(VLOOKUP(D369,'JPM St'!$C:$G,3,0)="Fixed Income &amp; Cash","Cash",VLOOKUP(D369,'JPM St'!$C:$G,3,0)),"")</f>
        <v/>
      </c>
      <c r="C369" s="497" t="str">
        <f>IFERROR(VLOOKUP(D369,'JPM St'!$C:$L,10,0),"")</f>
        <v/>
      </c>
      <c r="E369" s="500" t="str">
        <f>IFERROR(VLOOKUP(D369,'JPM St'!$C:$D,2,0),"")</f>
        <v/>
      </c>
      <c r="F369" s="501">
        <f t="shared" si="15"/>
        <v>0</v>
      </c>
      <c r="G369" s="501">
        <f>SUMIFS('JPM St'!$K:$K,'JPM St'!$A:$A,$V$2,'JPM St'!$C:$C,D369)</f>
        <v>0</v>
      </c>
      <c r="H369" s="501">
        <f>SUMIFS('JPM St'!$K:$K,'JPM St'!$A:$A,$V$3,'JPM St'!$C:$C,D369)</f>
        <v>0</v>
      </c>
      <c r="I369" s="501">
        <f>SUMIFS('JPM St'!$K:$K,'JPM St'!$A:$A,$V$4,'JPM St'!$C:$C,D369)</f>
        <v>0</v>
      </c>
      <c r="J369" s="619">
        <f t="shared" si="16"/>
        <v>0</v>
      </c>
      <c r="K369" s="501">
        <f>IFERROR(SUMIFS('JPM St'!$M:$M,'JPM St'!$A:$A,$V$2,'JPM St'!$C:$C,D369),"")</f>
        <v>0</v>
      </c>
      <c r="L369" s="501">
        <f>IFERROR(SUMIFS('JPM St'!$M:$M,'JPM St'!$A:$A,$V$3,'JPM St'!$C:$C,D369),"")</f>
        <v>0</v>
      </c>
      <c r="M369" s="501">
        <f>IFERROR(SUMIFS('JPM St'!$M:$M,'JPM St'!$A:$A,$V$4,'JPM St'!$C:$C,D369),"")</f>
        <v>0</v>
      </c>
    </row>
    <row r="370" spans="1:13" x14ac:dyDescent="0.25">
      <c r="A370" s="497" t="s">
        <v>90</v>
      </c>
      <c r="B370" s="497" t="str">
        <f>IFERROR(IF(VLOOKUP(D370,'JPM St'!$C:$G,3,0)="Fixed Income &amp; Cash","Cash",VLOOKUP(D370,'JPM St'!$C:$G,3,0)),"")</f>
        <v/>
      </c>
      <c r="C370" s="497" t="str">
        <f>IFERROR(VLOOKUP(D370,'JPM St'!$C:$L,10,0),"")</f>
        <v/>
      </c>
      <c r="E370" s="500" t="str">
        <f>IFERROR(VLOOKUP(D370,'JPM St'!$C:$D,2,0),"")</f>
        <v/>
      </c>
      <c r="F370" s="501">
        <f t="shared" si="15"/>
        <v>0</v>
      </c>
      <c r="G370" s="501">
        <f>SUMIFS('JPM St'!$K:$K,'JPM St'!$A:$A,$V$2,'JPM St'!$C:$C,D370)</f>
        <v>0</v>
      </c>
      <c r="H370" s="501">
        <f>SUMIFS('JPM St'!$K:$K,'JPM St'!$A:$A,$V$3,'JPM St'!$C:$C,D370)</f>
        <v>0</v>
      </c>
      <c r="I370" s="501">
        <f>SUMIFS('JPM St'!$K:$K,'JPM St'!$A:$A,$V$4,'JPM St'!$C:$C,D370)</f>
        <v>0</v>
      </c>
      <c r="J370" s="619">
        <f t="shared" si="16"/>
        <v>0</v>
      </c>
      <c r="K370" s="501">
        <f>IFERROR(SUMIFS('JPM St'!$M:$M,'JPM St'!$A:$A,$V$2,'JPM St'!$C:$C,D370),"")</f>
        <v>0</v>
      </c>
      <c r="L370" s="501">
        <f>IFERROR(SUMIFS('JPM St'!$M:$M,'JPM St'!$A:$A,$V$3,'JPM St'!$C:$C,D370),"")</f>
        <v>0</v>
      </c>
      <c r="M370" s="501">
        <f>IFERROR(SUMIFS('JPM St'!$M:$M,'JPM St'!$A:$A,$V$4,'JPM St'!$C:$C,D370),"")</f>
        <v>0</v>
      </c>
    </row>
    <row r="371" spans="1:13" x14ac:dyDescent="0.25">
      <c r="A371" s="497" t="s">
        <v>90</v>
      </c>
      <c r="B371" s="497" t="str">
        <f>IFERROR(IF(VLOOKUP(D371,'JPM St'!$C:$G,3,0)="Fixed Income &amp; Cash","Cash",VLOOKUP(D371,'JPM St'!$C:$G,3,0)),"")</f>
        <v/>
      </c>
      <c r="C371" s="497" t="str">
        <f>IFERROR(VLOOKUP(D371,'JPM St'!$C:$L,10,0),"")</f>
        <v/>
      </c>
      <c r="E371" s="500" t="str">
        <f>IFERROR(VLOOKUP(D371,'JPM St'!$C:$D,2,0),"")</f>
        <v/>
      </c>
      <c r="F371" s="501">
        <f t="shared" si="15"/>
        <v>0</v>
      </c>
      <c r="G371" s="501">
        <f>SUMIFS('JPM St'!$K:$K,'JPM St'!$A:$A,$V$2,'JPM St'!$C:$C,D371)</f>
        <v>0</v>
      </c>
      <c r="H371" s="501">
        <f>SUMIFS('JPM St'!$K:$K,'JPM St'!$A:$A,$V$3,'JPM St'!$C:$C,D371)</f>
        <v>0</v>
      </c>
      <c r="I371" s="501">
        <f>SUMIFS('JPM St'!$K:$K,'JPM St'!$A:$A,$V$4,'JPM St'!$C:$C,D371)</f>
        <v>0</v>
      </c>
      <c r="J371" s="619">
        <f t="shared" si="16"/>
        <v>0</v>
      </c>
      <c r="K371" s="501">
        <f>IFERROR(SUMIFS('JPM St'!$M:$M,'JPM St'!$A:$A,$V$2,'JPM St'!$C:$C,D371),"")</f>
        <v>0</v>
      </c>
      <c r="L371" s="501">
        <f>IFERROR(SUMIFS('JPM St'!$M:$M,'JPM St'!$A:$A,$V$3,'JPM St'!$C:$C,D371),"")</f>
        <v>0</v>
      </c>
      <c r="M371" s="501">
        <f>IFERROR(SUMIFS('JPM St'!$M:$M,'JPM St'!$A:$A,$V$4,'JPM St'!$C:$C,D371),"")</f>
        <v>0</v>
      </c>
    </row>
    <row r="372" spans="1:13" x14ac:dyDescent="0.25">
      <c r="A372" s="497" t="s">
        <v>90</v>
      </c>
      <c r="B372" s="497" t="str">
        <f>IFERROR(IF(VLOOKUP(D372,'JPM St'!$C:$G,3,0)="Fixed Income &amp; Cash","Cash",VLOOKUP(D372,'JPM St'!$C:$G,3,0)),"")</f>
        <v/>
      </c>
      <c r="C372" s="497" t="str">
        <f>IFERROR(VLOOKUP(D372,'JPM St'!$C:$L,10,0),"")</f>
        <v/>
      </c>
      <c r="E372" s="500" t="str">
        <f>IFERROR(VLOOKUP(D372,'JPM St'!$C:$D,2,0),"")</f>
        <v/>
      </c>
      <c r="F372" s="501">
        <f t="shared" si="15"/>
        <v>0</v>
      </c>
      <c r="G372" s="501">
        <f>SUMIFS('JPM St'!$K:$K,'JPM St'!$A:$A,$V$2,'JPM St'!$C:$C,D372)</f>
        <v>0</v>
      </c>
      <c r="H372" s="501">
        <f>SUMIFS('JPM St'!$K:$K,'JPM St'!$A:$A,$V$3,'JPM St'!$C:$C,D372)</f>
        <v>0</v>
      </c>
      <c r="I372" s="501">
        <f>SUMIFS('JPM St'!$K:$K,'JPM St'!$A:$A,$V$4,'JPM St'!$C:$C,D372)</f>
        <v>0</v>
      </c>
      <c r="J372" s="619">
        <f t="shared" si="16"/>
        <v>0</v>
      </c>
      <c r="K372" s="501">
        <f>IFERROR(SUMIFS('JPM St'!$M:$M,'JPM St'!$A:$A,$V$2,'JPM St'!$C:$C,D372),"")</f>
        <v>0</v>
      </c>
      <c r="L372" s="501">
        <f>IFERROR(SUMIFS('JPM St'!$M:$M,'JPM St'!$A:$A,$V$3,'JPM St'!$C:$C,D372),"")</f>
        <v>0</v>
      </c>
      <c r="M372" s="501">
        <f>IFERROR(SUMIFS('JPM St'!$M:$M,'JPM St'!$A:$A,$V$4,'JPM St'!$C:$C,D372),"")</f>
        <v>0</v>
      </c>
    </row>
    <row r="373" spans="1:13" x14ac:dyDescent="0.25">
      <c r="A373" s="497" t="s">
        <v>90</v>
      </c>
      <c r="B373" s="497" t="str">
        <f>IFERROR(IF(VLOOKUP(D373,'JPM St'!$C:$G,3,0)="Fixed Income &amp; Cash","Cash",VLOOKUP(D373,'JPM St'!$C:$G,3,0)),"")</f>
        <v/>
      </c>
      <c r="C373" s="497" t="str">
        <f>IFERROR(VLOOKUP(D373,'JPM St'!$C:$L,10,0),"")</f>
        <v/>
      </c>
      <c r="E373" s="500" t="str">
        <f>IFERROR(VLOOKUP(D373,'JPM St'!$C:$D,2,0),"")</f>
        <v/>
      </c>
      <c r="F373" s="501">
        <f t="shared" si="15"/>
        <v>0</v>
      </c>
      <c r="G373" s="501">
        <f>SUMIFS('JPM St'!$K:$K,'JPM St'!$A:$A,$V$2,'JPM St'!$C:$C,D373)</f>
        <v>0</v>
      </c>
      <c r="H373" s="501">
        <f>SUMIFS('JPM St'!$K:$K,'JPM St'!$A:$A,$V$3,'JPM St'!$C:$C,D373)</f>
        <v>0</v>
      </c>
      <c r="I373" s="501">
        <f>SUMIFS('JPM St'!$K:$K,'JPM St'!$A:$A,$V$4,'JPM St'!$C:$C,D373)</f>
        <v>0</v>
      </c>
      <c r="J373" s="619">
        <f t="shared" si="16"/>
        <v>0</v>
      </c>
      <c r="K373" s="501">
        <f>IFERROR(SUMIFS('JPM St'!$M:$M,'JPM St'!$A:$A,$V$2,'JPM St'!$C:$C,D373),"")</f>
        <v>0</v>
      </c>
      <c r="L373" s="501">
        <f>IFERROR(SUMIFS('JPM St'!$M:$M,'JPM St'!$A:$A,$V$3,'JPM St'!$C:$C,D373),"")</f>
        <v>0</v>
      </c>
      <c r="M373" s="501">
        <f>IFERROR(SUMIFS('JPM St'!$M:$M,'JPM St'!$A:$A,$V$4,'JPM St'!$C:$C,D373),"")</f>
        <v>0</v>
      </c>
    </row>
    <row r="374" spans="1:13" x14ac:dyDescent="0.25">
      <c r="A374" s="497" t="s">
        <v>90</v>
      </c>
      <c r="B374" s="497" t="str">
        <f>IFERROR(IF(VLOOKUP(D374,'JPM St'!$C:$G,3,0)="Fixed Income &amp; Cash","Cash",VLOOKUP(D374,'JPM St'!$C:$G,3,0)),"")</f>
        <v/>
      </c>
      <c r="C374" s="497" t="str">
        <f>IFERROR(VLOOKUP(D374,'JPM St'!$C:$L,10,0),"")</f>
        <v/>
      </c>
      <c r="E374" s="500" t="str">
        <f>IFERROR(VLOOKUP(D374,'JPM St'!$C:$D,2,0),"")</f>
        <v/>
      </c>
      <c r="F374" s="501">
        <f t="shared" si="15"/>
        <v>0</v>
      </c>
      <c r="G374" s="501">
        <f>SUMIFS('JPM St'!$K:$K,'JPM St'!$A:$A,$V$2,'JPM St'!$C:$C,D374)</f>
        <v>0</v>
      </c>
      <c r="H374" s="501">
        <f>SUMIFS('JPM St'!$K:$K,'JPM St'!$A:$A,$V$3,'JPM St'!$C:$C,D374)</f>
        <v>0</v>
      </c>
      <c r="I374" s="501">
        <f>SUMIFS('JPM St'!$K:$K,'JPM St'!$A:$A,$V$4,'JPM St'!$C:$C,D374)</f>
        <v>0</v>
      </c>
      <c r="J374" s="619">
        <f t="shared" si="16"/>
        <v>0</v>
      </c>
      <c r="K374" s="501">
        <f>IFERROR(SUMIFS('JPM St'!$M:$M,'JPM St'!$A:$A,$V$2,'JPM St'!$C:$C,D374),"")</f>
        <v>0</v>
      </c>
      <c r="L374" s="501">
        <f>IFERROR(SUMIFS('JPM St'!$M:$M,'JPM St'!$A:$A,$V$3,'JPM St'!$C:$C,D374),"")</f>
        <v>0</v>
      </c>
      <c r="M374" s="501">
        <f>IFERROR(SUMIFS('JPM St'!$M:$M,'JPM St'!$A:$A,$V$4,'JPM St'!$C:$C,D374),"")</f>
        <v>0</v>
      </c>
    </row>
    <row r="375" spans="1:13" x14ac:dyDescent="0.25">
      <c r="A375" s="497" t="s">
        <v>90</v>
      </c>
      <c r="B375" s="497" t="str">
        <f>IFERROR(IF(VLOOKUP(D375,'JPM St'!$C:$G,3,0)="Fixed Income &amp; Cash","Cash",VLOOKUP(D375,'JPM St'!$C:$G,3,0)),"")</f>
        <v/>
      </c>
      <c r="C375" s="497" t="str">
        <f>IFERROR(VLOOKUP(D375,'JPM St'!$C:$L,10,0),"")</f>
        <v/>
      </c>
      <c r="E375" s="500" t="str">
        <f>IFERROR(VLOOKUP(D375,'JPM St'!$C:$D,2,0),"")</f>
        <v/>
      </c>
      <c r="F375" s="501">
        <f t="shared" si="15"/>
        <v>0</v>
      </c>
      <c r="G375" s="501">
        <f>SUMIFS('JPM St'!$K:$K,'JPM St'!$A:$A,$V$2,'JPM St'!$C:$C,D375)</f>
        <v>0</v>
      </c>
      <c r="H375" s="501">
        <f>SUMIFS('JPM St'!$K:$K,'JPM St'!$A:$A,$V$3,'JPM St'!$C:$C,D375)</f>
        <v>0</v>
      </c>
      <c r="I375" s="501">
        <f>SUMIFS('JPM St'!$K:$K,'JPM St'!$A:$A,$V$4,'JPM St'!$C:$C,D375)</f>
        <v>0</v>
      </c>
      <c r="J375" s="619">
        <f t="shared" si="16"/>
        <v>0</v>
      </c>
      <c r="K375" s="501">
        <f>IFERROR(SUMIFS('JPM St'!$M:$M,'JPM St'!$A:$A,$V$2,'JPM St'!$C:$C,D375),"")</f>
        <v>0</v>
      </c>
      <c r="L375" s="501">
        <f>IFERROR(SUMIFS('JPM St'!$M:$M,'JPM St'!$A:$A,$V$3,'JPM St'!$C:$C,D375),"")</f>
        <v>0</v>
      </c>
      <c r="M375" s="501">
        <f>IFERROR(SUMIFS('JPM St'!$M:$M,'JPM St'!$A:$A,$V$4,'JPM St'!$C:$C,D375),"")</f>
        <v>0</v>
      </c>
    </row>
    <row r="376" spans="1:13" x14ac:dyDescent="0.25">
      <c r="A376" s="497" t="s">
        <v>90</v>
      </c>
      <c r="B376" s="497" t="str">
        <f>IFERROR(IF(VLOOKUP(D376,'JPM St'!$C:$G,3,0)="Fixed Income &amp; Cash","Cash",VLOOKUP(D376,'JPM St'!$C:$G,3,0)),"")</f>
        <v/>
      </c>
      <c r="C376" s="497" t="str">
        <f>IFERROR(VLOOKUP(D376,'JPM St'!$C:$L,10,0),"")</f>
        <v/>
      </c>
      <c r="E376" s="500" t="str">
        <f>IFERROR(VLOOKUP(D376,'JPM St'!$C:$D,2,0),"")</f>
        <v/>
      </c>
      <c r="F376" s="501">
        <f t="shared" si="15"/>
        <v>0</v>
      </c>
      <c r="G376" s="501">
        <f>SUMIFS('JPM St'!$K:$K,'JPM St'!$A:$A,$V$2,'JPM St'!$C:$C,D376)</f>
        <v>0</v>
      </c>
      <c r="H376" s="501">
        <f>SUMIFS('JPM St'!$K:$K,'JPM St'!$A:$A,$V$3,'JPM St'!$C:$C,D376)</f>
        <v>0</v>
      </c>
      <c r="I376" s="501">
        <f>SUMIFS('JPM St'!$K:$K,'JPM St'!$A:$A,$V$4,'JPM St'!$C:$C,D376)</f>
        <v>0</v>
      </c>
      <c r="J376" s="619">
        <f t="shared" si="16"/>
        <v>0</v>
      </c>
      <c r="K376" s="501">
        <f>IFERROR(SUMIFS('JPM St'!$M:$M,'JPM St'!$A:$A,$V$2,'JPM St'!$C:$C,D376),"")</f>
        <v>0</v>
      </c>
      <c r="L376" s="501">
        <f>IFERROR(SUMIFS('JPM St'!$M:$M,'JPM St'!$A:$A,$V$3,'JPM St'!$C:$C,D376),"")</f>
        <v>0</v>
      </c>
      <c r="M376" s="501">
        <f>IFERROR(SUMIFS('JPM St'!$M:$M,'JPM St'!$A:$A,$V$4,'JPM St'!$C:$C,D376),"")</f>
        <v>0</v>
      </c>
    </row>
    <row r="377" spans="1:13" x14ac:dyDescent="0.25">
      <c r="A377" s="497" t="s">
        <v>90</v>
      </c>
      <c r="B377" s="497" t="str">
        <f>IFERROR(IF(VLOOKUP(D377,'JPM St'!$C:$G,3,0)="Fixed Income &amp; Cash","Cash",VLOOKUP(D377,'JPM St'!$C:$G,3,0)),"")</f>
        <v/>
      </c>
      <c r="C377" s="497" t="str">
        <f>IFERROR(VLOOKUP(D377,'JPM St'!$C:$L,10,0),"")</f>
        <v/>
      </c>
      <c r="E377" s="500" t="str">
        <f>IFERROR(VLOOKUP(D377,'JPM St'!$C:$D,2,0),"")</f>
        <v/>
      </c>
      <c r="F377" s="501">
        <f t="shared" si="15"/>
        <v>0</v>
      </c>
      <c r="G377" s="501">
        <f>SUMIFS('JPM St'!$K:$K,'JPM St'!$A:$A,$V$2,'JPM St'!$C:$C,D377)</f>
        <v>0</v>
      </c>
      <c r="H377" s="501">
        <f>SUMIFS('JPM St'!$K:$K,'JPM St'!$A:$A,$V$3,'JPM St'!$C:$C,D377)</f>
        <v>0</v>
      </c>
      <c r="I377" s="501">
        <f>SUMIFS('JPM St'!$K:$K,'JPM St'!$A:$A,$V$4,'JPM St'!$C:$C,D377)</f>
        <v>0</v>
      </c>
      <c r="J377" s="619">
        <f t="shared" si="16"/>
        <v>0</v>
      </c>
      <c r="K377" s="501">
        <f>IFERROR(SUMIFS('JPM St'!$M:$M,'JPM St'!$A:$A,$V$2,'JPM St'!$C:$C,D377),"")</f>
        <v>0</v>
      </c>
      <c r="L377" s="501">
        <f>IFERROR(SUMIFS('JPM St'!$M:$M,'JPM St'!$A:$A,$V$3,'JPM St'!$C:$C,D377),"")</f>
        <v>0</v>
      </c>
      <c r="M377" s="501">
        <f>IFERROR(SUMIFS('JPM St'!$M:$M,'JPM St'!$A:$A,$V$4,'JPM St'!$C:$C,D377),"")</f>
        <v>0</v>
      </c>
    </row>
    <row r="378" spans="1:13" x14ac:dyDescent="0.25">
      <c r="A378" s="497" t="s">
        <v>90</v>
      </c>
      <c r="B378" s="497" t="str">
        <f>IFERROR(IF(VLOOKUP(D378,'JPM St'!$C:$G,3,0)="Fixed Income &amp; Cash","Cash",VLOOKUP(D378,'JPM St'!$C:$G,3,0)),"")</f>
        <v/>
      </c>
      <c r="C378" s="497" t="str">
        <f>IFERROR(VLOOKUP(D378,'JPM St'!$C:$L,10,0),"")</f>
        <v/>
      </c>
      <c r="E378" s="500" t="str">
        <f>IFERROR(VLOOKUP(D378,'JPM St'!$C:$D,2,0),"")</f>
        <v/>
      </c>
      <c r="F378" s="501">
        <f t="shared" si="15"/>
        <v>0</v>
      </c>
      <c r="G378" s="501">
        <f>SUMIFS('JPM St'!$K:$K,'JPM St'!$A:$A,$V$2,'JPM St'!$C:$C,D378)</f>
        <v>0</v>
      </c>
      <c r="H378" s="501">
        <f>SUMIFS('JPM St'!$K:$K,'JPM St'!$A:$A,$V$3,'JPM St'!$C:$C,D378)</f>
        <v>0</v>
      </c>
      <c r="I378" s="501">
        <f>SUMIFS('JPM St'!$K:$K,'JPM St'!$A:$A,$V$4,'JPM St'!$C:$C,D378)</f>
        <v>0</v>
      </c>
      <c r="J378" s="619">
        <f t="shared" si="16"/>
        <v>0</v>
      </c>
      <c r="K378" s="501">
        <f>IFERROR(SUMIFS('JPM St'!$M:$M,'JPM St'!$A:$A,$V$2,'JPM St'!$C:$C,D378),"")</f>
        <v>0</v>
      </c>
      <c r="L378" s="501">
        <f>IFERROR(SUMIFS('JPM St'!$M:$M,'JPM St'!$A:$A,$V$3,'JPM St'!$C:$C,D378),"")</f>
        <v>0</v>
      </c>
      <c r="M378" s="501">
        <f>IFERROR(SUMIFS('JPM St'!$M:$M,'JPM St'!$A:$A,$V$4,'JPM St'!$C:$C,D378),"")</f>
        <v>0</v>
      </c>
    </row>
    <row r="379" spans="1:13" x14ac:dyDescent="0.25">
      <c r="A379" s="497" t="s">
        <v>90</v>
      </c>
      <c r="B379" s="497" t="str">
        <f>IFERROR(IF(VLOOKUP(D379,'JPM St'!$C:$G,3,0)="Fixed Income &amp; Cash","Cash",VLOOKUP(D379,'JPM St'!$C:$G,3,0)),"")</f>
        <v/>
      </c>
      <c r="C379" s="497" t="str">
        <f>IFERROR(VLOOKUP(D379,'JPM St'!$C:$L,10,0),"")</f>
        <v/>
      </c>
      <c r="E379" s="500" t="str">
        <f>IFERROR(VLOOKUP(D379,'JPM St'!$C:$D,2,0),"")</f>
        <v/>
      </c>
      <c r="F379" s="501">
        <f t="shared" si="15"/>
        <v>0</v>
      </c>
      <c r="G379" s="501">
        <f>SUMIFS('JPM St'!$K:$K,'JPM St'!$A:$A,$V$2,'JPM St'!$C:$C,D379)</f>
        <v>0</v>
      </c>
      <c r="H379" s="501">
        <f>SUMIFS('JPM St'!$K:$K,'JPM St'!$A:$A,$V$3,'JPM St'!$C:$C,D379)</f>
        <v>0</v>
      </c>
      <c r="I379" s="501">
        <f>SUMIFS('JPM St'!$K:$K,'JPM St'!$A:$A,$V$4,'JPM St'!$C:$C,D379)</f>
        <v>0</v>
      </c>
      <c r="J379" s="619">
        <f t="shared" si="16"/>
        <v>0</v>
      </c>
      <c r="K379" s="501">
        <f>IFERROR(SUMIFS('JPM St'!$M:$M,'JPM St'!$A:$A,$V$2,'JPM St'!$C:$C,D379),"")</f>
        <v>0</v>
      </c>
      <c r="L379" s="501">
        <f>IFERROR(SUMIFS('JPM St'!$M:$M,'JPM St'!$A:$A,$V$3,'JPM St'!$C:$C,D379),"")</f>
        <v>0</v>
      </c>
      <c r="M379" s="501">
        <f>IFERROR(SUMIFS('JPM St'!$M:$M,'JPM St'!$A:$A,$V$4,'JPM St'!$C:$C,D379),"")</f>
        <v>0</v>
      </c>
    </row>
    <row r="380" spans="1:13" x14ac:dyDescent="0.25">
      <c r="A380" s="497" t="s">
        <v>90</v>
      </c>
      <c r="B380" s="497" t="str">
        <f>IFERROR(IF(VLOOKUP(D380,'JPM St'!$C:$G,3,0)="Fixed Income &amp; Cash","Cash",VLOOKUP(D380,'JPM St'!$C:$G,3,0)),"")</f>
        <v/>
      </c>
      <c r="C380" s="497" t="str">
        <f>IFERROR(VLOOKUP(D380,'JPM St'!$C:$L,10,0),"")</f>
        <v/>
      </c>
      <c r="E380" s="500" t="str">
        <f>IFERROR(VLOOKUP(D380,'JPM St'!$C:$D,2,0),"")</f>
        <v/>
      </c>
      <c r="F380" s="501">
        <f t="shared" si="15"/>
        <v>0</v>
      </c>
      <c r="G380" s="501">
        <f>SUMIFS('JPM St'!$K:$K,'JPM St'!$A:$A,$V$2,'JPM St'!$C:$C,D380)</f>
        <v>0</v>
      </c>
      <c r="H380" s="501">
        <f>SUMIFS('JPM St'!$K:$K,'JPM St'!$A:$A,$V$3,'JPM St'!$C:$C,D380)</f>
        <v>0</v>
      </c>
      <c r="I380" s="501">
        <f>SUMIFS('JPM St'!$K:$K,'JPM St'!$A:$A,$V$4,'JPM St'!$C:$C,D380)</f>
        <v>0</v>
      </c>
      <c r="J380" s="619">
        <f t="shared" si="16"/>
        <v>0</v>
      </c>
      <c r="K380" s="501">
        <f>IFERROR(SUMIFS('JPM St'!$M:$M,'JPM St'!$A:$A,$V$2,'JPM St'!$C:$C,D380),"")</f>
        <v>0</v>
      </c>
      <c r="L380" s="501">
        <f>IFERROR(SUMIFS('JPM St'!$M:$M,'JPM St'!$A:$A,$V$3,'JPM St'!$C:$C,D380),"")</f>
        <v>0</v>
      </c>
      <c r="M380" s="501">
        <f>IFERROR(SUMIFS('JPM St'!$M:$M,'JPM St'!$A:$A,$V$4,'JPM St'!$C:$C,D380),"")</f>
        <v>0</v>
      </c>
    </row>
    <row r="381" spans="1:13" x14ac:dyDescent="0.25">
      <c r="A381" s="497" t="s">
        <v>90</v>
      </c>
      <c r="B381" s="497" t="str">
        <f>IFERROR(IF(VLOOKUP(D381,'JPM St'!$C:$G,3,0)="Fixed Income &amp; Cash","Cash",VLOOKUP(D381,'JPM St'!$C:$G,3,0)),"")</f>
        <v/>
      </c>
      <c r="C381" s="497" t="str">
        <f>IFERROR(VLOOKUP(D381,'JPM St'!$C:$L,10,0),"")</f>
        <v/>
      </c>
      <c r="E381" s="500" t="str">
        <f>IFERROR(VLOOKUP(D381,'JPM St'!$C:$D,2,0),"")</f>
        <v/>
      </c>
      <c r="F381" s="501">
        <f t="shared" si="15"/>
        <v>0</v>
      </c>
      <c r="G381" s="501">
        <f>SUMIFS('JPM St'!$K:$K,'JPM St'!$A:$A,$V$2,'JPM St'!$C:$C,D381)</f>
        <v>0</v>
      </c>
      <c r="H381" s="501">
        <f>SUMIFS('JPM St'!$K:$K,'JPM St'!$A:$A,$V$3,'JPM St'!$C:$C,D381)</f>
        <v>0</v>
      </c>
      <c r="I381" s="501">
        <f>SUMIFS('JPM St'!$K:$K,'JPM St'!$A:$A,$V$4,'JPM St'!$C:$C,D381)</f>
        <v>0</v>
      </c>
      <c r="J381" s="619">
        <f t="shared" si="16"/>
        <v>0</v>
      </c>
      <c r="K381" s="501">
        <f>IFERROR(SUMIFS('JPM St'!$M:$M,'JPM St'!$A:$A,$V$2,'JPM St'!$C:$C,D381),"")</f>
        <v>0</v>
      </c>
      <c r="L381" s="501">
        <f>IFERROR(SUMIFS('JPM St'!$M:$M,'JPM St'!$A:$A,$V$3,'JPM St'!$C:$C,D381),"")</f>
        <v>0</v>
      </c>
      <c r="M381" s="501">
        <f>IFERROR(SUMIFS('JPM St'!$M:$M,'JPM St'!$A:$A,$V$4,'JPM St'!$C:$C,D381),"")</f>
        <v>0</v>
      </c>
    </row>
    <row r="382" spans="1:13" x14ac:dyDescent="0.25">
      <c r="A382" s="497" t="s">
        <v>90</v>
      </c>
      <c r="B382" s="497" t="str">
        <f>IFERROR(IF(VLOOKUP(D382,'JPM St'!$C:$G,3,0)="Fixed Income &amp; Cash","Cash",VLOOKUP(D382,'JPM St'!$C:$G,3,0)),"")</f>
        <v/>
      </c>
      <c r="C382" s="497" t="str">
        <f>IFERROR(VLOOKUP(D382,'JPM St'!$C:$L,10,0),"")</f>
        <v/>
      </c>
      <c r="E382" s="500" t="str">
        <f>IFERROR(VLOOKUP(D382,'JPM St'!$C:$D,2,0),"")</f>
        <v/>
      </c>
      <c r="F382" s="501">
        <f t="shared" si="15"/>
        <v>0</v>
      </c>
      <c r="G382" s="501">
        <f>SUMIFS('JPM St'!$K:$K,'JPM St'!$A:$A,$V$2,'JPM St'!$C:$C,D382)</f>
        <v>0</v>
      </c>
      <c r="H382" s="501">
        <f>SUMIFS('JPM St'!$K:$K,'JPM St'!$A:$A,$V$3,'JPM St'!$C:$C,D382)</f>
        <v>0</v>
      </c>
      <c r="I382" s="501">
        <f>SUMIFS('JPM St'!$K:$K,'JPM St'!$A:$A,$V$4,'JPM St'!$C:$C,D382)</f>
        <v>0</v>
      </c>
      <c r="J382" s="619">
        <f t="shared" si="16"/>
        <v>0</v>
      </c>
      <c r="K382" s="501">
        <f>IFERROR(SUMIFS('JPM St'!$M:$M,'JPM St'!$A:$A,$V$2,'JPM St'!$C:$C,D382),"")</f>
        <v>0</v>
      </c>
      <c r="L382" s="501">
        <f>IFERROR(SUMIFS('JPM St'!$M:$M,'JPM St'!$A:$A,$V$3,'JPM St'!$C:$C,D382),"")</f>
        <v>0</v>
      </c>
      <c r="M382" s="501">
        <f>IFERROR(SUMIFS('JPM St'!$M:$M,'JPM St'!$A:$A,$V$4,'JPM St'!$C:$C,D382),"")</f>
        <v>0</v>
      </c>
    </row>
    <row r="383" spans="1:13" x14ac:dyDescent="0.25">
      <c r="A383" s="497" t="s">
        <v>90</v>
      </c>
      <c r="B383" s="497" t="str">
        <f>IFERROR(IF(VLOOKUP(D383,'JPM St'!$C:$G,3,0)="Fixed Income &amp; Cash","Cash",VLOOKUP(D383,'JPM St'!$C:$G,3,0)),"")</f>
        <v/>
      </c>
      <c r="C383" s="497" t="str">
        <f>IFERROR(VLOOKUP(D383,'JPM St'!$C:$L,10,0),"")</f>
        <v/>
      </c>
      <c r="E383" s="500" t="str">
        <f>IFERROR(VLOOKUP(D383,'JPM St'!$C:$D,2,0),"")</f>
        <v/>
      </c>
      <c r="F383" s="501">
        <f t="shared" si="15"/>
        <v>0</v>
      </c>
      <c r="G383" s="501">
        <f>SUMIFS('JPM St'!$K:$K,'JPM St'!$A:$A,$V$2,'JPM St'!$C:$C,D383)</f>
        <v>0</v>
      </c>
      <c r="H383" s="501">
        <f>SUMIFS('JPM St'!$K:$K,'JPM St'!$A:$A,$V$3,'JPM St'!$C:$C,D383)</f>
        <v>0</v>
      </c>
      <c r="I383" s="501">
        <f>SUMIFS('JPM St'!$K:$K,'JPM St'!$A:$A,$V$4,'JPM St'!$C:$C,D383)</f>
        <v>0</v>
      </c>
      <c r="J383" s="619">
        <f t="shared" si="16"/>
        <v>0</v>
      </c>
      <c r="K383" s="501">
        <f>IFERROR(SUMIFS('JPM St'!$M:$M,'JPM St'!$A:$A,$V$2,'JPM St'!$C:$C,D383),"")</f>
        <v>0</v>
      </c>
      <c r="L383" s="501">
        <f>IFERROR(SUMIFS('JPM St'!$M:$M,'JPM St'!$A:$A,$V$3,'JPM St'!$C:$C,D383),"")</f>
        <v>0</v>
      </c>
      <c r="M383" s="501">
        <f>IFERROR(SUMIFS('JPM St'!$M:$M,'JPM St'!$A:$A,$V$4,'JPM St'!$C:$C,D383),"")</f>
        <v>0</v>
      </c>
    </row>
    <row r="384" spans="1:13" x14ac:dyDescent="0.25">
      <c r="A384" s="497" t="s">
        <v>90</v>
      </c>
      <c r="B384" s="497" t="str">
        <f>IFERROR(IF(VLOOKUP(D384,'JPM St'!$C:$G,3,0)="Fixed Income &amp; Cash","Cash",VLOOKUP(D384,'JPM St'!$C:$G,3,0)),"")</f>
        <v/>
      </c>
      <c r="C384" s="497" t="str">
        <f>IFERROR(VLOOKUP(D384,'JPM St'!$C:$L,10,0),"")</f>
        <v/>
      </c>
      <c r="E384" s="500" t="str">
        <f>IFERROR(VLOOKUP(D384,'JPM St'!$C:$D,2,0),"")</f>
        <v/>
      </c>
      <c r="F384" s="501">
        <f t="shared" si="15"/>
        <v>0</v>
      </c>
      <c r="G384" s="501">
        <f>SUMIFS('JPM St'!$K:$K,'JPM St'!$A:$A,$V$2,'JPM St'!$C:$C,D384)</f>
        <v>0</v>
      </c>
      <c r="H384" s="501">
        <f>SUMIFS('JPM St'!$K:$K,'JPM St'!$A:$A,$V$3,'JPM St'!$C:$C,D384)</f>
        <v>0</v>
      </c>
      <c r="I384" s="501">
        <f>SUMIFS('JPM St'!$K:$K,'JPM St'!$A:$A,$V$4,'JPM St'!$C:$C,D384)</f>
        <v>0</v>
      </c>
      <c r="J384" s="619">
        <f t="shared" si="16"/>
        <v>0</v>
      </c>
      <c r="K384" s="501">
        <f>IFERROR(SUMIFS('JPM St'!$M:$M,'JPM St'!$A:$A,$V$2,'JPM St'!$C:$C,D384),"")</f>
        <v>0</v>
      </c>
      <c r="L384" s="501">
        <f>IFERROR(SUMIFS('JPM St'!$M:$M,'JPM St'!$A:$A,$V$3,'JPM St'!$C:$C,D384),"")</f>
        <v>0</v>
      </c>
      <c r="M384" s="501">
        <f>IFERROR(SUMIFS('JPM St'!$M:$M,'JPM St'!$A:$A,$V$4,'JPM St'!$C:$C,D384),"")</f>
        <v>0</v>
      </c>
    </row>
    <row r="385" spans="1:13" x14ac:dyDescent="0.25">
      <c r="A385" s="497" t="s">
        <v>90</v>
      </c>
      <c r="B385" s="497" t="str">
        <f>IFERROR(IF(VLOOKUP(D385,'JPM St'!$C:$G,3,0)="Fixed Income &amp; Cash","Cash",VLOOKUP(D385,'JPM St'!$C:$G,3,0)),"")</f>
        <v/>
      </c>
      <c r="C385" s="497" t="str">
        <f>IFERROR(VLOOKUP(D385,'JPM St'!$C:$L,10,0),"")</f>
        <v/>
      </c>
      <c r="E385" s="500" t="str">
        <f>IFERROR(VLOOKUP(D385,'JPM St'!$C:$D,2,0),"")</f>
        <v/>
      </c>
      <c r="F385" s="501">
        <f t="shared" si="15"/>
        <v>0</v>
      </c>
      <c r="G385" s="501">
        <f>SUMIFS('JPM St'!$K:$K,'JPM St'!$A:$A,$V$2,'JPM St'!$C:$C,D385)</f>
        <v>0</v>
      </c>
      <c r="H385" s="501">
        <f>SUMIFS('JPM St'!$K:$K,'JPM St'!$A:$A,$V$3,'JPM St'!$C:$C,D385)</f>
        <v>0</v>
      </c>
      <c r="I385" s="501">
        <f>SUMIFS('JPM St'!$K:$K,'JPM St'!$A:$A,$V$4,'JPM St'!$C:$C,D385)</f>
        <v>0</v>
      </c>
      <c r="J385" s="619">
        <f t="shared" si="16"/>
        <v>0</v>
      </c>
      <c r="K385" s="501">
        <f>IFERROR(SUMIFS('JPM St'!$M:$M,'JPM St'!$A:$A,$V$2,'JPM St'!$C:$C,D385),"")</f>
        <v>0</v>
      </c>
      <c r="L385" s="501">
        <f>IFERROR(SUMIFS('JPM St'!$M:$M,'JPM St'!$A:$A,$V$3,'JPM St'!$C:$C,D385),"")</f>
        <v>0</v>
      </c>
      <c r="M385" s="501">
        <f>IFERROR(SUMIFS('JPM St'!$M:$M,'JPM St'!$A:$A,$V$4,'JPM St'!$C:$C,D385),"")</f>
        <v>0</v>
      </c>
    </row>
    <row r="386" spans="1:13" x14ac:dyDescent="0.25">
      <c r="A386" s="497" t="s">
        <v>90</v>
      </c>
      <c r="B386" s="497" t="str">
        <f>IFERROR(IF(VLOOKUP(D386,'JPM St'!$C:$G,3,0)="Fixed Income &amp; Cash","Cash",VLOOKUP(D386,'JPM St'!$C:$G,3,0)),"")</f>
        <v/>
      </c>
      <c r="C386" s="497" t="str">
        <f>IFERROR(VLOOKUP(D386,'JPM St'!$C:$L,10,0),"")</f>
        <v/>
      </c>
      <c r="E386" s="500" t="str">
        <f>IFERROR(VLOOKUP(D386,'JPM St'!$C:$D,2,0),"")</f>
        <v/>
      </c>
      <c r="F386" s="501">
        <f t="shared" si="15"/>
        <v>0</v>
      </c>
      <c r="G386" s="501">
        <f>SUMIFS('JPM St'!$K:$K,'JPM St'!$A:$A,$V$2,'JPM St'!$C:$C,D386)</f>
        <v>0</v>
      </c>
      <c r="H386" s="501">
        <f>SUMIFS('JPM St'!$K:$K,'JPM St'!$A:$A,$V$3,'JPM St'!$C:$C,D386)</f>
        <v>0</v>
      </c>
      <c r="I386" s="501">
        <f>SUMIFS('JPM St'!$K:$K,'JPM St'!$A:$A,$V$4,'JPM St'!$C:$C,D386)</f>
        <v>0</v>
      </c>
      <c r="J386" s="619">
        <f t="shared" si="16"/>
        <v>0</v>
      </c>
      <c r="K386" s="501">
        <f>IFERROR(SUMIFS('JPM St'!$M:$M,'JPM St'!$A:$A,$V$2,'JPM St'!$C:$C,D386),"")</f>
        <v>0</v>
      </c>
      <c r="L386" s="501">
        <f>IFERROR(SUMIFS('JPM St'!$M:$M,'JPM St'!$A:$A,$V$3,'JPM St'!$C:$C,D386),"")</f>
        <v>0</v>
      </c>
      <c r="M386" s="501">
        <f>IFERROR(SUMIFS('JPM St'!$M:$M,'JPM St'!$A:$A,$V$4,'JPM St'!$C:$C,D386),"")</f>
        <v>0</v>
      </c>
    </row>
    <row r="387" spans="1:13" x14ac:dyDescent="0.25">
      <c r="A387" s="497" t="s">
        <v>90</v>
      </c>
      <c r="B387" s="497" t="str">
        <f>IFERROR(IF(VLOOKUP(D387,'JPM St'!$C:$G,3,0)="Fixed Income &amp; Cash","Cash",VLOOKUP(D387,'JPM St'!$C:$G,3,0)),"")</f>
        <v/>
      </c>
      <c r="C387" s="497" t="str">
        <f>IFERROR(VLOOKUP(D387,'JPM St'!$C:$L,10,0),"")</f>
        <v/>
      </c>
      <c r="E387" s="500" t="str">
        <f>IFERROR(VLOOKUP(D387,'JPM St'!$C:$D,2,0),"")</f>
        <v/>
      </c>
      <c r="F387" s="501">
        <f t="shared" ref="F387:F450" si="17">SUM(G387:I387)</f>
        <v>0</v>
      </c>
      <c r="G387" s="501">
        <f>SUMIFS('JPM St'!$K:$K,'JPM St'!$A:$A,$V$2,'JPM St'!$C:$C,D387)</f>
        <v>0</v>
      </c>
      <c r="H387" s="501">
        <f>SUMIFS('JPM St'!$K:$K,'JPM St'!$A:$A,$V$3,'JPM St'!$C:$C,D387)</f>
        <v>0</v>
      </c>
      <c r="I387" s="501">
        <f>SUMIFS('JPM St'!$K:$K,'JPM St'!$A:$A,$V$4,'JPM St'!$C:$C,D387)</f>
        <v>0</v>
      </c>
      <c r="J387" s="619">
        <f t="shared" ref="J387:J450" si="18">SUM(K387:M387)</f>
        <v>0</v>
      </c>
      <c r="K387" s="501">
        <f>IFERROR(SUMIFS('JPM St'!$M:$M,'JPM St'!$A:$A,$V$2,'JPM St'!$C:$C,D387),"")</f>
        <v>0</v>
      </c>
      <c r="L387" s="501">
        <f>IFERROR(SUMIFS('JPM St'!$M:$M,'JPM St'!$A:$A,$V$3,'JPM St'!$C:$C,D387),"")</f>
        <v>0</v>
      </c>
      <c r="M387" s="501">
        <f>IFERROR(SUMIFS('JPM St'!$M:$M,'JPM St'!$A:$A,$V$4,'JPM St'!$C:$C,D387),"")</f>
        <v>0</v>
      </c>
    </row>
    <row r="388" spans="1:13" x14ac:dyDescent="0.25">
      <c r="A388" s="497" t="s">
        <v>90</v>
      </c>
      <c r="B388" s="497" t="str">
        <f>IFERROR(IF(VLOOKUP(D388,'JPM St'!$C:$G,3,0)="Fixed Income &amp; Cash","Cash",VLOOKUP(D388,'JPM St'!$C:$G,3,0)),"")</f>
        <v/>
      </c>
      <c r="C388" s="497" t="str">
        <f>IFERROR(VLOOKUP(D388,'JPM St'!$C:$L,10,0),"")</f>
        <v/>
      </c>
      <c r="E388" s="500" t="str">
        <f>IFERROR(VLOOKUP(D388,'JPM St'!$C:$D,2,0),"")</f>
        <v/>
      </c>
      <c r="F388" s="501">
        <f t="shared" si="17"/>
        <v>0</v>
      </c>
      <c r="G388" s="501">
        <f>SUMIFS('JPM St'!$K:$K,'JPM St'!$A:$A,$V$2,'JPM St'!$C:$C,D388)</f>
        <v>0</v>
      </c>
      <c r="H388" s="501">
        <f>SUMIFS('JPM St'!$K:$K,'JPM St'!$A:$A,$V$3,'JPM St'!$C:$C,D388)</f>
        <v>0</v>
      </c>
      <c r="I388" s="501">
        <f>SUMIFS('JPM St'!$K:$K,'JPM St'!$A:$A,$V$4,'JPM St'!$C:$C,D388)</f>
        <v>0</v>
      </c>
      <c r="J388" s="619">
        <f t="shared" si="18"/>
        <v>0</v>
      </c>
      <c r="K388" s="501">
        <f>IFERROR(SUMIFS('JPM St'!$M:$M,'JPM St'!$A:$A,$V$2,'JPM St'!$C:$C,D388),"")</f>
        <v>0</v>
      </c>
      <c r="L388" s="501">
        <f>IFERROR(SUMIFS('JPM St'!$M:$M,'JPM St'!$A:$A,$V$3,'JPM St'!$C:$C,D388),"")</f>
        <v>0</v>
      </c>
      <c r="M388" s="501">
        <f>IFERROR(SUMIFS('JPM St'!$M:$M,'JPM St'!$A:$A,$V$4,'JPM St'!$C:$C,D388),"")</f>
        <v>0</v>
      </c>
    </row>
    <row r="389" spans="1:13" x14ac:dyDescent="0.25">
      <c r="A389" s="497" t="s">
        <v>90</v>
      </c>
      <c r="B389" s="497" t="str">
        <f>IFERROR(IF(VLOOKUP(D389,'JPM St'!$C:$G,3,0)="Fixed Income &amp; Cash","Cash",VLOOKUP(D389,'JPM St'!$C:$G,3,0)),"")</f>
        <v/>
      </c>
      <c r="C389" s="497" t="str">
        <f>IFERROR(VLOOKUP(D389,'JPM St'!$C:$L,10,0),"")</f>
        <v/>
      </c>
      <c r="E389" s="500" t="str">
        <f>IFERROR(VLOOKUP(D389,'JPM St'!$C:$D,2,0),"")</f>
        <v/>
      </c>
      <c r="F389" s="501">
        <f t="shared" si="17"/>
        <v>0</v>
      </c>
      <c r="G389" s="501">
        <f>SUMIFS('JPM St'!$K:$K,'JPM St'!$A:$A,$V$2,'JPM St'!$C:$C,D389)</f>
        <v>0</v>
      </c>
      <c r="H389" s="501">
        <f>SUMIFS('JPM St'!$K:$K,'JPM St'!$A:$A,$V$3,'JPM St'!$C:$C,D389)</f>
        <v>0</v>
      </c>
      <c r="I389" s="501">
        <f>SUMIFS('JPM St'!$K:$K,'JPM St'!$A:$A,$V$4,'JPM St'!$C:$C,D389)</f>
        <v>0</v>
      </c>
      <c r="J389" s="619">
        <f t="shared" si="18"/>
        <v>0</v>
      </c>
      <c r="K389" s="501">
        <f>IFERROR(SUMIFS('JPM St'!$M:$M,'JPM St'!$A:$A,$V$2,'JPM St'!$C:$C,D389),"")</f>
        <v>0</v>
      </c>
      <c r="L389" s="501">
        <f>IFERROR(SUMIFS('JPM St'!$M:$M,'JPM St'!$A:$A,$V$3,'JPM St'!$C:$C,D389),"")</f>
        <v>0</v>
      </c>
      <c r="M389" s="501">
        <f>IFERROR(SUMIFS('JPM St'!$M:$M,'JPM St'!$A:$A,$V$4,'JPM St'!$C:$C,D389),"")</f>
        <v>0</v>
      </c>
    </row>
    <row r="390" spans="1:13" x14ac:dyDescent="0.25">
      <c r="A390" s="497" t="s">
        <v>90</v>
      </c>
      <c r="B390" s="497" t="str">
        <f>IFERROR(IF(VLOOKUP(D390,'JPM St'!$C:$G,3,0)="Fixed Income &amp; Cash","Cash",VLOOKUP(D390,'JPM St'!$C:$G,3,0)),"")</f>
        <v/>
      </c>
      <c r="C390" s="497" t="str">
        <f>IFERROR(VLOOKUP(D390,'JPM St'!$C:$L,10,0),"")</f>
        <v/>
      </c>
      <c r="E390" s="500" t="str">
        <f>IFERROR(VLOOKUP(D390,'JPM St'!$C:$D,2,0),"")</f>
        <v/>
      </c>
      <c r="F390" s="501">
        <f t="shared" si="17"/>
        <v>0</v>
      </c>
      <c r="G390" s="501">
        <f>SUMIFS('JPM St'!$K:$K,'JPM St'!$A:$A,$V$2,'JPM St'!$C:$C,D390)</f>
        <v>0</v>
      </c>
      <c r="H390" s="501">
        <f>SUMIFS('JPM St'!$K:$K,'JPM St'!$A:$A,$V$3,'JPM St'!$C:$C,D390)</f>
        <v>0</v>
      </c>
      <c r="I390" s="501">
        <f>SUMIFS('JPM St'!$K:$K,'JPM St'!$A:$A,$V$4,'JPM St'!$C:$C,D390)</f>
        <v>0</v>
      </c>
      <c r="J390" s="619">
        <f t="shared" si="18"/>
        <v>0</v>
      </c>
      <c r="K390" s="501">
        <f>IFERROR(SUMIFS('JPM St'!$M:$M,'JPM St'!$A:$A,$V$2,'JPM St'!$C:$C,D390),"")</f>
        <v>0</v>
      </c>
      <c r="L390" s="501">
        <f>IFERROR(SUMIFS('JPM St'!$M:$M,'JPM St'!$A:$A,$V$3,'JPM St'!$C:$C,D390),"")</f>
        <v>0</v>
      </c>
      <c r="M390" s="501">
        <f>IFERROR(SUMIFS('JPM St'!$M:$M,'JPM St'!$A:$A,$V$4,'JPM St'!$C:$C,D390),"")</f>
        <v>0</v>
      </c>
    </row>
    <row r="391" spans="1:13" x14ac:dyDescent="0.25">
      <c r="A391" s="497" t="s">
        <v>90</v>
      </c>
      <c r="B391" s="497" t="str">
        <f>IFERROR(IF(VLOOKUP(D391,'JPM St'!$C:$G,3,0)="Fixed Income &amp; Cash","Cash",VLOOKUP(D391,'JPM St'!$C:$G,3,0)),"")</f>
        <v/>
      </c>
      <c r="C391" s="497" t="str">
        <f>IFERROR(VLOOKUP(D391,'JPM St'!$C:$L,10,0),"")</f>
        <v/>
      </c>
      <c r="E391" s="500" t="str">
        <f>IFERROR(VLOOKUP(D391,'JPM St'!$C:$D,2,0),"")</f>
        <v/>
      </c>
      <c r="F391" s="501">
        <f t="shared" si="17"/>
        <v>0</v>
      </c>
      <c r="G391" s="501">
        <f>SUMIFS('JPM St'!$K:$K,'JPM St'!$A:$A,$V$2,'JPM St'!$C:$C,D391)</f>
        <v>0</v>
      </c>
      <c r="H391" s="501">
        <f>SUMIFS('JPM St'!$K:$K,'JPM St'!$A:$A,$V$3,'JPM St'!$C:$C,D391)</f>
        <v>0</v>
      </c>
      <c r="I391" s="501">
        <f>SUMIFS('JPM St'!$K:$K,'JPM St'!$A:$A,$V$4,'JPM St'!$C:$C,D391)</f>
        <v>0</v>
      </c>
      <c r="J391" s="619">
        <f t="shared" si="18"/>
        <v>0</v>
      </c>
      <c r="K391" s="501">
        <f>IFERROR(SUMIFS('JPM St'!$M:$M,'JPM St'!$A:$A,$V$2,'JPM St'!$C:$C,D391),"")</f>
        <v>0</v>
      </c>
      <c r="L391" s="501">
        <f>IFERROR(SUMIFS('JPM St'!$M:$M,'JPM St'!$A:$A,$V$3,'JPM St'!$C:$C,D391),"")</f>
        <v>0</v>
      </c>
      <c r="M391" s="501">
        <f>IFERROR(SUMIFS('JPM St'!$M:$M,'JPM St'!$A:$A,$V$4,'JPM St'!$C:$C,D391),"")</f>
        <v>0</v>
      </c>
    </row>
    <row r="392" spans="1:13" x14ac:dyDescent="0.25">
      <c r="A392" s="497" t="s">
        <v>90</v>
      </c>
      <c r="B392" s="497" t="str">
        <f>IFERROR(IF(VLOOKUP(D392,'JPM St'!$C:$G,3,0)="Fixed Income &amp; Cash","Cash",VLOOKUP(D392,'JPM St'!$C:$G,3,0)),"")</f>
        <v/>
      </c>
      <c r="C392" s="497" t="str">
        <f>IFERROR(VLOOKUP(D392,'JPM St'!$C:$L,10,0),"")</f>
        <v/>
      </c>
      <c r="E392" s="500" t="str">
        <f>IFERROR(VLOOKUP(D392,'JPM St'!$C:$D,2,0),"")</f>
        <v/>
      </c>
      <c r="F392" s="501">
        <f t="shared" si="17"/>
        <v>0</v>
      </c>
      <c r="G392" s="501">
        <f>SUMIFS('JPM St'!$K:$K,'JPM St'!$A:$A,$V$2,'JPM St'!$C:$C,D392)</f>
        <v>0</v>
      </c>
      <c r="H392" s="501">
        <f>SUMIFS('JPM St'!$K:$K,'JPM St'!$A:$A,$V$3,'JPM St'!$C:$C,D392)</f>
        <v>0</v>
      </c>
      <c r="I392" s="501">
        <f>SUMIFS('JPM St'!$K:$K,'JPM St'!$A:$A,$V$4,'JPM St'!$C:$C,D392)</f>
        <v>0</v>
      </c>
      <c r="J392" s="619">
        <f t="shared" si="18"/>
        <v>0</v>
      </c>
      <c r="K392" s="501">
        <f>IFERROR(SUMIFS('JPM St'!$M:$M,'JPM St'!$A:$A,$V$2,'JPM St'!$C:$C,D392),"")</f>
        <v>0</v>
      </c>
      <c r="L392" s="501">
        <f>IFERROR(SUMIFS('JPM St'!$M:$M,'JPM St'!$A:$A,$V$3,'JPM St'!$C:$C,D392),"")</f>
        <v>0</v>
      </c>
      <c r="M392" s="501">
        <f>IFERROR(SUMIFS('JPM St'!$M:$M,'JPM St'!$A:$A,$V$4,'JPM St'!$C:$C,D392),"")</f>
        <v>0</v>
      </c>
    </row>
    <row r="393" spans="1:13" x14ac:dyDescent="0.25">
      <c r="A393" s="497" t="s">
        <v>90</v>
      </c>
      <c r="B393" s="497" t="str">
        <f>IFERROR(IF(VLOOKUP(D393,'JPM St'!$C:$G,3,0)="Fixed Income &amp; Cash","Cash",VLOOKUP(D393,'JPM St'!$C:$G,3,0)),"")</f>
        <v/>
      </c>
      <c r="C393" s="497" t="str">
        <f>IFERROR(VLOOKUP(D393,'JPM St'!$C:$L,10,0),"")</f>
        <v/>
      </c>
      <c r="E393" s="500" t="str">
        <f>IFERROR(VLOOKUP(D393,'JPM St'!$C:$D,2,0),"")</f>
        <v/>
      </c>
      <c r="F393" s="501">
        <f t="shared" si="17"/>
        <v>0</v>
      </c>
      <c r="G393" s="501">
        <f>SUMIFS('JPM St'!$K:$K,'JPM St'!$A:$A,$V$2,'JPM St'!$C:$C,D393)</f>
        <v>0</v>
      </c>
      <c r="H393" s="501">
        <f>SUMIFS('JPM St'!$K:$K,'JPM St'!$A:$A,$V$3,'JPM St'!$C:$C,D393)</f>
        <v>0</v>
      </c>
      <c r="I393" s="501">
        <f>SUMIFS('JPM St'!$K:$K,'JPM St'!$A:$A,$V$4,'JPM St'!$C:$C,D393)</f>
        <v>0</v>
      </c>
      <c r="J393" s="619">
        <f t="shared" si="18"/>
        <v>0</v>
      </c>
      <c r="K393" s="501">
        <f>IFERROR(SUMIFS('JPM St'!$M:$M,'JPM St'!$A:$A,$V$2,'JPM St'!$C:$C,D393),"")</f>
        <v>0</v>
      </c>
      <c r="L393" s="501">
        <f>IFERROR(SUMIFS('JPM St'!$M:$M,'JPM St'!$A:$A,$V$3,'JPM St'!$C:$C,D393),"")</f>
        <v>0</v>
      </c>
      <c r="M393" s="501">
        <f>IFERROR(SUMIFS('JPM St'!$M:$M,'JPM St'!$A:$A,$V$4,'JPM St'!$C:$C,D393),"")</f>
        <v>0</v>
      </c>
    </row>
    <row r="394" spans="1:13" x14ac:dyDescent="0.25">
      <c r="A394" s="497" t="s">
        <v>90</v>
      </c>
      <c r="B394" s="497" t="str">
        <f>IFERROR(IF(VLOOKUP(D394,'JPM St'!$C:$G,3,0)="Fixed Income &amp; Cash","Cash",VLOOKUP(D394,'JPM St'!$C:$G,3,0)),"")</f>
        <v/>
      </c>
      <c r="C394" s="497" t="str">
        <f>IFERROR(VLOOKUP(D394,'JPM St'!$C:$L,10,0),"")</f>
        <v/>
      </c>
      <c r="E394" s="500" t="str">
        <f>IFERROR(VLOOKUP(D394,'JPM St'!$C:$D,2,0),"")</f>
        <v/>
      </c>
      <c r="F394" s="501">
        <f t="shared" si="17"/>
        <v>0</v>
      </c>
      <c r="G394" s="501">
        <f>SUMIFS('JPM St'!$K:$K,'JPM St'!$A:$A,$V$2,'JPM St'!$C:$C,D394)</f>
        <v>0</v>
      </c>
      <c r="H394" s="501">
        <f>SUMIFS('JPM St'!$K:$K,'JPM St'!$A:$A,$V$3,'JPM St'!$C:$C,D394)</f>
        <v>0</v>
      </c>
      <c r="I394" s="501">
        <f>SUMIFS('JPM St'!$K:$K,'JPM St'!$A:$A,$V$4,'JPM St'!$C:$C,D394)</f>
        <v>0</v>
      </c>
      <c r="J394" s="619">
        <f t="shared" si="18"/>
        <v>0</v>
      </c>
      <c r="K394" s="501">
        <f>IFERROR(SUMIFS('JPM St'!$M:$M,'JPM St'!$A:$A,$V$2,'JPM St'!$C:$C,D394),"")</f>
        <v>0</v>
      </c>
      <c r="L394" s="501">
        <f>IFERROR(SUMIFS('JPM St'!$M:$M,'JPM St'!$A:$A,$V$3,'JPM St'!$C:$C,D394),"")</f>
        <v>0</v>
      </c>
      <c r="M394" s="501">
        <f>IFERROR(SUMIFS('JPM St'!$M:$M,'JPM St'!$A:$A,$V$4,'JPM St'!$C:$C,D394),"")</f>
        <v>0</v>
      </c>
    </row>
    <row r="395" spans="1:13" x14ac:dyDescent="0.25">
      <c r="A395" s="497" t="s">
        <v>90</v>
      </c>
      <c r="B395" s="497" t="str">
        <f>IFERROR(IF(VLOOKUP(D395,'JPM St'!$C:$G,3,0)="Fixed Income &amp; Cash","Cash",VLOOKUP(D395,'JPM St'!$C:$G,3,0)),"")</f>
        <v/>
      </c>
      <c r="C395" s="497" t="str">
        <f>IFERROR(VLOOKUP(D395,'JPM St'!$C:$L,10,0),"")</f>
        <v/>
      </c>
      <c r="E395" s="500" t="str">
        <f>IFERROR(VLOOKUP(D395,'JPM St'!$C:$D,2,0),"")</f>
        <v/>
      </c>
      <c r="F395" s="501">
        <f t="shared" si="17"/>
        <v>0</v>
      </c>
      <c r="G395" s="501">
        <f>SUMIFS('JPM St'!$K:$K,'JPM St'!$A:$A,$V$2,'JPM St'!$C:$C,D395)</f>
        <v>0</v>
      </c>
      <c r="H395" s="501">
        <f>SUMIFS('JPM St'!$K:$K,'JPM St'!$A:$A,$V$3,'JPM St'!$C:$C,D395)</f>
        <v>0</v>
      </c>
      <c r="I395" s="501">
        <f>SUMIFS('JPM St'!$K:$K,'JPM St'!$A:$A,$V$4,'JPM St'!$C:$C,D395)</f>
        <v>0</v>
      </c>
      <c r="J395" s="619">
        <f t="shared" si="18"/>
        <v>0</v>
      </c>
      <c r="K395" s="501">
        <f>IFERROR(SUMIFS('JPM St'!$M:$M,'JPM St'!$A:$A,$V$2,'JPM St'!$C:$C,D395),"")</f>
        <v>0</v>
      </c>
      <c r="L395" s="501">
        <f>IFERROR(SUMIFS('JPM St'!$M:$M,'JPM St'!$A:$A,$V$3,'JPM St'!$C:$C,D395),"")</f>
        <v>0</v>
      </c>
      <c r="M395" s="501">
        <f>IFERROR(SUMIFS('JPM St'!$M:$M,'JPM St'!$A:$A,$V$4,'JPM St'!$C:$C,D395),"")</f>
        <v>0</v>
      </c>
    </row>
    <row r="396" spans="1:13" x14ac:dyDescent="0.25">
      <c r="A396" s="497" t="s">
        <v>90</v>
      </c>
      <c r="B396" s="497" t="str">
        <f>IFERROR(IF(VLOOKUP(D396,'JPM St'!$C:$G,3,0)="Fixed Income &amp; Cash","Cash",VLOOKUP(D396,'JPM St'!$C:$G,3,0)),"")</f>
        <v/>
      </c>
      <c r="C396" s="497" t="str">
        <f>IFERROR(VLOOKUP(D396,'JPM St'!$C:$L,10,0),"")</f>
        <v/>
      </c>
      <c r="E396" s="500" t="str">
        <f>IFERROR(VLOOKUP(D396,'JPM St'!$C:$D,2,0),"")</f>
        <v/>
      </c>
      <c r="F396" s="501">
        <f t="shared" si="17"/>
        <v>0</v>
      </c>
      <c r="G396" s="501">
        <f>SUMIFS('JPM St'!$K:$K,'JPM St'!$A:$A,$V$2,'JPM St'!$C:$C,D396)</f>
        <v>0</v>
      </c>
      <c r="H396" s="501">
        <f>SUMIFS('JPM St'!$K:$K,'JPM St'!$A:$A,$V$3,'JPM St'!$C:$C,D396)</f>
        <v>0</v>
      </c>
      <c r="I396" s="501">
        <f>SUMIFS('JPM St'!$K:$K,'JPM St'!$A:$A,$V$4,'JPM St'!$C:$C,D396)</f>
        <v>0</v>
      </c>
      <c r="J396" s="619">
        <f t="shared" si="18"/>
        <v>0</v>
      </c>
      <c r="K396" s="501">
        <f>IFERROR(SUMIFS('JPM St'!$M:$M,'JPM St'!$A:$A,$V$2,'JPM St'!$C:$C,D396),"")</f>
        <v>0</v>
      </c>
      <c r="L396" s="501">
        <f>IFERROR(SUMIFS('JPM St'!$M:$M,'JPM St'!$A:$A,$V$3,'JPM St'!$C:$C,D396),"")</f>
        <v>0</v>
      </c>
      <c r="M396" s="501">
        <f>IFERROR(SUMIFS('JPM St'!$M:$M,'JPM St'!$A:$A,$V$4,'JPM St'!$C:$C,D396),"")</f>
        <v>0</v>
      </c>
    </row>
    <row r="397" spans="1:13" x14ac:dyDescent="0.25">
      <c r="A397" s="497" t="s">
        <v>90</v>
      </c>
      <c r="B397" s="497" t="str">
        <f>IFERROR(IF(VLOOKUP(D397,'JPM St'!$C:$G,3,0)="Fixed Income &amp; Cash","Cash",VLOOKUP(D397,'JPM St'!$C:$G,3,0)),"")</f>
        <v/>
      </c>
      <c r="C397" s="497" t="str">
        <f>IFERROR(VLOOKUP(D397,'JPM St'!$C:$L,10,0),"")</f>
        <v/>
      </c>
      <c r="E397" s="500" t="str">
        <f>IFERROR(VLOOKUP(D397,'JPM St'!$C:$D,2,0),"")</f>
        <v/>
      </c>
      <c r="F397" s="501">
        <f t="shared" si="17"/>
        <v>0</v>
      </c>
      <c r="G397" s="501">
        <f>SUMIFS('JPM St'!$K:$K,'JPM St'!$A:$A,$V$2,'JPM St'!$C:$C,D397)</f>
        <v>0</v>
      </c>
      <c r="H397" s="501">
        <f>SUMIFS('JPM St'!$K:$K,'JPM St'!$A:$A,$V$3,'JPM St'!$C:$C,D397)</f>
        <v>0</v>
      </c>
      <c r="I397" s="501">
        <f>SUMIFS('JPM St'!$K:$K,'JPM St'!$A:$A,$V$4,'JPM St'!$C:$C,D397)</f>
        <v>0</v>
      </c>
      <c r="J397" s="619">
        <f t="shared" si="18"/>
        <v>0</v>
      </c>
      <c r="K397" s="501">
        <f>IFERROR(SUMIFS('JPM St'!$M:$M,'JPM St'!$A:$A,$V$2,'JPM St'!$C:$C,D397),"")</f>
        <v>0</v>
      </c>
      <c r="L397" s="501">
        <f>IFERROR(SUMIFS('JPM St'!$M:$M,'JPM St'!$A:$A,$V$3,'JPM St'!$C:$C,D397),"")</f>
        <v>0</v>
      </c>
      <c r="M397" s="501">
        <f>IFERROR(SUMIFS('JPM St'!$M:$M,'JPM St'!$A:$A,$V$4,'JPM St'!$C:$C,D397),"")</f>
        <v>0</v>
      </c>
    </row>
    <row r="398" spans="1:13" x14ac:dyDescent="0.25">
      <c r="A398" s="497" t="s">
        <v>90</v>
      </c>
      <c r="B398" s="497" t="str">
        <f>IFERROR(IF(VLOOKUP(D398,'JPM St'!$C:$G,3,0)="Fixed Income &amp; Cash","Cash",VLOOKUP(D398,'JPM St'!$C:$G,3,0)),"")</f>
        <v/>
      </c>
      <c r="C398" s="497" t="str">
        <f>IFERROR(VLOOKUP(D398,'JPM St'!$C:$L,10,0),"")</f>
        <v/>
      </c>
      <c r="E398" s="500" t="str">
        <f>IFERROR(VLOOKUP(D398,'JPM St'!$C:$D,2,0),"")</f>
        <v/>
      </c>
      <c r="F398" s="501">
        <f t="shared" si="17"/>
        <v>0</v>
      </c>
      <c r="G398" s="501">
        <f>SUMIFS('JPM St'!$K:$K,'JPM St'!$A:$A,$V$2,'JPM St'!$C:$C,D398)</f>
        <v>0</v>
      </c>
      <c r="H398" s="501">
        <f>SUMIFS('JPM St'!$K:$K,'JPM St'!$A:$A,$V$3,'JPM St'!$C:$C,D398)</f>
        <v>0</v>
      </c>
      <c r="I398" s="501">
        <f>SUMIFS('JPM St'!$K:$K,'JPM St'!$A:$A,$V$4,'JPM St'!$C:$C,D398)</f>
        <v>0</v>
      </c>
      <c r="J398" s="619">
        <f t="shared" si="18"/>
        <v>0</v>
      </c>
      <c r="K398" s="501">
        <f>IFERROR(SUMIFS('JPM St'!$M:$M,'JPM St'!$A:$A,$V$2,'JPM St'!$C:$C,D398),"")</f>
        <v>0</v>
      </c>
      <c r="L398" s="501">
        <f>IFERROR(SUMIFS('JPM St'!$M:$M,'JPM St'!$A:$A,$V$3,'JPM St'!$C:$C,D398),"")</f>
        <v>0</v>
      </c>
      <c r="M398" s="501">
        <f>IFERROR(SUMIFS('JPM St'!$M:$M,'JPM St'!$A:$A,$V$4,'JPM St'!$C:$C,D398),"")</f>
        <v>0</v>
      </c>
    </row>
    <row r="399" spans="1:13" x14ac:dyDescent="0.25">
      <c r="A399" s="497" t="s">
        <v>90</v>
      </c>
      <c r="B399" s="497" t="str">
        <f>IFERROR(IF(VLOOKUP(D399,'JPM St'!$C:$G,3,0)="Fixed Income &amp; Cash","Cash",VLOOKUP(D399,'JPM St'!$C:$G,3,0)),"")</f>
        <v/>
      </c>
      <c r="C399" s="497" t="str">
        <f>IFERROR(VLOOKUP(D399,'JPM St'!$C:$L,10,0),"")</f>
        <v/>
      </c>
      <c r="E399" s="500" t="str">
        <f>IFERROR(VLOOKUP(D399,'JPM St'!$C:$D,2,0),"")</f>
        <v/>
      </c>
      <c r="F399" s="501">
        <f t="shared" si="17"/>
        <v>0</v>
      </c>
      <c r="G399" s="501">
        <f>SUMIFS('JPM St'!$K:$K,'JPM St'!$A:$A,$V$2,'JPM St'!$C:$C,D399)</f>
        <v>0</v>
      </c>
      <c r="H399" s="501">
        <f>SUMIFS('JPM St'!$K:$K,'JPM St'!$A:$A,$V$3,'JPM St'!$C:$C,D399)</f>
        <v>0</v>
      </c>
      <c r="I399" s="501">
        <f>SUMIFS('JPM St'!$K:$K,'JPM St'!$A:$A,$V$4,'JPM St'!$C:$C,D399)</f>
        <v>0</v>
      </c>
      <c r="J399" s="619">
        <f t="shared" si="18"/>
        <v>0</v>
      </c>
      <c r="K399" s="501">
        <f>IFERROR(SUMIFS('JPM St'!$M:$M,'JPM St'!$A:$A,$V$2,'JPM St'!$C:$C,D399),"")</f>
        <v>0</v>
      </c>
      <c r="L399" s="501">
        <f>IFERROR(SUMIFS('JPM St'!$M:$M,'JPM St'!$A:$A,$V$3,'JPM St'!$C:$C,D399),"")</f>
        <v>0</v>
      </c>
      <c r="M399" s="501">
        <f>IFERROR(SUMIFS('JPM St'!$M:$M,'JPM St'!$A:$A,$V$4,'JPM St'!$C:$C,D399),"")</f>
        <v>0</v>
      </c>
    </row>
    <row r="400" spans="1:13" x14ac:dyDescent="0.25">
      <c r="A400" s="497" t="s">
        <v>90</v>
      </c>
      <c r="B400" s="497" t="str">
        <f>IFERROR(IF(VLOOKUP(D400,'JPM St'!$C:$G,3,0)="Fixed Income &amp; Cash","Cash",VLOOKUP(D400,'JPM St'!$C:$G,3,0)),"")</f>
        <v/>
      </c>
      <c r="C400" s="497" t="str">
        <f>IFERROR(VLOOKUP(D400,'JPM St'!$C:$L,10,0),"")</f>
        <v/>
      </c>
      <c r="E400" s="500" t="str">
        <f>IFERROR(VLOOKUP(D400,'JPM St'!$C:$D,2,0),"")</f>
        <v/>
      </c>
      <c r="F400" s="501">
        <f t="shared" si="17"/>
        <v>0</v>
      </c>
      <c r="G400" s="501">
        <f>SUMIFS('JPM St'!$K:$K,'JPM St'!$A:$A,$V$2,'JPM St'!$C:$C,D400)</f>
        <v>0</v>
      </c>
      <c r="H400" s="501">
        <f>SUMIFS('JPM St'!$K:$K,'JPM St'!$A:$A,$V$3,'JPM St'!$C:$C,D400)</f>
        <v>0</v>
      </c>
      <c r="I400" s="501">
        <f>SUMIFS('JPM St'!$K:$K,'JPM St'!$A:$A,$V$4,'JPM St'!$C:$C,D400)</f>
        <v>0</v>
      </c>
      <c r="J400" s="619">
        <f t="shared" si="18"/>
        <v>0</v>
      </c>
      <c r="K400" s="501">
        <f>IFERROR(SUMIFS('JPM St'!$M:$M,'JPM St'!$A:$A,$V$2,'JPM St'!$C:$C,D400),"")</f>
        <v>0</v>
      </c>
      <c r="L400" s="501">
        <f>IFERROR(SUMIFS('JPM St'!$M:$M,'JPM St'!$A:$A,$V$3,'JPM St'!$C:$C,D400),"")</f>
        <v>0</v>
      </c>
      <c r="M400" s="501">
        <f>IFERROR(SUMIFS('JPM St'!$M:$M,'JPM St'!$A:$A,$V$4,'JPM St'!$C:$C,D400),"")</f>
        <v>0</v>
      </c>
    </row>
    <row r="401" spans="1:13" x14ac:dyDescent="0.25">
      <c r="A401" s="497" t="s">
        <v>90</v>
      </c>
      <c r="B401" s="497" t="str">
        <f>IFERROR(IF(VLOOKUP(D401,'JPM St'!$C:$G,3,0)="Fixed Income &amp; Cash","Cash",VLOOKUP(D401,'JPM St'!$C:$G,3,0)),"")</f>
        <v/>
      </c>
      <c r="C401" s="497" t="str">
        <f>IFERROR(VLOOKUP(D401,'JPM St'!$C:$L,10,0),"")</f>
        <v/>
      </c>
      <c r="E401" s="500" t="str">
        <f>IFERROR(VLOOKUP(D401,'JPM St'!$C:$D,2,0),"")</f>
        <v/>
      </c>
      <c r="F401" s="501">
        <f t="shared" si="17"/>
        <v>0</v>
      </c>
      <c r="G401" s="501">
        <f>SUMIFS('JPM St'!$K:$K,'JPM St'!$A:$A,$V$2,'JPM St'!$C:$C,D401)</f>
        <v>0</v>
      </c>
      <c r="H401" s="501">
        <f>SUMIFS('JPM St'!$K:$K,'JPM St'!$A:$A,$V$3,'JPM St'!$C:$C,D401)</f>
        <v>0</v>
      </c>
      <c r="I401" s="501">
        <f>SUMIFS('JPM St'!$K:$K,'JPM St'!$A:$A,$V$4,'JPM St'!$C:$C,D401)</f>
        <v>0</v>
      </c>
      <c r="J401" s="619">
        <f t="shared" si="18"/>
        <v>0</v>
      </c>
      <c r="K401" s="501">
        <f>IFERROR(SUMIFS('JPM St'!$M:$M,'JPM St'!$A:$A,$V$2,'JPM St'!$C:$C,D401),"")</f>
        <v>0</v>
      </c>
      <c r="L401" s="501">
        <f>IFERROR(SUMIFS('JPM St'!$M:$M,'JPM St'!$A:$A,$V$3,'JPM St'!$C:$C,D401),"")</f>
        <v>0</v>
      </c>
      <c r="M401" s="501">
        <f>IFERROR(SUMIFS('JPM St'!$M:$M,'JPM St'!$A:$A,$V$4,'JPM St'!$C:$C,D401),"")</f>
        <v>0</v>
      </c>
    </row>
    <row r="402" spans="1:13" x14ac:dyDescent="0.25">
      <c r="A402" s="497" t="s">
        <v>90</v>
      </c>
      <c r="B402" s="497" t="str">
        <f>IFERROR(IF(VLOOKUP(D402,'JPM St'!$C:$G,3,0)="Fixed Income &amp; Cash","Cash",VLOOKUP(D402,'JPM St'!$C:$G,3,0)),"")</f>
        <v/>
      </c>
      <c r="C402" s="497" t="str">
        <f>IFERROR(VLOOKUP(D402,'JPM St'!$C:$L,10,0),"")</f>
        <v/>
      </c>
      <c r="E402" s="500" t="str">
        <f>IFERROR(VLOOKUP(D402,'JPM St'!$C:$D,2,0),"")</f>
        <v/>
      </c>
      <c r="F402" s="501">
        <f t="shared" si="17"/>
        <v>0</v>
      </c>
      <c r="G402" s="501">
        <f>SUMIFS('JPM St'!$K:$K,'JPM St'!$A:$A,$V$2,'JPM St'!$C:$C,D402)</f>
        <v>0</v>
      </c>
      <c r="H402" s="501">
        <f>SUMIFS('JPM St'!$K:$K,'JPM St'!$A:$A,$V$3,'JPM St'!$C:$C,D402)</f>
        <v>0</v>
      </c>
      <c r="I402" s="501">
        <f>SUMIFS('JPM St'!$K:$K,'JPM St'!$A:$A,$V$4,'JPM St'!$C:$C,D402)</f>
        <v>0</v>
      </c>
      <c r="J402" s="619">
        <f t="shared" si="18"/>
        <v>0</v>
      </c>
      <c r="K402" s="501">
        <f>IFERROR(SUMIFS('JPM St'!$M:$M,'JPM St'!$A:$A,$V$2,'JPM St'!$C:$C,D402),"")</f>
        <v>0</v>
      </c>
      <c r="L402" s="501">
        <f>IFERROR(SUMIFS('JPM St'!$M:$M,'JPM St'!$A:$A,$V$3,'JPM St'!$C:$C,D402),"")</f>
        <v>0</v>
      </c>
      <c r="M402" s="501">
        <f>IFERROR(SUMIFS('JPM St'!$M:$M,'JPM St'!$A:$A,$V$4,'JPM St'!$C:$C,D402),"")</f>
        <v>0</v>
      </c>
    </row>
    <row r="403" spans="1:13" x14ac:dyDescent="0.25">
      <c r="A403" s="497" t="s">
        <v>90</v>
      </c>
      <c r="B403" s="497" t="str">
        <f>IFERROR(IF(VLOOKUP(D403,'JPM St'!$C:$G,3,0)="Fixed Income &amp; Cash","Cash",VLOOKUP(D403,'JPM St'!$C:$G,3,0)),"")</f>
        <v/>
      </c>
      <c r="C403" s="497" t="str">
        <f>IFERROR(VLOOKUP(D403,'JPM St'!$C:$L,10,0),"")</f>
        <v/>
      </c>
      <c r="E403" s="500" t="str">
        <f>IFERROR(VLOOKUP(D403,'JPM St'!$C:$D,2,0),"")</f>
        <v/>
      </c>
      <c r="F403" s="501">
        <f t="shared" si="17"/>
        <v>0</v>
      </c>
      <c r="G403" s="501">
        <f>SUMIFS('JPM St'!$K:$K,'JPM St'!$A:$A,$V$2,'JPM St'!$C:$C,D403)</f>
        <v>0</v>
      </c>
      <c r="H403" s="501">
        <f>SUMIFS('JPM St'!$K:$K,'JPM St'!$A:$A,$V$3,'JPM St'!$C:$C,D403)</f>
        <v>0</v>
      </c>
      <c r="I403" s="501">
        <f>SUMIFS('JPM St'!$K:$K,'JPM St'!$A:$A,$V$4,'JPM St'!$C:$C,D403)</f>
        <v>0</v>
      </c>
      <c r="J403" s="619">
        <f t="shared" si="18"/>
        <v>0</v>
      </c>
      <c r="K403" s="501">
        <f>IFERROR(SUMIFS('JPM St'!$M:$M,'JPM St'!$A:$A,$V$2,'JPM St'!$C:$C,D403),"")</f>
        <v>0</v>
      </c>
      <c r="L403" s="501">
        <f>IFERROR(SUMIFS('JPM St'!$M:$M,'JPM St'!$A:$A,$V$3,'JPM St'!$C:$C,D403),"")</f>
        <v>0</v>
      </c>
      <c r="M403" s="501">
        <f>IFERROR(SUMIFS('JPM St'!$M:$M,'JPM St'!$A:$A,$V$4,'JPM St'!$C:$C,D403),"")</f>
        <v>0</v>
      </c>
    </row>
    <row r="404" spans="1:13" x14ac:dyDescent="0.25">
      <c r="A404" s="497" t="s">
        <v>90</v>
      </c>
      <c r="B404" s="497" t="str">
        <f>IFERROR(IF(VLOOKUP(D404,'JPM St'!$C:$G,3,0)="Fixed Income &amp; Cash","Cash",VLOOKUP(D404,'JPM St'!$C:$G,3,0)),"")</f>
        <v/>
      </c>
      <c r="C404" s="497" t="str">
        <f>IFERROR(VLOOKUP(D404,'JPM St'!$C:$L,10,0),"")</f>
        <v/>
      </c>
      <c r="E404" s="500" t="str">
        <f>IFERROR(VLOOKUP(D404,'JPM St'!$C:$D,2,0),"")</f>
        <v/>
      </c>
      <c r="F404" s="501">
        <f t="shared" si="17"/>
        <v>0</v>
      </c>
      <c r="G404" s="501">
        <f>SUMIFS('JPM St'!$K:$K,'JPM St'!$A:$A,$V$2,'JPM St'!$C:$C,D404)</f>
        <v>0</v>
      </c>
      <c r="H404" s="501">
        <f>SUMIFS('JPM St'!$K:$K,'JPM St'!$A:$A,$V$3,'JPM St'!$C:$C,D404)</f>
        <v>0</v>
      </c>
      <c r="I404" s="501">
        <f>SUMIFS('JPM St'!$K:$K,'JPM St'!$A:$A,$V$4,'JPM St'!$C:$C,D404)</f>
        <v>0</v>
      </c>
      <c r="J404" s="619">
        <f t="shared" si="18"/>
        <v>0</v>
      </c>
      <c r="K404" s="501">
        <f>IFERROR(SUMIFS('JPM St'!$M:$M,'JPM St'!$A:$A,$V$2,'JPM St'!$C:$C,D404),"")</f>
        <v>0</v>
      </c>
      <c r="L404" s="501">
        <f>IFERROR(SUMIFS('JPM St'!$M:$M,'JPM St'!$A:$A,$V$3,'JPM St'!$C:$C,D404),"")</f>
        <v>0</v>
      </c>
      <c r="M404" s="501">
        <f>IFERROR(SUMIFS('JPM St'!$M:$M,'JPM St'!$A:$A,$V$4,'JPM St'!$C:$C,D404),"")</f>
        <v>0</v>
      </c>
    </row>
    <row r="405" spans="1:13" x14ac:dyDescent="0.25">
      <c r="A405" s="497" t="s">
        <v>90</v>
      </c>
      <c r="B405" s="497" t="str">
        <f>IFERROR(IF(VLOOKUP(D405,'JPM St'!$C:$G,3,0)="Fixed Income &amp; Cash","Cash",VLOOKUP(D405,'JPM St'!$C:$G,3,0)),"")</f>
        <v/>
      </c>
      <c r="C405" s="497" t="str">
        <f>IFERROR(VLOOKUP(D405,'JPM St'!$C:$L,10,0),"")</f>
        <v/>
      </c>
      <c r="E405" s="500" t="str">
        <f>IFERROR(VLOOKUP(D405,'JPM St'!$C:$D,2,0),"")</f>
        <v/>
      </c>
      <c r="F405" s="501">
        <f t="shared" si="17"/>
        <v>0</v>
      </c>
      <c r="G405" s="501">
        <f>SUMIFS('JPM St'!$K:$K,'JPM St'!$A:$A,$V$2,'JPM St'!$C:$C,D405)</f>
        <v>0</v>
      </c>
      <c r="H405" s="501">
        <f>SUMIFS('JPM St'!$K:$K,'JPM St'!$A:$A,$V$3,'JPM St'!$C:$C,D405)</f>
        <v>0</v>
      </c>
      <c r="I405" s="501">
        <f>SUMIFS('JPM St'!$K:$K,'JPM St'!$A:$A,$V$4,'JPM St'!$C:$C,D405)</f>
        <v>0</v>
      </c>
      <c r="J405" s="619">
        <f t="shared" si="18"/>
        <v>0</v>
      </c>
      <c r="K405" s="501">
        <f>IFERROR(SUMIFS('JPM St'!$M:$M,'JPM St'!$A:$A,$V$2,'JPM St'!$C:$C,D405),"")</f>
        <v>0</v>
      </c>
      <c r="L405" s="501">
        <f>IFERROR(SUMIFS('JPM St'!$M:$M,'JPM St'!$A:$A,$V$3,'JPM St'!$C:$C,D405),"")</f>
        <v>0</v>
      </c>
      <c r="M405" s="501">
        <f>IFERROR(SUMIFS('JPM St'!$M:$M,'JPM St'!$A:$A,$V$4,'JPM St'!$C:$C,D405),"")</f>
        <v>0</v>
      </c>
    </row>
    <row r="406" spans="1:13" x14ac:dyDescent="0.25">
      <c r="A406" s="497" t="s">
        <v>90</v>
      </c>
      <c r="B406" s="497" t="str">
        <f>IFERROR(IF(VLOOKUP(D406,'JPM St'!$C:$G,3,0)="Fixed Income &amp; Cash","Cash",VLOOKUP(D406,'JPM St'!$C:$G,3,0)),"")</f>
        <v/>
      </c>
      <c r="C406" s="497" t="str">
        <f>IFERROR(VLOOKUP(D406,'JPM St'!$C:$L,10,0),"")</f>
        <v/>
      </c>
      <c r="E406" s="500" t="str">
        <f>IFERROR(VLOOKUP(D406,'JPM St'!$C:$D,2,0),"")</f>
        <v/>
      </c>
      <c r="F406" s="501">
        <f t="shared" si="17"/>
        <v>0</v>
      </c>
      <c r="G406" s="501">
        <f>SUMIFS('JPM St'!$K:$K,'JPM St'!$A:$A,$V$2,'JPM St'!$C:$C,D406)</f>
        <v>0</v>
      </c>
      <c r="H406" s="501">
        <f>SUMIFS('JPM St'!$K:$K,'JPM St'!$A:$A,$V$3,'JPM St'!$C:$C,D406)</f>
        <v>0</v>
      </c>
      <c r="I406" s="501">
        <f>SUMIFS('JPM St'!$K:$K,'JPM St'!$A:$A,$V$4,'JPM St'!$C:$C,D406)</f>
        <v>0</v>
      </c>
      <c r="J406" s="619">
        <f t="shared" si="18"/>
        <v>0</v>
      </c>
      <c r="K406" s="501">
        <f>IFERROR(SUMIFS('JPM St'!$M:$M,'JPM St'!$A:$A,$V$2,'JPM St'!$C:$C,D406),"")</f>
        <v>0</v>
      </c>
      <c r="L406" s="501">
        <f>IFERROR(SUMIFS('JPM St'!$M:$M,'JPM St'!$A:$A,$V$3,'JPM St'!$C:$C,D406),"")</f>
        <v>0</v>
      </c>
      <c r="M406" s="501">
        <f>IFERROR(SUMIFS('JPM St'!$M:$M,'JPM St'!$A:$A,$V$4,'JPM St'!$C:$C,D406),"")</f>
        <v>0</v>
      </c>
    </row>
    <row r="407" spans="1:13" x14ac:dyDescent="0.25">
      <c r="A407" s="497" t="s">
        <v>90</v>
      </c>
      <c r="B407" s="497" t="str">
        <f>IFERROR(IF(VLOOKUP(D407,'JPM St'!$C:$G,3,0)="Fixed Income &amp; Cash","Cash",VLOOKUP(D407,'JPM St'!$C:$G,3,0)),"")</f>
        <v/>
      </c>
      <c r="C407" s="497" t="str">
        <f>IFERROR(VLOOKUP(D407,'JPM St'!$C:$L,10,0),"")</f>
        <v/>
      </c>
      <c r="E407" s="500" t="str">
        <f>IFERROR(VLOOKUP(D407,'JPM St'!$C:$D,2,0),"")</f>
        <v/>
      </c>
      <c r="F407" s="501">
        <f t="shared" si="17"/>
        <v>0</v>
      </c>
      <c r="G407" s="501">
        <f>SUMIFS('JPM St'!$K:$K,'JPM St'!$A:$A,$V$2,'JPM St'!$C:$C,D407)</f>
        <v>0</v>
      </c>
      <c r="H407" s="501">
        <f>SUMIFS('JPM St'!$K:$K,'JPM St'!$A:$A,$V$3,'JPM St'!$C:$C,D407)</f>
        <v>0</v>
      </c>
      <c r="I407" s="501">
        <f>SUMIFS('JPM St'!$K:$K,'JPM St'!$A:$A,$V$4,'JPM St'!$C:$C,D407)</f>
        <v>0</v>
      </c>
      <c r="J407" s="619">
        <f t="shared" si="18"/>
        <v>0</v>
      </c>
      <c r="K407" s="501">
        <f>IFERROR(SUMIFS('JPM St'!$M:$M,'JPM St'!$A:$A,$V$2,'JPM St'!$C:$C,D407),"")</f>
        <v>0</v>
      </c>
      <c r="L407" s="501">
        <f>IFERROR(SUMIFS('JPM St'!$M:$M,'JPM St'!$A:$A,$V$3,'JPM St'!$C:$C,D407),"")</f>
        <v>0</v>
      </c>
      <c r="M407" s="501">
        <f>IFERROR(SUMIFS('JPM St'!$M:$M,'JPM St'!$A:$A,$V$4,'JPM St'!$C:$C,D407),"")</f>
        <v>0</v>
      </c>
    </row>
    <row r="408" spans="1:13" x14ac:dyDescent="0.25">
      <c r="A408" s="497" t="s">
        <v>90</v>
      </c>
      <c r="B408" s="497" t="str">
        <f>IFERROR(IF(VLOOKUP(D408,'JPM St'!$C:$G,3,0)="Fixed Income &amp; Cash","Cash",VLOOKUP(D408,'JPM St'!$C:$G,3,0)),"")</f>
        <v/>
      </c>
      <c r="C408" s="497" t="str">
        <f>IFERROR(VLOOKUP(D408,'JPM St'!$C:$L,10,0),"")</f>
        <v/>
      </c>
      <c r="E408" s="500" t="str">
        <f>IFERROR(VLOOKUP(D408,'JPM St'!$C:$D,2,0),"")</f>
        <v/>
      </c>
      <c r="F408" s="501">
        <f t="shared" si="17"/>
        <v>0</v>
      </c>
      <c r="G408" s="501">
        <f>SUMIFS('JPM St'!$K:$K,'JPM St'!$A:$A,$V$2,'JPM St'!$C:$C,D408)</f>
        <v>0</v>
      </c>
      <c r="H408" s="501">
        <f>SUMIFS('JPM St'!$K:$K,'JPM St'!$A:$A,$V$3,'JPM St'!$C:$C,D408)</f>
        <v>0</v>
      </c>
      <c r="I408" s="501">
        <f>SUMIFS('JPM St'!$K:$K,'JPM St'!$A:$A,$V$4,'JPM St'!$C:$C,D408)</f>
        <v>0</v>
      </c>
      <c r="J408" s="619">
        <f t="shared" si="18"/>
        <v>0</v>
      </c>
      <c r="K408" s="501">
        <f>IFERROR(SUMIFS('JPM St'!$M:$M,'JPM St'!$A:$A,$V$2,'JPM St'!$C:$C,D408),"")</f>
        <v>0</v>
      </c>
      <c r="L408" s="501">
        <f>IFERROR(SUMIFS('JPM St'!$M:$M,'JPM St'!$A:$A,$V$3,'JPM St'!$C:$C,D408),"")</f>
        <v>0</v>
      </c>
      <c r="M408" s="501">
        <f>IFERROR(SUMIFS('JPM St'!$M:$M,'JPM St'!$A:$A,$V$4,'JPM St'!$C:$C,D408),"")</f>
        <v>0</v>
      </c>
    </row>
    <row r="409" spans="1:13" x14ac:dyDescent="0.25">
      <c r="A409" s="497" t="s">
        <v>90</v>
      </c>
      <c r="B409" s="497" t="str">
        <f>IFERROR(IF(VLOOKUP(D409,'JPM St'!$C:$G,3,0)="Fixed Income &amp; Cash","Cash",VLOOKUP(D409,'JPM St'!$C:$G,3,0)),"")</f>
        <v/>
      </c>
      <c r="C409" s="497" t="str">
        <f>IFERROR(VLOOKUP(D409,'JPM St'!$C:$L,10,0),"")</f>
        <v/>
      </c>
      <c r="E409" s="500" t="str">
        <f>IFERROR(VLOOKUP(D409,'JPM St'!$C:$D,2,0),"")</f>
        <v/>
      </c>
      <c r="F409" s="501">
        <f t="shared" si="17"/>
        <v>0</v>
      </c>
      <c r="G409" s="501">
        <f>SUMIFS('JPM St'!$K:$K,'JPM St'!$A:$A,$V$2,'JPM St'!$C:$C,D409)</f>
        <v>0</v>
      </c>
      <c r="H409" s="501">
        <f>SUMIFS('JPM St'!$K:$K,'JPM St'!$A:$A,$V$3,'JPM St'!$C:$C,D409)</f>
        <v>0</v>
      </c>
      <c r="I409" s="501">
        <f>SUMIFS('JPM St'!$K:$K,'JPM St'!$A:$A,$V$4,'JPM St'!$C:$C,D409)</f>
        <v>0</v>
      </c>
      <c r="J409" s="619">
        <f t="shared" si="18"/>
        <v>0</v>
      </c>
      <c r="K409" s="501">
        <f>IFERROR(SUMIFS('JPM St'!$M:$M,'JPM St'!$A:$A,$V$2,'JPM St'!$C:$C,D409),"")</f>
        <v>0</v>
      </c>
      <c r="L409" s="501">
        <f>IFERROR(SUMIFS('JPM St'!$M:$M,'JPM St'!$A:$A,$V$3,'JPM St'!$C:$C,D409),"")</f>
        <v>0</v>
      </c>
      <c r="M409" s="501">
        <f>IFERROR(SUMIFS('JPM St'!$M:$M,'JPM St'!$A:$A,$V$4,'JPM St'!$C:$C,D409),"")</f>
        <v>0</v>
      </c>
    </row>
    <row r="410" spans="1:13" x14ac:dyDescent="0.25">
      <c r="A410" s="497" t="s">
        <v>90</v>
      </c>
      <c r="B410" s="497" t="str">
        <f>IFERROR(IF(VLOOKUP(D410,'JPM St'!$C:$G,3,0)="Fixed Income &amp; Cash","Cash",VLOOKUP(D410,'JPM St'!$C:$G,3,0)),"")</f>
        <v/>
      </c>
      <c r="C410" s="497" t="str">
        <f>IFERROR(VLOOKUP(D410,'JPM St'!$C:$L,10,0),"")</f>
        <v/>
      </c>
      <c r="E410" s="500" t="str">
        <f>IFERROR(VLOOKUP(D410,'JPM St'!$C:$D,2,0),"")</f>
        <v/>
      </c>
      <c r="F410" s="501">
        <f t="shared" si="17"/>
        <v>0</v>
      </c>
      <c r="G410" s="501">
        <f>SUMIFS('JPM St'!$K:$K,'JPM St'!$A:$A,$V$2,'JPM St'!$C:$C,D410)</f>
        <v>0</v>
      </c>
      <c r="H410" s="501">
        <f>SUMIFS('JPM St'!$K:$K,'JPM St'!$A:$A,$V$3,'JPM St'!$C:$C,D410)</f>
        <v>0</v>
      </c>
      <c r="I410" s="501">
        <f>SUMIFS('JPM St'!$K:$K,'JPM St'!$A:$A,$V$4,'JPM St'!$C:$C,D410)</f>
        <v>0</v>
      </c>
      <c r="J410" s="619">
        <f t="shared" si="18"/>
        <v>0</v>
      </c>
      <c r="K410" s="501">
        <f>IFERROR(SUMIFS('JPM St'!$M:$M,'JPM St'!$A:$A,$V$2,'JPM St'!$C:$C,D410),"")</f>
        <v>0</v>
      </c>
      <c r="L410" s="501">
        <f>IFERROR(SUMIFS('JPM St'!$M:$M,'JPM St'!$A:$A,$V$3,'JPM St'!$C:$C,D410),"")</f>
        <v>0</v>
      </c>
      <c r="M410" s="501">
        <f>IFERROR(SUMIFS('JPM St'!$M:$M,'JPM St'!$A:$A,$V$4,'JPM St'!$C:$C,D410),"")</f>
        <v>0</v>
      </c>
    </row>
    <row r="411" spans="1:13" x14ac:dyDescent="0.25">
      <c r="A411" s="497" t="s">
        <v>90</v>
      </c>
      <c r="B411" s="497" t="str">
        <f>IFERROR(IF(VLOOKUP(D411,'JPM St'!$C:$G,3,0)="Fixed Income &amp; Cash","Cash",VLOOKUP(D411,'JPM St'!$C:$G,3,0)),"")</f>
        <v/>
      </c>
      <c r="C411" s="497" t="str">
        <f>IFERROR(VLOOKUP(D411,'JPM St'!$C:$L,10,0),"")</f>
        <v/>
      </c>
      <c r="E411" s="500" t="str">
        <f>IFERROR(VLOOKUP(D411,'JPM St'!$C:$D,2,0),"")</f>
        <v/>
      </c>
      <c r="F411" s="501">
        <f t="shared" si="17"/>
        <v>0</v>
      </c>
      <c r="G411" s="501">
        <f>SUMIFS('JPM St'!$K:$K,'JPM St'!$A:$A,$V$2,'JPM St'!$C:$C,D411)</f>
        <v>0</v>
      </c>
      <c r="H411" s="501">
        <f>SUMIFS('JPM St'!$K:$K,'JPM St'!$A:$A,$V$3,'JPM St'!$C:$C,D411)</f>
        <v>0</v>
      </c>
      <c r="I411" s="501">
        <f>SUMIFS('JPM St'!$K:$K,'JPM St'!$A:$A,$V$4,'JPM St'!$C:$C,D411)</f>
        <v>0</v>
      </c>
      <c r="J411" s="619">
        <f t="shared" si="18"/>
        <v>0</v>
      </c>
      <c r="K411" s="501">
        <f>IFERROR(SUMIFS('JPM St'!$M:$M,'JPM St'!$A:$A,$V$2,'JPM St'!$C:$C,D411),"")</f>
        <v>0</v>
      </c>
      <c r="L411" s="501">
        <f>IFERROR(SUMIFS('JPM St'!$M:$M,'JPM St'!$A:$A,$V$3,'JPM St'!$C:$C,D411),"")</f>
        <v>0</v>
      </c>
      <c r="M411" s="501">
        <f>IFERROR(SUMIFS('JPM St'!$M:$M,'JPM St'!$A:$A,$V$4,'JPM St'!$C:$C,D411),"")</f>
        <v>0</v>
      </c>
    </row>
    <row r="412" spans="1:13" x14ac:dyDescent="0.25">
      <c r="A412" s="497" t="s">
        <v>90</v>
      </c>
      <c r="B412" s="497" t="str">
        <f>IFERROR(IF(VLOOKUP(D412,'JPM St'!$C:$G,3,0)="Fixed Income &amp; Cash","Cash",VLOOKUP(D412,'JPM St'!$C:$G,3,0)),"")</f>
        <v/>
      </c>
      <c r="C412" s="497" t="str">
        <f>IFERROR(VLOOKUP(D412,'JPM St'!$C:$L,10,0),"")</f>
        <v/>
      </c>
      <c r="E412" s="500" t="str">
        <f>IFERROR(VLOOKUP(D412,'JPM St'!$C:$D,2,0),"")</f>
        <v/>
      </c>
      <c r="F412" s="501">
        <f t="shared" si="17"/>
        <v>0</v>
      </c>
      <c r="G412" s="501">
        <f>SUMIFS('JPM St'!$K:$K,'JPM St'!$A:$A,$V$2,'JPM St'!$C:$C,D412)</f>
        <v>0</v>
      </c>
      <c r="H412" s="501">
        <f>SUMIFS('JPM St'!$K:$K,'JPM St'!$A:$A,$V$3,'JPM St'!$C:$C,D412)</f>
        <v>0</v>
      </c>
      <c r="I412" s="501">
        <f>SUMIFS('JPM St'!$K:$K,'JPM St'!$A:$A,$V$4,'JPM St'!$C:$C,D412)</f>
        <v>0</v>
      </c>
      <c r="J412" s="619">
        <f t="shared" si="18"/>
        <v>0</v>
      </c>
      <c r="K412" s="501">
        <f>IFERROR(SUMIFS('JPM St'!$M:$M,'JPM St'!$A:$A,$V$2,'JPM St'!$C:$C,D412),"")</f>
        <v>0</v>
      </c>
      <c r="L412" s="501">
        <f>IFERROR(SUMIFS('JPM St'!$M:$M,'JPM St'!$A:$A,$V$3,'JPM St'!$C:$C,D412),"")</f>
        <v>0</v>
      </c>
      <c r="M412" s="501">
        <f>IFERROR(SUMIFS('JPM St'!$M:$M,'JPM St'!$A:$A,$V$4,'JPM St'!$C:$C,D412),"")</f>
        <v>0</v>
      </c>
    </row>
    <row r="413" spans="1:13" x14ac:dyDescent="0.25">
      <c r="A413" s="497" t="s">
        <v>90</v>
      </c>
      <c r="B413" s="497" t="str">
        <f>IFERROR(IF(VLOOKUP(D413,'JPM St'!$C:$G,3,0)="Fixed Income &amp; Cash","Cash",VLOOKUP(D413,'JPM St'!$C:$G,3,0)),"")</f>
        <v/>
      </c>
      <c r="C413" s="497" t="str">
        <f>IFERROR(VLOOKUP(D413,'JPM St'!$C:$L,10,0),"")</f>
        <v/>
      </c>
      <c r="E413" s="500" t="str">
        <f>IFERROR(VLOOKUP(D413,'JPM St'!$C:$D,2,0),"")</f>
        <v/>
      </c>
      <c r="F413" s="501">
        <f t="shared" si="17"/>
        <v>0</v>
      </c>
      <c r="G413" s="501">
        <f>SUMIFS('JPM St'!$K:$K,'JPM St'!$A:$A,$V$2,'JPM St'!$C:$C,D413)</f>
        <v>0</v>
      </c>
      <c r="H413" s="501">
        <f>SUMIFS('JPM St'!$K:$K,'JPM St'!$A:$A,$V$3,'JPM St'!$C:$C,D413)</f>
        <v>0</v>
      </c>
      <c r="I413" s="501">
        <f>SUMIFS('JPM St'!$K:$K,'JPM St'!$A:$A,$V$4,'JPM St'!$C:$C,D413)</f>
        <v>0</v>
      </c>
      <c r="J413" s="619">
        <f t="shared" si="18"/>
        <v>0</v>
      </c>
      <c r="K413" s="501">
        <f>IFERROR(SUMIFS('JPM St'!$M:$M,'JPM St'!$A:$A,$V$2,'JPM St'!$C:$C,D413),"")</f>
        <v>0</v>
      </c>
      <c r="L413" s="501">
        <f>IFERROR(SUMIFS('JPM St'!$M:$M,'JPM St'!$A:$A,$V$3,'JPM St'!$C:$C,D413),"")</f>
        <v>0</v>
      </c>
      <c r="M413" s="501">
        <f>IFERROR(SUMIFS('JPM St'!$M:$M,'JPM St'!$A:$A,$V$4,'JPM St'!$C:$C,D413),"")</f>
        <v>0</v>
      </c>
    </row>
    <row r="414" spans="1:13" x14ac:dyDescent="0.25">
      <c r="A414" s="497" t="s">
        <v>90</v>
      </c>
      <c r="B414" s="497" t="str">
        <f>IFERROR(IF(VLOOKUP(D414,'JPM St'!$C:$G,3,0)="Fixed Income &amp; Cash","Cash",VLOOKUP(D414,'JPM St'!$C:$G,3,0)),"")</f>
        <v/>
      </c>
      <c r="C414" s="497" t="str">
        <f>IFERROR(VLOOKUP(D414,'JPM St'!$C:$L,10,0),"")</f>
        <v/>
      </c>
      <c r="E414" s="500" t="str">
        <f>IFERROR(VLOOKUP(D414,'JPM St'!$C:$D,2,0),"")</f>
        <v/>
      </c>
      <c r="F414" s="501">
        <f t="shared" si="17"/>
        <v>0</v>
      </c>
      <c r="G414" s="501">
        <f>SUMIFS('JPM St'!$K:$K,'JPM St'!$A:$A,$V$2,'JPM St'!$C:$C,D414)</f>
        <v>0</v>
      </c>
      <c r="H414" s="501">
        <f>SUMIFS('JPM St'!$K:$K,'JPM St'!$A:$A,$V$3,'JPM St'!$C:$C,D414)</f>
        <v>0</v>
      </c>
      <c r="I414" s="501">
        <f>SUMIFS('JPM St'!$K:$K,'JPM St'!$A:$A,$V$4,'JPM St'!$C:$C,D414)</f>
        <v>0</v>
      </c>
      <c r="J414" s="619">
        <f t="shared" si="18"/>
        <v>0</v>
      </c>
      <c r="K414" s="501">
        <f>IFERROR(SUMIFS('JPM St'!$M:$M,'JPM St'!$A:$A,$V$2,'JPM St'!$C:$C,D414),"")</f>
        <v>0</v>
      </c>
      <c r="L414" s="501">
        <f>IFERROR(SUMIFS('JPM St'!$M:$M,'JPM St'!$A:$A,$V$3,'JPM St'!$C:$C,D414),"")</f>
        <v>0</v>
      </c>
      <c r="M414" s="501">
        <f>IFERROR(SUMIFS('JPM St'!$M:$M,'JPM St'!$A:$A,$V$4,'JPM St'!$C:$C,D414),"")</f>
        <v>0</v>
      </c>
    </row>
    <row r="415" spans="1:13" x14ac:dyDescent="0.25">
      <c r="A415" s="497" t="s">
        <v>90</v>
      </c>
      <c r="B415" s="497" t="str">
        <f>IFERROR(IF(VLOOKUP(D415,'JPM St'!$C:$G,3,0)="Fixed Income &amp; Cash","Cash",VLOOKUP(D415,'JPM St'!$C:$G,3,0)),"")</f>
        <v/>
      </c>
      <c r="C415" s="497" t="str">
        <f>IFERROR(VLOOKUP(D415,'JPM St'!$C:$L,10,0),"")</f>
        <v/>
      </c>
      <c r="E415" s="500" t="str">
        <f>IFERROR(VLOOKUP(D415,'JPM St'!$C:$D,2,0),"")</f>
        <v/>
      </c>
      <c r="F415" s="501">
        <f t="shared" si="17"/>
        <v>0</v>
      </c>
      <c r="G415" s="501">
        <f>SUMIFS('JPM St'!$K:$K,'JPM St'!$A:$A,$V$2,'JPM St'!$C:$C,D415)</f>
        <v>0</v>
      </c>
      <c r="H415" s="501">
        <f>SUMIFS('JPM St'!$K:$K,'JPM St'!$A:$A,$V$3,'JPM St'!$C:$C,D415)</f>
        <v>0</v>
      </c>
      <c r="I415" s="501">
        <f>SUMIFS('JPM St'!$K:$K,'JPM St'!$A:$A,$V$4,'JPM St'!$C:$C,D415)</f>
        <v>0</v>
      </c>
      <c r="J415" s="619">
        <f t="shared" si="18"/>
        <v>0</v>
      </c>
      <c r="K415" s="501">
        <f>IFERROR(SUMIFS('JPM St'!$M:$M,'JPM St'!$A:$A,$V$2,'JPM St'!$C:$C,D415),"")</f>
        <v>0</v>
      </c>
      <c r="L415" s="501">
        <f>IFERROR(SUMIFS('JPM St'!$M:$M,'JPM St'!$A:$A,$V$3,'JPM St'!$C:$C,D415),"")</f>
        <v>0</v>
      </c>
      <c r="M415" s="501">
        <f>IFERROR(SUMIFS('JPM St'!$M:$M,'JPM St'!$A:$A,$V$4,'JPM St'!$C:$C,D415),"")</f>
        <v>0</v>
      </c>
    </row>
    <row r="416" spans="1:13" x14ac:dyDescent="0.25">
      <c r="A416" s="497" t="s">
        <v>90</v>
      </c>
      <c r="B416" s="497" t="str">
        <f>IFERROR(IF(VLOOKUP(D416,'JPM St'!$C:$G,3,0)="Fixed Income &amp; Cash","Cash",VLOOKUP(D416,'JPM St'!$C:$G,3,0)),"")</f>
        <v/>
      </c>
      <c r="C416" s="497" t="str">
        <f>IFERROR(VLOOKUP(D416,'JPM St'!$C:$L,10,0),"")</f>
        <v/>
      </c>
      <c r="E416" s="500" t="str">
        <f>IFERROR(VLOOKUP(D416,'JPM St'!$C:$D,2,0),"")</f>
        <v/>
      </c>
      <c r="F416" s="501">
        <f t="shared" si="17"/>
        <v>0</v>
      </c>
      <c r="G416" s="501">
        <f>SUMIFS('JPM St'!$K:$K,'JPM St'!$A:$A,$V$2,'JPM St'!$C:$C,D416)</f>
        <v>0</v>
      </c>
      <c r="H416" s="501">
        <f>SUMIFS('JPM St'!$K:$K,'JPM St'!$A:$A,$V$3,'JPM St'!$C:$C,D416)</f>
        <v>0</v>
      </c>
      <c r="I416" s="501">
        <f>SUMIFS('JPM St'!$K:$K,'JPM St'!$A:$A,$V$4,'JPM St'!$C:$C,D416)</f>
        <v>0</v>
      </c>
      <c r="J416" s="619">
        <f t="shared" si="18"/>
        <v>0</v>
      </c>
      <c r="K416" s="501">
        <f>IFERROR(SUMIFS('JPM St'!$M:$M,'JPM St'!$A:$A,$V$2,'JPM St'!$C:$C,D416),"")</f>
        <v>0</v>
      </c>
      <c r="L416" s="501">
        <f>IFERROR(SUMIFS('JPM St'!$M:$M,'JPM St'!$A:$A,$V$3,'JPM St'!$C:$C,D416),"")</f>
        <v>0</v>
      </c>
      <c r="M416" s="501">
        <f>IFERROR(SUMIFS('JPM St'!$M:$M,'JPM St'!$A:$A,$V$4,'JPM St'!$C:$C,D416),"")</f>
        <v>0</v>
      </c>
    </row>
    <row r="417" spans="1:13" x14ac:dyDescent="0.25">
      <c r="A417" s="497" t="s">
        <v>90</v>
      </c>
      <c r="B417" s="497" t="str">
        <f>IFERROR(IF(VLOOKUP(D417,'JPM St'!$C:$G,3,0)="Fixed Income &amp; Cash","Cash",VLOOKUP(D417,'JPM St'!$C:$G,3,0)),"")</f>
        <v/>
      </c>
      <c r="C417" s="497" t="str">
        <f>IFERROR(VLOOKUP(D417,'JPM St'!$C:$L,10,0),"")</f>
        <v/>
      </c>
      <c r="E417" s="500" t="str">
        <f>IFERROR(VLOOKUP(D417,'JPM St'!$C:$D,2,0),"")</f>
        <v/>
      </c>
      <c r="F417" s="501">
        <f t="shared" si="17"/>
        <v>0</v>
      </c>
      <c r="G417" s="501">
        <f>SUMIFS('JPM St'!$K:$K,'JPM St'!$A:$A,$V$2,'JPM St'!$C:$C,D417)</f>
        <v>0</v>
      </c>
      <c r="H417" s="501">
        <f>SUMIFS('JPM St'!$K:$K,'JPM St'!$A:$A,$V$3,'JPM St'!$C:$C,D417)</f>
        <v>0</v>
      </c>
      <c r="I417" s="501">
        <f>SUMIFS('JPM St'!$K:$K,'JPM St'!$A:$A,$V$4,'JPM St'!$C:$C,D417)</f>
        <v>0</v>
      </c>
      <c r="J417" s="619">
        <f t="shared" si="18"/>
        <v>0</v>
      </c>
      <c r="K417" s="501">
        <f>IFERROR(SUMIFS('JPM St'!$M:$M,'JPM St'!$A:$A,$V$2,'JPM St'!$C:$C,D417),"")</f>
        <v>0</v>
      </c>
      <c r="L417" s="501">
        <f>IFERROR(SUMIFS('JPM St'!$M:$M,'JPM St'!$A:$A,$V$3,'JPM St'!$C:$C,D417),"")</f>
        <v>0</v>
      </c>
      <c r="M417" s="501">
        <f>IFERROR(SUMIFS('JPM St'!$M:$M,'JPM St'!$A:$A,$V$4,'JPM St'!$C:$C,D417),"")</f>
        <v>0</v>
      </c>
    </row>
    <row r="418" spans="1:13" x14ac:dyDescent="0.25">
      <c r="A418" s="497" t="s">
        <v>90</v>
      </c>
      <c r="B418" s="497" t="str">
        <f>IFERROR(IF(VLOOKUP(D418,'JPM St'!$C:$G,3,0)="Fixed Income &amp; Cash","Cash",VLOOKUP(D418,'JPM St'!$C:$G,3,0)),"")</f>
        <v/>
      </c>
      <c r="C418" s="497" t="str">
        <f>IFERROR(VLOOKUP(D418,'JPM St'!$C:$L,10,0),"")</f>
        <v/>
      </c>
      <c r="E418" s="500" t="str">
        <f>IFERROR(VLOOKUP(D418,'JPM St'!$C:$D,2,0),"")</f>
        <v/>
      </c>
      <c r="F418" s="501">
        <f t="shared" si="17"/>
        <v>0</v>
      </c>
      <c r="G418" s="501">
        <f>SUMIFS('JPM St'!$K:$K,'JPM St'!$A:$A,$V$2,'JPM St'!$C:$C,D418)</f>
        <v>0</v>
      </c>
      <c r="H418" s="501">
        <f>SUMIFS('JPM St'!$K:$K,'JPM St'!$A:$A,$V$3,'JPM St'!$C:$C,D418)</f>
        <v>0</v>
      </c>
      <c r="I418" s="501">
        <f>SUMIFS('JPM St'!$K:$K,'JPM St'!$A:$A,$V$4,'JPM St'!$C:$C,D418)</f>
        <v>0</v>
      </c>
      <c r="J418" s="619">
        <f t="shared" si="18"/>
        <v>0</v>
      </c>
      <c r="K418" s="501">
        <f>IFERROR(SUMIFS('JPM St'!$M:$M,'JPM St'!$A:$A,$V$2,'JPM St'!$C:$C,D418),"")</f>
        <v>0</v>
      </c>
      <c r="L418" s="501">
        <f>IFERROR(SUMIFS('JPM St'!$M:$M,'JPM St'!$A:$A,$V$3,'JPM St'!$C:$C,D418),"")</f>
        <v>0</v>
      </c>
      <c r="M418" s="501">
        <f>IFERROR(SUMIFS('JPM St'!$M:$M,'JPM St'!$A:$A,$V$4,'JPM St'!$C:$C,D418),"")</f>
        <v>0</v>
      </c>
    </row>
    <row r="419" spans="1:13" x14ac:dyDescent="0.25">
      <c r="A419" s="497" t="s">
        <v>90</v>
      </c>
      <c r="B419" s="497" t="str">
        <f>IFERROR(IF(VLOOKUP(D419,'JPM St'!$C:$G,3,0)="Fixed Income &amp; Cash","Cash",VLOOKUP(D419,'JPM St'!$C:$G,3,0)),"")</f>
        <v/>
      </c>
      <c r="C419" s="497" t="str">
        <f>IFERROR(VLOOKUP(D419,'JPM St'!$C:$L,10,0),"")</f>
        <v/>
      </c>
      <c r="E419" s="500" t="str">
        <f>IFERROR(VLOOKUP(D419,'JPM St'!$C:$D,2,0),"")</f>
        <v/>
      </c>
      <c r="F419" s="501">
        <f t="shared" si="17"/>
        <v>0</v>
      </c>
      <c r="G419" s="501">
        <f>SUMIFS('JPM St'!$K:$K,'JPM St'!$A:$A,$V$2,'JPM St'!$C:$C,D419)</f>
        <v>0</v>
      </c>
      <c r="H419" s="501">
        <f>SUMIFS('JPM St'!$K:$K,'JPM St'!$A:$A,$V$3,'JPM St'!$C:$C,D419)</f>
        <v>0</v>
      </c>
      <c r="I419" s="501">
        <f>SUMIFS('JPM St'!$K:$K,'JPM St'!$A:$A,$V$4,'JPM St'!$C:$C,D419)</f>
        <v>0</v>
      </c>
      <c r="J419" s="619">
        <f t="shared" si="18"/>
        <v>0</v>
      </c>
      <c r="K419" s="501">
        <f>IFERROR(SUMIFS('JPM St'!$M:$M,'JPM St'!$A:$A,$V$2,'JPM St'!$C:$C,D419),"")</f>
        <v>0</v>
      </c>
      <c r="L419" s="501">
        <f>IFERROR(SUMIFS('JPM St'!$M:$M,'JPM St'!$A:$A,$V$3,'JPM St'!$C:$C,D419),"")</f>
        <v>0</v>
      </c>
      <c r="M419" s="501">
        <f>IFERROR(SUMIFS('JPM St'!$M:$M,'JPM St'!$A:$A,$V$4,'JPM St'!$C:$C,D419),"")</f>
        <v>0</v>
      </c>
    </row>
    <row r="420" spans="1:13" x14ac:dyDescent="0.25">
      <c r="A420" s="497" t="s">
        <v>90</v>
      </c>
      <c r="B420" s="497" t="str">
        <f>IFERROR(IF(VLOOKUP(D420,'JPM St'!$C:$G,3,0)="Fixed Income &amp; Cash","Cash",VLOOKUP(D420,'JPM St'!$C:$G,3,0)),"")</f>
        <v/>
      </c>
      <c r="C420" s="497" t="str">
        <f>IFERROR(VLOOKUP(D420,'JPM St'!$C:$L,10,0),"")</f>
        <v/>
      </c>
      <c r="E420" s="500" t="str">
        <f>IFERROR(VLOOKUP(D420,'JPM St'!$C:$D,2,0),"")</f>
        <v/>
      </c>
      <c r="F420" s="501">
        <f t="shared" si="17"/>
        <v>0</v>
      </c>
      <c r="G420" s="501">
        <f>SUMIFS('JPM St'!$K:$K,'JPM St'!$A:$A,$V$2,'JPM St'!$C:$C,D420)</f>
        <v>0</v>
      </c>
      <c r="H420" s="501">
        <f>SUMIFS('JPM St'!$K:$K,'JPM St'!$A:$A,$V$3,'JPM St'!$C:$C,D420)</f>
        <v>0</v>
      </c>
      <c r="I420" s="501">
        <f>SUMIFS('JPM St'!$K:$K,'JPM St'!$A:$A,$V$4,'JPM St'!$C:$C,D420)</f>
        <v>0</v>
      </c>
      <c r="J420" s="619">
        <f t="shared" si="18"/>
        <v>0</v>
      </c>
      <c r="K420" s="501">
        <f>IFERROR(SUMIFS('JPM St'!$M:$M,'JPM St'!$A:$A,$V$2,'JPM St'!$C:$C,D420),"")</f>
        <v>0</v>
      </c>
      <c r="L420" s="501">
        <f>IFERROR(SUMIFS('JPM St'!$M:$M,'JPM St'!$A:$A,$V$3,'JPM St'!$C:$C,D420),"")</f>
        <v>0</v>
      </c>
      <c r="M420" s="501">
        <f>IFERROR(SUMIFS('JPM St'!$M:$M,'JPM St'!$A:$A,$V$4,'JPM St'!$C:$C,D420),"")</f>
        <v>0</v>
      </c>
    </row>
    <row r="421" spans="1:13" x14ac:dyDescent="0.25">
      <c r="A421" s="497" t="s">
        <v>90</v>
      </c>
      <c r="B421" s="497" t="str">
        <f>IFERROR(IF(VLOOKUP(D421,'JPM St'!$C:$G,3,0)="Fixed Income &amp; Cash","Cash",VLOOKUP(D421,'JPM St'!$C:$G,3,0)),"")</f>
        <v/>
      </c>
      <c r="C421" s="497" t="str">
        <f>IFERROR(VLOOKUP(D421,'JPM St'!$C:$L,10,0),"")</f>
        <v/>
      </c>
      <c r="E421" s="500" t="str">
        <f>IFERROR(VLOOKUP(D421,'JPM St'!$C:$D,2,0),"")</f>
        <v/>
      </c>
      <c r="F421" s="501">
        <f t="shared" si="17"/>
        <v>0</v>
      </c>
      <c r="G421" s="501">
        <f>SUMIFS('JPM St'!$K:$K,'JPM St'!$A:$A,$V$2,'JPM St'!$C:$C,D421)</f>
        <v>0</v>
      </c>
      <c r="H421" s="501">
        <f>SUMIFS('JPM St'!$K:$K,'JPM St'!$A:$A,$V$3,'JPM St'!$C:$C,D421)</f>
        <v>0</v>
      </c>
      <c r="I421" s="501">
        <f>SUMIFS('JPM St'!$K:$K,'JPM St'!$A:$A,$V$4,'JPM St'!$C:$C,D421)</f>
        <v>0</v>
      </c>
      <c r="J421" s="619">
        <f t="shared" si="18"/>
        <v>0</v>
      </c>
      <c r="K421" s="501">
        <f>IFERROR(SUMIFS('JPM St'!$M:$M,'JPM St'!$A:$A,$V$2,'JPM St'!$C:$C,D421),"")</f>
        <v>0</v>
      </c>
      <c r="L421" s="501">
        <f>IFERROR(SUMIFS('JPM St'!$M:$M,'JPM St'!$A:$A,$V$3,'JPM St'!$C:$C,D421),"")</f>
        <v>0</v>
      </c>
      <c r="M421" s="501">
        <f>IFERROR(SUMIFS('JPM St'!$M:$M,'JPM St'!$A:$A,$V$4,'JPM St'!$C:$C,D421),"")</f>
        <v>0</v>
      </c>
    </row>
    <row r="422" spans="1:13" x14ac:dyDescent="0.25">
      <c r="A422" s="497" t="s">
        <v>90</v>
      </c>
      <c r="B422" s="497" t="str">
        <f>IFERROR(IF(VLOOKUP(D422,'JPM St'!$C:$G,3,0)="Fixed Income &amp; Cash","Cash",VLOOKUP(D422,'JPM St'!$C:$G,3,0)),"")</f>
        <v/>
      </c>
      <c r="C422" s="497" t="str">
        <f>IFERROR(VLOOKUP(D422,'JPM St'!$C:$L,10,0),"")</f>
        <v/>
      </c>
      <c r="E422" s="500" t="str">
        <f>IFERROR(VLOOKUP(D422,'JPM St'!$C:$D,2,0),"")</f>
        <v/>
      </c>
      <c r="F422" s="501">
        <f t="shared" si="17"/>
        <v>0</v>
      </c>
      <c r="G422" s="501">
        <f>SUMIFS('JPM St'!$K:$K,'JPM St'!$A:$A,$V$2,'JPM St'!$C:$C,D422)</f>
        <v>0</v>
      </c>
      <c r="H422" s="501">
        <f>SUMIFS('JPM St'!$K:$K,'JPM St'!$A:$A,$V$3,'JPM St'!$C:$C,D422)</f>
        <v>0</v>
      </c>
      <c r="I422" s="501">
        <f>SUMIFS('JPM St'!$K:$K,'JPM St'!$A:$A,$V$4,'JPM St'!$C:$C,D422)</f>
        <v>0</v>
      </c>
      <c r="J422" s="619">
        <f t="shared" si="18"/>
        <v>0</v>
      </c>
      <c r="K422" s="501">
        <f>IFERROR(SUMIFS('JPM St'!$M:$M,'JPM St'!$A:$A,$V$2,'JPM St'!$C:$C,D422),"")</f>
        <v>0</v>
      </c>
      <c r="L422" s="501">
        <f>IFERROR(SUMIFS('JPM St'!$M:$M,'JPM St'!$A:$A,$V$3,'JPM St'!$C:$C,D422),"")</f>
        <v>0</v>
      </c>
      <c r="M422" s="501">
        <f>IFERROR(SUMIFS('JPM St'!$M:$M,'JPM St'!$A:$A,$V$4,'JPM St'!$C:$C,D422),"")</f>
        <v>0</v>
      </c>
    </row>
    <row r="423" spans="1:13" x14ac:dyDescent="0.25">
      <c r="A423" s="497" t="s">
        <v>90</v>
      </c>
      <c r="B423" s="497" t="str">
        <f>IFERROR(IF(VLOOKUP(D423,'JPM St'!$C:$G,3,0)="Fixed Income &amp; Cash","Cash",VLOOKUP(D423,'JPM St'!$C:$G,3,0)),"")</f>
        <v/>
      </c>
      <c r="C423" s="497" t="str">
        <f>IFERROR(VLOOKUP(D423,'JPM St'!$C:$L,10,0),"")</f>
        <v/>
      </c>
      <c r="E423" s="500" t="str">
        <f>IFERROR(VLOOKUP(D423,'JPM St'!$C:$D,2,0),"")</f>
        <v/>
      </c>
      <c r="F423" s="501">
        <f t="shared" si="17"/>
        <v>0</v>
      </c>
      <c r="G423" s="501">
        <f>SUMIFS('JPM St'!$K:$K,'JPM St'!$A:$A,$V$2,'JPM St'!$C:$C,D423)</f>
        <v>0</v>
      </c>
      <c r="H423" s="501">
        <f>SUMIFS('JPM St'!$K:$K,'JPM St'!$A:$A,$V$3,'JPM St'!$C:$C,D423)</f>
        <v>0</v>
      </c>
      <c r="I423" s="501">
        <f>SUMIFS('JPM St'!$K:$K,'JPM St'!$A:$A,$V$4,'JPM St'!$C:$C,D423)</f>
        <v>0</v>
      </c>
      <c r="J423" s="619">
        <f t="shared" si="18"/>
        <v>0</v>
      </c>
      <c r="K423" s="501">
        <f>IFERROR(SUMIFS('JPM St'!$M:$M,'JPM St'!$A:$A,$V$2,'JPM St'!$C:$C,D423),"")</f>
        <v>0</v>
      </c>
      <c r="L423" s="501">
        <f>IFERROR(SUMIFS('JPM St'!$M:$M,'JPM St'!$A:$A,$V$3,'JPM St'!$C:$C,D423),"")</f>
        <v>0</v>
      </c>
      <c r="M423" s="501">
        <f>IFERROR(SUMIFS('JPM St'!$M:$M,'JPM St'!$A:$A,$V$4,'JPM St'!$C:$C,D423),"")</f>
        <v>0</v>
      </c>
    </row>
    <row r="424" spans="1:13" x14ac:dyDescent="0.25">
      <c r="A424" s="497" t="s">
        <v>90</v>
      </c>
      <c r="B424" s="497" t="str">
        <f>IFERROR(IF(VLOOKUP(D424,'JPM St'!$C:$G,3,0)="Fixed Income &amp; Cash","Cash",VLOOKUP(D424,'JPM St'!$C:$G,3,0)),"")</f>
        <v/>
      </c>
      <c r="C424" s="497" t="str">
        <f>IFERROR(VLOOKUP(D424,'JPM St'!$C:$L,10,0),"")</f>
        <v/>
      </c>
      <c r="E424" s="500" t="str">
        <f>IFERROR(VLOOKUP(D424,'JPM St'!$C:$D,2,0),"")</f>
        <v/>
      </c>
      <c r="F424" s="501">
        <f t="shared" si="17"/>
        <v>0</v>
      </c>
      <c r="G424" s="501">
        <f>SUMIFS('JPM St'!$K:$K,'JPM St'!$A:$A,$V$2,'JPM St'!$C:$C,D424)</f>
        <v>0</v>
      </c>
      <c r="H424" s="501">
        <f>SUMIFS('JPM St'!$K:$K,'JPM St'!$A:$A,$V$3,'JPM St'!$C:$C,D424)</f>
        <v>0</v>
      </c>
      <c r="I424" s="501">
        <f>SUMIFS('JPM St'!$K:$K,'JPM St'!$A:$A,$V$4,'JPM St'!$C:$C,D424)</f>
        <v>0</v>
      </c>
      <c r="J424" s="619">
        <f t="shared" si="18"/>
        <v>0</v>
      </c>
      <c r="K424" s="501">
        <f>IFERROR(SUMIFS('JPM St'!$M:$M,'JPM St'!$A:$A,$V$2,'JPM St'!$C:$C,D424),"")</f>
        <v>0</v>
      </c>
      <c r="L424" s="501">
        <f>IFERROR(SUMIFS('JPM St'!$M:$M,'JPM St'!$A:$A,$V$3,'JPM St'!$C:$C,D424),"")</f>
        <v>0</v>
      </c>
      <c r="M424" s="501">
        <f>IFERROR(SUMIFS('JPM St'!$M:$M,'JPM St'!$A:$A,$V$4,'JPM St'!$C:$C,D424),"")</f>
        <v>0</v>
      </c>
    </row>
    <row r="425" spans="1:13" x14ac:dyDescent="0.25">
      <c r="A425" s="497" t="s">
        <v>90</v>
      </c>
      <c r="B425" s="497" t="str">
        <f>IFERROR(IF(VLOOKUP(D425,'JPM St'!$C:$G,3,0)="Fixed Income &amp; Cash","Cash",VLOOKUP(D425,'JPM St'!$C:$G,3,0)),"")</f>
        <v/>
      </c>
      <c r="C425" s="497" t="str">
        <f>IFERROR(VLOOKUP(D425,'JPM St'!$C:$L,10,0),"")</f>
        <v/>
      </c>
      <c r="E425" s="500" t="str">
        <f>IFERROR(VLOOKUP(D425,'JPM St'!$C:$D,2,0),"")</f>
        <v/>
      </c>
      <c r="F425" s="501">
        <f t="shared" si="17"/>
        <v>0</v>
      </c>
      <c r="G425" s="501">
        <f>SUMIFS('JPM St'!$K:$K,'JPM St'!$A:$A,$V$2,'JPM St'!$C:$C,D425)</f>
        <v>0</v>
      </c>
      <c r="H425" s="501">
        <f>SUMIFS('JPM St'!$K:$K,'JPM St'!$A:$A,$V$3,'JPM St'!$C:$C,D425)</f>
        <v>0</v>
      </c>
      <c r="I425" s="501">
        <f>SUMIFS('JPM St'!$K:$K,'JPM St'!$A:$A,$V$4,'JPM St'!$C:$C,D425)</f>
        <v>0</v>
      </c>
      <c r="J425" s="619">
        <f t="shared" si="18"/>
        <v>0</v>
      </c>
      <c r="K425" s="501">
        <f>IFERROR(SUMIFS('JPM St'!$M:$M,'JPM St'!$A:$A,$V$2,'JPM St'!$C:$C,D425),"")</f>
        <v>0</v>
      </c>
      <c r="L425" s="501">
        <f>IFERROR(SUMIFS('JPM St'!$M:$M,'JPM St'!$A:$A,$V$3,'JPM St'!$C:$C,D425),"")</f>
        <v>0</v>
      </c>
      <c r="M425" s="501">
        <f>IFERROR(SUMIFS('JPM St'!$M:$M,'JPM St'!$A:$A,$V$4,'JPM St'!$C:$C,D425),"")</f>
        <v>0</v>
      </c>
    </row>
    <row r="426" spans="1:13" x14ac:dyDescent="0.25">
      <c r="A426" s="497" t="s">
        <v>90</v>
      </c>
      <c r="B426" s="497" t="str">
        <f>IFERROR(IF(VLOOKUP(D426,'JPM St'!$C:$G,3,0)="Fixed Income &amp; Cash","Cash",VLOOKUP(D426,'JPM St'!$C:$G,3,0)),"")</f>
        <v/>
      </c>
      <c r="C426" s="497" t="str">
        <f>IFERROR(VLOOKUP(D426,'JPM St'!$C:$L,10,0),"")</f>
        <v/>
      </c>
      <c r="E426" s="500" t="str">
        <f>IFERROR(VLOOKUP(D426,'JPM St'!$C:$D,2,0),"")</f>
        <v/>
      </c>
      <c r="F426" s="501">
        <f t="shared" si="17"/>
        <v>0</v>
      </c>
      <c r="G426" s="501">
        <f>SUMIFS('JPM St'!$K:$K,'JPM St'!$A:$A,$V$2,'JPM St'!$C:$C,D426)</f>
        <v>0</v>
      </c>
      <c r="H426" s="501">
        <f>SUMIFS('JPM St'!$K:$K,'JPM St'!$A:$A,$V$3,'JPM St'!$C:$C,D426)</f>
        <v>0</v>
      </c>
      <c r="I426" s="501">
        <f>SUMIFS('JPM St'!$K:$K,'JPM St'!$A:$A,$V$4,'JPM St'!$C:$C,D426)</f>
        <v>0</v>
      </c>
      <c r="J426" s="619">
        <f t="shared" si="18"/>
        <v>0</v>
      </c>
      <c r="K426" s="501">
        <f>IFERROR(SUMIFS('JPM St'!$M:$M,'JPM St'!$A:$A,$V$2,'JPM St'!$C:$C,D426),"")</f>
        <v>0</v>
      </c>
      <c r="L426" s="501">
        <f>IFERROR(SUMIFS('JPM St'!$M:$M,'JPM St'!$A:$A,$V$3,'JPM St'!$C:$C,D426),"")</f>
        <v>0</v>
      </c>
      <c r="M426" s="501">
        <f>IFERROR(SUMIFS('JPM St'!$M:$M,'JPM St'!$A:$A,$V$4,'JPM St'!$C:$C,D426),"")</f>
        <v>0</v>
      </c>
    </row>
    <row r="427" spans="1:13" x14ac:dyDescent="0.25">
      <c r="A427" s="497" t="s">
        <v>90</v>
      </c>
      <c r="B427" s="497" t="str">
        <f>IFERROR(IF(VLOOKUP(D427,'JPM St'!$C:$G,3,0)="Fixed Income &amp; Cash","Cash",VLOOKUP(D427,'JPM St'!$C:$G,3,0)),"")</f>
        <v/>
      </c>
      <c r="C427" s="497" t="str">
        <f>IFERROR(VLOOKUP(D427,'JPM St'!$C:$L,10,0),"")</f>
        <v/>
      </c>
      <c r="E427" s="500" t="str">
        <f>IFERROR(VLOOKUP(D427,'JPM St'!$C:$D,2,0),"")</f>
        <v/>
      </c>
      <c r="F427" s="501">
        <f t="shared" si="17"/>
        <v>0</v>
      </c>
      <c r="G427" s="501">
        <f>SUMIFS('JPM St'!$K:$K,'JPM St'!$A:$A,$V$2,'JPM St'!$C:$C,D427)</f>
        <v>0</v>
      </c>
      <c r="H427" s="501">
        <f>SUMIFS('JPM St'!$K:$K,'JPM St'!$A:$A,$V$3,'JPM St'!$C:$C,D427)</f>
        <v>0</v>
      </c>
      <c r="I427" s="501">
        <f>SUMIFS('JPM St'!$K:$K,'JPM St'!$A:$A,$V$4,'JPM St'!$C:$C,D427)</f>
        <v>0</v>
      </c>
      <c r="J427" s="619">
        <f t="shared" si="18"/>
        <v>0</v>
      </c>
      <c r="K427" s="501">
        <f>IFERROR(SUMIFS('JPM St'!$M:$M,'JPM St'!$A:$A,$V$2,'JPM St'!$C:$C,D427),"")</f>
        <v>0</v>
      </c>
      <c r="L427" s="501">
        <f>IFERROR(SUMIFS('JPM St'!$M:$M,'JPM St'!$A:$A,$V$3,'JPM St'!$C:$C,D427),"")</f>
        <v>0</v>
      </c>
      <c r="M427" s="501">
        <f>IFERROR(SUMIFS('JPM St'!$M:$M,'JPM St'!$A:$A,$V$4,'JPM St'!$C:$C,D427),"")</f>
        <v>0</v>
      </c>
    </row>
    <row r="428" spans="1:13" x14ac:dyDescent="0.25">
      <c r="A428" s="497" t="s">
        <v>90</v>
      </c>
      <c r="B428" s="497" t="str">
        <f>IFERROR(IF(VLOOKUP(D428,'JPM St'!$C:$G,3,0)="Fixed Income &amp; Cash","Cash",VLOOKUP(D428,'JPM St'!$C:$G,3,0)),"")</f>
        <v/>
      </c>
      <c r="C428" s="497" t="str">
        <f>IFERROR(VLOOKUP(D428,'JPM St'!$C:$L,10,0),"")</f>
        <v/>
      </c>
      <c r="E428" s="500" t="str">
        <f>IFERROR(VLOOKUP(D428,'JPM St'!$C:$D,2,0),"")</f>
        <v/>
      </c>
      <c r="F428" s="501">
        <f t="shared" si="17"/>
        <v>0</v>
      </c>
      <c r="G428" s="501">
        <f>SUMIFS('JPM St'!$K:$K,'JPM St'!$A:$A,$V$2,'JPM St'!$C:$C,D428)</f>
        <v>0</v>
      </c>
      <c r="H428" s="501">
        <f>SUMIFS('JPM St'!$K:$K,'JPM St'!$A:$A,$V$3,'JPM St'!$C:$C,D428)</f>
        <v>0</v>
      </c>
      <c r="I428" s="501">
        <f>SUMIFS('JPM St'!$K:$K,'JPM St'!$A:$A,$V$4,'JPM St'!$C:$C,D428)</f>
        <v>0</v>
      </c>
      <c r="J428" s="619">
        <f t="shared" si="18"/>
        <v>0</v>
      </c>
      <c r="K428" s="501">
        <f>IFERROR(SUMIFS('JPM St'!$M:$M,'JPM St'!$A:$A,$V$2,'JPM St'!$C:$C,D428),"")</f>
        <v>0</v>
      </c>
      <c r="L428" s="501">
        <f>IFERROR(SUMIFS('JPM St'!$M:$M,'JPM St'!$A:$A,$V$3,'JPM St'!$C:$C,D428),"")</f>
        <v>0</v>
      </c>
      <c r="M428" s="501">
        <f>IFERROR(SUMIFS('JPM St'!$M:$M,'JPM St'!$A:$A,$V$4,'JPM St'!$C:$C,D428),"")</f>
        <v>0</v>
      </c>
    </row>
    <row r="429" spans="1:13" x14ac:dyDescent="0.25">
      <c r="A429" s="497" t="s">
        <v>90</v>
      </c>
      <c r="B429" s="497" t="str">
        <f>IFERROR(IF(VLOOKUP(D429,'JPM St'!$C:$G,3,0)="Fixed Income &amp; Cash","Cash",VLOOKUP(D429,'JPM St'!$C:$G,3,0)),"")</f>
        <v/>
      </c>
      <c r="C429" s="497" t="str">
        <f>IFERROR(VLOOKUP(D429,'JPM St'!$C:$L,10,0),"")</f>
        <v/>
      </c>
      <c r="E429" s="500" t="str">
        <f>IFERROR(VLOOKUP(D429,'JPM St'!$C:$D,2,0),"")</f>
        <v/>
      </c>
      <c r="F429" s="501">
        <f t="shared" si="17"/>
        <v>0</v>
      </c>
      <c r="G429" s="501">
        <f>SUMIFS('JPM St'!$K:$K,'JPM St'!$A:$A,$V$2,'JPM St'!$C:$C,D429)</f>
        <v>0</v>
      </c>
      <c r="H429" s="501">
        <f>SUMIFS('JPM St'!$K:$K,'JPM St'!$A:$A,$V$3,'JPM St'!$C:$C,D429)</f>
        <v>0</v>
      </c>
      <c r="I429" s="501">
        <f>SUMIFS('JPM St'!$K:$K,'JPM St'!$A:$A,$V$4,'JPM St'!$C:$C,D429)</f>
        <v>0</v>
      </c>
      <c r="J429" s="619">
        <f t="shared" si="18"/>
        <v>0</v>
      </c>
      <c r="K429" s="501">
        <f>IFERROR(SUMIFS('JPM St'!$M:$M,'JPM St'!$A:$A,$V$2,'JPM St'!$C:$C,D429),"")</f>
        <v>0</v>
      </c>
      <c r="L429" s="501">
        <f>IFERROR(SUMIFS('JPM St'!$M:$M,'JPM St'!$A:$A,$V$3,'JPM St'!$C:$C,D429),"")</f>
        <v>0</v>
      </c>
      <c r="M429" s="501">
        <f>IFERROR(SUMIFS('JPM St'!$M:$M,'JPM St'!$A:$A,$V$4,'JPM St'!$C:$C,D429),"")</f>
        <v>0</v>
      </c>
    </row>
    <row r="430" spans="1:13" x14ac:dyDescent="0.25">
      <c r="A430" s="497" t="s">
        <v>90</v>
      </c>
      <c r="B430" s="497" t="str">
        <f>IFERROR(IF(VLOOKUP(D430,'JPM St'!$C:$G,3,0)="Fixed Income &amp; Cash","Cash",VLOOKUP(D430,'JPM St'!$C:$G,3,0)),"")</f>
        <v/>
      </c>
      <c r="C430" s="497" t="str">
        <f>IFERROR(VLOOKUP(D430,'JPM St'!$C:$L,10,0),"")</f>
        <v/>
      </c>
      <c r="E430" s="500" t="str">
        <f>IFERROR(VLOOKUP(D430,'JPM St'!$C:$D,2,0),"")</f>
        <v/>
      </c>
      <c r="F430" s="501">
        <f t="shared" si="17"/>
        <v>0</v>
      </c>
      <c r="G430" s="501">
        <f>SUMIFS('JPM St'!$K:$K,'JPM St'!$A:$A,$V$2,'JPM St'!$C:$C,D430)</f>
        <v>0</v>
      </c>
      <c r="H430" s="501">
        <f>SUMIFS('JPM St'!$K:$K,'JPM St'!$A:$A,$V$3,'JPM St'!$C:$C,D430)</f>
        <v>0</v>
      </c>
      <c r="I430" s="501">
        <f>SUMIFS('JPM St'!$K:$K,'JPM St'!$A:$A,$V$4,'JPM St'!$C:$C,D430)</f>
        <v>0</v>
      </c>
      <c r="J430" s="619">
        <f t="shared" si="18"/>
        <v>0</v>
      </c>
      <c r="K430" s="501">
        <f>IFERROR(SUMIFS('JPM St'!$M:$M,'JPM St'!$A:$A,$V$2,'JPM St'!$C:$C,D430),"")</f>
        <v>0</v>
      </c>
      <c r="L430" s="501">
        <f>IFERROR(SUMIFS('JPM St'!$M:$M,'JPM St'!$A:$A,$V$3,'JPM St'!$C:$C,D430),"")</f>
        <v>0</v>
      </c>
      <c r="M430" s="501">
        <f>IFERROR(SUMIFS('JPM St'!$M:$M,'JPM St'!$A:$A,$V$4,'JPM St'!$C:$C,D430),"")</f>
        <v>0</v>
      </c>
    </row>
    <row r="431" spans="1:13" x14ac:dyDescent="0.25">
      <c r="A431" s="497" t="s">
        <v>90</v>
      </c>
      <c r="B431" s="497" t="str">
        <f>IFERROR(IF(VLOOKUP(D431,'JPM St'!$C:$G,3,0)="Fixed Income &amp; Cash","Cash",VLOOKUP(D431,'JPM St'!$C:$G,3,0)),"")</f>
        <v/>
      </c>
      <c r="C431" s="497" t="str">
        <f>IFERROR(VLOOKUP(D431,'JPM St'!$C:$L,10,0),"")</f>
        <v/>
      </c>
      <c r="E431" s="500" t="str">
        <f>IFERROR(VLOOKUP(D431,'JPM St'!$C:$D,2,0),"")</f>
        <v/>
      </c>
      <c r="F431" s="501">
        <f t="shared" si="17"/>
        <v>0</v>
      </c>
      <c r="G431" s="501">
        <f>SUMIFS('JPM St'!$K:$K,'JPM St'!$A:$A,$V$2,'JPM St'!$C:$C,D431)</f>
        <v>0</v>
      </c>
      <c r="H431" s="501">
        <f>SUMIFS('JPM St'!$K:$K,'JPM St'!$A:$A,$V$3,'JPM St'!$C:$C,D431)</f>
        <v>0</v>
      </c>
      <c r="I431" s="501">
        <f>SUMIFS('JPM St'!$K:$K,'JPM St'!$A:$A,$V$4,'JPM St'!$C:$C,D431)</f>
        <v>0</v>
      </c>
      <c r="J431" s="619">
        <f t="shared" si="18"/>
        <v>0</v>
      </c>
      <c r="K431" s="501">
        <f>IFERROR(SUMIFS('JPM St'!$M:$M,'JPM St'!$A:$A,$V$2,'JPM St'!$C:$C,D431),"")</f>
        <v>0</v>
      </c>
      <c r="L431" s="501">
        <f>IFERROR(SUMIFS('JPM St'!$M:$M,'JPM St'!$A:$A,$V$3,'JPM St'!$C:$C,D431),"")</f>
        <v>0</v>
      </c>
      <c r="M431" s="501">
        <f>IFERROR(SUMIFS('JPM St'!$M:$M,'JPM St'!$A:$A,$V$4,'JPM St'!$C:$C,D431),"")</f>
        <v>0</v>
      </c>
    </row>
    <row r="432" spans="1:13" x14ac:dyDescent="0.25">
      <c r="A432" s="497" t="s">
        <v>90</v>
      </c>
      <c r="B432" s="497" t="str">
        <f>IFERROR(IF(VLOOKUP(D432,'JPM St'!$C:$G,3,0)="Fixed Income &amp; Cash","Cash",VLOOKUP(D432,'JPM St'!$C:$G,3,0)),"")</f>
        <v/>
      </c>
      <c r="C432" s="497" t="str">
        <f>IFERROR(VLOOKUP(D432,'JPM St'!$C:$L,10,0),"")</f>
        <v/>
      </c>
      <c r="E432" s="500" t="str">
        <f>IFERROR(VLOOKUP(D432,'JPM St'!$C:$D,2,0),"")</f>
        <v/>
      </c>
      <c r="F432" s="501">
        <f t="shared" si="17"/>
        <v>0</v>
      </c>
      <c r="G432" s="501">
        <f>SUMIFS('JPM St'!$K:$K,'JPM St'!$A:$A,$V$2,'JPM St'!$C:$C,D432)</f>
        <v>0</v>
      </c>
      <c r="H432" s="501">
        <f>SUMIFS('JPM St'!$K:$K,'JPM St'!$A:$A,$V$3,'JPM St'!$C:$C,D432)</f>
        <v>0</v>
      </c>
      <c r="I432" s="501">
        <f>SUMIFS('JPM St'!$K:$K,'JPM St'!$A:$A,$V$4,'JPM St'!$C:$C,D432)</f>
        <v>0</v>
      </c>
      <c r="J432" s="619">
        <f t="shared" si="18"/>
        <v>0</v>
      </c>
      <c r="K432" s="501">
        <f>IFERROR(SUMIFS('JPM St'!$M:$M,'JPM St'!$A:$A,$V$2,'JPM St'!$C:$C,D432),"")</f>
        <v>0</v>
      </c>
      <c r="L432" s="501">
        <f>IFERROR(SUMIFS('JPM St'!$M:$M,'JPM St'!$A:$A,$V$3,'JPM St'!$C:$C,D432),"")</f>
        <v>0</v>
      </c>
      <c r="M432" s="501">
        <f>IFERROR(SUMIFS('JPM St'!$M:$M,'JPM St'!$A:$A,$V$4,'JPM St'!$C:$C,D432),"")</f>
        <v>0</v>
      </c>
    </row>
    <row r="433" spans="1:13" x14ac:dyDescent="0.25">
      <c r="A433" s="497" t="s">
        <v>90</v>
      </c>
      <c r="B433" s="497" t="str">
        <f>IFERROR(IF(VLOOKUP(D433,'JPM St'!$C:$G,3,0)="Fixed Income &amp; Cash","Cash",VLOOKUP(D433,'JPM St'!$C:$G,3,0)),"")</f>
        <v/>
      </c>
      <c r="C433" s="497" t="str">
        <f>IFERROR(VLOOKUP(D433,'JPM St'!$C:$L,10,0),"")</f>
        <v/>
      </c>
      <c r="E433" s="500" t="str">
        <f>IFERROR(VLOOKUP(D433,'JPM St'!$C:$D,2,0),"")</f>
        <v/>
      </c>
      <c r="F433" s="501">
        <f t="shared" si="17"/>
        <v>0</v>
      </c>
      <c r="G433" s="501">
        <f>SUMIFS('JPM St'!$K:$K,'JPM St'!$A:$A,$V$2,'JPM St'!$C:$C,D433)</f>
        <v>0</v>
      </c>
      <c r="H433" s="501">
        <f>SUMIFS('JPM St'!$K:$K,'JPM St'!$A:$A,$V$3,'JPM St'!$C:$C,D433)</f>
        <v>0</v>
      </c>
      <c r="I433" s="501">
        <f>SUMIFS('JPM St'!$K:$K,'JPM St'!$A:$A,$V$4,'JPM St'!$C:$C,D433)</f>
        <v>0</v>
      </c>
      <c r="J433" s="619">
        <f t="shared" si="18"/>
        <v>0</v>
      </c>
      <c r="K433" s="501">
        <f>IFERROR(SUMIFS('JPM St'!$M:$M,'JPM St'!$A:$A,$V$2,'JPM St'!$C:$C,D433),"")</f>
        <v>0</v>
      </c>
      <c r="L433" s="501">
        <f>IFERROR(SUMIFS('JPM St'!$M:$M,'JPM St'!$A:$A,$V$3,'JPM St'!$C:$C,D433),"")</f>
        <v>0</v>
      </c>
      <c r="M433" s="501">
        <f>IFERROR(SUMIFS('JPM St'!$M:$M,'JPM St'!$A:$A,$V$4,'JPM St'!$C:$C,D433),"")</f>
        <v>0</v>
      </c>
    </row>
    <row r="434" spans="1:13" x14ac:dyDescent="0.25">
      <c r="A434" s="497" t="s">
        <v>90</v>
      </c>
      <c r="B434" s="497" t="str">
        <f>IFERROR(IF(VLOOKUP(D434,'JPM St'!$C:$G,3,0)="Fixed Income &amp; Cash","Cash",VLOOKUP(D434,'JPM St'!$C:$G,3,0)),"")</f>
        <v/>
      </c>
      <c r="C434" s="497" t="str">
        <f>IFERROR(VLOOKUP(D434,'JPM St'!$C:$L,10,0),"")</f>
        <v/>
      </c>
      <c r="E434" s="500" t="str">
        <f>IFERROR(VLOOKUP(D434,'JPM St'!$C:$D,2,0),"")</f>
        <v/>
      </c>
      <c r="F434" s="501">
        <f t="shared" si="17"/>
        <v>0</v>
      </c>
      <c r="G434" s="501">
        <f>SUMIFS('JPM St'!$K:$K,'JPM St'!$A:$A,$V$2,'JPM St'!$C:$C,D434)</f>
        <v>0</v>
      </c>
      <c r="H434" s="501">
        <f>SUMIFS('JPM St'!$K:$K,'JPM St'!$A:$A,$V$3,'JPM St'!$C:$C,D434)</f>
        <v>0</v>
      </c>
      <c r="I434" s="501">
        <f>SUMIFS('JPM St'!$K:$K,'JPM St'!$A:$A,$V$4,'JPM St'!$C:$C,D434)</f>
        <v>0</v>
      </c>
      <c r="J434" s="619">
        <f t="shared" si="18"/>
        <v>0</v>
      </c>
      <c r="K434" s="501">
        <f>IFERROR(SUMIFS('JPM St'!$M:$M,'JPM St'!$A:$A,$V$2,'JPM St'!$C:$C,D434),"")</f>
        <v>0</v>
      </c>
      <c r="L434" s="501">
        <f>IFERROR(SUMIFS('JPM St'!$M:$M,'JPM St'!$A:$A,$V$3,'JPM St'!$C:$C,D434),"")</f>
        <v>0</v>
      </c>
      <c r="M434" s="501">
        <f>IFERROR(SUMIFS('JPM St'!$M:$M,'JPM St'!$A:$A,$V$4,'JPM St'!$C:$C,D434),"")</f>
        <v>0</v>
      </c>
    </row>
    <row r="435" spans="1:13" x14ac:dyDescent="0.25">
      <c r="A435" s="497" t="s">
        <v>90</v>
      </c>
      <c r="B435" s="497" t="str">
        <f>IFERROR(IF(VLOOKUP(D435,'JPM St'!$C:$G,3,0)="Fixed Income &amp; Cash","Cash",VLOOKUP(D435,'JPM St'!$C:$G,3,0)),"")</f>
        <v/>
      </c>
      <c r="C435" s="497" t="str">
        <f>IFERROR(VLOOKUP(D435,'JPM St'!$C:$L,10,0),"")</f>
        <v/>
      </c>
      <c r="E435" s="500" t="str">
        <f>IFERROR(VLOOKUP(D435,'JPM St'!$C:$D,2,0),"")</f>
        <v/>
      </c>
      <c r="F435" s="501">
        <f t="shared" si="17"/>
        <v>0</v>
      </c>
      <c r="G435" s="501">
        <f>SUMIFS('JPM St'!$K:$K,'JPM St'!$A:$A,$V$2,'JPM St'!$C:$C,D435)</f>
        <v>0</v>
      </c>
      <c r="H435" s="501">
        <f>SUMIFS('JPM St'!$K:$K,'JPM St'!$A:$A,$V$3,'JPM St'!$C:$C,D435)</f>
        <v>0</v>
      </c>
      <c r="I435" s="501">
        <f>SUMIFS('JPM St'!$K:$K,'JPM St'!$A:$A,$V$4,'JPM St'!$C:$C,D435)</f>
        <v>0</v>
      </c>
      <c r="J435" s="619">
        <f t="shared" si="18"/>
        <v>0</v>
      </c>
      <c r="K435" s="501">
        <f>IFERROR(SUMIFS('JPM St'!$M:$M,'JPM St'!$A:$A,$V$2,'JPM St'!$C:$C,D435),"")</f>
        <v>0</v>
      </c>
      <c r="L435" s="501">
        <f>IFERROR(SUMIFS('JPM St'!$M:$M,'JPM St'!$A:$A,$V$3,'JPM St'!$C:$C,D435),"")</f>
        <v>0</v>
      </c>
      <c r="M435" s="501">
        <f>IFERROR(SUMIFS('JPM St'!$M:$M,'JPM St'!$A:$A,$V$4,'JPM St'!$C:$C,D435),"")</f>
        <v>0</v>
      </c>
    </row>
    <row r="436" spans="1:13" x14ac:dyDescent="0.25">
      <c r="A436" s="497" t="s">
        <v>90</v>
      </c>
      <c r="B436" s="497" t="str">
        <f>IFERROR(IF(VLOOKUP(D436,'JPM St'!$C:$G,3,0)="Fixed Income &amp; Cash","Cash",VLOOKUP(D436,'JPM St'!$C:$G,3,0)),"")</f>
        <v/>
      </c>
      <c r="C436" s="497" t="str">
        <f>IFERROR(VLOOKUP(D436,'JPM St'!$C:$L,10,0),"")</f>
        <v/>
      </c>
      <c r="E436" s="500" t="str">
        <f>IFERROR(VLOOKUP(D436,'JPM St'!$C:$D,2,0),"")</f>
        <v/>
      </c>
      <c r="F436" s="501">
        <f t="shared" si="17"/>
        <v>0</v>
      </c>
      <c r="G436" s="501">
        <f>SUMIFS('JPM St'!$K:$K,'JPM St'!$A:$A,$V$2,'JPM St'!$C:$C,D436)</f>
        <v>0</v>
      </c>
      <c r="H436" s="501">
        <f>SUMIFS('JPM St'!$K:$K,'JPM St'!$A:$A,$V$3,'JPM St'!$C:$C,D436)</f>
        <v>0</v>
      </c>
      <c r="I436" s="501">
        <f>SUMIFS('JPM St'!$K:$K,'JPM St'!$A:$A,$V$4,'JPM St'!$C:$C,D436)</f>
        <v>0</v>
      </c>
      <c r="J436" s="619">
        <f t="shared" si="18"/>
        <v>0</v>
      </c>
      <c r="K436" s="501">
        <f>IFERROR(SUMIFS('JPM St'!$M:$M,'JPM St'!$A:$A,$V$2,'JPM St'!$C:$C,D436),"")</f>
        <v>0</v>
      </c>
      <c r="L436" s="501">
        <f>IFERROR(SUMIFS('JPM St'!$M:$M,'JPM St'!$A:$A,$V$3,'JPM St'!$C:$C,D436),"")</f>
        <v>0</v>
      </c>
      <c r="M436" s="501">
        <f>IFERROR(SUMIFS('JPM St'!$M:$M,'JPM St'!$A:$A,$V$4,'JPM St'!$C:$C,D436),"")</f>
        <v>0</v>
      </c>
    </row>
    <row r="437" spans="1:13" x14ac:dyDescent="0.25">
      <c r="A437" s="497" t="s">
        <v>90</v>
      </c>
      <c r="B437" s="497" t="str">
        <f>IFERROR(IF(VLOOKUP(D437,'JPM St'!$C:$G,3,0)="Fixed Income &amp; Cash","Cash",VLOOKUP(D437,'JPM St'!$C:$G,3,0)),"")</f>
        <v/>
      </c>
      <c r="C437" s="497" t="str">
        <f>IFERROR(VLOOKUP(D437,'JPM St'!$C:$L,10,0),"")</f>
        <v/>
      </c>
      <c r="E437" s="500" t="str">
        <f>IFERROR(VLOOKUP(D437,'JPM St'!$C:$D,2,0),"")</f>
        <v/>
      </c>
      <c r="F437" s="501">
        <f t="shared" si="17"/>
        <v>0</v>
      </c>
      <c r="G437" s="501">
        <f>SUMIFS('JPM St'!$K:$K,'JPM St'!$A:$A,$V$2,'JPM St'!$C:$C,D437)</f>
        <v>0</v>
      </c>
      <c r="H437" s="501">
        <f>SUMIFS('JPM St'!$K:$K,'JPM St'!$A:$A,$V$3,'JPM St'!$C:$C,D437)</f>
        <v>0</v>
      </c>
      <c r="I437" s="501">
        <f>SUMIFS('JPM St'!$K:$K,'JPM St'!$A:$A,$V$4,'JPM St'!$C:$C,D437)</f>
        <v>0</v>
      </c>
      <c r="J437" s="619">
        <f t="shared" si="18"/>
        <v>0</v>
      </c>
      <c r="K437" s="501">
        <f>IFERROR(SUMIFS('JPM St'!$M:$M,'JPM St'!$A:$A,$V$2,'JPM St'!$C:$C,D437),"")</f>
        <v>0</v>
      </c>
      <c r="L437" s="501">
        <f>IFERROR(SUMIFS('JPM St'!$M:$M,'JPM St'!$A:$A,$V$3,'JPM St'!$C:$C,D437),"")</f>
        <v>0</v>
      </c>
      <c r="M437" s="501">
        <f>IFERROR(SUMIFS('JPM St'!$M:$M,'JPM St'!$A:$A,$V$4,'JPM St'!$C:$C,D437),"")</f>
        <v>0</v>
      </c>
    </row>
    <row r="438" spans="1:13" x14ac:dyDescent="0.25">
      <c r="A438" s="497" t="s">
        <v>90</v>
      </c>
      <c r="B438" s="497" t="str">
        <f>IFERROR(IF(VLOOKUP(D438,'JPM St'!$C:$G,3,0)="Fixed Income &amp; Cash","Cash",VLOOKUP(D438,'JPM St'!$C:$G,3,0)),"")</f>
        <v/>
      </c>
      <c r="C438" s="497" t="str">
        <f>IFERROR(VLOOKUP(D438,'JPM St'!$C:$L,10,0),"")</f>
        <v/>
      </c>
      <c r="E438" s="500" t="str">
        <f>IFERROR(VLOOKUP(D438,'JPM St'!$C:$D,2,0),"")</f>
        <v/>
      </c>
      <c r="F438" s="501">
        <f t="shared" si="17"/>
        <v>0</v>
      </c>
      <c r="G438" s="501">
        <f>SUMIFS('JPM St'!$K:$K,'JPM St'!$A:$A,$V$2,'JPM St'!$C:$C,D438)</f>
        <v>0</v>
      </c>
      <c r="H438" s="501">
        <f>SUMIFS('JPM St'!$K:$K,'JPM St'!$A:$A,$V$3,'JPM St'!$C:$C,D438)</f>
        <v>0</v>
      </c>
      <c r="I438" s="501">
        <f>SUMIFS('JPM St'!$K:$K,'JPM St'!$A:$A,$V$4,'JPM St'!$C:$C,D438)</f>
        <v>0</v>
      </c>
      <c r="J438" s="619">
        <f t="shared" si="18"/>
        <v>0</v>
      </c>
      <c r="K438" s="501">
        <f>IFERROR(SUMIFS('JPM St'!$M:$M,'JPM St'!$A:$A,$V$2,'JPM St'!$C:$C,D438),"")</f>
        <v>0</v>
      </c>
      <c r="L438" s="501">
        <f>IFERROR(SUMIFS('JPM St'!$M:$M,'JPM St'!$A:$A,$V$3,'JPM St'!$C:$C,D438),"")</f>
        <v>0</v>
      </c>
      <c r="M438" s="501">
        <f>IFERROR(SUMIFS('JPM St'!$M:$M,'JPM St'!$A:$A,$V$4,'JPM St'!$C:$C,D438),"")</f>
        <v>0</v>
      </c>
    </row>
    <row r="439" spans="1:13" x14ac:dyDescent="0.25">
      <c r="A439" s="497" t="s">
        <v>90</v>
      </c>
      <c r="B439" s="497" t="str">
        <f>IFERROR(IF(VLOOKUP(D439,'JPM St'!$C:$G,3,0)="Fixed Income &amp; Cash","Cash",VLOOKUP(D439,'JPM St'!$C:$G,3,0)),"")</f>
        <v/>
      </c>
      <c r="C439" s="497" t="str">
        <f>IFERROR(VLOOKUP(D439,'JPM St'!$C:$L,10,0),"")</f>
        <v/>
      </c>
      <c r="E439" s="500" t="str">
        <f>IFERROR(VLOOKUP(D439,'JPM St'!$C:$D,2,0),"")</f>
        <v/>
      </c>
      <c r="F439" s="501">
        <f t="shared" si="17"/>
        <v>0</v>
      </c>
      <c r="G439" s="501">
        <f>SUMIFS('JPM St'!$K:$K,'JPM St'!$A:$A,$V$2,'JPM St'!$C:$C,D439)</f>
        <v>0</v>
      </c>
      <c r="H439" s="501">
        <f>SUMIFS('JPM St'!$K:$K,'JPM St'!$A:$A,$V$3,'JPM St'!$C:$C,D439)</f>
        <v>0</v>
      </c>
      <c r="I439" s="501">
        <f>SUMIFS('JPM St'!$K:$K,'JPM St'!$A:$A,$V$4,'JPM St'!$C:$C,D439)</f>
        <v>0</v>
      </c>
      <c r="J439" s="619">
        <f t="shared" si="18"/>
        <v>0</v>
      </c>
      <c r="K439" s="501">
        <f>IFERROR(SUMIFS('JPM St'!$M:$M,'JPM St'!$A:$A,$V$2,'JPM St'!$C:$C,D439),"")</f>
        <v>0</v>
      </c>
      <c r="L439" s="501">
        <f>IFERROR(SUMIFS('JPM St'!$M:$M,'JPM St'!$A:$A,$V$3,'JPM St'!$C:$C,D439),"")</f>
        <v>0</v>
      </c>
      <c r="M439" s="501">
        <f>IFERROR(SUMIFS('JPM St'!$M:$M,'JPM St'!$A:$A,$V$4,'JPM St'!$C:$C,D439),"")</f>
        <v>0</v>
      </c>
    </row>
    <row r="440" spans="1:13" x14ac:dyDescent="0.25">
      <c r="A440" s="497" t="s">
        <v>90</v>
      </c>
      <c r="B440" s="497" t="str">
        <f>IFERROR(IF(VLOOKUP(D440,'JPM St'!$C:$G,3,0)="Fixed Income &amp; Cash","Cash",VLOOKUP(D440,'JPM St'!$C:$G,3,0)),"")</f>
        <v/>
      </c>
      <c r="C440" s="497" t="str">
        <f>IFERROR(VLOOKUP(D440,'JPM St'!$C:$L,10,0),"")</f>
        <v/>
      </c>
      <c r="E440" s="500" t="str">
        <f>IFERROR(VLOOKUP(D440,'JPM St'!$C:$D,2,0),"")</f>
        <v/>
      </c>
      <c r="F440" s="501">
        <f t="shared" si="17"/>
        <v>0</v>
      </c>
      <c r="G440" s="501">
        <f>SUMIFS('JPM St'!$K:$K,'JPM St'!$A:$A,$V$2,'JPM St'!$C:$C,D440)</f>
        <v>0</v>
      </c>
      <c r="H440" s="501">
        <f>SUMIFS('JPM St'!$K:$K,'JPM St'!$A:$A,$V$3,'JPM St'!$C:$C,D440)</f>
        <v>0</v>
      </c>
      <c r="I440" s="501">
        <f>SUMIFS('JPM St'!$K:$K,'JPM St'!$A:$A,$V$4,'JPM St'!$C:$C,D440)</f>
        <v>0</v>
      </c>
      <c r="J440" s="619">
        <f t="shared" si="18"/>
        <v>0</v>
      </c>
      <c r="K440" s="501">
        <f>IFERROR(SUMIFS('JPM St'!$M:$M,'JPM St'!$A:$A,$V$2,'JPM St'!$C:$C,D440),"")</f>
        <v>0</v>
      </c>
      <c r="L440" s="501">
        <f>IFERROR(SUMIFS('JPM St'!$M:$M,'JPM St'!$A:$A,$V$3,'JPM St'!$C:$C,D440),"")</f>
        <v>0</v>
      </c>
      <c r="M440" s="501">
        <f>IFERROR(SUMIFS('JPM St'!$M:$M,'JPM St'!$A:$A,$V$4,'JPM St'!$C:$C,D440),"")</f>
        <v>0</v>
      </c>
    </row>
    <row r="441" spans="1:13" x14ac:dyDescent="0.25">
      <c r="A441" s="497" t="s">
        <v>90</v>
      </c>
      <c r="B441" s="497" t="str">
        <f>IFERROR(IF(VLOOKUP(D441,'JPM St'!$C:$G,3,0)="Fixed Income &amp; Cash","Cash",VLOOKUP(D441,'JPM St'!$C:$G,3,0)),"")</f>
        <v/>
      </c>
      <c r="C441" s="497" t="str">
        <f>IFERROR(VLOOKUP(D441,'JPM St'!$C:$L,10,0),"")</f>
        <v/>
      </c>
      <c r="E441" s="500" t="str">
        <f>IFERROR(VLOOKUP(D441,'JPM St'!$C:$D,2,0),"")</f>
        <v/>
      </c>
      <c r="F441" s="501">
        <f t="shared" si="17"/>
        <v>0</v>
      </c>
      <c r="G441" s="501">
        <f>SUMIFS('JPM St'!$K:$K,'JPM St'!$A:$A,$V$2,'JPM St'!$C:$C,D441)</f>
        <v>0</v>
      </c>
      <c r="H441" s="501">
        <f>SUMIFS('JPM St'!$K:$K,'JPM St'!$A:$A,$V$3,'JPM St'!$C:$C,D441)</f>
        <v>0</v>
      </c>
      <c r="I441" s="501">
        <f>SUMIFS('JPM St'!$K:$K,'JPM St'!$A:$A,$V$4,'JPM St'!$C:$C,D441)</f>
        <v>0</v>
      </c>
      <c r="J441" s="619">
        <f t="shared" si="18"/>
        <v>0</v>
      </c>
      <c r="K441" s="501">
        <f>IFERROR(SUMIFS('JPM St'!$M:$M,'JPM St'!$A:$A,$V$2,'JPM St'!$C:$C,D441),"")</f>
        <v>0</v>
      </c>
      <c r="L441" s="501">
        <f>IFERROR(SUMIFS('JPM St'!$M:$M,'JPM St'!$A:$A,$V$3,'JPM St'!$C:$C,D441),"")</f>
        <v>0</v>
      </c>
      <c r="M441" s="501">
        <f>IFERROR(SUMIFS('JPM St'!$M:$M,'JPM St'!$A:$A,$V$4,'JPM St'!$C:$C,D441),"")</f>
        <v>0</v>
      </c>
    </row>
    <row r="442" spans="1:13" x14ac:dyDescent="0.25">
      <c r="A442" s="497" t="s">
        <v>90</v>
      </c>
      <c r="B442" s="497" t="str">
        <f>IFERROR(IF(VLOOKUP(D442,'JPM St'!$C:$G,3,0)="Fixed Income &amp; Cash","Cash",VLOOKUP(D442,'JPM St'!$C:$G,3,0)),"")</f>
        <v/>
      </c>
      <c r="C442" s="497" t="str">
        <f>IFERROR(VLOOKUP(D442,'JPM St'!$C:$L,10,0),"")</f>
        <v/>
      </c>
      <c r="E442" s="500" t="str">
        <f>IFERROR(VLOOKUP(D442,'JPM St'!$C:$D,2,0),"")</f>
        <v/>
      </c>
      <c r="F442" s="501">
        <f t="shared" si="17"/>
        <v>0</v>
      </c>
      <c r="G442" s="501">
        <f>SUMIFS('JPM St'!$K:$K,'JPM St'!$A:$A,$V$2,'JPM St'!$C:$C,D442)</f>
        <v>0</v>
      </c>
      <c r="H442" s="501">
        <f>SUMIFS('JPM St'!$K:$K,'JPM St'!$A:$A,$V$3,'JPM St'!$C:$C,D442)</f>
        <v>0</v>
      </c>
      <c r="I442" s="501">
        <f>SUMIFS('JPM St'!$K:$K,'JPM St'!$A:$A,$V$4,'JPM St'!$C:$C,D442)</f>
        <v>0</v>
      </c>
      <c r="J442" s="619">
        <f t="shared" si="18"/>
        <v>0</v>
      </c>
      <c r="K442" s="501">
        <f>IFERROR(SUMIFS('JPM St'!$M:$M,'JPM St'!$A:$A,$V$2,'JPM St'!$C:$C,D442),"")</f>
        <v>0</v>
      </c>
      <c r="L442" s="501">
        <f>IFERROR(SUMIFS('JPM St'!$M:$M,'JPM St'!$A:$A,$V$3,'JPM St'!$C:$C,D442),"")</f>
        <v>0</v>
      </c>
      <c r="M442" s="501">
        <f>IFERROR(SUMIFS('JPM St'!$M:$M,'JPM St'!$A:$A,$V$4,'JPM St'!$C:$C,D442),"")</f>
        <v>0</v>
      </c>
    </row>
    <row r="443" spans="1:13" x14ac:dyDescent="0.25">
      <c r="A443" s="497" t="s">
        <v>90</v>
      </c>
      <c r="B443" s="497" t="str">
        <f>IFERROR(IF(VLOOKUP(D443,'JPM St'!$C:$G,3,0)="Fixed Income &amp; Cash","Cash",VLOOKUP(D443,'JPM St'!$C:$G,3,0)),"")</f>
        <v/>
      </c>
      <c r="C443" s="497" t="str">
        <f>IFERROR(VLOOKUP(D443,'JPM St'!$C:$L,10,0),"")</f>
        <v/>
      </c>
      <c r="E443" s="500" t="str">
        <f>IFERROR(VLOOKUP(D443,'JPM St'!$C:$D,2,0),"")</f>
        <v/>
      </c>
      <c r="F443" s="501">
        <f t="shared" si="17"/>
        <v>0</v>
      </c>
      <c r="G443" s="501">
        <f>SUMIFS('JPM St'!$K:$K,'JPM St'!$A:$A,$V$2,'JPM St'!$C:$C,D443)</f>
        <v>0</v>
      </c>
      <c r="H443" s="501">
        <f>SUMIFS('JPM St'!$K:$K,'JPM St'!$A:$A,$V$3,'JPM St'!$C:$C,D443)</f>
        <v>0</v>
      </c>
      <c r="I443" s="501">
        <f>SUMIFS('JPM St'!$K:$K,'JPM St'!$A:$A,$V$4,'JPM St'!$C:$C,D443)</f>
        <v>0</v>
      </c>
      <c r="J443" s="619">
        <f t="shared" si="18"/>
        <v>0</v>
      </c>
      <c r="K443" s="501">
        <f>IFERROR(SUMIFS('JPM St'!$M:$M,'JPM St'!$A:$A,$V$2,'JPM St'!$C:$C,D443),"")</f>
        <v>0</v>
      </c>
      <c r="L443" s="501">
        <f>IFERROR(SUMIFS('JPM St'!$M:$M,'JPM St'!$A:$A,$V$3,'JPM St'!$C:$C,D443),"")</f>
        <v>0</v>
      </c>
      <c r="M443" s="501">
        <f>IFERROR(SUMIFS('JPM St'!$M:$M,'JPM St'!$A:$A,$V$4,'JPM St'!$C:$C,D443),"")</f>
        <v>0</v>
      </c>
    </row>
    <row r="444" spans="1:13" x14ac:dyDescent="0.25">
      <c r="A444" s="497" t="s">
        <v>90</v>
      </c>
      <c r="B444" s="497" t="str">
        <f>IFERROR(IF(VLOOKUP(D444,'JPM St'!$C:$G,3,0)="Fixed Income &amp; Cash","Cash",VLOOKUP(D444,'JPM St'!$C:$G,3,0)),"")</f>
        <v/>
      </c>
      <c r="C444" s="497" t="str">
        <f>IFERROR(VLOOKUP(D444,'JPM St'!$C:$L,10,0),"")</f>
        <v/>
      </c>
      <c r="E444" s="500" t="str">
        <f>IFERROR(VLOOKUP(D444,'JPM St'!$C:$D,2,0),"")</f>
        <v/>
      </c>
      <c r="F444" s="501">
        <f t="shared" si="17"/>
        <v>0</v>
      </c>
      <c r="G444" s="501">
        <f>SUMIFS('JPM St'!$K:$K,'JPM St'!$A:$A,$V$2,'JPM St'!$C:$C,D444)</f>
        <v>0</v>
      </c>
      <c r="H444" s="501">
        <f>SUMIFS('JPM St'!$K:$K,'JPM St'!$A:$A,$V$3,'JPM St'!$C:$C,D444)</f>
        <v>0</v>
      </c>
      <c r="I444" s="501">
        <f>SUMIFS('JPM St'!$K:$K,'JPM St'!$A:$A,$V$4,'JPM St'!$C:$C,D444)</f>
        <v>0</v>
      </c>
      <c r="J444" s="619">
        <f t="shared" si="18"/>
        <v>0</v>
      </c>
      <c r="K444" s="501">
        <f>IFERROR(SUMIFS('JPM St'!$M:$M,'JPM St'!$A:$A,$V$2,'JPM St'!$C:$C,D444),"")</f>
        <v>0</v>
      </c>
      <c r="L444" s="501">
        <f>IFERROR(SUMIFS('JPM St'!$M:$M,'JPM St'!$A:$A,$V$3,'JPM St'!$C:$C,D444),"")</f>
        <v>0</v>
      </c>
      <c r="M444" s="501">
        <f>IFERROR(SUMIFS('JPM St'!$M:$M,'JPM St'!$A:$A,$V$4,'JPM St'!$C:$C,D444),"")</f>
        <v>0</v>
      </c>
    </row>
    <row r="445" spans="1:13" x14ac:dyDescent="0.25">
      <c r="A445" s="497" t="s">
        <v>90</v>
      </c>
      <c r="B445" s="497" t="str">
        <f>IFERROR(IF(VLOOKUP(D445,'JPM St'!$C:$G,3,0)="Fixed Income &amp; Cash","Cash",VLOOKUP(D445,'JPM St'!$C:$G,3,0)),"")</f>
        <v/>
      </c>
      <c r="C445" s="497" t="str">
        <f>IFERROR(VLOOKUP(D445,'JPM St'!$C:$L,10,0),"")</f>
        <v/>
      </c>
      <c r="E445" s="500" t="str">
        <f>IFERROR(VLOOKUP(D445,'JPM St'!$C:$D,2,0),"")</f>
        <v/>
      </c>
      <c r="F445" s="501">
        <f t="shared" si="17"/>
        <v>0</v>
      </c>
      <c r="G445" s="501">
        <f>SUMIFS('JPM St'!$K:$K,'JPM St'!$A:$A,$V$2,'JPM St'!$C:$C,D445)</f>
        <v>0</v>
      </c>
      <c r="H445" s="501">
        <f>SUMIFS('JPM St'!$K:$K,'JPM St'!$A:$A,$V$3,'JPM St'!$C:$C,D445)</f>
        <v>0</v>
      </c>
      <c r="I445" s="501">
        <f>SUMIFS('JPM St'!$K:$K,'JPM St'!$A:$A,$V$4,'JPM St'!$C:$C,D445)</f>
        <v>0</v>
      </c>
      <c r="J445" s="619">
        <f t="shared" si="18"/>
        <v>0</v>
      </c>
      <c r="K445" s="501">
        <f>IFERROR(SUMIFS('JPM St'!$M:$M,'JPM St'!$A:$A,$V$2,'JPM St'!$C:$C,D445),"")</f>
        <v>0</v>
      </c>
      <c r="L445" s="501">
        <f>IFERROR(SUMIFS('JPM St'!$M:$M,'JPM St'!$A:$A,$V$3,'JPM St'!$C:$C,D445),"")</f>
        <v>0</v>
      </c>
      <c r="M445" s="501">
        <f>IFERROR(SUMIFS('JPM St'!$M:$M,'JPM St'!$A:$A,$V$4,'JPM St'!$C:$C,D445),"")</f>
        <v>0</v>
      </c>
    </row>
    <row r="446" spans="1:13" x14ac:dyDescent="0.25">
      <c r="A446" s="497" t="s">
        <v>90</v>
      </c>
      <c r="B446" s="497" t="str">
        <f>IFERROR(IF(VLOOKUP(D446,'JPM St'!$C:$G,3,0)="Fixed Income &amp; Cash","Cash",VLOOKUP(D446,'JPM St'!$C:$G,3,0)),"")</f>
        <v/>
      </c>
      <c r="C446" s="497" t="str">
        <f>IFERROR(VLOOKUP(D446,'JPM St'!$C:$L,10,0),"")</f>
        <v/>
      </c>
      <c r="E446" s="500" t="str">
        <f>IFERROR(VLOOKUP(D446,'JPM St'!$C:$D,2,0),"")</f>
        <v/>
      </c>
      <c r="F446" s="501">
        <f t="shared" si="17"/>
        <v>0</v>
      </c>
      <c r="G446" s="501">
        <f>SUMIFS('JPM St'!$K:$K,'JPM St'!$A:$A,$V$2,'JPM St'!$C:$C,D446)</f>
        <v>0</v>
      </c>
      <c r="H446" s="501">
        <f>SUMIFS('JPM St'!$K:$K,'JPM St'!$A:$A,$V$3,'JPM St'!$C:$C,D446)</f>
        <v>0</v>
      </c>
      <c r="I446" s="501">
        <f>SUMIFS('JPM St'!$K:$K,'JPM St'!$A:$A,$V$4,'JPM St'!$C:$C,D446)</f>
        <v>0</v>
      </c>
      <c r="J446" s="619">
        <f t="shared" si="18"/>
        <v>0</v>
      </c>
      <c r="K446" s="501">
        <f>IFERROR(SUMIFS('JPM St'!$M:$M,'JPM St'!$A:$A,$V$2,'JPM St'!$C:$C,D446),"")</f>
        <v>0</v>
      </c>
      <c r="L446" s="501">
        <f>IFERROR(SUMIFS('JPM St'!$M:$M,'JPM St'!$A:$A,$V$3,'JPM St'!$C:$C,D446),"")</f>
        <v>0</v>
      </c>
      <c r="M446" s="501">
        <f>IFERROR(SUMIFS('JPM St'!$M:$M,'JPM St'!$A:$A,$V$4,'JPM St'!$C:$C,D446),"")</f>
        <v>0</v>
      </c>
    </row>
    <row r="447" spans="1:13" x14ac:dyDescent="0.25">
      <c r="A447" s="497" t="s">
        <v>90</v>
      </c>
      <c r="B447" s="497" t="str">
        <f>IFERROR(IF(VLOOKUP(D447,'JPM St'!$C:$G,3,0)="Fixed Income &amp; Cash","Cash",VLOOKUP(D447,'JPM St'!$C:$G,3,0)),"")</f>
        <v/>
      </c>
      <c r="C447" s="497" t="str">
        <f>IFERROR(VLOOKUP(D447,'JPM St'!$C:$L,10,0),"")</f>
        <v/>
      </c>
      <c r="E447" s="500" t="str">
        <f>IFERROR(VLOOKUP(D447,'JPM St'!$C:$D,2,0),"")</f>
        <v/>
      </c>
      <c r="F447" s="501">
        <f t="shared" si="17"/>
        <v>0</v>
      </c>
      <c r="G447" s="501">
        <f>SUMIFS('JPM St'!$K:$K,'JPM St'!$A:$A,$V$2,'JPM St'!$C:$C,D447)</f>
        <v>0</v>
      </c>
      <c r="H447" s="501">
        <f>SUMIFS('JPM St'!$K:$K,'JPM St'!$A:$A,$V$3,'JPM St'!$C:$C,D447)</f>
        <v>0</v>
      </c>
      <c r="I447" s="501">
        <f>SUMIFS('JPM St'!$K:$K,'JPM St'!$A:$A,$V$4,'JPM St'!$C:$C,D447)</f>
        <v>0</v>
      </c>
      <c r="J447" s="619">
        <f t="shared" si="18"/>
        <v>0</v>
      </c>
      <c r="K447" s="501">
        <f>IFERROR(SUMIFS('JPM St'!$M:$M,'JPM St'!$A:$A,$V$2,'JPM St'!$C:$C,D447),"")</f>
        <v>0</v>
      </c>
      <c r="L447" s="501">
        <f>IFERROR(SUMIFS('JPM St'!$M:$M,'JPM St'!$A:$A,$V$3,'JPM St'!$C:$C,D447),"")</f>
        <v>0</v>
      </c>
      <c r="M447" s="501">
        <f>IFERROR(SUMIFS('JPM St'!$M:$M,'JPM St'!$A:$A,$V$4,'JPM St'!$C:$C,D447),"")</f>
        <v>0</v>
      </c>
    </row>
    <row r="448" spans="1:13" x14ac:dyDescent="0.25">
      <c r="A448" s="497" t="s">
        <v>90</v>
      </c>
      <c r="B448" s="497" t="str">
        <f>IFERROR(IF(VLOOKUP(D448,'JPM St'!$C:$G,3,0)="Fixed Income &amp; Cash","Cash",VLOOKUP(D448,'JPM St'!$C:$G,3,0)),"")</f>
        <v/>
      </c>
      <c r="C448" s="497" t="str">
        <f>IFERROR(VLOOKUP(D448,'JPM St'!$C:$L,10,0),"")</f>
        <v/>
      </c>
      <c r="E448" s="500" t="str">
        <f>IFERROR(VLOOKUP(D448,'JPM St'!$C:$D,2,0),"")</f>
        <v/>
      </c>
      <c r="F448" s="501">
        <f t="shared" si="17"/>
        <v>0</v>
      </c>
      <c r="G448" s="501">
        <f>SUMIFS('JPM St'!$K:$K,'JPM St'!$A:$A,$V$2,'JPM St'!$C:$C,D448)</f>
        <v>0</v>
      </c>
      <c r="H448" s="501">
        <f>SUMIFS('JPM St'!$K:$K,'JPM St'!$A:$A,$V$3,'JPM St'!$C:$C,D448)</f>
        <v>0</v>
      </c>
      <c r="I448" s="501">
        <f>SUMIFS('JPM St'!$K:$K,'JPM St'!$A:$A,$V$4,'JPM St'!$C:$C,D448)</f>
        <v>0</v>
      </c>
      <c r="J448" s="619">
        <f t="shared" si="18"/>
        <v>0</v>
      </c>
      <c r="K448" s="501">
        <f>IFERROR(SUMIFS('JPM St'!$M:$M,'JPM St'!$A:$A,$V$2,'JPM St'!$C:$C,D448),"")</f>
        <v>0</v>
      </c>
      <c r="L448" s="501">
        <f>IFERROR(SUMIFS('JPM St'!$M:$M,'JPM St'!$A:$A,$V$3,'JPM St'!$C:$C,D448),"")</f>
        <v>0</v>
      </c>
      <c r="M448" s="501">
        <f>IFERROR(SUMIFS('JPM St'!$M:$M,'JPM St'!$A:$A,$V$4,'JPM St'!$C:$C,D448),"")</f>
        <v>0</v>
      </c>
    </row>
    <row r="449" spans="1:13" x14ac:dyDescent="0.25">
      <c r="A449" s="497" t="s">
        <v>90</v>
      </c>
      <c r="B449" s="497" t="str">
        <f>IFERROR(IF(VLOOKUP(D449,'JPM St'!$C:$G,3,0)="Fixed Income &amp; Cash","Cash",VLOOKUP(D449,'JPM St'!$C:$G,3,0)),"")</f>
        <v/>
      </c>
      <c r="C449" s="497" t="str">
        <f>IFERROR(VLOOKUP(D449,'JPM St'!$C:$L,10,0),"")</f>
        <v/>
      </c>
      <c r="E449" s="500" t="str">
        <f>IFERROR(VLOOKUP(D449,'JPM St'!$C:$D,2,0),"")</f>
        <v/>
      </c>
      <c r="F449" s="501">
        <f t="shared" si="17"/>
        <v>0</v>
      </c>
      <c r="G449" s="501">
        <f>SUMIFS('JPM St'!$K:$K,'JPM St'!$A:$A,$V$2,'JPM St'!$C:$C,D449)</f>
        <v>0</v>
      </c>
      <c r="H449" s="501">
        <f>SUMIFS('JPM St'!$K:$K,'JPM St'!$A:$A,$V$3,'JPM St'!$C:$C,D449)</f>
        <v>0</v>
      </c>
      <c r="I449" s="501">
        <f>SUMIFS('JPM St'!$K:$K,'JPM St'!$A:$A,$V$4,'JPM St'!$C:$C,D449)</f>
        <v>0</v>
      </c>
      <c r="J449" s="619">
        <f t="shared" si="18"/>
        <v>0</v>
      </c>
      <c r="K449" s="501">
        <f>IFERROR(SUMIFS('JPM St'!$M:$M,'JPM St'!$A:$A,$V$2,'JPM St'!$C:$C,D449),"")</f>
        <v>0</v>
      </c>
      <c r="L449" s="501">
        <f>IFERROR(SUMIFS('JPM St'!$M:$M,'JPM St'!$A:$A,$V$3,'JPM St'!$C:$C,D449),"")</f>
        <v>0</v>
      </c>
      <c r="M449" s="501">
        <f>IFERROR(SUMIFS('JPM St'!$M:$M,'JPM St'!$A:$A,$V$4,'JPM St'!$C:$C,D449),"")</f>
        <v>0</v>
      </c>
    </row>
    <row r="450" spans="1:13" x14ac:dyDescent="0.25">
      <c r="A450" s="497" t="s">
        <v>90</v>
      </c>
      <c r="B450" s="497" t="str">
        <f>IFERROR(IF(VLOOKUP(D450,'JPM St'!$C:$G,3,0)="Fixed Income &amp; Cash","Cash",VLOOKUP(D450,'JPM St'!$C:$G,3,0)),"")</f>
        <v/>
      </c>
      <c r="C450" s="497" t="str">
        <f>IFERROR(VLOOKUP(D450,'JPM St'!$C:$L,10,0),"")</f>
        <v/>
      </c>
      <c r="E450" s="500" t="str">
        <f>IFERROR(VLOOKUP(D450,'JPM St'!$C:$D,2,0),"")</f>
        <v/>
      </c>
      <c r="F450" s="501">
        <f t="shared" si="17"/>
        <v>0</v>
      </c>
      <c r="G450" s="501">
        <f>SUMIFS('JPM St'!$K:$K,'JPM St'!$A:$A,$V$2,'JPM St'!$C:$C,D450)</f>
        <v>0</v>
      </c>
      <c r="H450" s="501">
        <f>SUMIFS('JPM St'!$K:$K,'JPM St'!$A:$A,$V$3,'JPM St'!$C:$C,D450)</f>
        <v>0</v>
      </c>
      <c r="I450" s="501">
        <f>SUMIFS('JPM St'!$K:$K,'JPM St'!$A:$A,$V$4,'JPM St'!$C:$C,D450)</f>
        <v>0</v>
      </c>
      <c r="J450" s="619">
        <f t="shared" si="18"/>
        <v>0</v>
      </c>
      <c r="K450" s="501">
        <f>IFERROR(SUMIFS('JPM St'!$M:$M,'JPM St'!$A:$A,$V$2,'JPM St'!$C:$C,D450),"")</f>
        <v>0</v>
      </c>
      <c r="L450" s="501">
        <f>IFERROR(SUMIFS('JPM St'!$M:$M,'JPM St'!$A:$A,$V$3,'JPM St'!$C:$C,D450),"")</f>
        <v>0</v>
      </c>
      <c r="M450" s="501">
        <f>IFERROR(SUMIFS('JPM St'!$M:$M,'JPM St'!$A:$A,$V$4,'JPM St'!$C:$C,D450),"")</f>
        <v>0</v>
      </c>
    </row>
    <row r="451" spans="1:13" x14ac:dyDescent="0.25">
      <c r="A451" s="497" t="s">
        <v>90</v>
      </c>
      <c r="B451" s="497" t="str">
        <f>IFERROR(IF(VLOOKUP(D451,'JPM St'!$C:$G,3,0)="Fixed Income &amp; Cash","Cash",VLOOKUP(D451,'JPM St'!$C:$G,3,0)),"")</f>
        <v/>
      </c>
      <c r="C451" s="497" t="str">
        <f>IFERROR(VLOOKUP(D451,'JPM St'!$C:$L,10,0),"")</f>
        <v/>
      </c>
      <c r="E451" s="500" t="str">
        <f>IFERROR(VLOOKUP(D451,'JPM St'!$C:$D,2,0),"")</f>
        <v/>
      </c>
      <c r="F451" s="501">
        <f t="shared" ref="F451:F500" si="19">SUM(G451:I451)</f>
        <v>0</v>
      </c>
      <c r="G451" s="501">
        <f>SUMIFS('JPM St'!$K:$K,'JPM St'!$A:$A,$V$2,'JPM St'!$C:$C,D451)</f>
        <v>0</v>
      </c>
      <c r="H451" s="501">
        <f>SUMIFS('JPM St'!$K:$K,'JPM St'!$A:$A,$V$3,'JPM St'!$C:$C,D451)</f>
        <v>0</v>
      </c>
      <c r="I451" s="501">
        <f>SUMIFS('JPM St'!$K:$K,'JPM St'!$A:$A,$V$4,'JPM St'!$C:$C,D451)</f>
        <v>0</v>
      </c>
      <c r="J451" s="619">
        <f t="shared" ref="J451:J500" si="20">SUM(K451:M451)</f>
        <v>0</v>
      </c>
      <c r="K451" s="501">
        <f>IFERROR(SUMIFS('JPM St'!$M:$M,'JPM St'!$A:$A,$V$2,'JPM St'!$C:$C,D451),"")</f>
        <v>0</v>
      </c>
      <c r="L451" s="501">
        <f>IFERROR(SUMIFS('JPM St'!$M:$M,'JPM St'!$A:$A,$V$3,'JPM St'!$C:$C,D451),"")</f>
        <v>0</v>
      </c>
      <c r="M451" s="501">
        <f>IFERROR(SUMIFS('JPM St'!$M:$M,'JPM St'!$A:$A,$V$4,'JPM St'!$C:$C,D451),"")</f>
        <v>0</v>
      </c>
    </row>
    <row r="452" spans="1:13" x14ac:dyDescent="0.25">
      <c r="A452" s="497" t="s">
        <v>90</v>
      </c>
      <c r="B452" s="497" t="str">
        <f>IFERROR(IF(VLOOKUP(D452,'JPM St'!$C:$G,3,0)="Fixed Income &amp; Cash","Cash",VLOOKUP(D452,'JPM St'!$C:$G,3,0)),"")</f>
        <v/>
      </c>
      <c r="C452" s="497" t="str">
        <f>IFERROR(VLOOKUP(D452,'JPM St'!$C:$L,10,0),"")</f>
        <v/>
      </c>
      <c r="E452" s="500" t="str">
        <f>IFERROR(VLOOKUP(D452,'JPM St'!$C:$D,2,0),"")</f>
        <v/>
      </c>
      <c r="F452" s="501">
        <f t="shared" si="19"/>
        <v>0</v>
      </c>
      <c r="G452" s="501">
        <f>SUMIFS('JPM St'!$K:$K,'JPM St'!$A:$A,$V$2,'JPM St'!$C:$C,D452)</f>
        <v>0</v>
      </c>
      <c r="H452" s="501">
        <f>SUMIFS('JPM St'!$K:$K,'JPM St'!$A:$A,$V$3,'JPM St'!$C:$C,D452)</f>
        <v>0</v>
      </c>
      <c r="I452" s="501">
        <f>SUMIFS('JPM St'!$K:$K,'JPM St'!$A:$A,$V$4,'JPM St'!$C:$C,D452)</f>
        <v>0</v>
      </c>
      <c r="J452" s="619">
        <f t="shared" si="20"/>
        <v>0</v>
      </c>
      <c r="K452" s="501">
        <f>IFERROR(SUMIFS('JPM St'!$M:$M,'JPM St'!$A:$A,$V$2,'JPM St'!$C:$C,D452),"")</f>
        <v>0</v>
      </c>
      <c r="L452" s="501">
        <f>IFERROR(SUMIFS('JPM St'!$M:$M,'JPM St'!$A:$A,$V$3,'JPM St'!$C:$C,D452),"")</f>
        <v>0</v>
      </c>
      <c r="M452" s="501">
        <f>IFERROR(SUMIFS('JPM St'!$M:$M,'JPM St'!$A:$A,$V$4,'JPM St'!$C:$C,D452),"")</f>
        <v>0</v>
      </c>
    </row>
    <row r="453" spans="1:13" x14ac:dyDescent="0.25">
      <c r="A453" s="497" t="s">
        <v>90</v>
      </c>
      <c r="B453" s="497" t="str">
        <f>IFERROR(IF(VLOOKUP(D453,'JPM St'!$C:$G,3,0)="Fixed Income &amp; Cash","Cash",VLOOKUP(D453,'JPM St'!$C:$G,3,0)),"")</f>
        <v/>
      </c>
      <c r="C453" s="497" t="str">
        <f>IFERROR(VLOOKUP(D453,'JPM St'!$C:$L,10,0),"")</f>
        <v/>
      </c>
      <c r="E453" s="500" t="str">
        <f>IFERROR(VLOOKUP(D453,'JPM St'!$C:$D,2,0),"")</f>
        <v/>
      </c>
      <c r="F453" s="501">
        <f t="shared" si="19"/>
        <v>0</v>
      </c>
      <c r="G453" s="501">
        <f>SUMIFS('JPM St'!$K:$K,'JPM St'!$A:$A,$V$2,'JPM St'!$C:$C,D453)</f>
        <v>0</v>
      </c>
      <c r="H453" s="501">
        <f>SUMIFS('JPM St'!$K:$K,'JPM St'!$A:$A,$V$3,'JPM St'!$C:$C,D453)</f>
        <v>0</v>
      </c>
      <c r="I453" s="501">
        <f>SUMIFS('JPM St'!$K:$K,'JPM St'!$A:$A,$V$4,'JPM St'!$C:$C,D453)</f>
        <v>0</v>
      </c>
      <c r="J453" s="619">
        <f t="shared" si="20"/>
        <v>0</v>
      </c>
      <c r="K453" s="501">
        <f>IFERROR(SUMIFS('JPM St'!$M:$M,'JPM St'!$A:$A,$V$2,'JPM St'!$C:$C,D453),"")</f>
        <v>0</v>
      </c>
      <c r="L453" s="501">
        <f>IFERROR(SUMIFS('JPM St'!$M:$M,'JPM St'!$A:$A,$V$3,'JPM St'!$C:$C,D453),"")</f>
        <v>0</v>
      </c>
      <c r="M453" s="501">
        <f>IFERROR(SUMIFS('JPM St'!$M:$M,'JPM St'!$A:$A,$V$4,'JPM St'!$C:$C,D453),"")</f>
        <v>0</v>
      </c>
    </row>
    <row r="454" spans="1:13" x14ac:dyDescent="0.25">
      <c r="A454" s="497" t="s">
        <v>90</v>
      </c>
      <c r="B454" s="497" t="str">
        <f>IFERROR(IF(VLOOKUP(D454,'JPM St'!$C:$G,3,0)="Fixed Income &amp; Cash","Cash",VLOOKUP(D454,'JPM St'!$C:$G,3,0)),"")</f>
        <v/>
      </c>
      <c r="C454" s="497" t="str">
        <f>IFERROR(VLOOKUP(D454,'JPM St'!$C:$L,10,0),"")</f>
        <v/>
      </c>
      <c r="E454" s="500" t="str">
        <f>IFERROR(VLOOKUP(D454,'JPM St'!$C:$D,2,0),"")</f>
        <v/>
      </c>
      <c r="F454" s="501">
        <f t="shared" si="19"/>
        <v>0</v>
      </c>
      <c r="G454" s="501">
        <f>SUMIFS('JPM St'!$K:$K,'JPM St'!$A:$A,$V$2,'JPM St'!$C:$C,D454)</f>
        <v>0</v>
      </c>
      <c r="H454" s="501">
        <f>SUMIFS('JPM St'!$K:$K,'JPM St'!$A:$A,$V$3,'JPM St'!$C:$C,D454)</f>
        <v>0</v>
      </c>
      <c r="I454" s="501">
        <f>SUMIFS('JPM St'!$K:$K,'JPM St'!$A:$A,$V$4,'JPM St'!$C:$C,D454)</f>
        <v>0</v>
      </c>
      <c r="J454" s="619">
        <f t="shared" si="20"/>
        <v>0</v>
      </c>
      <c r="K454" s="501">
        <f>IFERROR(SUMIFS('JPM St'!$M:$M,'JPM St'!$A:$A,$V$2,'JPM St'!$C:$C,D454),"")</f>
        <v>0</v>
      </c>
      <c r="L454" s="501">
        <f>IFERROR(SUMIFS('JPM St'!$M:$M,'JPM St'!$A:$A,$V$3,'JPM St'!$C:$C,D454),"")</f>
        <v>0</v>
      </c>
      <c r="M454" s="501">
        <f>IFERROR(SUMIFS('JPM St'!$M:$M,'JPM St'!$A:$A,$V$4,'JPM St'!$C:$C,D454),"")</f>
        <v>0</v>
      </c>
    </row>
    <row r="455" spans="1:13" x14ac:dyDescent="0.25">
      <c r="A455" s="497" t="s">
        <v>90</v>
      </c>
      <c r="B455" s="497" t="str">
        <f>IFERROR(IF(VLOOKUP(D455,'JPM St'!$C:$G,3,0)="Fixed Income &amp; Cash","Cash",VLOOKUP(D455,'JPM St'!$C:$G,3,0)),"")</f>
        <v/>
      </c>
      <c r="C455" s="497" t="str">
        <f>IFERROR(VLOOKUP(D455,'JPM St'!$C:$L,10,0),"")</f>
        <v/>
      </c>
      <c r="E455" s="500" t="str">
        <f>IFERROR(VLOOKUP(D455,'JPM St'!$C:$D,2,0),"")</f>
        <v/>
      </c>
      <c r="F455" s="501">
        <f t="shared" si="19"/>
        <v>0</v>
      </c>
      <c r="G455" s="501">
        <f>SUMIFS('JPM St'!$K:$K,'JPM St'!$A:$A,$V$2,'JPM St'!$C:$C,D455)</f>
        <v>0</v>
      </c>
      <c r="H455" s="501">
        <f>SUMIFS('JPM St'!$K:$K,'JPM St'!$A:$A,$V$3,'JPM St'!$C:$C,D455)</f>
        <v>0</v>
      </c>
      <c r="I455" s="501">
        <f>SUMIFS('JPM St'!$K:$K,'JPM St'!$A:$A,$V$4,'JPM St'!$C:$C,D455)</f>
        <v>0</v>
      </c>
      <c r="J455" s="619">
        <f t="shared" si="20"/>
        <v>0</v>
      </c>
      <c r="K455" s="501">
        <f>IFERROR(SUMIFS('JPM St'!$M:$M,'JPM St'!$A:$A,$V$2,'JPM St'!$C:$C,D455),"")</f>
        <v>0</v>
      </c>
      <c r="L455" s="501">
        <f>IFERROR(SUMIFS('JPM St'!$M:$M,'JPM St'!$A:$A,$V$3,'JPM St'!$C:$C,D455),"")</f>
        <v>0</v>
      </c>
      <c r="M455" s="501">
        <f>IFERROR(SUMIFS('JPM St'!$M:$M,'JPM St'!$A:$A,$V$4,'JPM St'!$C:$C,D455),"")</f>
        <v>0</v>
      </c>
    </row>
    <row r="456" spans="1:13" x14ac:dyDescent="0.25">
      <c r="A456" s="497" t="s">
        <v>90</v>
      </c>
      <c r="B456" s="497" t="str">
        <f>IFERROR(IF(VLOOKUP(D456,'JPM St'!$C:$G,3,0)="Fixed Income &amp; Cash","Cash",VLOOKUP(D456,'JPM St'!$C:$G,3,0)),"")</f>
        <v/>
      </c>
      <c r="C456" s="497" t="str">
        <f>IFERROR(VLOOKUP(D456,'JPM St'!$C:$L,10,0),"")</f>
        <v/>
      </c>
      <c r="E456" s="500" t="str">
        <f>IFERROR(VLOOKUP(D456,'JPM St'!$C:$D,2,0),"")</f>
        <v/>
      </c>
      <c r="F456" s="501">
        <f t="shared" si="19"/>
        <v>0</v>
      </c>
      <c r="G456" s="501">
        <f>SUMIFS('JPM St'!$K:$K,'JPM St'!$A:$A,$V$2,'JPM St'!$C:$C,D456)</f>
        <v>0</v>
      </c>
      <c r="H456" s="501">
        <f>SUMIFS('JPM St'!$K:$K,'JPM St'!$A:$A,$V$3,'JPM St'!$C:$C,D456)</f>
        <v>0</v>
      </c>
      <c r="I456" s="501">
        <f>SUMIFS('JPM St'!$K:$K,'JPM St'!$A:$A,$V$4,'JPM St'!$C:$C,D456)</f>
        <v>0</v>
      </c>
      <c r="J456" s="619">
        <f t="shared" si="20"/>
        <v>0</v>
      </c>
      <c r="K456" s="501">
        <f>IFERROR(SUMIFS('JPM St'!$M:$M,'JPM St'!$A:$A,$V$2,'JPM St'!$C:$C,D456),"")</f>
        <v>0</v>
      </c>
      <c r="L456" s="501">
        <f>IFERROR(SUMIFS('JPM St'!$M:$M,'JPM St'!$A:$A,$V$3,'JPM St'!$C:$C,D456),"")</f>
        <v>0</v>
      </c>
      <c r="M456" s="501">
        <f>IFERROR(SUMIFS('JPM St'!$M:$M,'JPM St'!$A:$A,$V$4,'JPM St'!$C:$C,D456),"")</f>
        <v>0</v>
      </c>
    </row>
    <row r="457" spans="1:13" x14ac:dyDescent="0.25">
      <c r="A457" s="497" t="s">
        <v>90</v>
      </c>
      <c r="B457" s="497" t="str">
        <f>IFERROR(IF(VLOOKUP(D457,'JPM St'!$C:$G,3,0)="Fixed Income &amp; Cash","Cash",VLOOKUP(D457,'JPM St'!$C:$G,3,0)),"")</f>
        <v/>
      </c>
      <c r="C457" s="497" t="str">
        <f>IFERROR(VLOOKUP(D457,'JPM St'!$C:$L,10,0),"")</f>
        <v/>
      </c>
      <c r="E457" s="500" t="str">
        <f>IFERROR(VLOOKUP(D457,'JPM St'!$C:$D,2,0),"")</f>
        <v/>
      </c>
      <c r="F457" s="501">
        <f t="shared" si="19"/>
        <v>0</v>
      </c>
      <c r="G457" s="501">
        <f>SUMIFS('JPM St'!$K:$K,'JPM St'!$A:$A,$V$2,'JPM St'!$C:$C,D457)</f>
        <v>0</v>
      </c>
      <c r="H457" s="501">
        <f>SUMIFS('JPM St'!$K:$K,'JPM St'!$A:$A,$V$3,'JPM St'!$C:$C,D457)</f>
        <v>0</v>
      </c>
      <c r="I457" s="501">
        <f>SUMIFS('JPM St'!$K:$K,'JPM St'!$A:$A,$V$4,'JPM St'!$C:$C,D457)</f>
        <v>0</v>
      </c>
      <c r="J457" s="619">
        <f t="shared" si="20"/>
        <v>0</v>
      </c>
      <c r="K457" s="501">
        <f>IFERROR(SUMIFS('JPM St'!$M:$M,'JPM St'!$A:$A,$V$2,'JPM St'!$C:$C,D457),"")</f>
        <v>0</v>
      </c>
      <c r="L457" s="501">
        <f>IFERROR(SUMIFS('JPM St'!$M:$M,'JPM St'!$A:$A,$V$3,'JPM St'!$C:$C,D457),"")</f>
        <v>0</v>
      </c>
      <c r="M457" s="501">
        <f>IFERROR(SUMIFS('JPM St'!$M:$M,'JPM St'!$A:$A,$V$4,'JPM St'!$C:$C,D457),"")</f>
        <v>0</v>
      </c>
    </row>
    <row r="458" spans="1:13" x14ac:dyDescent="0.25">
      <c r="A458" s="497" t="s">
        <v>90</v>
      </c>
      <c r="B458" s="497" t="str">
        <f>IFERROR(IF(VLOOKUP(D458,'JPM St'!$C:$G,3,0)="Fixed Income &amp; Cash","Cash",VLOOKUP(D458,'JPM St'!$C:$G,3,0)),"")</f>
        <v/>
      </c>
      <c r="C458" s="497" t="str">
        <f>IFERROR(VLOOKUP(D458,'JPM St'!$C:$L,10,0),"")</f>
        <v/>
      </c>
      <c r="E458" s="500" t="str">
        <f>IFERROR(VLOOKUP(D458,'JPM St'!$C:$D,2,0),"")</f>
        <v/>
      </c>
      <c r="F458" s="501">
        <f t="shared" si="19"/>
        <v>0</v>
      </c>
      <c r="G458" s="501">
        <f>SUMIFS('JPM St'!$K:$K,'JPM St'!$A:$A,$V$2,'JPM St'!$C:$C,D458)</f>
        <v>0</v>
      </c>
      <c r="H458" s="501">
        <f>SUMIFS('JPM St'!$K:$K,'JPM St'!$A:$A,$V$3,'JPM St'!$C:$C,D458)</f>
        <v>0</v>
      </c>
      <c r="I458" s="501">
        <f>SUMIFS('JPM St'!$K:$K,'JPM St'!$A:$A,$V$4,'JPM St'!$C:$C,D458)</f>
        <v>0</v>
      </c>
      <c r="J458" s="619">
        <f t="shared" si="20"/>
        <v>0</v>
      </c>
      <c r="K458" s="501">
        <f>IFERROR(SUMIFS('JPM St'!$M:$M,'JPM St'!$A:$A,$V$2,'JPM St'!$C:$C,D458),"")</f>
        <v>0</v>
      </c>
      <c r="L458" s="501">
        <f>IFERROR(SUMIFS('JPM St'!$M:$M,'JPM St'!$A:$A,$V$3,'JPM St'!$C:$C,D458),"")</f>
        <v>0</v>
      </c>
      <c r="M458" s="501">
        <f>IFERROR(SUMIFS('JPM St'!$M:$M,'JPM St'!$A:$A,$V$4,'JPM St'!$C:$C,D458),"")</f>
        <v>0</v>
      </c>
    </row>
    <row r="459" spans="1:13" x14ac:dyDescent="0.25">
      <c r="A459" s="497" t="s">
        <v>90</v>
      </c>
      <c r="B459" s="497" t="str">
        <f>IFERROR(IF(VLOOKUP(D459,'JPM St'!$C:$G,3,0)="Fixed Income &amp; Cash","Cash",VLOOKUP(D459,'JPM St'!$C:$G,3,0)),"")</f>
        <v/>
      </c>
      <c r="C459" s="497" t="str">
        <f>IFERROR(VLOOKUP(D459,'JPM St'!$C:$L,10,0),"")</f>
        <v/>
      </c>
      <c r="E459" s="500" t="str">
        <f>IFERROR(VLOOKUP(D459,'JPM St'!$C:$D,2,0),"")</f>
        <v/>
      </c>
      <c r="F459" s="501">
        <f t="shared" si="19"/>
        <v>0</v>
      </c>
      <c r="G459" s="501">
        <f>SUMIFS('JPM St'!$K:$K,'JPM St'!$A:$A,$V$2,'JPM St'!$C:$C,D459)</f>
        <v>0</v>
      </c>
      <c r="H459" s="501">
        <f>SUMIFS('JPM St'!$K:$K,'JPM St'!$A:$A,$V$3,'JPM St'!$C:$C,D459)</f>
        <v>0</v>
      </c>
      <c r="I459" s="501">
        <f>SUMIFS('JPM St'!$K:$K,'JPM St'!$A:$A,$V$4,'JPM St'!$C:$C,D459)</f>
        <v>0</v>
      </c>
      <c r="J459" s="619">
        <f t="shared" si="20"/>
        <v>0</v>
      </c>
      <c r="K459" s="501">
        <f>IFERROR(SUMIFS('JPM St'!$M:$M,'JPM St'!$A:$A,$V$2,'JPM St'!$C:$C,D459),"")</f>
        <v>0</v>
      </c>
      <c r="L459" s="501">
        <f>IFERROR(SUMIFS('JPM St'!$M:$M,'JPM St'!$A:$A,$V$3,'JPM St'!$C:$C,D459),"")</f>
        <v>0</v>
      </c>
      <c r="M459" s="501">
        <f>IFERROR(SUMIFS('JPM St'!$M:$M,'JPM St'!$A:$A,$V$4,'JPM St'!$C:$C,D459),"")</f>
        <v>0</v>
      </c>
    </row>
    <row r="460" spans="1:13" x14ac:dyDescent="0.25">
      <c r="A460" s="497" t="s">
        <v>90</v>
      </c>
      <c r="B460" s="497" t="str">
        <f>IFERROR(IF(VLOOKUP(D460,'JPM St'!$C:$G,3,0)="Fixed Income &amp; Cash","Cash",VLOOKUP(D460,'JPM St'!$C:$G,3,0)),"")</f>
        <v/>
      </c>
      <c r="C460" s="497" t="str">
        <f>IFERROR(VLOOKUP(D460,'JPM St'!$C:$L,10,0),"")</f>
        <v/>
      </c>
      <c r="E460" s="500" t="str">
        <f>IFERROR(VLOOKUP(D460,'JPM St'!$C:$D,2,0),"")</f>
        <v/>
      </c>
      <c r="F460" s="501">
        <f t="shared" si="19"/>
        <v>0</v>
      </c>
      <c r="G460" s="501">
        <f>SUMIFS('JPM St'!$K:$K,'JPM St'!$A:$A,$V$2,'JPM St'!$C:$C,D460)</f>
        <v>0</v>
      </c>
      <c r="H460" s="501">
        <f>SUMIFS('JPM St'!$K:$K,'JPM St'!$A:$A,$V$3,'JPM St'!$C:$C,D460)</f>
        <v>0</v>
      </c>
      <c r="I460" s="501">
        <f>SUMIFS('JPM St'!$K:$K,'JPM St'!$A:$A,$V$4,'JPM St'!$C:$C,D460)</f>
        <v>0</v>
      </c>
      <c r="J460" s="619">
        <f t="shared" si="20"/>
        <v>0</v>
      </c>
      <c r="K460" s="501">
        <f>IFERROR(SUMIFS('JPM St'!$M:$M,'JPM St'!$A:$A,$V$2,'JPM St'!$C:$C,D460),"")</f>
        <v>0</v>
      </c>
      <c r="L460" s="501">
        <f>IFERROR(SUMIFS('JPM St'!$M:$M,'JPM St'!$A:$A,$V$3,'JPM St'!$C:$C,D460),"")</f>
        <v>0</v>
      </c>
      <c r="M460" s="501">
        <f>IFERROR(SUMIFS('JPM St'!$M:$M,'JPM St'!$A:$A,$V$4,'JPM St'!$C:$C,D460),"")</f>
        <v>0</v>
      </c>
    </row>
    <row r="461" spans="1:13" x14ac:dyDescent="0.25">
      <c r="A461" s="497" t="s">
        <v>90</v>
      </c>
      <c r="B461" s="497" t="str">
        <f>IFERROR(IF(VLOOKUP(D461,'JPM St'!$C:$G,3,0)="Fixed Income &amp; Cash","Cash",VLOOKUP(D461,'JPM St'!$C:$G,3,0)),"")</f>
        <v/>
      </c>
      <c r="C461" s="497" t="str">
        <f>IFERROR(VLOOKUP(D461,'JPM St'!$C:$L,10,0),"")</f>
        <v/>
      </c>
      <c r="E461" s="500" t="str">
        <f>IFERROR(VLOOKUP(D461,'JPM St'!$C:$D,2,0),"")</f>
        <v/>
      </c>
      <c r="F461" s="501">
        <f t="shared" si="19"/>
        <v>0</v>
      </c>
      <c r="G461" s="501">
        <f>SUMIFS('JPM St'!$K:$K,'JPM St'!$A:$A,$V$2,'JPM St'!$C:$C,D461)</f>
        <v>0</v>
      </c>
      <c r="H461" s="501">
        <f>SUMIFS('JPM St'!$K:$K,'JPM St'!$A:$A,$V$3,'JPM St'!$C:$C,D461)</f>
        <v>0</v>
      </c>
      <c r="I461" s="501">
        <f>SUMIFS('JPM St'!$K:$K,'JPM St'!$A:$A,$V$4,'JPM St'!$C:$C,D461)</f>
        <v>0</v>
      </c>
      <c r="J461" s="619">
        <f t="shared" si="20"/>
        <v>0</v>
      </c>
      <c r="K461" s="501">
        <f>IFERROR(SUMIFS('JPM St'!$M:$M,'JPM St'!$A:$A,$V$2,'JPM St'!$C:$C,D461),"")</f>
        <v>0</v>
      </c>
      <c r="L461" s="501">
        <f>IFERROR(SUMIFS('JPM St'!$M:$M,'JPM St'!$A:$A,$V$3,'JPM St'!$C:$C,D461),"")</f>
        <v>0</v>
      </c>
      <c r="M461" s="501">
        <f>IFERROR(SUMIFS('JPM St'!$M:$M,'JPM St'!$A:$A,$V$4,'JPM St'!$C:$C,D461),"")</f>
        <v>0</v>
      </c>
    </row>
    <row r="462" spans="1:13" x14ac:dyDescent="0.25">
      <c r="A462" s="497" t="s">
        <v>90</v>
      </c>
      <c r="B462" s="497" t="str">
        <f>IFERROR(IF(VLOOKUP(D462,'JPM St'!$C:$G,3,0)="Fixed Income &amp; Cash","Cash",VLOOKUP(D462,'JPM St'!$C:$G,3,0)),"")</f>
        <v/>
      </c>
      <c r="C462" s="497" t="str">
        <f>IFERROR(VLOOKUP(D462,'JPM St'!$C:$L,10,0),"")</f>
        <v/>
      </c>
      <c r="E462" s="500" t="str">
        <f>IFERROR(VLOOKUP(D462,'JPM St'!$C:$D,2,0),"")</f>
        <v/>
      </c>
      <c r="F462" s="501">
        <f t="shared" si="19"/>
        <v>0</v>
      </c>
      <c r="G462" s="501">
        <f>SUMIFS('JPM St'!$K:$K,'JPM St'!$A:$A,$V$2,'JPM St'!$C:$C,D462)</f>
        <v>0</v>
      </c>
      <c r="H462" s="501">
        <f>SUMIFS('JPM St'!$K:$K,'JPM St'!$A:$A,$V$3,'JPM St'!$C:$C,D462)</f>
        <v>0</v>
      </c>
      <c r="I462" s="501">
        <f>SUMIFS('JPM St'!$K:$K,'JPM St'!$A:$A,$V$4,'JPM St'!$C:$C,D462)</f>
        <v>0</v>
      </c>
      <c r="J462" s="619">
        <f t="shared" si="20"/>
        <v>0</v>
      </c>
      <c r="K462" s="501">
        <f>IFERROR(SUMIFS('JPM St'!$M:$M,'JPM St'!$A:$A,$V$2,'JPM St'!$C:$C,D462),"")</f>
        <v>0</v>
      </c>
      <c r="L462" s="501">
        <f>IFERROR(SUMIFS('JPM St'!$M:$M,'JPM St'!$A:$A,$V$3,'JPM St'!$C:$C,D462),"")</f>
        <v>0</v>
      </c>
      <c r="M462" s="501">
        <f>IFERROR(SUMIFS('JPM St'!$M:$M,'JPM St'!$A:$A,$V$4,'JPM St'!$C:$C,D462),"")</f>
        <v>0</v>
      </c>
    </row>
    <row r="463" spans="1:13" x14ac:dyDescent="0.25">
      <c r="A463" s="497" t="s">
        <v>90</v>
      </c>
      <c r="B463" s="497" t="str">
        <f>IFERROR(IF(VLOOKUP(D463,'JPM St'!$C:$G,3,0)="Fixed Income &amp; Cash","Cash",VLOOKUP(D463,'JPM St'!$C:$G,3,0)),"")</f>
        <v/>
      </c>
      <c r="C463" s="497" t="str">
        <f>IFERROR(VLOOKUP(D463,'JPM St'!$C:$L,10,0),"")</f>
        <v/>
      </c>
      <c r="E463" s="500" t="str">
        <f>IFERROR(VLOOKUP(D463,'JPM St'!$C:$D,2,0),"")</f>
        <v/>
      </c>
      <c r="F463" s="501">
        <f t="shared" si="19"/>
        <v>0</v>
      </c>
      <c r="G463" s="501">
        <f>SUMIFS('JPM St'!$K:$K,'JPM St'!$A:$A,$V$2,'JPM St'!$C:$C,D463)</f>
        <v>0</v>
      </c>
      <c r="H463" s="501">
        <f>SUMIFS('JPM St'!$K:$K,'JPM St'!$A:$A,$V$3,'JPM St'!$C:$C,D463)</f>
        <v>0</v>
      </c>
      <c r="I463" s="501">
        <f>SUMIFS('JPM St'!$K:$K,'JPM St'!$A:$A,$V$4,'JPM St'!$C:$C,D463)</f>
        <v>0</v>
      </c>
      <c r="J463" s="619">
        <f t="shared" si="20"/>
        <v>0</v>
      </c>
      <c r="K463" s="501">
        <f>IFERROR(SUMIFS('JPM St'!$M:$M,'JPM St'!$A:$A,$V$2,'JPM St'!$C:$C,D463),"")</f>
        <v>0</v>
      </c>
      <c r="L463" s="501">
        <f>IFERROR(SUMIFS('JPM St'!$M:$M,'JPM St'!$A:$A,$V$3,'JPM St'!$C:$C,D463),"")</f>
        <v>0</v>
      </c>
      <c r="M463" s="501">
        <f>IFERROR(SUMIFS('JPM St'!$M:$M,'JPM St'!$A:$A,$V$4,'JPM St'!$C:$C,D463),"")</f>
        <v>0</v>
      </c>
    </row>
    <row r="464" spans="1:13" x14ac:dyDescent="0.25">
      <c r="A464" s="497" t="s">
        <v>90</v>
      </c>
      <c r="B464" s="497" t="str">
        <f>IFERROR(IF(VLOOKUP(D464,'JPM St'!$C:$G,3,0)="Fixed Income &amp; Cash","Cash",VLOOKUP(D464,'JPM St'!$C:$G,3,0)),"")</f>
        <v/>
      </c>
      <c r="C464" s="497" t="str">
        <f>IFERROR(VLOOKUP(D464,'JPM St'!$C:$L,10,0),"")</f>
        <v/>
      </c>
      <c r="E464" s="500" t="str">
        <f>IFERROR(VLOOKUP(D464,'JPM St'!$C:$D,2,0),"")</f>
        <v/>
      </c>
      <c r="F464" s="501">
        <f t="shared" si="19"/>
        <v>0</v>
      </c>
      <c r="G464" s="501">
        <f>SUMIFS('JPM St'!$K:$K,'JPM St'!$A:$A,$V$2,'JPM St'!$C:$C,D464)</f>
        <v>0</v>
      </c>
      <c r="H464" s="501">
        <f>SUMIFS('JPM St'!$K:$K,'JPM St'!$A:$A,$V$3,'JPM St'!$C:$C,D464)</f>
        <v>0</v>
      </c>
      <c r="I464" s="501">
        <f>SUMIFS('JPM St'!$K:$K,'JPM St'!$A:$A,$V$4,'JPM St'!$C:$C,D464)</f>
        <v>0</v>
      </c>
      <c r="J464" s="619">
        <f t="shared" si="20"/>
        <v>0</v>
      </c>
      <c r="K464" s="501">
        <f>IFERROR(SUMIFS('JPM St'!$M:$M,'JPM St'!$A:$A,$V$2,'JPM St'!$C:$C,D464),"")</f>
        <v>0</v>
      </c>
      <c r="L464" s="501">
        <f>IFERROR(SUMIFS('JPM St'!$M:$M,'JPM St'!$A:$A,$V$3,'JPM St'!$C:$C,D464),"")</f>
        <v>0</v>
      </c>
      <c r="M464" s="501">
        <f>IFERROR(SUMIFS('JPM St'!$M:$M,'JPM St'!$A:$A,$V$4,'JPM St'!$C:$C,D464),"")</f>
        <v>0</v>
      </c>
    </row>
    <row r="465" spans="1:13" x14ac:dyDescent="0.25">
      <c r="A465" s="497" t="s">
        <v>90</v>
      </c>
      <c r="B465" s="497" t="str">
        <f>IFERROR(IF(VLOOKUP(D465,'JPM St'!$C:$G,3,0)="Fixed Income &amp; Cash","Cash",VLOOKUP(D465,'JPM St'!$C:$G,3,0)),"")</f>
        <v/>
      </c>
      <c r="C465" s="497" t="str">
        <f>IFERROR(VLOOKUP(D465,'JPM St'!$C:$L,10,0),"")</f>
        <v/>
      </c>
      <c r="E465" s="500" t="str">
        <f>IFERROR(VLOOKUP(D465,'JPM St'!$C:$D,2,0),"")</f>
        <v/>
      </c>
      <c r="F465" s="501">
        <f t="shared" si="19"/>
        <v>0</v>
      </c>
      <c r="G465" s="501">
        <f>SUMIFS('JPM St'!$K:$K,'JPM St'!$A:$A,$V$2,'JPM St'!$C:$C,D465)</f>
        <v>0</v>
      </c>
      <c r="H465" s="501">
        <f>SUMIFS('JPM St'!$K:$K,'JPM St'!$A:$A,$V$3,'JPM St'!$C:$C,D465)</f>
        <v>0</v>
      </c>
      <c r="I465" s="501">
        <f>SUMIFS('JPM St'!$K:$K,'JPM St'!$A:$A,$V$4,'JPM St'!$C:$C,D465)</f>
        <v>0</v>
      </c>
      <c r="J465" s="619">
        <f t="shared" si="20"/>
        <v>0</v>
      </c>
      <c r="K465" s="501">
        <f>IFERROR(SUMIFS('JPM St'!$M:$M,'JPM St'!$A:$A,$V$2,'JPM St'!$C:$C,D465),"")</f>
        <v>0</v>
      </c>
      <c r="L465" s="501">
        <f>IFERROR(SUMIFS('JPM St'!$M:$M,'JPM St'!$A:$A,$V$3,'JPM St'!$C:$C,D465),"")</f>
        <v>0</v>
      </c>
      <c r="M465" s="501">
        <f>IFERROR(SUMIFS('JPM St'!$M:$M,'JPM St'!$A:$A,$V$4,'JPM St'!$C:$C,D465),"")</f>
        <v>0</v>
      </c>
    </row>
    <row r="466" spans="1:13" x14ac:dyDescent="0.25">
      <c r="A466" s="497" t="s">
        <v>90</v>
      </c>
      <c r="B466" s="497" t="str">
        <f>IFERROR(IF(VLOOKUP(D466,'JPM St'!$C:$G,3,0)="Fixed Income &amp; Cash","Cash",VLOOKUP(D466,'JPM St'!$C:$G,3,0)),"")</f>
        <v/>
      </c>
      <c r="C466" s="497" t="str">
        <f>IFERROR(VLOOKUP(D466,'JPM St'!$C:$L,10,0),"")</f>
        <v/>
      </c>
      <c r="E466" s="500" t="str">
        <f>IFERROR(VLOOKUP(D466,'JPM St'!$C:$D,2,0),"")</f>
        <v/>
      </c>
      <c r="F466" s="501">
        <f t="shared" si="19"/>
        <v>0</v>
      </c>
      <c r="G466" s="501">
        <f>SUMIFS('JPM St'!$K:$K,'JPM St'!$A:$A,$V$2,'JPM St'!$C:$C,D466)</f>
        <v>0</v>
      </c>
      <c r="H466" s="501">
        <f>SUMIFS('JPM St'!$K:$K,'JPM St'!$A:$A,$V$3,'JPM St'!$C:$C,D466)</f>
        <v>0</v>
      </c>
      <c r="I466" s="501">
        <f>SUMIFS('JPM St'!$K:$K,'JPM St'!$A:$A,$V$4,'JPM St'!$C:$C,D466)</f>
        <v>0</v>
      </c>
      <c r="J466" s="619">
        <f t="shared" si="20"/>
        <v>0</v>
      </c>
      <c r="K466" s="501">
        <f>IFERROR(SUMIFS('JPM St'!$M:$M,'JPM St'!$A:$A,$V$2,'JPM St'!$C:$C,D466),"")</f>
        <v>0</v>
      </c>
      <c r="L466" s="501">
        <f>IFERROR(SUMIFS('JPM St'!$M:$M,'JPM St'!$A:$A,$V$3,'JPM St'!$C:$C,D466),"")</f>
        <v>0</v>
      </c>
      <c r="M466" s="501">
        <f>IFERROR(SUMIFS('JPM St'!$M:$M,'JPM St'!$A:$A,$V$4,'JPM St'!$C:$C,D466),"")</f>
        <v>0</v>
      </c>
    </row>
    <row r="467" spans="1:13" x14ac:dyDescent="0.25">
      <c r="A467" s="497" t="s">
        <v>90</v>
      </c>
      <c r="B467" s="497" t="str">
        <f>IFERROR(IF(VLOOKUP(D467,'JPM St'!$C:$G,3,0)="Fixed Income &amp; Cash","Cash",VLOOKUP(D467,'JPM St'!$C:$G,3,0)),"")</f>
        <v/>
      </c>
      <c r="C467" s="497" t="str">
        <f>IFERROR(VLOOKUP(D467,'JPM St'!$C:$L,10,0),"")</f>
        <v/>
      </c>
      <c r="E467" s="500" t="str">
        <f>IFERROR(VLOOKUP(D467,'JPM St'!$C:$D,2,0),"")</f>
        <v/>
      </c>
      <c r="F467" s="501">
        <f t="shared" si="19"/>
        <v>0</v>
      </c>
      <c r="G467" s="501">
        <f>SUMIFS('JPM St'!$K:$K,'JPM St'!$A:$A,$V$2,'JPM St'!$C:$C,D467)</f>
        <v>0</v>
      </c>
      <c r="H467" s="501">
        <f>SUMIFS('JPM St'!$K:$K,'JPM St'!$A:$A,$V$3,'JPM St'!$C:$C,D467)</f>
        <v>0</v>
      </c>
      <c r="I467" s="501">
        <f>SUMIFS('JPM St'!$K:$K,'JPM St'!$A:$A,$V$4,'JPM St'!$C:$C,D467)</f>
        <v>0</v>
      </c>
      <c r="J467" s="619">
        <f t="shared" si="20"/>
        <v>0</v>
      </c>
      <c r="K467" s="501">
        <f>IFERROR(SUMIFS('JPM St'!$M:$M,'JPM St'!$A:$A,$V$2,'JPM St'!$C:$C,D467),"")</f>
        <v>0</v>
      </c>
      <c r="L467" s="501">
        <f>IFERROR(SUMIFS('JPM St'!$M:$M,'JPM St'!$A:$A,$V$3,'JPM St'!$C:$C,D467),"")</f>
        <v>0</v>
      </c>
      <c r="M467" s="501">
        <f>IFERROR(SUMIFS('JPM St'!$M:$M,'JPM St'!$A:$A,$V$4,'JPM St'!$C:$C,D467),"")</f>
        <v>0</v>
      </c>
    </row>
    <row r="468" spans="1:13" x14ac:dyDescent="0.25">
      <c r="A468" s="497" t="s">
        <v>90</v>
      </c>
      <c r="B468" s="497" t="str">
        <f>IFERROR(IF(VLOOKUP(D468,'JPM St'!$C:$G,3,0)="Fixed Income &amp; Cash","Cash",VLOOKUP(D468,'JPM St'!$C:$G,3,0)),"")</f>
        <v/>
      </c>
      <c r="C468" s="497" t="str">
        <f>IFERROR(VLOOKUP(D468,'JPM St'!$C:$L,10,0),"")</f>
        <v/>
      </c>
      <c r="E468" s="500" t="str">
        <f>IFERROR(VLOOKUP(D468,'JPM St'!$C:$D,2,0),"")</f>
        <v/>
      </c>
      <c r="F468" s="501">
        <f t="shared" si="19"/>
        <v>0</v>
      </c>
      <c r="G468" s="501">
        <f>SUMIFS('JPM St'!$K:$K,'JPM St'!$A:$A,$V$2,'JPM St'!$C:$C,D468)</f>
        <v>0</v>
      </c>
      <c r="H468" s="501">
        <f>SUMIFS('JPM St'!$K:$K,'JPM St'!$A:$A,$V$3,'JPM St'!$C:$C,D468)</f>
        <v>0</v>
      </c>
      <c r="I468" s="501">
        <f>SUMIFS('JPM St'!$K:$K,'JPM St'!$A:$A,$V$4,'JPM St'!$C:$C,D468)</f>
        <v>0</v>
      </c>
      <c r="J468" s="619">
        <f t="shared" si="20"/>
        <v>0</v>
      </c>
      <c r="K468" s="501">
        <f>IFERROR(SUMIFS('JPM St'!$M:$M,'JPM St'!$A:$A,$V$2,'JPM St'!$C:$C,D468),"")</f>
        <v>0</v>
      </c>
      <c r="L468" s="501">
        <f>IFERROR(SUMIFS('JPM St'!$M:$M,'JPM St'!$A:$A,$V$3,'JPM St'!$C:$C,D468),"")</f>
        <v>0</v>
      </c>
      <c r="M468" s="501">
        <f>IFERROR(SUMIFS('JPM St'!$M:$M,'JPM St'!$A:$A,$V$4,'JPM St'!$C:$C,D468),"")</f>
        <v>0</v>
      </c>
    </row>
    <row r="469" spans="1:13" x14ac:dyDescent="0.25">
      <c r="A469" s="497" t="s">
        <v>90</v>
      </c>
      <c r="B469" s="497" t="str">
        <f>IFERROR(IF(VLOOKUP(D469,'JPM St'!$C:$G,3,0)="Fixed Income &amp; Cash","Cash",VLOOKUP(D469,'JPM St'!$C:$G,3,0)),"")</f>
        <v/>
      </c>
      <c r="C469" s="497" t="str">
        <f>IFERROR(VLOOKUP(D469,'JPM St'!$C:$L,10,0),"")</f>
        <v/>
      </c>
      <c r="E469" s="500" t="str">
        <f>IFERROR(VLOOKUP(D469,'JPM St'!$C:$D,2,0),"")</f>
        <v/>
      </c>
      <c r="F469" s="501">
        <f t="shared" si="19"/>
        <v>0</v>
      </c>
      <c r="G469" s="501">
        <f>SUMIFS('JPM St'!$K:$K,'JPM St'!$A:$A,$V$2,'JPM St'!$C:$C,D469)</f>
        <v>0</v>
      </c>
      <c r="H469" s="501">
        <f>SUMIFS('JPM St'!$K:$K,'JPM St'!$A:$A,$V$3,'JPM St'!$C:$C,D469)</f>
        <v>0</v>
      </c>
      <c r="I469" s="501">
        <f>SUMIFS('JPM St'!$K:$K,'JPM St'!$A:$A,$V$4,'JPM St'!$C:$C,D469)</f>
        <v>0</v>
      </c>
      <c r="J469" s="619">
        <f t="shared" si="20"/>
        <v>0</v>
      </c>
      <c r="K469" s="501">
        <f>IFERROR(SUMIFS('JPM St'!$M:$M,'JPM St'!$A:$A,$V$2,'JPM St'!$C:$C,D469),"")</f>
        <v>0</v>
      </c>
      <c r="L469" s="501">
        <f>IFERROR(SUMIFS('JPM St'!$M:$M,'JPM St'!$A:$A,$V$3,'JPM St'!$C:$C,D469),"")</f>
        <v>0</v>
      </c>
      <c r="M469" s="501">
        <f>IFERROR(SUMIFS('JPM St'!$M:$M,'JPM St'!$A:$A,$V$4,'JPM St'!$C:$C,D469),"")</f>
        <v>0</v>
      </c>
    </row>
    <row r="470" spans="1:13" x14ac:dyDescent="0.25">
      <c r="A470" s="497" t="s">
        <v>90</v>
      </c>
      <c r="B470" s="497" t="str">
        <f>IFERROR(IF(VLOOKUP(D470,'JPM St'!$C:$G,3,0)="Fixed Income &amp; Cash","Cash",VLOOKUP(D470,'JPM St'!$C:$G,3,0)),"")</f>
        <v/>
      </c>
      <c r="C470" s="497" t="str">
        <f>IFERROR(VLOOKUP(D470,'JPM St'!$C:$L,10,0),"")</f>
        <v/>
      </c>
      <c r="E470" s="500" t="str">
        <f>IFERROR(VLOOKUP(D470,'JPM St'!$C:$D,2,0),"")</f>
        <v/>
      </c>
      <c r="F470" s="501">
        <f t="shared" si="19"/>
        <v>0</v>
      </c>
      <c r="G470" s="501">
        <f>SUMIFS('JPM St'!$K:$K,'JPM St'!$A:$A,$V$2,'JPM St'!$C:$C,D470)</f>
        <v>0</v>
      </c>
      <c r="H470" s="501">
        <f>SUMIFS('JPM St'!$K:$K,'JPM St'!$A:$A,$V$3,'JPM St'!$C:$C,D470)</f>
        <v>0</v>
      </c>
      <c r="I470" s="501">
        <f>SUMIFS('JPM St'!$K:$K,'JPM St'!$A:$A,$V$4,'JPM St'!$C:$C,D470)</f>
        <v>0</v>
      </c>
      <c r="J470" s="619">
        <f t="shared" si="20"/>
        <v>0</v>
      </c>
      <c r="K470" s="501">
        <f>IFERROR(SUMIFS('JPM St'!$M:$M,'JPM St'!$A:$A,$V$2,'JPM St'!$C:$C,D470),"")</f>
        <v>0</v>
      </c>
      <c r="L470" s="501">
        <f>IFERROR(SUMIFS('JPM St'!$M:$M,'JPM St'!$A:$A,$V$3,'JPM St'!$C:$C,D470),"")</f>
        <v>0</v>
      </c>
      <c r="M470" s="501">
        <f>IFERROR(SUMIFS('JPM St'!$M:$M,'JPM St'!$A:$A,$V$4,'JPM St'!$C:$C,D470),"")</f>
        <v>0</v>
      </c>
    </row>
    <row r="471" spans="1:13" x14ac:dyDescent="0.25">
      <c r="A471" s="497" t="s">
        <v>90</v>
      </c>
      <c r="B471" s="497" t="str">
        <f>IFERROR(IF(VLOOKUP(D471,'JPM St'!$C:$G,3,0)="Fixed Income &amp; Cash","Cash",VLOOKUP(D471,'JPM St'!$C:$G,3,0)),"")</f>
        <v/>
      </c>
      <c r="C471" s="497" t="str">
        <f>IFERROR(VLOOKUP(D471,'JPM St'!$C:$L,10,0),"")</f>
        <v/>
      </c>
      <c r="E471" s="500" t="str">
        <f>IFERROR(VLOOKUP(D471,'JPM St'!$C:$D,2,0),"")</f>
        <v/>
      </c>
      <c r="F471" s="501">
        <f t="shared" si="19"/>
        <v>0</v>
      </c>
      <c r="G471" s="501">
        <f>SUMIFS('JPM St'!$K:$K,'JPM St'!$A:$A,$V$2,'JPM St'!$C:$C,D471)</f>
        <v>0</v>
      </c>
      <c r="H471" s="501">
        <f>SUMIFS('JPM St'!$K:$K,'JPM St'!$A:$A,$V$3,'JPM St'!$C:$C,D471)</f>
        <v>0</v>
      </c>
      <c r="I471" s="501">
        <f>SUMIFS('JPM St'!$K:$K,'JPM St'!$A:$A,$V$4,'JPM St'!$C:$C,D471)</f>
        <v>0</v>
      </c>
      <c r="J471" s="619">
        <f t="shared" si="20"/>
        <v>0</v>
      </c>
      <c r="K471" s="501">
        <f>IFERROR(SUMIFS('JPM St'!$M:$M,'JPM St'!$A:$A,$V$2,'JPM St'!$C:$C,D471),"")</f>
        <v>0</v>
      </c>
      <c r="L471" s="501">
        <f>IFERROR(SUMIFS('JPM St'!$M:$M,'JPM St'!$A:$A,$V$3,'JPM St'!$C:$C,D471),"")</f>
        <v>0</v>
      </c>
      <c r="M471" s="501">
        <f>IFERROR(SUMIFS('JPM St'!$M:$M,'JPM St'!$A:$A,$V$4,'JPM St'!$C:$C,D471),"")</f>
        <v>0</v>
      </c>
    </row>
    <row r="472" spans="1:13" x14ac:dyDescent="0.25">
      <c r="A472" s="497" t="s">
        <v>90</v>
      </c>
      <c r="B472" s="497" t="str">
        <f>IFERROR(IF(VLOOKUP(D472,'JPM St'!$C:$G,3,0)="Fixed Income &amp; Cash","Cash",VLOOKUP(D472,'JPM St'!$C:$G,3,0)),"")</f>
        <v/>
      </c>
      <c r="C472" s="497" t="str">
        <f>IFERROR(VLOOKUP(D472,'JPM St'!$C:$L,10,0),"")</f>
        <v/>
      </c>
      <c r="E472" s="500" t="str">
        <f>IFERROR(VLOOKUP(D472,'JPM St'!$C:$D,2,0),"")</f>
        <v/>
      </c>
      <c r="F472" s="501">
        <f t="shared" si="19"/>
        <v>0</v>
      </c>
      <c r="G472" s="501">
        <f>SUMIFS('JPM St'!$K:$K,'JPM St'!$A:$A,$V$2,'JPM St'!$C:$C,D472)</f>
        <v>0</v>
      </c>
      <c r="H472" s="501">
        <f>SUMIFS('JPM St'!$K:$K,'JPM St'!$A:$A,$V$3,'JPM St'!$C:$C,D472)</f>
        <v>0</v>
      </c>
      <c r="I472" s="501">
        <f>SUMIFS('JPM St'!$K:$K,'JPM St'!$A:$A,$V$4,'JPM St'!$C:$C,D472)</f>
        <v>0</v>
      </c>
      <c r="J472" s="619">
        <f t="shared" si="20"/>
        <v>0</v>
      </c>
      <c r="K472" s="501">
        <f>IFERROR(SUMIFS('JPM St'!$M:$M,'JPM St'!$A:$A,$V$2,'JPM St'!$C:$C,D472),"")</f>
        <v>0</v>
      </c>
      <c r="L472" s="501">
        <f>IFERROR(SUMIFS('JPM St'!$M:$M,'JPM St'!$A:$A,$V$3,'JPM St'!$C:$C,D472),"")</f>
        <v>0</v>
      </c>
      <c r="M472" s="501">
        <f>IFERROR(SUMIFS('JPM St'!$M:$M,'JPM St'!$A:$A,$V$4,'JPM St'!$C:$C,D472),"")</f>
        <v>0</v>
      </c>
    </row>
    <row r="473" spans="1:13" x14ac:dyDescent="0.25">
      <c r="A473" s="497" t="s">
        <v>90</v>
      </c>
      <c r="B473" s="497" t="str">
        <f>IFERROR(IF(VLOOKUP(D473,'JPM St'!$C:$G,3,0)="Fixed Income &amp; Cash","Cash",VLOOKUP(D473,'JPM St'!$C:$G,3,0)),"")</f>
        <v/>
      </c>
      <c r="C473" s="497" t="str">
        <f>IFERROR(VLOOKUP(D473,'JPM St'!$C:$L,10,0),"")</f>
        <v/>
      </c>
      <c r="E473" s="500" t="str">
        <f>IFERROR(VLOOKUP(D473,'JPM St'!$C:$D,2,0),"")</f>
        <v/>
      </c>
      <c r="F473" s="501">
        <f t="shared" si="19"/>
        <v>0</v>
      </c>
      <c r="G473" s="501">
        <f>SUMIFS('JPM St'!$K:$K,'JPM St'!$A:$A,$V$2,'JPM St'!$C:$C,D473)</f>
        <v>0</v>
      </c>
      <c r="H473" s="501">
        <f>SUMIFS('JPM St'!$K:$K,'JPM St'!$A:$A,$V$3,'JPM St'!$C:$C,D473)</f>
        <v>0</v>
      </c>
      <c r="I473" s="501">
        <f>SUMIFS('JPM St'!$K:$K,'JPM St'!$A:$A,$V$4,'JPM St'!$C:$C,D473)</f>
        <v>0</v>
      </c>
      <c r="J473" s="619">
        <f t="shared" si="20"/>
        <v>0</v>
      </c>
      <c r="K473" s="501">
        <f>IFERROR(SUMIFS('JPM St'!$M:$M,'JPM St'!$A:$A,$V$2,'JPM St'!$C:$C,D473),"")</f>
        <v>0</v>
      </c>
      <c r="L473" s="501">
        <f>IFERROR(SUMIFS('JPM St'!$M:$M,'JPM St'!$A:$A,$V$3,'JPM St'!$C:$C,D473),"")</f>
        <v>0</v>
      </c>
      <c r="M473" s="501">
        <f>IFERROR(SUMIFS('JPM St'!$M:$M,'JPM St'!$A:$A,$V$4,'JPM St'!$C:$C,D473),"")</f>
        <v>0</v>
      </c>
    </row>
    <row r="474" spans="1:13" x14ac:dyDescent="0.25">
      <c r="A474" s="497" t="s">
        <v>90</v>
      </c>
      <c r="B474" s="497" t="str">
        <f>IFERROR(IF(VLOOKUP(D474,'JPM St'!$C:$G,3,0)="Fixed Income &amp; Cash","Cash",VLOOKUP(D474,'JPM St'!$C:$G,3,0)),"")</f>
        <v/>
      </c>
      <c r="C474" s="497" t="str">
        <f>IFERROR(VLOOKUP(D474,'JPM St'!$C:$L,10,0),"")</f>
        <v/>
      </c>
      <c r="E474" s="500" t="str">
        <f>IFERROR(VLOOKUP(D474,'JPM St'!$C:$D,2,0),"")</f>
        <v/>
      </c>
      <c r="F474" s="501">
        <f t="shared" si="19"/>
        <v>0</v>
      </c>
      <c r="G474" s="501">
        <f>SUMIFS('JPM St'!$K:$K,'JPM St'!$A:$A,$V$2,'JPM St'!$C:$C,D474)</f>
        <v>0</v>
      </c>
      <c r="H474" s="501">
        <f>SUMIFS('JPM St'!$K:$K,'JPM St'!$A:$A,$V$3,'JPM St'!$C:$C,D474)</f>
        <v>0</v>
      </c>
      <c r="I474" s="501">
        <f>SUMIFS('JPM St'!$K:$K,'JPM St'!$A:$A,$V$4,'JPM St'!$C:$C,D474)</f>
        <v>0</v>
      </c>
      <c r="J474" s="619">
        <f t="shared" si="20"/>
        <v>0</v>
      </c>
      <c r="K474" s="501">
        <f>IFERROR(SUMIFS('JPM St'!$M:$M,'JPM St'!$A:$A,$V$2,'JPM St'!$C:$C,D474),"")</f>
        <v>0</v>
      </c>
      <c r="L474" s="501">
        <f>IFERROR(SUMIFS('JPM St'!$M:$M,'JPM St'!$A:$A,$V$3,'JPM St'!$C:$C,D474),"")</f>
        <v>0</v>
      </c>
      <c r="M474" s="501">
        <f>IFERROR(SUMIFS('JPM St'!$M:$M,'JPM St'!$A:$A,$V$4,'JPM St'!$C:$C,D474),"")</f>
        <v>0</v>
      </c>
    </row>
    <row r="475" spans="1:13" x14ac:dyDescent="0.25">
      <c r="A475" s="497" t="s">
        <v>90</v>
      </c>
      <c r="B475" s="497" t="str">
        <f>IFERROR(IF(VLOOKUP(D475,'JPM St'!$C:$G,3,0)="Fixed Income &amp; Cash","Cash",VLOOKUP(D475,'JPM St'!$C:$G,3,0)),"")</f>
        <v/>
      </c>
      <c r="C475" s="497" t="str">
        <f>IFERROR(VLOOKUP(D475,'JPM St'!$C:$L,10,0),"")</f>
        <v/>
      </c>
      <c r="E475" s="500" t="str">
        <f>IFERROR(VLOOKUP(D475,'JPM St'!$C:$D,2,0),"")</f>
        <v/>
      </c>
      <c r="F475" s="501">
        <f t="shared" si="19"/>
        <v>0</v>
      </c>
      <c r="G475" s="501">
        <f>SUMIFS('JPM St'!$K:$K,'JPM St'!$A:$A,$V$2,'JPM St'!$C:$C,D475)</f>
        <v>0</v>
      </c>
      <c r="H475" s="501">
        <f>SUMIFS('JPM St'!$K:$K,'JPM St'!$A:$A,$V$3,'JPM St'!$C:$C,D475)</f>
        <v>0</v>
      </c>
      <c r="I475" s="501">
        <f>SUMIFS('JPM St'!$K:$K,'JPM St'!$A:$A,$V$4,'JPM St'!$C:$C,D475)</f>
        <v>0</v>
      </c>
      <c r="J475" s="619">
        <f t="shared" si="20"/>
        <v>0</v>
      </c>
      <c r="K475" s="501">
        <f>IFERROR(SUMIFS('JPM St'!$M:$M,'JPM St'!$A:$A,$V$2,'JPM St'!$C:$C,D475),"")</f>
        <v>0</v>
      </c>
      <c r="L475" s="501">
        <f>IFERROR(SUMIFS('JPM St'!$M:$M,'JPM St'!$A:$A,$V$3,'JPM St'!$C:$C,D475),"")</f>
        <v>0</v>
      </c>
      <c r="M475" s="501">
        <f>IFERROR(SUMIFS('JPM St'!$M:$M,'JPM St'!$A:$A,$V$4,'JPM St'!$C:$C,D475),"")</f>
        <v>0</v>
      </c>
    </row>
    <row r="476" spans="1:13" x14ac:dyDescent="0.25">
      <c r="A476" s="497" t="s">
        <v>90</v>
      </c>
      <c r="B476" s="497" t="str">
        <f>IFERROR(IF(VLOOKUP(D476,'JPM St'!$C:$G,3,0)="Fixed Income &amp; Cash","Cash",VLOOKUP(D476,'JPM St'!$C:$G,3,0)),"")</f>
        <v/>
      </c>
      <c r="C476" s="497" t="str">
        <f>IFERROR(VLOOKUP(D476,'JPM St'!$C:$L,10,0),"")</f>
        <v/>
      </c>
      <c r="E476" s="500" t="str">
        <f>IFERROR(VLOOKUP(D476,'JPM St'!$C:$D,2,0),"")</f>
        <v/>
      </c>
      <c r="F476" s="501">
        <f t="shared" si="19"/>
        <v>0</v>
      </c>
      <c r="G476" s="501">
        <f>SUMIFS('JPM St'!$K:$K,'JPM St'!$A:$A,$V$2,'JPM St'!$C:$C,D476)</f>
        <v>0</v>
      </c>
      <c r="H476" s="501">
        <f>SUMIFS('JPM St'!$K:$K,'JPM St'!$A:$A,$V$3,'JPM St'!$C:$C,D476)</f>
        <v>0</v>
      </c>
      <c r="I476" s="501">
        <f>SUMIFS('JPM St'!$K:$K,'JPM St'!$A:$A,$V$4,'JPM St'!$C:$C,D476)</f>
        <v>0</v>
      </c>
      <c r="J476" s="619">
        <f t="shared" si="20"/>
        <v>0</v>
      </c>
      <c r="K476" s="501">
        <f>IFERROR(SUMIFS('JPM St'!$M:$M,'JPM St'!$A:$A,$V$2,'JPM St'!$C:$C,D476),"")</f>
        <v>0</v>
      </c>
      <c r="L476" s="501">
        <f>IFERROR(SUMIFS('JPM St'!$M:$M,'JPM St'!$A:$A,$V$3,'JPM St'!$C:$C,D476),"")</f>
        <v>0</v>
      </c>
      <c r="M476" s="501">
        <f>IFERROR(SUMIFS('JPM St'!$M:$M,'JPM St'!$A:$A,$V$4,'JPM St'!$C:$C,D476),"")</f>
        <v>0</v>
      </c>
    </row>
    <row r="477" spans="1:13" x14ac:dyDescent="0.25">
      <c r="A477" s="497" t="s">
        <v>90</v>
      </c>
      <c r="B477" s="497" t="str">
        <f>IFERROR(IF(VLOOKUP(D477,'JPM St'!$C:$G,3,0)="Fixed Income &amp; Cash","Cash",VLOOKUP(D477,'JPM St'!$C:$G,3,0)),"")</f>
        <v/>
      </c>
      <c r="C477" s="497" t="str">
        <f>IFERROR(VLOOKUP(D477,'JPM St'!$C:$L,10,0),"")</f>
        <v/>
      </c>
      <c r="E477" s="500" t="str">
        <f>IFERROR(VLOOKUP(D477,'JPM St'!$C:$D,2,0),"")</f>
        <v/>
      </c>
      <c r="F477" s="501">
        <f t="shared" si="19"/>
        <v>0</v>
      </c>
      <c r="G477" s="501">
        <f>SUMIFS('JPM St'!$K:$K,'JPM St'!$A:$A,$V$2,'JPM St'!$C:$C,D477)</f>
        <v>0</v>
      </c>
      <c r="H477" s="501">
        <f>SUMIFS('JPM St'!$K:$K,'JPM St'!$A:$A,$V$3,'JPM St'!$C:$C,D477)</f>
        <v>0</v>
      </c>
      <c r="I477" s="501">
        <f>SUMIFS('JPM St'!$K:$K,'JPM St'!$A:$A,$V$4,'JPM St'!$C:$C,D477)</f>
        <v>0</v>
      </c>
      <c r="J477" s="619">
        <f t="shared" si="20"/>
        <v>0</v>
      </c>
      <c r="K477" s="501">
        <f>IFERROR(SUMIFS('JPM St'!$M:$M,'JPM St'!$A:$A,$V$2,'JPM St'!$C:$C,D477),"")</f>
        <v>0</v>
      </c>
      <c r="L477" s="501">
        <f>IFERROR(SUMIFS('JPM St'!$M:$M,'JPM St'!$A:$A,$V$3,'JPM St'!$C:$C,D477),"")</f>
        <v>0</v>
      </c>
      <c r="M477" s="501">
        <f>IFERROR(SUMIFS('JPM St'!$M:$M,'JPM St'!$A:$A,$V$4,'JPM St'!$C:$C,D477),"")</f>
        <v>0</v>
      </c>
    </row>
    <row r="478" spans="1:13" x14ac:dyDescent="0.25">
      <c r="A478" s="497" t="s">
        <v>90</v>
      </c>
      <c r="B478" s="497" t="str">
        <f>IFERROR(IF(VLOOKUP(D478,'JPM St'!$C:$G,3,0)="Fixed Income &amp; Cash","Cash",VLOOKUP(D478,'JPM St'!$C:$G,3,0)),"")</f>
        <v/>
      </c>
      <c r="C478" s="497" t="str">
        <f>IFERROR(VLOOKUP(D478,'JPM St'!$C:$L,10,0),"")</f>
        <v/>
      </c>
      <c r="E478" s="500" t="str">
        <f>IFERROR(VLOOKUP(D478,'JPM St'!$C:$D,2,0),"")</f>
        <v/>
      </c>
      <c r="F478" s="501">
        <f t="shared" si="19"/>
        <v>0</v>
      </c>
      <c r="G478" s="501">
        <f>SUMIFS('JPM St'!$K:$K,'JPM St'!$A:$A,$V$2,'JPM St'!$C:$C,D478)</f>
        <v>0</v>
      </c>
      <c r="H478" s="501">
        <f>SUMIFS('JPM St'!$K:$K,'JPM St'!$A:$A,$V$3,'JPM St'!$C:$C,D478)</f>
        <v>0</v>
      </c>
      <c r="I478" s="501">
        <f>SUMIFS('JPM St'!$K:$K,'JPM St'!$A:$A,$V$4,'JPM St'!$C:$C,D478)</f>
        <v>0</v>
      </c>
      <c r="J478" s="619">
        <f t="shared" si="20"/>
        <v>0</v>
      </c>
      <c r="K478" s="501">
        <f>IFERROR(SUMIFS('JPM St'!$M:$M,'JPM St'!$A:$A,$V$2,'JPM St'!$C:$C,D478),"")</f>
        <v>0</v>
      </c>
      <c r="L478" s="501">
        <f>IFERROR(SUMIFS('JPM St'!$M:$M,'JPM St'!$A:$A,$V$3,'JPM St'!$C:$C,D478),"")</f>
        <v>0</v>
      </c>
      <c r="M478" s="501">
        <f>IFERROR(SUMIFS('JPM St'!$M:$M,'JPM St'!$A:$A,$V$4,'JPM St'!$C:$C,D478),"")</f>
        <v>0</v>
      </c>
    </row>
    <row r="479" spans="1:13" x14ac:dyDescent="0.25">
      <c r="A479" s="497" t="s">
        <v>90</v>
      </c>
      <c r="B479" s="497" t="str">
        <f>IFERROR(IF(VLOOKUP(D479,'JPM St'!$C:$G,3,0)="Fixed Income &amp; Cash","Cash",VLOOKUP(D479,'JPM St'!$C:$G,3,0)),"")</f>
        <v/>
      </c>
      <c r="C479" s="497" t="str">
        <f>IFERROR(VLOOKUP(D479,'JPM St'!$C:$L,10,0),"")</f>
        <v/>
      </c>
      <c r="E479" s="500" t="str">
        <f>IFERROR(VLOOKUP(D479,'JPM St'!$C:$D,2,0),"")</f>
        <v/>
      </c>
      <c r="F479" s="501">
        <f t="shared" si="19"/>
        <v>0</v>
      </c>
      <c r="G479" s="501">
        <f>SUMIFS('JPM St'!$K:$K,'JPM St'!$A:$A,$V$2,'JPM St'!$C:$C,D479)</f>
        <v>0</v>
      </c>
      <c r="H479" s="501">
        <f>SUMIFS('JPM St'!$K:$K,'JPM St'!$A:$A,$V$3,'JPM St'!$C:$C,D479)</f>
        <v>0</v>
      </c>
      <c r="I479" s="501">
        <f>SUMIFS('JPM St'!$K:$K,'JPM St'!$A:$A,$V$4,'JPM St'!$C:$C,D479)</f>
        <v>0</v>
      </c>
      <c r="J479" s="619">
        <f t="shared" si="20"/>
        <v>0</v>
      </c>
      <c r="K479" s="501">
        <f>IFERROR(SUMIFS('JPM St'!$M:$M,'JPM St'!$A:$A,$V$2,'JPM St'!$C:$C,D479),"")</f>
        <v>0</v>
      </c>
      <c r="L479" s="501">
        <f>IFERROR(SUMIFS('JPM St'!$M:$M,'JPM St'!$A:$A,$V$3,'JPM St'!$C:$C,D479),"")</f>
        <v>0</v>
      </c>
      <c r="M479" s="501">
        <f>IFERROR(SUMIFS('JPM St'!$M:$M,'JPM St'!$A:$A,$V$4,'JPM St'!$C:$C,D479),"")</f>
        <v>0</v>
      </c>
    </row>
    <row r="480" spans="1:13" x14ac:dyDescent="0.25">
      <c r="A480" s="497" t="s">
        <v>90</v>
      </c>
      <c r="B480" s="497" t="str">
        <f>IFERROR(IF(VLOOKUP(D480,'JPM St'!$C:$G,3,0)="Fixed Income &amp; Cash","Cash",VLOOKUP(D480,'JPM St'!$C:$G,3,0)),"")</f>
        <v/>
      </c>
      <c r="C480" s="497" t="str">
        <f>IFERROR(VLOOKUP(D480,'JPM St'!$C:$L,10,0),"")</f>
        <v/>
      </c>
      <c r="E480" s="500" t="str">
        <f>IFERROR(VLOOKUP(D480,'JPM St'!$C:$D,2,0),"")</f>
        <v/>
      </c>
      <c r="F480" s="501">
        <f t="shared" si="19"/>
        <v>0</v>
      </c>
      <c r="G480" s="501">
        <f>SUMIFS('JPM St'!$K:$K,'JPM St'!$A:$A,$V$2,'JPM St'!$C:$C,D480)</f>
        <v>0</v>
      </c>
      <c r="H480" s="501">
        <f>SUMIFS('JPM St'!$K:$K,'JPM St'!$A:$A,$V$3,'JPM St'!$C:$C,D480)</f>
        <v>0</v>
      </c>
      <c r="I480" s="501">
        <f>SUMIFS('JPM St'!$K:$K,'JPM St'!$A:$A,$V$4,'JPM St'!$C:$C,D480)</f>
        <v>0</v>
      </c>
      <c r="J480" s="619">
        <f t="shared" si="20"/>
        <v>0</v>
      </c>
      <c r="K480" s="501">
        <f>IFERROR(SUMIFS('JPM St'!$M:$M,'JPM St'!$A:$A,$V$2,'JPM St'!$C:$C,D480),"")</f>
        <v>0</v>
      </c>
      <c r="L480" s="501">
        <f>IFERROR(SUMIFS('JPM St'!$M:$M,'JPM St'!$A:$A,$V$3,'JPM St'!$C:$C,D480),"")</f>
        <v>0</v>
      </c>
      <c r="M480" s="501">
        <f>IFERROR(SUMIFS('JPM St'!$M:$M,'JPM St'!$A:$A,$V$4,'JPM St'!$C:$C,D480),"")</f>
        <v>0</v>
      </c>
    </row>
    <row r="481" spans="1:13" x14ac:dyDescent="0.25">
      <c r="A481" s="497" t="s">
        <v>90</v>
      </c>
      <c r="B481" s="497" t="str">
        <f>IFERROR(IF(VLOOKUP(D481,'JPM St'!$C:$G,3,0)="Fixed Income &amp; Cash","Cash",VLOOKUP(D481,'JPM St'!$C:$G,3,0)),"")</f>
        <v/>
      </c>
      <c r="C481" s="497" t="str">
        <f>IFERROR(VLOOKUP(D481,'JPM St'!$C:$L,10,0),"")</f>
        <v/>
      </c>
      <c r="E481" s="500" t="str">
        <f>IFERROR(VLOOKUP(D481,'JPM St'!$C:$D,2,0),"")</f>
        <v/>
      </c>
      <c r="F481" s="501">
        <f t="shared" si="19"/>
        <v>0</v>
      </c>
      <c r="G481" s="501">
        <f>SUMIFS('JPM St'!$K:$K,'JPM St'!$A:$A,$V$2,'JPM St'!$C:$C,D481)</f>
        <v>0</v>
      </c>
      <c r="H481" s="501">
        <f>SUMIFS('JPM St'!$K:$K,'JPM St'!$A:$A,$V$3,'JPM St'!$C:$C,D481)</f>
        <v>0</v>
      </c>
      <c r="I481" s="501">
        <f>SUMIFS('JPM St'!$K:$K,'JPM St'!$A:$A,$V$4,'JPM St'!$C:$C,D481)</f>
        <v>0</v>
      </c>
      <c r="J481" s="619">
        <f t="shared" si="20"/>
        <v>0</v>
      </c>
      <c r="K481" s="501">
        <f>IFERROR(SUMIFS('JPM St'!$M:$M,'JPM St'!$A:$A,$V$2,'JPM St'!$C:$C,D481),"")</f>
        <v>0</v>
      </c>
      <c r="L481" s="501">
        <f>IFERROR(SUMIFS('JPM St'!$M:$M,'JPM St'!$A:$A,$V$3,'JPM St'!$C:$C,D481),"")</f>
        <v>0</v>
      </c>
      <c r="M481" s="501">
        <f>IFERROR(SUMIFS('JPM St'!$M:$M,'JPM St'!$A:$A,$V$4,'JPM St'!$C:$C,D481),"")</f>
        <v>0</v>
      </c>
    </row>
    <row r="482" spans="1:13" x14ac:dyDescent="0.25">
      <c r="A482" s="497" t="s">
        <v>90</v>
      </c>
      <c r="B482" s="497" t="str">
        <f>IFERROR(IF(VLOOKUP(D482,'JPM St'!$C:$G,3,0)="Fixed Income &amp; Cash","Cash",VLOOKUP(D482,'JPM St'!$C:$G,3,0)),"")</f>
        <v/>
      </c>
      <c r="C482" s="497" t="str">
        <f>IFERROR(VLOOKUP(D482,'JPM St'!$C:$L,10,0),"")</f>
        <v/>
      </c>
      <c r="E482" s="500" t="str">
        <f>IFERROR(VLOOKUP(D482,'JPM St'!$C:$D,2,0),"")</f>
        <v/>
      </c>
      <c r="F482" s="501">
        <f t="shared" si="19"/>
        <v>0</v>
      </c>
      <c r="G482" s="501">
        <f>SUMIFS('JPM St'!$K:$K,'JPM St'!$A:$A,$V$2,'JPM St'!$C:$C,D482)</f>
        <v>0</v>
      </c>
      <c r="H482" s="501">
        <f>SUMIFS('JPM St'!$K:$K,'JPM St'!$A:$A,$V$3,'JPM St'!$C:$C,D482)</f>
        <v>0</v>
      </c>
      <c r="I482" s="501">
        <f>SUMIFS('JPM St'!$K:$K,'JPM St'!$A:$A,$V$4,'JPM St'!$C:$C,D482)</f>
        <v>0</v>
      </c>
      <c r="J482" s="619">
        <f t="shared" si="20"/>
        <v>0</v>
      </c>
      <c r="K482" s="501">
        <f>IFERROR(SUMIFS('JPM St'!$M:$M,'JPM St'!$A:$A,$V$2,'JPM St'!$C:$C,D482),"")</f>
        <v>0</v>
      </c>
      <c r="L482" s="501">
        <f>IFERROR(SUMIFS('JPM St'!$M:$M,'JPM St'!$A:$A,$V$3,'JPM St'!$C:$C,D482),"")</f>
        <v>0</v>
      </c>
      <c r="M482" s="501">
        <f>IFERROR(SUMIFS('JPM St'!$M:$M,'JPM St'!$A:$A,$V$4,'JPM St'!$C:$C,D482),"")</f>
        <v>0</v>
      </c>
    </row>
    <row r="483" spans="1:13" x14ac:dyDescent="0.25">
      <c r="A483" s="497" t="s">
        <v>90</v>
      </c>
      <c r="B483" s="497" t="str">
        <f>IFERROR(IF(VLOOKUP(D483,'JPM St'!$C:$G,3,0)="Fixed Income &amp; Cash","Cash",VLOOKUP(D483,'JPM St'!$C:$G,3,0)),"")</f>
        <v/>
      </c>
      <c r="C483" s="497" t="str">
        <f>IFERROR(VLOOKUP(D483,'JPM St'!$C:$L,10,0),"")</f>
        <v/>
      </c>
      <c r="E483" s="500" t="str">
        <f>IFERROR(VLOOKUP(D483,'JPM St'!$C:$D,2,0),"")</f>
        <v/>
      </c>
      <c r="F483" s="501">
        <f t="shared" si="19"/>
        <v>0</v>
      </c>
      <c r="G483" s="501">
        <f>SUMIFS('JPM St'!$K:$K,'JPM St'!$A:$A,$V$2,'JPM St'!$C:$C,D483)</f>
        <v>0</v>
      </c>
      <c r="H483" s="501">
        <f>SUMIFS('JPM St'!$K:$K,'JPM St'!$A:$A,$V$3,'JPM St'!$C:$C,D483)</f>
        <v>0</v>
      </c>
      <c r="I483" s="501">
        <f>SUMIFS('JPM St'!$K:$K,'JPM St'!$A:$A,$V$4,'JPM St'!$C:$C,D483)</f>
        <v>0</v>
      </c>
      <c r="J483" s="619">
        <f t="shared" si="20"/>
        <v>0</v>
      </c>
      <c r="K483" s="501">
        <f>IFERROR(SUMIFS('JPM St'!$M:$M,'JPM St'!$A:$A,$V$2,'JPM St'!$C:$C,D483),"")</f>
        <v>0</v>
      </c>
      <c r="L483" s="501">
        <f>IFERROR(SUMIFS('JPM St'!$M:$M,'JPM St'!$A:$A,$V$3,'JPM St'!$C:$C,D483),"")</f>
        <v>0</v>
      </c>
      <c r="M483" s="501">
        <f>IFERROR(SUMIFS('JPM St'!$M:$M,'JPM St'!$A:$A,$V$4,'JPM St'!$C:$C,D483),"")</f>
        <v>0</v>
      </c>
    </row>
    <row r="484" spans="1:13" x14ac:dyDescent="0.25">
      <c r="A484" s="497" t="s">
        <v>90</v>
      </c>
      <c r="B484" s="497" t="str">
        <f>IFERROR(IF(VLOOKUP(D484,'JPM St'!$C:$G,3,0)="Fixed Income &amp; Cash","Cash",VLOOKUP(D484,'JPM St'!$C:$G,3,0)),"")</f>
        <v/>
      </c>
      <c r="C484" s="497" t="str">
        <f>IFERROR(VLOOKUP(D484,'JPM St'!$C:$L,10,0),"")</f>
        <v/>
      </c>
      <c r="E484" s="500" t="str">
        <f>IFERROR(VLOOKUP(D484,'JPM St'!$C:$D,2,0),"")</f>
        <v/>
      </c>
      <c r="F484" s="501">
        <f t="shared" si="19"/>
        <v>0</v>
      </c>
      <c r="G484" s="501">
        <f>SUMIFS('JPM St'!$K:$K,'JPM St'!$A:$A,$V$2,'JPM St'!$C:$C,D484)</f>
        <v>0</v>
      </c>
      <c r="H484" s="501">
        <f>SUMIFS('JPM St'!$K:$K,'JPM St'!$A:$A,$V$3,'JPM St'!$C:$C,D484)</f>
        <v>0</v>
      </c>
      <c r="I484" s="501">
        <f>SUMIFS('JPM St'!$K:$K,'JPM St'!$A:$A,$V$4,'JPM St'!$C:$C,D484)</f>
        <v>0</v>
      </c>
      <c r="J484" s="619">
        <f t="shared" si="20"/>
        <v>0</v>
      </c>
      <c r="K484" s="501">
        <f>IFERROR(SUMIFS('JPM St'!$M:$M,'JPM St'!$A:$A,$V$2,'JPM St'!$C:$C,D484),"")</f>
        <v>0</v>
      </c>
      <c r="L484" s="501">
        <f>IFERROR(SUMIFS('JPM St'!$M:$M,'JPM St'!$A:$A,$V$3,'JPM St'!$C:$C,D484),"")</f>
        <v>0</v>
      </c>
      <c r="M484" s="501">
        <f>IFERROR(SUMIFS('JPM St'!$M:$M,'JPM St'!$A:$A,$V$4,'JPM St'!$C:$C,D484),"")</f>
        <v>0</v>
      </c>
    </row>
    <row r="485" spans="1:13" x14ac:dyDescent="0.25">
      <c r="A485" s="497" t="s">
        <v>90</v>
      </c>
      <c r="B485" s="497" t="str">
        <f>IFERROR(IF(VLOOKUP(D485,'JPM St'!$C:$G,3,0)="Fixed Income &amp; Cash","Cash",VLOOKUP(D485,'JPM St'!$C:$G,3,0)),"")</f>
        <v/>
      </c>
      <c r="C485" s="497" t="str">
        <f>IFERROR(VLOOKUP(D485,'JPM St'!$C:$L,10,0),"")</f>
        <v/>
      </c>
      <c r="E485" s="500" t="str">
        <f>IFERROR(VLOOKUP(D485,'JPM St'!$C:$D,2,0),"")</f>
        <v/>
      </c>
      <c r="F485" s="501">
        <f t="shared" si="19"/>
        <v>0</v>
      </c>
      <c r="G485" s="501">
        <f>SUMIFS('JPM St'!$K:$K,'JPM St'!$A:$A,$V$2,'JPM St'!$C:$C,D485)</f>
        <v>0</v>
      </c>
      <c r="H485" s="501">
        <f>SUMIFS('JPM St'!$K:$K,'JPM St'!$A:$A,$V$3,'JPM St'!$C:$C,D485)</f>
        <v>0</v>
      </c>
      <c r="I485" s="501">
        <f>SUMIFS('JPM St'!$K:$K,'JPM St'!$A:$A,$V$4,'JPM St'!$C:$C,D485)</f>
        <v>0</v>
      </c>
      <c r="J485" s="619">
        <f t="shared" si="20"/>
        <v>0</v>
      </c>
      <c r="K485" s="501">
        <f>IFERROR(SUMIFS('JPM St'!$M:$M,'JPM St'!$A:$A,$V$2,'JPM St'!$C:$C,D485),"")</f>
        <v>0</v>
      </c>
      <c r="L485" s="501">
        <f>IFERROR(SUMIFS('JPM St'!$M:$M,'JPM St'!$A:$A,$V$3,'JPM St'!$C:$C,D485),"")</f>
        <v>0</v>
      </c>
      <c r="M485" s="501">
        <f>IFERROR(SUMIFS('JPM St'!$M:$M,'JPM St'!$A:$A,$V$4,'JPM St'!$C:$C,D485),"")</f>
        <v>0</v>
      </c>
    </row>
    <row r="486" spans="1:13" x14ac:dyDescent="0.25">
      <c r="A486" s="497" t="s">
        <v>90</v>
      </c>
      <c r="B486" s="497" t="str">
        <f>IFERROR(IF(VLOOKUP(D486,'JPM St'!$C:$G,3,0)="Fixed Income &amp; Cash","Cash",VLOOKUP(D486,'JPM St'!$C:$G,3,0)),"")</f>
        <v/>
      </c>
      <c r="C486" s="497" t="str">
        <f>IFERROR(VLOOKUP(D486,'JPM St'!$C:$L,10,0),"")</f>
        <v/>
      </c>
      <c r="E486" s="500" t="str">
        <f>IFERROR(VLOOKUP(D486,'JPM St'!$C:$D,2,0),"")</f>
        <v/>
      </c>
      <c r="F486" s="501">
        <f t="shared" si="19"/>
        <v>0</v>
      </c>
      <c r="G486" s="501">
        <f>SUMIFS('JPM St'!$K:$K,'JPM St'!$A:$A,$V$2,'JPM St'!$C:$C,D486)</f>
        <v>0</v>
      </c>
      <c r="H486" s="501">
        <f>SUMIFS('JPM St'!$K:$K,'JPM St'!$A:$A,$V$3,'JPM St'!$C:$C,D486)</f>
        <v>0</v>
      </c>
      <c r="I486" s="501">
        <f>SUMIFS('JPM St'!$K:$K,'JPM St'!$A:$A,$V$4,'JPM St'!$C:$C,D486)</f>
        <v>0</v>
      </c>
      <c r="J486" s="619">
        <f t="shared" si="20"/>
        <v>0</v>
      </c>
      <c r="K486" s="501">
        <f>IFERROR(SUMIFS('JPM St'!$M:$M,'JPM St'!$A:$A,$V$2,'JPM St'!$C:$C,D486),"")</f>
        <v>0</v>
      </c>
      <c r="L486" s="501">
        <f>IFERROR(SUMIFS('JPM St'!$M:$M,'JPM St'!$A:$A,$V$3,'JPM St'!$C:$C,D486),"")</f>
        <v>0</v>
      </c>
      <c r="M486" s="501">
        <f>IFERROR(SUMIFS('JPM St'!$M:$M,'JPM St'!$A:$A,$V$4,'JPM St'!$C:$C,D486),"")</f>
        <v>0</v>
      </c>
    </row>
    <row r="487" spans="1:13" x14ac:dyDescent="0.25">
      <c r="A487" s="497" t="s">
        <v>90</v>
      </c>
      <c r="B487" s="497" t="str">
        <f>IFERROR(IF(VLOOKUP(D487,'JPM St'!$C:$G,3,0)="Fixed Income &amp; Cash","Cash",VLOOKUP(D487,'JPM St'!$C:$G,3,0)),"")</f>
        <v/>
      </c>
      <c r="C487" s="497" t="str">
        <f>IFERROR(VLOOKUP(D487,'JPM St'!$C:$L,10,0),"")</f>
        <v/>
      </c>
      <c r="E487" s="500" t="str">
        <f>IFERROR(VLOOKUP(D487,'JPM St'!$C:$D,2,0),"")</f>
        <v/>
      </c>
      <c r="F487" s="501">
        <f t="shared" si="19"/>
        <v>0</v>
      </c>
      <c r="G487" s="501">
        <f>SUMIFS('JPM St'!$K:$K,'JPM St'!$A:$A,$V$2,'JPM St'!$C:$C,D487)</f>
        <v>0</v>
      </c>
      <c r="H487" s="501">
        <f>SUMIFS('JPM St'!$K:$K,'JPM St'!$A:$A,$V$3,'JPM St'!$C:$C,D487)</f>
        <v>0</v>
      </c>
      <c r="I487" s="501">
        <f>SUMIFS('JPM St'!$K:$K,'JPM St'!$A:$A,$V$4,'JPM St'!$C:$C,D487)</f>
        <v>0</v>
      </c>
      <c r="J487" s="619">
        <f t="shared" si="20"/>
        <v>0</v>
      </c>
      <c r="K487" s="501">
        <f>IFERROR(SUMIFS('JPM St'!$M:$M,'JPM St'!$A:$A,$V$2,'JPM St'!$C:$C,D487),"")</f>
        <v>0</v>
      </c>
      <c r="L487" s="501">
        <f>IFERROR(SUMIFS('JPM St'!$M:$M,'JPM St'!$A:$A,$V$3,'JPM St'!$C:$C,D487),"")</f>
        <v>0</v>
      </c>
      <c r="M487" s="501">
        <f>IFERROR(SUMIFS('JPM St'!$M:$M,'JPM St'!$A:$A,$V$4,'JPM St'!$C:$C,D487),"")</f>
        <v>0</v>
      </c>
    </row>
    <row r="488" spans="1:13" x14ac:dyDescent="0.25">
      <c r="A488" s="497" t="s">
        <v>90</v>
      </c>
      <c r="B488" s="497" t="str">
        <f>IFERROR(IF(VLOOKUP(D488,'JPM St'!$C:$G,3,0)="Fixed Income &amp; Cash","Cash",VLOOKUP(D488,'JPM St'!$C:$G,3,0)),"")</f>
        <v/>
      </c>
      <c r="C488" s="497" t="str">
        <f>IFERROR(VLOOKUP(D488,'JPM St'!$C:$L,10,0),"")</f>
        <v/>
      </c>
      <c r="E488" s="500" t="str">
        <f>IFERROR(VLOOKUP(D488,'JPM St'!$C:$D,2,0),"")</f>
        <v/>
      </c>
      <c r="F488" s="501">
        <f t="shared" si="19"/>
        <v>0</v>
      </c>
      <c r="G488" s="501">
        <f>SUMIFS('JPM St'!$K:$K,'JPM St'!$A:$A,$V$2,'JPM St'!$C:$C,D488)</f>
        <v>0</v>
      </c>
      <c r="H488" s="501">
        <f>SUMIFS('JPM St'!$K:$K,'JPM St'!$A:$A,$V$3,'JPM St'!$C:$C,D488)</f>
        <v>0</v>
      </c>
      <c r="I488" s="501">
        <f>SUMIFS('JPM St'!$K:$K,'JPM St'!$A:$A,$V$4,'JPM St'!$C:$C,D488)</f>
        <v>0</v>
      </c>
      <c r="J488" s="619">
        <f t="shared" si="20"/>
        <v>0</v>
      </c>
      <c r="K488" s="501">
        <f>IFERROR(SUMIFS('JPM St'!$M:$M,'JPM St'!$A:$A,$V$2,'JPM St'!$C:$C,D488),"")</f>
        <v>0</v>
      </c>
      <c r="L488" s="501">
        <f>IFERROR(SUMIFS('JPM St'!$M:$M,'JPM St'!$A:$A,$V$3,'JPM St'!$C:$C,D488),"")</f>
        <v>0</v>
      </c>
      <c r="M488" s="501">
        <f>IFERROR(SUMIFS('JPM St'!$M:$M,'JPM St'!$A:$A,$V$4,'JPM St'!$C:$C,D488),"")</f>
        <v>0</v>
      </c>
    </row>
    <row r="489" spans="1:13" x14ac:dyDescent="0.25">
      <c r="A489" s="497" t="s">
        <v>90</v>
      </c>
      <c r="B489" s="497" t="str">
        <f>IFERROR(IF(VLOOKUP(D489,'JPM St'!$C:$G,3,0)="Fixed Income &amp; Cash","Cash",VLOOKUP(D489,'JPM St'!$C:$G,3,0)),"")</f>
        <v/>
      </c>
      <c r="C489" s="497" t="str">
        <f>IFERROR(VLOOKUP(D489,'JPM St'!$C:$L,10,0),"")</f>
        <v/>
      </c>
      <c r="E489" s="500" t="str">
        <f>IFERROR(VLOOKUP(D489,'JPM St'!$C:$D,2,0),"")</f>
        <v/>
      </c>
      <c r="F489" s="501">
        <f t="shared" si="19"/>
        <v>0</v>
      </c>
      <c r="G489" s="501">
        <f>SUMIFS('JPM St'!$K:$K,'JPM St'!$A:$A,$V$2,'JPM St'!$C:$C,D489)</f>
        <v>0</v>
      </c>
      <c r="H489" s="501">
        <f>SUMIFS('JPM St'!$K:$K,'JPM St'!$A:$A,$V$3,'JPM St'!$C:$C,D489)</f>
        <v>0</v>
      </c>
      <c r="I489" s="501">
        <f>SUMIFS('JPM St'!$K:$K,'JPM St'!$A:$A,$V$4,'JPM St'!$C:$C,D489)</f>
        <v>0</v>
      </c>
      <c r="J489" s="619">
        <f t="shared" si="20"/>
        <v>0</v>
      </c>
      <c r="K489" s="501">
        <f>IFERROR(SUMIFS('JPM St'!$M:$M,'JPM St'!$A:$A,$V$2,'JPM St'!$C:$C,D489),"")</f>
        <v>0</v>
      </c>
      <c r="L489" s="501">
        <f>IFERROR(SUMIFS('JPM St'!$M:$M,'JPM St'!$A:$A,$V$3,'JPM St'!$C:$C,D489),"")</f>
        <v>0</v>
      </c>
      <c r="M489" s="501">
        <f>IFERROR(SUMIFS('JPM St'!$M:$M,'JPM St'!$A:$A,$V$4,'JPM St'!$C:$C,D489),"")</f>
        <v>0</v>
      </c>
    </row>
    <row r="490" spans="1:13" x14ac:dyDescent="0.25">
      <c r="A490" s="497" t="s">
        <v>90</v>
      </c>
      <c r="B490" s="497" t="str">
        <f>IFERROR(IF(VLOOKUP(D490,'JPM St'!$C:$G,3,0)="Fixed Income &amp; Cash","Cash",VLOOKUP(D490,'JPM St'!$C:$G,3,0)),"")</f>
        <v/>
      </c>
      <c r="C490" s="497" t="str">
        <f>IFERROR(VLOOKUP(D490,'JPM St'!$C:$L,10,0),"")</f>
        <v/>
      </c>
      <c r="E490" s="500" t="str">
        <f>IFERROR(VLOOKUP(D490,'JPM St'!$C:$D,2,0),"")</f>
        <v/>
      </c>
      <c r="F490" s="501">
        <f t="shared" si="19"/>
        <v>0</v>
      </c>
      <c r="G490" s="501">
        <f>SUMIFS('JPM St'!$K:$K,'JPM St'!$A:$A,$V$2,'JPM St'!$C:$C,D490)</f>
        <v>0</v>
      </c>
      <c r="H490" s="501">
        <f>SUMIFS('JPM St'!$K:$K,'JPM St'!$A:$A,$V$3,'JPM St'!$C:$C,D490)</f>
        <v>0</v>
      </c>
      <c r="I490" s="501">
        <f>SUMIFS('JPM St'!$K:$K,'JPM St'!$A:$A,$V$4,'JPM St'!$C:$C,D490)</f>
        <v>0</v>
      </c>
      <c r="J490" s="619">
        <f t="shared" si="20"/>
        <v>0</v>
      </c>
      <c r="K490" s="501">
        <f>IFERROR(SUMIFS('JPM St'!$M:$M,'JPM St'!$A:$A,$V$2,'JPM St'!$C:$C,D490),"")</f>
        <v>0</v>
      </c>
      <c r="L490" s="501">
        <f>IFERROR(SUMIFS('JPM St'!$M:$M,'JPM St'!$A:$A,$V$3,'JPM St'!$C:$C,D490),"")</f>
        <v>0</v>
      </c>
      <c r="M490" s="501">
        <f>IFERROR(SUMIFS('JPM St'!$M:$M,'JPM St'!$A:$A,$V$4,'JPM St'!$C:$C,D490),"")</f>
        <v>0</v>
      </c>
    </row>
    <row r="491" spans="1:13" x14ac:dyDescent="0.25">
      <c r="A491" s="497" t="s">
        <v>90</v>
      </c>
      <c r="B491" s="497" t="str">
        <f>IFERROR(IF(VLOOKUP(D491,'JPM St'!$C:$G,3,0)="Fixed Income &amp; Cash","Cash",VLOOKUP(D491,'JPM St'!$C:$G,3,0)),"")</f>
        <v/>
      </c>
      <c r="C491" s="497" t="str">
        <f>IFERROR(VLOOKUP(D491,'JPM St'!$C:$L,10,0),"")</f>
        <v/>
      </c>
      <c r="E491" s="500" t="str">
        <f>IFERROR(VLOOKUP(D491,'JPM St'!$C:$D,2,0),"")</f>
        <v/>
      </c>
      <c r="F491" s="501">
        <f t="shared" si="19"/>
        <v>0</v>
      </c>
      <c r="G491" s="501">
        <f>SUMIFS('JPM St'!$K:$K,'JPM St'!$A:$A,$V$2,'JPM St'!$C:$C,D491)</f>
        <v>0</v>
      </c>
      <c r="H491" s="501">
        <f>SUMIFS('JPM St'!$K:$K,'JPM St'!$A:$A,$V$3,'JPM St'!$C:$C,D491)</f>
        <v>0</v>
      </c>
      <c r="I491" s="501">
        <f>SUMIFS('JPM St'!$K:$K,'JPM St'!$A:$A,$V$4,'JPM St'!$C:$C,D491)</f>
        <v>0</v>
      </c>
      <c r="J491" s="619">
        <f t="shared" si="20"/>
        <v>0</v>
      </c>
      <c r="K491" s="501">
        <f>IFERROR(SUMIFS('JPM St'!$M:$M,'JPM St'!$A:$A,$V$2,'JPM St'!$C:$C,D491),"")</f>
        <v>0</v>
      </c>
      <c r="L491" s="501">
        <f>IFERROR(SUMIFS('JPM St'!$M:$M,'JPM St'!$A:$A,$V$3,'JPM St'!$C:$C,D491),"")</f>
        <v>0</v>
      </c>
      <c r="M491" s="501">
        <f>IFERROR(SUMIFS('JPM St'!$M:$M,'JPM St'!$A:$A,$V$4,'JPM St'!$C:$C,D491),"")</f>
        <v>0</v>
      </c>
    </row>
    <row r="492" spans="1:13" x14ac:dyDescent="0.25">
      <c r="A492" s="497" t="s">
        <v>90</v>
      </c>
      <c r="B492" s="497" t="str">
        <f>IFERROR(IF(VLOOKUP(D492,'JPM St'!$C:$G,3,0)="Fixed Income &amp; Cash","Cash",VLOOKUP(D492,'JPM St'!$C:$G,3,0)),"")</f>
        <v/>
      </c>
      <c r="C492" s="497" t="str">
        <f>IFERROR(VLOOKUP(D492,'JPM St'!$C:$L,10,0),"")</f>
        <v/>
      </c>
      <c r="E492" s="500" t="str">
        <f>IFERROR(VLOOKUP(D492,'JPM St'!$C:$D,2,0),"")</f>
        <v/>
      </c>
      <c r="F492" s="501">
        <f t="shared" si="19"/>
        <v>0</v>
      </c>
      <c r="G492" s="501">
        <f>SUMIFS('JPM St'!$K:$K,'JPM St'!$A:$A,$V$2,'JPM St'!$C:$C,D492)</f>
        <v>0</v>
      </c>
      <c r="H492" s="501">
        <f>SUMIFS('JPM St'!$K:$K,'JPM St'!$A:$A,$V$3,'JPM St'!$C:$C,D492)</f>
        <v>0</v>
      </c>
      <c r="I492" s="501">
        <f>SUMIFS('JPM St'!$K:$K,'JPM St'!$A:$A,$V$4,'JPM St'!$C:$C,D492)</f>
        <v>0</v>
      </c>
      <c r="J492" s="619">
        <f t="shared" si="20"/>
        <v>0</v>
      </c>
      <c r="K492" s="501">
        <f>IFERROR(SUMIFS('JPM St'!$M:$M,'JPM St'!$A:$A,$V$2,'JPM St'!$C:$C,D492),"")</f>
        <v>0</v>
      </c>
      <c r="L492" s="501">
        <f>IFERROR(SUMIFS('JPM St'!$M:$M,'JPM St'!$A:$A,$V$3,'JPM St'!$C:$C,D492),"")</f>
        <v>0</v>
      </c>
      <c r="M492" s="501">
        <f>IFERROR(SUMIFS('JPM St'!$M:$M,'JPM St'!$A:$A,$V$4,'JPM St'!$C:$C,D492),"")</f>
        <v>0</v>
      </c>
    </row>
    <row r="493" spans="1:13" x14ac:dyDescent="0.25">
      <c r="A493" s="497" t="s">
        <v>90</v>
      </c>
      <c r="B493" s="497" t="str">
        <f>IFERROR(IF(VLOOKUP(D493,'JPM St'!$C:$G,3,0)="Fixed Income &amp; Cash","Cash",VLOOKUP(D493,'JPM St'!$C:$G,3,0)),"")</f>
        <v/>
      </c>
      <c r="C493" s="497" t="str">
        <f>IFERROR(VLOOKUP(D493,'JPM St'!$C:$L,10,0),"")</f>
        <v/>
      </c>
      <c r="E493" s="500" t="str">
        <f>IFERROR(VLOOKUP(D493,'JPM St'!$C:$D,2,0),"")</f>
        <v/>
      </c>
      <c r="F493" s="501">
        <f t="shared" si="19"/>
        <v>0</v>
      </c>
      <c r="G493" s="501">
        <f>SUMIFS('JPM St'!$K:$K,'JPM St'!$A:$A,$V$2,'JPM St'!$C:$C,D493)</f>
        <v>0</v>
      </c>
      <c r="H493" s="501">
        <f>SUMIFS('JPM St'!$K:$K,'JPM St'!$A:$A,$V$3,'JPM St'!$C:$C,D493)</f>
        <v>0</v>
      </c>
      <c r="I493" s="501">
        <f>SUMIFS('JPM St'!$K:$K,'JPM St'!$A:$A,$V$4,'JPM St'!$C:$C,D493)</f>
        <v>0</v>
      </c>
      <c r="J493" s="619">
        <f t="shared" si="20"/>
        <v>0</v>
      </c>
      <c r="K493" s="501">
        <f>IFERROR(SUMIFS('JPM St'!$M:$M,'JPM St'!$A:$A,$V$2,'JPM St'!$C:$C,D493),"")</f>
        <v>0</v>
      </c>
      <c r="L493" s="501">
        <f>IFERROR(SUMIFS('JPM St'!$M:$M,'JPM St'!$A:$A,$V$3,'JPM St'!$C:$C,D493),"")</f>
        <v>0</v>
      </c>
      <c r="M493" s="501">
        <f>IFERROR(SUMIFS('JPM St'!$M:$M,'JPM St'!$A:$A,$V$4,'JPM St'!$C:$C,D493),"")</f>
        <v>0</v>
      </c>
    </row>
    <row r="494" spans="1:13" x14ac:dyDescent="0.25">
      <c r="A494" s="497" t="s">
        <v>90</v>
      </c>
      <c r="B494" s="497" t="str">
        <f>IFERROR(IF(VLOOKUP(D494,'JPM St'!$C:$G,3,0)="Fixed Income &amp; Cash","Cash",VLOOKUP(D494,'JPM St'!$C:$G,3,0)),"")</f>
        <v/>
      </c>
      <c r="C494" s="497" t="str">
        <f>IFERROR(VLOOKUP(D494,'JPM St'!$C:$L,10,0),"")</f>
        <v/>
      </c>
      <c r="E494" s="500" t="str">
        <f>IFERROR(VLOOKUP(D494,'JPM St'!$C:$D,2,0),"")</f>
        <v/>
      </c>
      <c r="F494" s="501">
        <f t="shared" si="19"/>
        <v>0</v>
      </c>
      <c r="G494" s="501">
        <f>SUMIFS('JPM St'!$K:$K,'JPM St'!$A:$A,$V$2,'JPM St'!$C:$C,D494)</f>
        <v>0</v>
      </c>
      <c r="H494" s="501">
        <f>SUMIFS('JPM St'!$K:$K,'JPM St'!$A:$A,$V$3,'JPM St'!$C:$C,D494)</f>
        <v>0</v>
      </c>
      <c r="I494" s="501">
        <f>SUMIFS('JPM St'!$K:$K,'JPM St'!$A:$A,$V$4,'JPM St'!$C:$C,D494)</f>
        <v>0</v>
      </c>
      <c r="J494" s="619">
        <f t="shared" si="20"/>
        <v>0</v>
      </c>
      <c r="K494" s="501">
        <f>IFERROR(SUMIFS('JPM St'!$M:$M,'JPM St'!$A:$A,$V$2,'JPM St'!$C:$C,D494),"")</f>
        <v>0</v>
      </c>
      <c r="L494" s="501">
        <f>IFERROR(SUMIFS('JPM St'!$M:$M,'JPM St'!$A:$A,$V$3,'JPM St'!$C:$C,D494),"")</f>
        <v>0</v>
      </c>
      <c r="M494" s="501">
        <f>IFERROR(SUMIFS('JPM St'!$M:$M,'JPM St'!$A:$A,$V$4,'JPM St'!$C:$C,D494),"")</f>
        <v>0</v>
      </c>
    </row>
    <row r="495" spans="1:13" x14ac:dyDescent="0.25">
      <c r="A495" s="497" t="s">
        <v>90</v>
      </c>
      <c r="B495" s="497" t="str">
        <f>IFERROR(IF(VLOOKUP(D495,'JPM St'!$C:$G,3,0)="Fixed Income &amp; Cash","Cash",VLOOKUP(D495,'JPM St'!$C:$G,3,0)),"")</f>
        <v/>
      </c>
      <c r="C495" s="497" t="str">
        <f>IFERROR(VLOOKUP(D495,'JPM St'!$C:$L,10,0),"")</f>
        <v/>
      </c>
      <c r="E495" s="500" t="str">
        <f>IFERROR(VLOOKUP(D495,'JPM St'!$C:$D,2,0),"")</f>
        <v/>
      </c>
      <c r="F495" s="501">
        <f t="shared" si="19"/>
        <v>0</v>
      </c>
      <c r="G495" s="501">
        <f>SUMIFS('JPM St'!$K:$K,'JPM St'!$A:$A,$V$2,'JPM St'!$C:$C,D495)</f>
        <v>0</v>
      </c>
      <c r="H495" s="501">
        <f>SUMIFS('JPM St'!$K:$K,'JPM St'!$A:$A,$V$3,'JPM St'!$C:$C,D495)</f>
        <v>0</v>
      </c>
      <c r="I495" s="501">
        <f>SUMIFS('JPM St'!$K:$K,'JPM St'!$A:$A,$V$4,'JPM St'!$C:$C,D495)</f>
        <v>0</v>
      </c>
      <c r="J495" s="619">
        <f t="shared" si="20"/>
        <v>0</v>
      </c>
      <c r="K495" s="501">
        <f>IFERROR(SUMIFS('JPM St'!$M:$M,'JPM St'!$A:$A,$V$2,'JPM St'!$C:$C,D495),"")</f>
        <v>0</v>
      </c>
      <c r="L495" s="501">
        <f>IFERROR(SUMIFS('JPM St'!$M:$M,'JPM St'!$A:$A,$V$3,'JPM St'!$C:$C,D495),"")</f>
        <v>0</v>
      </c>
      <c r="M495" s="501">
        <f>IFERROR(SUMIFS('JPM St'!$M:$M,'JPM St'!$A:$A,$V$4,'JPM St'!$C:$C,D495),"")</f>
        <v>0</v>
      </c>
    </row>
    <row r="496" spans="1:13" x14ac:dyDescent="0.25">
      <c r="A496" s="497" t="s">
        <v>90</v>
      </c>
      <c r="B496" s="497" t="str">
        <f>IFERROR(IF(VLOOKUP(D496,'JPM St'!$C:$G,3,0)="Fixed Income &amp; Cash","Cash",VLOOKUP(D496,'JPM St'!$C:$G,3,0)),"")</f>
        <v/>
      </c>
      <c r="C496" s="497" t="str">
        <f>IFERROR(VLOOKUP(D496,'JPM St'!$C:$L,10,0),"")</f>
        <v/>
      </c>
      <c r="E496" s="500" t="str">
        <f>IFERROR(VLOOKUP(D496,'JPM St'!$C:$D,2,0),"")</f>
        <v/>
      </c>
      <c r="F496" s="501">
        <f t="shared" si="19"/>
        <v>0</v>
      </c>
      <c r="G496" s="501">
        <f>SUMIFS('JPM St'!$K:$K,'JPM St'!$A:$A,$V$2,'JPM St'!$C:$C,D496)</f>
        <v>0</v>
      </c>
      <c r="H496" s="501">
        <f>SUMIFS('JPM St'!$K:$K,'JPM St'!$A:$A,$V$3,'JPM St'!$C:$C,D496)</f>
        <v>0</v>
      </c>
      <c r="I496" s="501">
        <f>SUMIFS('JPM St'!$K:$K,'JPM St'!$A:$A,$V$4,'JPM St'!$C:$C,D496)</f>
        <v>0</v>
      </c>
      <c r="J496" s="619">
        <f t="shared" si="20"/>
        <v>0</v>
      </c>
      <c r="K496" s="501">
        <f>IFERROR(SUMIFS('JPM St'!$M:$M,'JPM St'!$A:$A,$V$2,'JPM St'!$C:$C,D496),"")</f>
        <v>0</v>
      </c>
      <c r="L496" s="501">
        <f>IFERROR(SUMIFS('JPM St'!$M:$M,'JPM St'!$A:$A,$V$3,'JPM St'!$C:$C,D496),"")</f>
        <v>0</v>
      </c>
      <c r="M496" s="501">
        <f>IFERROR(SUMIFS('JPM St'!$M:$M,'JPM St'!$A:$A,$V$4,'JPM St'!$C:$C,D496),"")</f>
        <v>0</v>
      </c>
    </row>
    <row r="497" spans="1:13" x14ac:dyDescent="0.25">
      <c r="A497" s="497" t="s">
        <v>90</v>
      </c>
      <c r="B497" s="497" t="str">
        <f>IFERROR(IF(VLOOKUP(D497,'JPM St'!$C:$G,3,0)="Fixed Income &amp; Cash","Cash",VLOOKUP(D497,'JPM St'!$C:$G,3,0)),"")</f>
        <v/>
      </c>
      <c r="C497" s="497" t="str">
        <f>IFERROR(VLOOKUP(D497,'JPM St'!$C:$L,10,0),"")</f>
        <v/>
      </c>
      <c r="E497" s="500" t="str">
        <f>IFERROR(VLOOKUP(D497,'JPM St'!$C:$D,2,0),"")</f>
        <v/>
      </c>
      <c r="F497" s="501">
        <f t="shared" si="19"/>
        <v>0</v>
      </c>
      <c r="G497" s="501">
        <f>SUMIFS('JPM St'!$K:$K,'JPM St'!$A:$A,$V$2,'JPM St'!$C:$C,D497)</f>
        <v>0</v>
      </c>
      <c r="H497" s="501">
        <f>SUMIFS('JPM St'!$K:$K,'JPM St'!$A:$A,$V$3,'JPM St'!$C:$C,D497)</f>
        <v>0</v>
      </c>
      <c r="I497" s="501">
        <f>SUMIFS('JPM St'!$K:$K,'JPM St'!$A:$A,$V$4,'JPM St'!$C:$C,D497)</f>
        <v>0</v>
      </c>
      <c r="J497" s="619">
        <f t="shared" si="20"/>
        <v>0</v>
      </c>
      <c r="K497" s="501">
        <f>IFERROR(SUMIFS('JPM St'!$M:$M,'JPM St'!$A:$A,$V$2,'JPM St'!$C:$C,D497),"")</f>
        <v>0</v>
      </c>
      <c r="L497" s="501">
        <f>IFERROR(SUMIFS('JPM St'!$M:$M,'JPM St'!$A:$A,$V$3,'JPM St'!$C:$C,D497),"")</f>
        <v>0</v>
      </c>
      <c r="M497" s="501">
        <f>IFERROR(SUMIFS('JPM St'!$M:$M,'JPM St'!$A:$A,$V$4,'JPM St'!$C:$C,D497),"")</f>
        <v>0</v>
      </c>
    </row>
    <row r="498" spans="1:13" x14ac:dyDescent="0.25">
      <c r="A498" s="497" t="s">
        <v>90</v>
      </c>
      <c r="B498" s="497" t="str">
        <f>IFERROR(IF(VLOOKUP(D498,'JPM St'!$C:$G,3,0)="Fixed Income &amp; Cash","Cash",VLOOKUP(D498,'JPM St'!$C:$G,3,0)),"")</f>
        <v/>
      </c>
      <c r="C498" s="497" t="str">
        <f>IFERROR(VLOOKUP(D498,'JPM St'!$C:$L,10,0),"")</f>
        <v/>
      </c>
      <c r="E498" s="500" t="str">
        <f>IFERROR(VLOOKUP(D498,'JPM St'!$C:$D,2,0),"")</f>
        <v/>
      </c>
      <c r="F498" s="501">
        <f t="shared" si="19"/>
        <v>0</v>
      </c>
      <c r="G498" s="501">
        <f>SUMIFS('JPM St'!$K:$K,'JPM St'!$A:$A,$V$2,'JPM St'!$C:$C,D498)</f>
        <v>0</v>
      </c>
      <c r="H498" s="501">
        <f>SUMIFS('JPM St'!$K:$K,'JPM St'!$A:$A,$V$3,'JPM St'!$C:$C,D498)</f>
        <v>0</v>
      </c>
      <c r="I498" s="501">
        <f>SUMIFS('JPM St'!$K:$K,'JPM St'!$A:$A,$V$4,'JPM St'!$C:$C,D498)</f>
        <v>0</v>
      </c>
      <c r="J498" s="619">
        <f t="shared" si="20"/>
        <v>0</v>
      </c>
      <c r="K498" s="501">
        <f>IFERROR(SUMIFS('JPM St'!$M:$M,'JPM St'!$A:$A,$V$2,'JPM St'!$C:$C,D498),"")</f>
        <v>0</v>
      </c>
      <c r="L498" s="501">
        <f>IFERROR(SUMIFS('JPM St'!$M:$M,'JPM St'!$A:$A,$V$3,'JPM St'!$C:$C,D498),"")</f>
        <v>0</v>
      </c>
      <c r="M498" s="501">
        <f>IFERROR(SUMIFS('JPM St'!$M:$M,'JPM St'!$A:$A,$V$4,'JPM St'!$C:$C,D498),"")</f>
        <v>0</v>
      </c>
    </row>
    <row r="499" spans="1:13" x14ac:dyDescent="0.25">
      <c r="A499" s="497" t="s">
        <v>90</v>
      </c>
      <c r="B499" s="497" t="str">
        <f>IFERROR(IF(VLOOKUP(D499,'JPM St'!$C:$G,3,0)="Fixed Income &amp; Cash","Cash",VLOOKUP(D499,'JPM St'!$C:$G,3,0)),"")</f>
        <v/>
      </c>
      <c r="C499" s="497" t="str">
        <f>IFERROR(VLOOKUP(D499,'JPM St'!$C:$L,10,0),"")</f>
        <v/>
      </c>
      <c r="E499" s="500" t="str">
        <f>IFERROR(VLOOKUP(D499,'JPM St'!$C:$D,2,0),"")</f>
        <v/>
      </c>
      <c r="F499" s="501">
        <f t="shared" si="19"/>
        <v>0</v>
      </c>
      <c r="G499" s="501">
        <f>SUMIFS('JPM St'!$K:$K,'JPM St'!$A:$A,$V$2,'JPM St'!$C:$C,D499)</f>
        <v>0</v>
      </c>
      <c r="H499" s="501">
        <f>SUMIFS('JPM St'!$K:$K,'JPM St'!$A:$A,$V$3,'JPM St'!$C:$C,D499)</f>
        <v>0</v>
      </c>
      <c r="I499" s="501">
        <f>SUMIFS('JPM St'!$K:$K,'JPM St'!$A:$A,$V$4,'JPM St'!$C:$C,D499)</f>
        <v>0</v>
      </c>
      <c r="J499" s="619">
        <f t="shared" si="20"/>
        <v>0</v>
      </c>
      <c r="K499" s="501">
        <f>IFERROR(SUMIFS('JPM St'!$M:$M,'JPM St'!$A:$A,$V$2,'JPM St'!$C:$C,D499),"")</f>
        <v>0</v>
      </c>
      <c r="L499" s="501">
        <f>IFERROR(SUMIFS('JPM St'!$M:$M,'JPM St'!$A:$A,$V$3,'JPM St'!$C:$C,D499),"")</f>
        <v>0</v>
      </c>
      <c r="M499" s="501">
        <f>IFERROR(SUMIFS('JPM St'!$M:$M,'JPM St'!$A:$A,$V$4,'JPM St'!$C:$C,D499),"")</f>
        <v>0</v>
      </c>
    </row>
    <row r="500" spans="1:13" x14ac:dyDescent="0.25">
      <c r="A500" s="497" t="s">
        <v>90</v>
      </c>
      <c r="B500" s="497" t="str">
        <f>IFERROR(IF(VLOOKUP(D500,'JPM St'!$C:$G,3,0)="Fixed Income &amp; Cash","Cash",VLOOKUP(D500,'JPM St'!$C:$G,3,0)),"")</f>
        <v/>
      </c>
      <c r="C500" s="497" t="str">
        <f>IFERROR(VLOOKUP(D500,'JPM St'!$C:$L,10,0),"")</f>
        <v/>
      </c>
      <c r="E500" s="500" t="str">
        <f>IFERROR(VLOOKUP(D500,'JPM St'!$C:$D,2,0),"")</f>
        <v/>
      </c>
      <c r="F500" s="501">
        <f t="shared" si="19"/>
        <v>0</v>
      </c>
      <c r="G500" s="501">
        <f>SUMIFS('JPM St'!$K:$K,'JPM St'!$A:$A,$V$2,'JPM St'!$C:$C,D500)</f>
        <v>0</v>
      </c>
      <c r="H500" s="501">
        <f>SUMIFS('JPM St'!$K:$K,'JPM St'!$A:$A,$V$3,'JPM St'!$C:$C,D500)</f>
        <v>0</v>
      </c>
      <c r="I500" s="501">
        <f>SUMIFS('JPM St'!$K:$K,'JPM St'!$A:$A,$V$4,'JPM St'!$C:$C,D500)</f>
        <v>0</v>
      </c>
      <c r="J500" s="619">
        <f t="shared" si="20"/>
        <v>0</v>
      </c>
      <c r="K500" s="501">
        <f>IFERROR(SUMIFS('JPM St'!$M:$M,'JPM St'!$A:$A,$V$2,'JPM St'!$C:$C,D500),"")</f>
        <v>0</v>
      </c>
      <c r="L500" s="501">
        <f>IFERROR(SUMIFS('JPM St'!$M:$M,'JPM St'!$A:$A,$V$3,'JPM St'!$C:$C,D500),"")</f>
        <v>0</v>
      </c>
      <c r="M500" s="501">
        <f>IFERROR(SUMIFS('JPM St'!$M:$M,'JPM St'!$A:$A,$V$4,'JPM St'!$C:$C,D500),"")</f>
        <v>0</v>
      </c>
    </row>
  </sheetData>
  <autoFilter ref="A1:M500" xr:uid="{471A671B-0CAF-478D-8387-3B40A3625D68}"/>
  <conditionalFormatting sqref="J1:J104857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{387C59CD-2467-4F42-BDFB-8D5808C6DEB7}</x14:id>
        </ext>
      </extLst>
    </cfRule>
  </conditionalFormatting>
  <conditionalFormatting sqref="K1:M1048576">
    <cfRule type="dataBar" priority="1">
      <dataBar>
        <cfvo type="min"/>
        <cfvo type="max"/>
        <color rgb="FFE3DACF"/>
      </dataBar>
      <extLst>
        <ext xmlns:x14="http://schemas.microsoft.com/office/spreadsheetml/2009/9/main" uri="{B025F937-C7B1-47D3-B67F-A62EFF666E3E}">
          <x14:id>{780CFBEC-0306-44B4-9916-C2AAF0DF77D1}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87C59CD-2467-4F42-BDFB-8D5808C6DEB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J1:J1048576</xm:sqref>
        </x14:conditionalFormatting>
        <x14:conditionalFormatting xmlns:xm="http://schemas.microsoft.com/office/excel/2006/main">
          <x14:cfRule type="dataBar" id="{780CFBEC-0306-44B4-9916-C2AAF0DF77D1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K1:M1048576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77B73-B69F-4888-AFE9-A4CE8DB851D1}">
  <dimension ref="A1:I20"/>
  <sheetViews>
    <sheetView workbookViewId="0">
      <selection activeCell="I19" sqref="I19"/>
    </sheetView>
  </sheetViews>
  <sheetFormatPr defaultRowHeight="15" x14ac:dyDescent="0.25"/>
  <cols>
    <col min="1" max="1" width="34.7109375" bestFit="1" customWidth="1"/>
    <col min="2" max="2" width="13.7109375" bestFit="1" customWidth="1"/>
    <col min="3" max="3" width="17.42578125" bestFit="1" customWidth="1"/>
    <col min="4" max="4" width="9.85546875" bestFit="1" customWidth="1"/>
    <col min="5" max="5" width="17.42578125" bestFit="1" customWidth="1"/>
    <col min="6" max="7" width="12.5703125" bestFit="1" customWidth="1"/>
    <col min="8" max="8" width="28.5703125" bestFit="1" customWidth="1"/>
    <col min="9" max="9" width="14.28515625" style="1027" bestFit="1" customWidth="1"/>
  </cols>
  <sheetData>
    <row r="1" spans="1:9" x14ac:dyDescent="0.25">
      <c r="A1" s="278" t="s">
        <v>2570</v>
      </c>
      <c r="B1" s="278"/>
      <c r="C1" s="278"/>
      <c r="D1" s="278"/>
      <c r="E1" s="278"/>
      <c r="F1" s="278"/>
      <c r="G1" s="278"/>
      <c r="H1" s="278"/>
      <c r="I1" s="1029"/>
    </row>
    <row r="2" spans="1:9" x14ac:dyDescent="0.25">
      <c r="A2" s="1025" t="s">
        <v>228</v>
      </c>
      <c r="B2" s="1025" t="s">
        <v>48</v>
      </c>
      <c r="C2" s="1025" t="s">
        <v>1261</v>
      </c>
      <c r="D2" s="1025" t="s">
        <v>1262</v>
      </c>
      <c r="E2" s="1025" t="s">
        <v>1263</v>
      </c>
      <c r="F2" s="1025" t="s">
        <v>379</v>
      </c>
      <c r="G2" s="1025" t="s">
        <v>232</v>
      </c>
      <c r="H2" s="1025" t="s">
        <v>1265</v>
      </c>
      <c r="I2" s="1026" t="s">
        <v>1266</v>
      </c>
    </row>
    <row r="3" spans="1:9" x14ac:dyDescent="0.25">
      <c r="A3" t="s">
        <v>2206</v>
      </c>
      <c r="C3" t="s">
        <v>2505</v>
      </c>
      <c r="D3" t="s">
        <v>2550</v>
      </c>
      <c r="E3" t="s">
        <v>395</v>
      </c>
      <c r="F3" s="7">
        <v>0.86</v>
      </c>
      <c r="G3" s="814">
        <v>2000000</v>
      </c>
      <c r="H3" s="814">
        <v>1713260</v>
      </c>
      <c r="I3" s="1027" t="s">
        <v>18</v>
      </c>
    </row>
    <row r="4" spans="1:9" x14ac:dyDescent="0.25">
      <c r="A4" t="s">
        <v>2207</v>
      </c>
      <c r="B4" t="s">
        <v>2208</v>
      </c>
      <c r="C4" t="s">
        <v>2505</v>
      </c>
      <c r="D4" t="s">
        <v>2544</v>
      </c>
      <c r="E4" t="s">
        <v>2545</v>
      </c>
      <c r="F4" s="7">
        <v>25.22</v>
      </c>
      <c r="G4" s="814">
        <v>25480.204000000002</v>
      </c>
      <c r="H4" s="814">
        <v>642610.74488000001</v>
      </c>
      <c r="I4" s="1027" t="s">
        <v>18</v>
      </c>
    </row>
    <row r="5" spans="1:9" x14ac:dyDescent="0.25">
      <c r="A5" t="s">
        <v>2209</v>
      </c>
      <c r="C5" t="s">
        <v>2505</v>
      </c>
      <c r="D5" t="s">
        <v>2550</v>
      </c>
      <c r="E5" t="s">
        <v>395</v>
      </c>
      <c r="F5" s="7">
        <v>0.91</v>
      </c>
      <c r="G5" s="814">
        <v>832358.1</v>
      </c>
      <c r="H5" s="814">
        <v>756230.62817399995</v>
      </c>
      <c r="I5" s="1027" t="s">
        <v>18</v>
      </c>
    </row>
    <row r="6" spans="1:9" ht="15.75" thickBot="1" x14ac:dyDescent="0.3">
      <c r="A6" t="s">
        <v>2210</v>
      </c>
      <c r="C6" t="s">
        <v>2505</v>
      </c>
      <c r="D6" t="s">
        <v>2550</v>
      </c>
      <c r="E6" t="s">
        <v>395</v>
      </c>
      <c r="F6" s="7">
        <v>0.15</v>
      </c>
      <c r="G6" s="814">
        <v>1000000</v>
      </c>
      <c r="H6" s="814">
        <v>147440</v>
      </c>
      <c r="I6" s="1027" t="s">
        <v>18</v>
      </c>
    </row>
    <row r="7" spans="1:9" ht="15.75" thickBot="1" x14ac:dyDescent="0.3">
      <c r="A7" s="654" t="s">
        <v>913</v>
      </c>
      <c r="B7" s="654"/>
      <c r="C7" s="654"/>
      <c r="D7" s="654"/>
      <c r="E7" s="654"/>
      <c r="F7" s="654"/>
      <c r="G7" s="654"/>
      <c r="H7" s="654">
        <v>3259968.6126609999</v>
      </c>
      <c r="I7" s="1028"/>
    </row>
    <row r="11" spans="1:9" x14ac:dyDescent="0.25">
      <c r="A11" s="278" t="s">
        <v>1112</v>
      </c>
      <c r="B11" s="278"/>
      <c r="C11" s="278"/>
      <c r="D11" s="278"/>
      <c r="E11" s="278"/>
      <c r="F11" s="278"/>
      <c r="G11" s="278"/>
      <c r="H11" s="278"/>
      <c r="I11" s="1029"/>
    </row>
    <row r="12" spans="1:9" ht="25.5" customHeight="1" x14ac:dyDescent="0.25">
      <c r="A12" s="1025" t="s">
        <v>228</v>
      </c>
      <c r="B12" s="1025" t="s">
        <v>48</v>
      </c>
      <c r="C12" s="1025" t="s">
        <v>1261</v>
      </c>
      <c r="D12" s="1025" t="s">
        <v>1262</v>
      </c>
      <c r="E12" s="1025" t="s">
        <v>1263</v>
      </c>
      <c r="F12" s="1025" t="s">
        <v>379</v>
      </c>
      <c r="G12" s="1025" t="s">
        <v>232</v>
      </c>
      <c r="H12" s="1025" t="s">
        <v>1265</v>
      </c>
      <c r="I12" s="1026" t="s">
        <v>1266</v>
      </c>
    </row>
    <row r="13" spans="1:9" x14ac:dyDescent="0.25">
      <c r="A13" t="s">
        <v>1342</v>
      </c>
      <c r="B13" t="s">
        <v>1343</v>
      </c>
      <c r="C13" t="s">
        <v>1323</v>
      </c>
      <c r="D13" t="s">
        <v>2567</v>
      </c>
      <c r="E13" t="s">
        <v>1193</v>
      </c>
      <c r="F13" s="7">
        <v>10.02</v>
      </c>
      <c r="G13" s="814">
        <v>168297</v>
      </c>
      <c r="H13" s="814">
        <v>1686335.94</v>
      </c>
      <c r="I13" s="1027" t="s">
        <v>18</v>
      </c>
    </row>
    <row r="14" spans="1:9" x14ac:dyDescent="0.25">
      <c r="A14" t="s">
        <v>2568</v>
      </c>
      <c r="B14" t="s">
        <v>189</v>
      </c>
      <c r="C14" t="s">
        <v>1323</v>
      </c>
      <c r="D14" t="s">
        <v>2567</v>
      </c>
      <c r="E14" t="s">
        <v>1193</v>
      </c>
      <c r="F14" s="7">
        <v>11.24</v>
      </c>
      <c r="G14" s="814">
        <v>373558.18900000001</v>
      </c>
      <c r="H14" s="814">
        <v>4198794.0443599997</v>
      </c>
      <c r="I14" s="1027" t="s">
        <v>18</v>
      </c>
    </row>
    <row r="15" spans="1:9" x14ac:dyDescent="0.25">
      <c r="A15" t="s">
        <v>1344</v>
      </c>
      <c r="B15" t="s">
        <v>780</v>
      </c>
      <c r="C15" t="s">
        <v>1323</v>
      </c>
      <c r="D15" t="s">
        <v>2569</v>
      </c>
      <c r="E15" t="s">
        <v>1252</v>
      </c>
      <c r="F15" s="7">
        <v>81.13</v>
      </c>
      <c r="G15" s="814">
        <v>1000000</v>
      </c>
      <c r="H15" s="814">
        <v>820574.68</v>
      </c>
      <c r="I15" s="1027" t="s">
        <v>18</v>
      </c>
    </row>
    <row r="16" spans="1:9" x14ac:dyDescent="0.25">
      <c r="A16" t="s">
        <v>1345</v>
      </c>
      <c r="B16" t="s">
        <v>782</v>
      </c>
      <c r="C16" t="s">
        <v>1323</v>
      </c>
      <c r="D16" t="s">
        <v>2569</v>
      </c>
      <c r="E16" t="s">
        <v>1252</v>
      </c>
      <c r="F16" s="7">
        <v>99.78</v>
      </c>
      <c r="G16" s="814">
        <v>1000000</v>
      </c>
      <c r="H16" s="814">
        <v>1009417.24</v>
      </c>
      <c r="I16" s="1027" t="s">
        <v>18</v>
      </c>
    </row>
    <row r="17" spans="1:9" x14ac:dyDescent="0.25">
      <c r="A17" t="s">
        <v>1687</v>
      </c>
      <c r="B17" t="s">
        <v>1688</v>
      </c>
      <c r="C17" t="s">
        <v>195</v>
      </c>
      <c r="D17" t="s">
        <v>1255</v>
      </c>
      <c r="E17" t="s">
        <v>1255</v>
      </c>
      <c r="F17" s="7">
        <v>63.57</v>
      </c>
      <c r="G17" s="814">
        <v>7834</v>
      </c>
      <c r="H17" s="814">
        <v>498007.38</v>
      </c>
      <c r="I17" s="1027" t="s">
        <v>18</v>
      </c>
    </row>
    <row r="18" spans="1:9" x14ac:dyDescent="0.25">
      <c r="A18" t="s">
        <v>1790</v>
      </c>
      <c r="B18" t="s">
        <v>1791</v>
      </c>
      <c r="C18" t="s">
        <v>195</v>
      </c>
      <c r="D18" t="s">
        <v>1255</v>
      </c>
      <c r="E18" t="s">
        <v>1255</v>
      </c>
      <c r="F18" s="7">
        <v>734.09</v>
      </c>
      <c r="G18" s="814">
        <v>2495</v>
      </c>
      <c r="H18" s="814">
        <v>1831554.62485</v>
      </c>
      <c r="I18" s="1027" t="s">
        <v>18</v>
      </c>
    </row>
    <row r="19" spans="1:9" x14ac:dyDescent="0.25">
      <c r="A19" t="s">
        <v>2067</v>
      </c>
      <c r="B19" t="s">
        <v>1186</v>
      </c>
      <c r="C19" t="s">
        <v>195</v>
      </c>
      <c r="D19" t="s">
        <v>1255</v>
      </c>
      <c r="E19" t="s">
        <v>1255</v>
      </c>
      <c r="F19" s="7">
        <v>126.97</v>
      </c>
      <c r="G19" s="814">
        <v>1807</v>
      </c>
      <c r="H19" s="814">
        <v>229434.79</v>
      </c>
      <c r="I19" s="1027" t="s">
        <v>18</v>
      </c>
    </row>
    <row r="20" spans="1:9" x14ac:dyDescent="0.25">
      <c r="H20" s="1027"/>
      <c r="I20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83F37-1139-46E1-88C5-BF3E86C5FDAA}">
  <sheetPr codeName="Sheet16">
    <tabColor theme="2" tint="-9.9978637043366805E-2"/>
  </sheetPr>
  <dimension ref="A1"/>
  <sheetViews>
    <sheetView showGridLines="0" workbookViewId="0">
      <selection activeCell="R36" sqref="R36"/>
    </sheetView>
  </sheetViews>
  <sheetFormatPr defaultRowHeight="15" x14ac:dyDescent="0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A05D3-AB41-4F02-8E8E-8162CFA65556}">
  <sheetPr>
    <tabColor theme="2" tint="-9.9978637043366805E-2"/>
  </sheetPr>
  <dimension ref="A1:BW301"/>
  <sheetViews>
    <sheetView workbookViewId="0">
      <selection activeCell="A18" sqref="A18"/>
    </sheetView>
  </sheetViews>
  <sheetFormatPr defaultRowHeight="12.75" x14ac:dyDescent="0.2"/>
  <cols>
    <col min="1" max="1" width="17.140625" style="1055" customWidth="1"/>
    <col min="2" max="2" width="16.85546875" style="493" customWidth="1"/>
    <col min="3" max="3" width="36.5703125" style="493" customWidth="1"/>
    <col min="4" max="4" width="14.140625" style="493" customWidth="1"/>
    <col min="5" max="5" width="18.5703125" style="493" customWidth="1"/>
    <col min="6" max="6" width="8.42578125" style="493" customWidth="1"/>
    <col min="7" max="7" width="17.7109375" style="493" customWidth="1"/>
    <col min="8" max="8" width="12.85546875" style="493" customWidth="1"/>
    <col min="9" max="9" width="29.28515625" style="493" customWidth="1"/>
    <col min="10" max="10" width="14.5703125" style="493" customWidth="1"/>
    <col min="11" max="11" width="32.42578125" style="493" customWidth="1"/>
    <col min="12" max="12" width="17.7109375" style="493" customWidth="1"/>
    <col min="13" max="13" width="33.7109375" style="493" customWidth="1"/>
    <col min="14" max="14" width="19.140625" style="493" customWidth="1"/>
    <col min="15" max="15" width="31.140625" style="493" customWidth="1"/>
    <col min="16" max="16" width="34.28515625" style="493" customWidth="1"/>
    <col min="17" max="17" width="33.42578125" style="493" customWidth="1"/>
    <col min="18" max="18" width="36.42578125" style="493" customWidth="1"/>
    <col min="19" max="19" width="11.85546875" style="493" customWidth="1"/>
    <col min="20" max="20" width="6.85546875" style="493" customWidth="1"/>
    <col min="21" max="21" width="10.85546875" style="493" customWidth="1"/>
    <col min="22" max="22" width="13" style="493" customWidth="1"/>
    <col min="23" max="23" width="11" style="493" customWidth="1"/>
    <col min="24" max="24" width="11.140625" style="493" customWidth="1"/>
    <col min="25" max="25" width="12.7109375" style="493" customWidth="1"/>
    <col min="26" max="26" width="10.42578125" style="493" customWidth="1"/>
    <col min="27" max="27" width="16.85546875" style="493" customWidth="1"/>
    <col min="28" max="28" width="14.140625" style="493" customWidth="1"/>
    <col min="29" max="29" width="15.7109375" style="493" customWidth="1"/>
    <col min="30" max="30" width="13.140625" style="493" customWidth="1"/>
    <col min="31" max="31" width="11.7109375" style="493" customWidth="1"/>
    <col min="32" max="32" width="14.140625" style="493" customWidth="1"/>
    <col min="33" max="33" width="10.42578125" style="493" customWidth="1"/>
    <col min="34" max="34" width="18.5703125" style="493" customWidth="1"/>
    <col min="35" max="35" width="16.140625" style="493" customWidth="1"/>
    <col min="36" max="36" width="18.5703125" style="493" customWidth="1"/>
    <col min="37" max="37" width="18.140625" style="493" customWidth="1"/>
    <col min="38" max="38" width="13.140625" style="493" customWidth="1"/>
    <col min="39" max="39" width="14.140625" style="493" customWidth="1"/>
    <col min="40" max="40" width="18.5703125" style="493" customWidth="1"/>
    <col min="41" max="41" width="16.42578125" style="493" customWidth="1"/>
    <col min="42" max="42" width="36.5703125" style="493" customWidth="1"/>
    <col min="43" max="43" width="13.42578125" style="493" customWidth="1"/>
    <col min="44" max="44" width="9.28515625" style="493" customWidth="1"/>
    <col min="45" max="45" width="10.85546875" style="493" customWidth="1"/>
    <col min="46" max="46" width="9.42578125" style="493" customWidth="1"/>
    <col min="47" max="47" width="22.140625" style="493" customWidth="1"/>
    <col min="48" max="48" width="30.28515625" style="493" customWidth="1"/>
    <col min="49" max="49" width="29" style="493" customWidth="1"/>
    <col min="50" max="50" width="33.7109375" style="493" customWidth="1"/>
    <col min="51" max="51" width="32.28515625" style="493" customWidth="1"/>
    <col min="52" max="52" width="14.7109375" style="493" customWidth="1"/>
    <col min="53" max="53" width="14.42578125" style="493" customWidth="1"/>
    <col min="54" max="54" width="14.5703125" style="493" customWidth="1"/>
    <col min="55" max="55" width="18" style="493" customWidth="1"/>
    <col min="56" max="56" width="32.42578125" style="493" customWidth="1"/>
    <col min="57" max="57" width="35.42578125" style="493" customWidth="1"/>
    <col min="58" max="58" width="36.85546875" style="493" customWidth="1"/>
    <col min="59" max="59" width="33.5703125" style="493" customWidth="1"/>
    <col min="60" max="60" width="35.85546875" style="493" customWidth="1"/>
    <col min="61" max="61" width="30.5703125" style="493" customWidth="1"/>
    <col min="62" max="62" width="32.7109375" style="493" customWidth="1"/>
    <col min="63" max="63" width="32.140625" style="493" customWidth="1"/>
    <col min="64" max="64" width="36.5703125" style="493" customWidth="1"/>
    <col min="65" max="65" width="35.140625" style="493" customWidth="1"/>
    <col min="66" max="66" width="11.7109375" style="493" customWidth="1"/>
    <col min="67" max="67" width="15.42578125" style="493" customWidth="1"/>
    <col min="68" max="68" width="15.140625" style="493" customWidth="1"/>
    <col min="69" max="69" width="19.140625" style="493" customWidth="1"/>
    <col min="70" max="70" width="7.5703125" style="493" customWidth="1"/>
    <col min="71" max="71" width="11.28515625" style="493" customWidth="1"/>
    <col min="72" max="72" width="19.7109375" style="493" customWidth="1"/>
    <col min="73" max="73" width="25.42578125" style="493" customWidth="1"/>
    <col min="74" max="74" width="38.28515625" style="493" customWidth="1"/>
    <col min="75" max="75" width="31.7109375" style="493" customWidth="1"/>
    <col min="76" max="256" width="9.140625" style="493"/>
    <col min="257" max="257" width="17.140625" style="493" customWidth="1"/>
    <col min="258" max="258" width="16.85546875" style="493" customWidth="1"/>
    <col min="259" max="259" width="36.5703125" style="493" customWidth="1"/>
    <col min="260" max="260" width="14.140625" style="493" customWidth="1"/>
    <col min="261" max="261" width="18.5703125" style="493" customWidth="1"/>
    <col min="262" max="262" width="8.42578125" style="493" customWidth="1"/>
    <col min="263" max="263" width="17.7109375" style="493" customWidth="1"/>
    <col min="264" max="264" width="12.85546875" style="493" customWidth="1"/>
    <col min="265" max="265" width="29.28515625" style="493" customWidth="1"/>
    <col min="266" max="266" width="14.5703125" style="493" customWidth="1"/>
    <col min="267" max="267" width="32.42578125" style="493" customWidth="1"/>
    <col min="268" max="268" width="17.7109375" style="493" customWidth="1"/>
    <col min="269" max="269" width="33.7109375" style="493" customWidth="1"/>
    <col min="270" max="270" width="19.140625" style="493" customWidth="1"/>
    <col min="271" max="271" width="31.140625" style="493" customWidth="1"/>
    <col min="272" max="272" width="34.28515625" style="493" customWidth="1"/>
    <col min="273" max="273" width="33.42578125" style="493" customWidth="1"/>
    <col min="274" max="274" width="36.42578125" style="493" customWidth="1"/>
    <col min="275" max="275" width="11.85546875" style="493" customWidth="1"/>
    <col min="276" max="276" width="6.85546875" style="493" customWidth="1"/>
    <col min="277" max="277" width="10.85546875" style="493" customWidth="1"/>
    <col min="278" max="278" width="13" style="493" customWidth="1"/>
    <col min="279" max="279" width="11" style="493" customWidth="1"/>
    <col min="280" max="280" width="11.140625" style="493" customWidth="1"/>
    <col min="281" max="281" width="12.7109375" style="493" customWidth="1"/>
    <col min="282" max="282" width="10.42578125" style="493" customWidth="1"/>
    <col min="283" max="283" width="16.85546875" style="493" customWidth="1"/>
    <col min="284" max="284" width="14.140625" style="493" customWidth="1"/>
    <col min="285" max="285" width="15.7109375" style="493" customWidth="1"/>
    <col min="286" max="286" width="13.140625" style="493" customWidth="1"/>
    <col min="287" max="287" width="11.7109375" style="493" customWidth="1"/>
    <col min="288" max="288" width="14.140625" style="493" customWidth="1"/>
    <col min="289" max="289" width="10.42578125" style="493" customWidth="1"/>
    <col min="290" max="290" width="18.5703125" style="493" customWidth="1"/>
    <col min="291" max="291" width="16.140625" style="493" customWidth="1"/>
    <col min="292" max="292" width="18.5703125" style="493" customWidth="1"/>
    <col min="293" max="293" width="18.140625" style="493" customWidth="1"/>
    <col min="294" max="294" width="13.140625" style="493" customWidth="1"/>
    <col min="295" max="295" width="14.140625" style="493" customWidth="1"/>
    <col min="296" max="296" width="18.5703125" style="493" customWidth="1"/>
    <col min="297" max="297" width="16.42578125" style="493" customWidth="1"/>
    <col min="298" max="298" width="36.5703125" style="493" customWidth="1"/>
    <col min="299" max="299" width="13.42578125" style="493" customWidth="1"/>
    <col min="300" max="300" width="9.28515625" style="493" customWidth="1"/>
    <col min="301" max="301" width="10.85546875" style="493" customWidth="1"/>
    <col min="302" max="302" width="9.42578125" style="493" customWidth="1"/>
    <col min="303" max="303" width="22.140625" style="493" customWidth="1"/>
    <col min="304" max="304" width="30.28515625" style="493" customWidth="1"/>
    <col min="305" max="305" width="29" style="493" customWidth="1"/>
    <col min="306" max="306" width="33.7109375" style="493" customWidth="1"/>
    <col min="307" max="307" width="32.28515625" style="493" customWidth="1"/>
    <col min="308" max="308" width="14.7109375" style="493" customWidth="1"/>
    <col min="309" max="309" width="14.42578125" style="493" customWidth="1"/>
    <col min="310" max="310" width="14.5703125" style="493" customWidth="1"/>
    <col min="311" max="311" width="18" style="493" customWidth="1"/>
    <col min="312" max="312" width="32.42578125" style="493" customWidth="1"/>
    <col min="313" max="313" width="35.42578125" style="493" customWidth="1"/>
    <col min="314" max="314" width="36.85546875" style="493" customWidth="1"/>
    <col min="315" max="315" width="33.5703125" style="493" customWidth="1"/>
    <col min="316" max="316" width="35.85546875" style="493" customWidth="1"/>
    <col min="317" max="317" width="30.5703125" style="493" customWidth="1"/>
    <col min="318" max="318" width="32.7109375" style="493" customWidth="1"/>
    <col min="319" max="319" width="32.140625" style="493" customWidth="1"/>
    <col min="320" max="320" width="36.5703125" style="493" customWidth="1"/>
    <col min="321" max="321" width="35.140625" style="493" customWidth="1"/>
    <col min="322" max="322" width="11.7109375" style="493" customWidth="1"/>
    <col min="323" max="323" width="15.42578125" style="493" customWidth="1"/>
    <col min="324" max="324" width="15.140625" style="493" customWidth="1"/>
    <col min="325" max="325" width="19.140625" style="493" customWidth="1"/>
    <col min="326" max="326" width="7.5703125" style="493" customWidth="1"/>
    <col min="327" max="327" width="11.28515625" style="493" customWidth="1"/>
    <col min="328" max="328" width="19.7109375" style="493" customWidth="1"/>
    <col min="329" max="329" width="25.42578125" style="493" customWidth="1"/>
    <col min="330" max="330" width="38.28515625" style="493" customWidth="1"/>
    <col min="331" max="331" width="31.7109375" style="493" customWidth="1"/>
    <col min="332" max="512" width="9.140625" style="493"/>
    <col min="513" max="513" width="17.140625" style="493" customWidth="1"/>
    <col min="514" max="514" width="16.85546875" style="493" customWidth="1"/>
    <col min="515" max="515" width="36.5703125" style="493" customWidth="1"/>
    <col min="516" max="516" width="14.140625" style="493" customWidth="1"/>
    <col min="517" max="517" width="18.5703125" style="493" customWidth="1"/>
    <col min="518" max="518" width="8.42578125" style="493" customWidth="1"/>
    <col min="519" max="519" width="17.7109375" style="493" customWidth="1"/>
    <col min="520" max="520" width="12.85546875" style="493" customWidth="1"/>
    <col min="521" max="521" width="29.28515625" style="493" customWidth="1"/>
    <col min="522" max="522" width="14.5703125" style="493" customWidth="1"/>
    <col min="523" max="523" width="32.42578125" style="493" customWidth="1"/>
    <col min="524" max="524" width="17.7109375" style="493" customWidth="1"/>
    <col min="525" max="525" width="33.7109375" style="493" customWidth="1"/>
    <col min="526" max="526" width="19.140625" style="493" customWidth="1"/>
    <col min="527" max="527" width="31.140625" style="493" customWidth="1"/>
    <col min="528" max="528" width="34.28515625" style="493" customWidth="1"/>
    <col min="529" max="529" width="33.42578125" style="493" customWidth="1"/>
    <col min="530" max="530" width="36.42578125" style="493" customWidth="1"/>
    <col min="531" max="531" width="11.85546875" style="493" customWidth="1"/>
    <col min="532" max="532" width="6.85546875" style="493" customWidth="1"/>
    <col min="533" max="533" width="10.85546875" style="493" customWidth="1"/>
    <col min="534" max="534" width="13" style="493" customWidth="1"/>
    <col min="535" max="535" width="11" style="493" customWidth="1"/>
    <col min="536" max="536" width="11.140625" style="493" customWidth="1"/>
    <col min="537" max="537" width="12.7109375" style="493" customWidth="1"/>
    <col min="538" max="538" width="10.42578125" style="493" customWidth="1"/>
    <col min="539" max="539" width="16.85546875" style="493" customWidth="1"/>
    <col min="540" max="540" width="14.140625" style="493" customWidth="1"/>
    <col min="541" max="541" width="15.7109375" style="493" customWidth="1"/>
    <col min="542" max="542" width="13.140625" style="493" customWidth="1"/>
    <col min="543" max="543" width="11.7109375" style="493" customWidth="1"/>
    <col min="544" max="544" width="14.140625" style="493" customWidth="1"/>
    <col min="545" max="545" width="10.42578125" style="493" customWidth="1"/>
    <col min="546" max="546" width="18.5703125" style="493" customWidth="1"/>
    <col min="547" max="547" width="16.140625" style="493" customWidth="1"/>
    <col min="548" max="548" width="18.5703125" style="493" customWidth="1"/>
    <col min="549" max="549" width="18.140625" style="493" customWidth="1"/>
    <col min="550" max="550" width="13.140625" style="493" customWidth="1"/>
    <col min="551" max="551" width="14.140625" style="493" customWidth="1"/>
    <col min="552" max="552" width="18.5703125" style="493" customWidth="1"/>
    <col min="553" max="553" width="16.42578125" style="493" customWidth="1"/>
    <col min="554" max="554" width="36.5703125" style="493" customWidth="1"/>
    <col min="555" max="555" width="13.42578125" style="493" customWidth="1"/>
    <col min="556" max="556" width="9.28515625" style="493" customWidth="1"/>
    <col min="557" max="557" width="10.85546875" style="493" customWidth="1"/>
    <col min="558" max="558" width="9.42578125" style="493" customWidth="1"/>
    <col min="559" max="559" width="22.140625" style="493" customWidth="1"/>
    <col min="560" max="560" width="30.28515625" style="493" customWidth="1"/>
    <col min="561" max="561" width="29" style="493" customWidth="1"/>
    <col min="562" max="562" width="33.7109375" style="493" customWidth="1"/>
    <col min="563" max="563" width="32.28515625" style="493" customWidth="1"/>
    <col min="564" max="564" width="14.7109375" style="493" customWidth="1"/>
    <col min="565" max="565" width="14.42578125" style="493" customWidth="1"/>
    <col min="566" max="566" width="14.5703125" style="493" customWidth="1"/>
    <col min="567" max="567" width="18" style="493" customWidth="1"/>
    <col min="568" max="568" width="32.42578125" style="493" customWidth="1"/>
    <col min="569" max="569" width="35.42578125" style="493" customWidth="1"/>
    <col min="570" max="570" width="36.85546875" style="493" customWidth="1"/>
    <col min="571" max="571" width="33.5703125" style="493" customWidth="1"/>
    <col min="572" max="572" width="35.85546875" style="493" customWidth="1"/>
    <col min="573" max="573" width="30.5703125" style="493" customWidth="1"/>
    <col min="574" max="574" width="32.7109375" style="493" customWidth="1"/>
    <col min="575" max="575" width="32.140625" style="493" customWidth="1"/>
    <col min="576" max="576" width="36.5703125" style="493" customWidth="1"/>
    <col min="577" max="577" width="35.140625" style="493" customWidth="1"/>
    <col min="578" max="578" width="11.7109375" style="493" customWidth="1"/>
    <col min="579" max="579" width="15.42578125" style="493" customWidth="1"/>
    <col min="580" max="580" width="15.140625" style="493" customWidth="1"/>
    <col min="581" max="581" width="19.140625" style="493" customWidth="1"/>
    <col min="582" max="582" width="7.5703125" style="493" customWidth="1"/>
    <col min="583" max="583" width="11.28515625" style="493" customWidth="1"/>
    <col min="584" max="584" width="19.7109375" style="493" customWidth="1"/>
    <col min="585" max="585" width="25.42578125" style="493" customWidth="1"/>
    <col min="586" max="586" width="38.28515625" style="493" customWidth="1"/>
    <col min="587" max="587" width="31.7109375" style="493" customWidth="1"/>
    <col min="588" max="768" width="9.140625" style="493"/>
    <col min="769" max="769" width="17.140625" style="493" customWidth="1"/>
    <col min="770" max="770" width="16.85546875" style="493" customWidth="1"/>
    <col min="771" max="771" width="36.5703125" style="493" customWidth="1"/>
    <col min="772" max="772" width="14.140625" style="493" customWidth="1"/>
    <col min="773" max="773" width="18.5703125" style="493" customWidth="1"/>
    <col min="774" max="774" width="8.42578125" style="493" customWidth="1"/>
    <col min="775" max="775" width="17.7109375" style="493" customWidth="1"/>
    <col min="776" max="776" width="12.85546875" style="493" customWidth="1"/>
    <col min="777" max="777" width="29.28515625" style="493" customWidth="1"/>
    <col min="778" max="778" width="14.5703125" style="493" customWidth="1"/>
    <col min="779" max="779" width="32.42578125" style="493" customWidth="1"/>
    <col min="780" max="780" width="17.7109375" style="493" customWidth="1"/>
    <col min="781" max="781" width="33.7109375" style="493" customWidth="1"/>
    <col min="782" max="782" width="19.140625" style="493" customWidth="1"/>
    <col min="783" max="783" width="31.140625" style="493" customWidth="1"/>
    <col min="784" max="784" width="34.28515625" style="493" customWidth="1"/>
    <col min="785" max="785" width="33.42578125" style="493" customWidth="1"/>
    <col min="786" max="786" width="36.42578125" style="493" customWidth="1"/>
    <col min="787" max="787" width="11.85546875" style="493" customWidth="1"/>
    <col min="788" max="788" width="6.85546875" style="493" customWidth="1"/>
    <col min="789" max="789" width="10.85546875" style="493" customWidth="1"/>
    <col min="790" max="790" width="13" style="493" customWidth="1"/>
    <col min="791" max="791" width="11" style="493" customWidth="1"/>
    <col min="792" max="792" width="11.140625" style="493" customWidth="1"/>
    <col min="793" max="793" width="12.7109375" style="493" customWidth="1"/>
    <col min="794" max="794" width="10.42578125" style="493" customWidth="1"/>
    <col min="795" max="795" width="16.85546875" style="493" customWidth="1"/>
    <col min="796" max="796" width="14.140625" style="493" customWidth="1"/>
    <col min="797" max="797" width="15.7109375" style="493" customWidth="1"/>
    <col min="798" max="798" width="13.140625" style="493" customWidth="1"/>
    <col min="799" max="799" width="11.7109375" style="493" customWidth="1"/>
    <col min="800" max="800" width="14.140625" style="493" customWidth="1"/>
    <col min="801" max="801" width="10.42578125" style="493" customWidth="1"/>
    <col min="802" max="802" width="18.5703125" style="493" customWidth="1"/>
    <col min="803" max="803" width="16.140625" style="493" customWidth="1"/>
    <col min="804" max="804" width="18.5703125" style="493" customWidth="1"/>
    <col min="805" max="805" width="18.140625" style="493" customWidth="1"/>
    <col min="806" max="806" width="13.140625" style="493" customWidth="1"/>
    <col min="807" max="807" width="14.140625" style="493" customWidth="1"/>
    <col min="808" max="808" width="18.5703125" style="493" customWidth="1"/>
    <col min="809" max="809" width="16.42578125" style="493" customWidth="1"/>
    <col min="810" max="810" width="36.5703125" style="493" customWidth="1"/>
    <col min="811" max="811" width="13.42578125" style="493" customWidth="1"/>
    <col min="812" max="812" width="9.28515625" style="493" customWidth="1"/>
    <col min="813" max="813" width="10.85546875" style="493" customWidth="1"/>
    <col min="814" max="814" width="9.42578125" style="493" customWidth="1"/>
    <col min="815" max="815" width="22.140625" style="493" customWidth="1"/>
    <col min="816" max="816" width="30.28515625" style="493" customWidth="1"/>
    <col min="817" max="817" width="29" style="493" customWidth="1"/>
    <col min="818" max="818" width="33.7109375" style="493" customWidth="1"/>
    <col min="819" max="819" width="32.28515625" style="493" customWidth="1"/>
    <col min="820" max="820" width="14.7109375" style="493" customWidth="1"/>
    <col min="821" max="821" width="14.42578125" style="493" customWidth="1"/>
    <col min="822" max="822" width="14.5703125" style="493" customWidth="1"/>
    <col min="823" max="823" width="18" style="493" customWidth="1"/>
    <col min="824" max="824" width="32.42578125" style="493" customWidth="1"/>
    <col min="825" max="825" width="35.42578125" style="493" customWidth="1"/>
    <col min="826" max="826" width="36.85546875" style="493" customWidth="1"/>
    <col min="827" max="827" width="33.5703125" style="493" customWidth="1"/>
    <col min="828" max="828" width="35.85546875" style="493" customWidth="1"/>
    <col min="829" max="829" width="30.5703125" style="493" customWidth="1"/>
    <col min="830" max="830" width="32.7109375" style="493" customWidth="1"/>
    <col min="831" max="831" width="32.140625" style="493" customWidth="1"/>
    <col min="832" max="832" width="36.5703125" style="493" customWidth="1"/>
    <col min="833" max="833" width="35.140625" style="493" customWidth="1"/>
    <col min="834" max="834" width="11.7109375" style="493" customWidth="1"/>
    <col min="835" max="835" width="15.42578125" style="493" customWidth="1"/>
    <col min="836" max="836" width="15.140625" style="493" customWidth="1"/>
    <col min="837" max="837" width="19.140625" style="493" customWidth="1"/>
    <col min="838" max="838" width="7.5703125" style="493" customWidth="1"/>
    <col min="839" max="839" width="11.28515625" style="493" customWidth="1"/>
    <col min="840" max="840" width="19.7109375" style="493" customWidth="1"/>
    <col min="841" max="841" width="25.42578125" style="493" customWidth="1"/>
    <col min="842" max="842" width="38.28515625" style="493" customWidth="1"/>
    <col min="843" max="843" width="31.7109375" style="493" customWidth="1"/>
    <col min="844" max="1024" width="9.140625" style="493"/>
    <col min="1025" max="1025" width="17.140625" style="493" customWidth="1"/>
    <col min="1026" max="1026" width="16.85546875" style="493" customWidth="1"/>
    <col min="1027" max="1027" width="36.5703125" style="493" customWidth="1"/>
    <col min="1028" max="1028" width="14.140625" style="493" customWidth="1"/>
    <col min="1029" max="1029" width="18.5703125" style="493" customWidth="1"/>
    <col min="1030" max="1030" width="8.42578125" style="493" customWidth="1"/>
    <col min="1031" max="1031" width="17.7109375" style="493" customWidth="1"/>
    <col min="1032" max="1032" width="12.85546875" style="493" customWidth="1"/>
    <col min="1033" max="1033" width="29.28515625" style="493" customWidth="1"/>
    <col min="1034" max="1034" width="14.5703125" style="493" customWidth="1"/>
    <col min="1035" max="1035" width="32.42578125" style="493" customWidth="1"/>
    <col min="1036" max="1036" width="17.7109375" style="493" customWidth="1"/>
    <col min="1037" max="1037" width="33.7109375" style="493" customWidth="1"/>
    <col min="1038" max="1038" width="19.140625" style="493" customWidth="1"/>
    <col min="1039" max="1039" width="31.140625" style="493" customWidth="1"/>
    <col min="1040" max="1040" width="34.28515625" style="493" customWidth="1"/>
    <col min="1041" max="1041" width="33.42578125" style="493" customWidth="1"/>
    <col min="1042" max="1042" width="36.42578125" style="493" customWidth="1"/>
    <col min="1043" max="1043" width="11.85546875" style="493" customWidth="1"/>
    <col min="1044" max="1044" width="6.85546875" style="493" customWidth="1"/>
    <col min="1045" max="1045" width="10.85546875" style="493" customWidth="1"/>
    <col min="1046" max="1046" width="13" style="493" customWidth="1"/>
    <col min="1047" max="1047" width="11" style="493" customWidth="1"/>
    <col min="1048" max="1048" width="11.140625" style="493" customWidth="1"/>
    <col min="1049" max="1049" width="12.7109375" style="493" customWidth="1"/>
    <col min="1050" max="1050" width="10.42578125" style="493" customWidth="1"/>
    <col min="1051" max="1051" width="16.85546875" style="493" customWidth="1"/>
    <col min="1052" max="1052" width="14.140625" style="493" customWidth="1"/>
    <col min="1053" max="1053" width="15.7109375" style="493" customWidth="1"/>
    <col min="1054" max="1054" width="13.140625" style="493" customWidth="1"/>
    <col min="1055" max="1055" width="11.7109375" style="493" customWidth="1"/>
    <col min="1056" max="1056" width="14.140625" style="493" customWidth="1"/>
    <col min="1057" max="1057" width="10.42578125" style="493" customWidth="1"/>
    <col min="1058" max="1058" width="18.5703125" style="493" customWidth="1"/>
    <col min="1059" max="1059" width="16.140625" style="493" customWidth="1"/>
    <col min="1060" max="1060" width="18.5703125" style="493" customWidth="1"/>
    <col min="1061" max="1061" width="18.140625" style="493" customWidth="1"/>
    <col min="1062" max="1062" width="13.140625" style="493" customWidth="1"/>
    <col min="1063" max="1063" width="14.140625" style="493" customWidth="1"/>
    <col min="1064" max="1064" width="18.5703125" style="493" customWidth="1"/>
    <col min="1065" max="1065" width="16.42578125" style="493" customWidth="1"/>
    <col min="1066" max="1066" width="36.5703125" style="493" customWidth="1"/>
    <col min="1067" max="1067" width="13.42578125" style="493" customWidth="1"/>
    <col min="1068" max="1068" width="9.28515625" style="493" customWidth="1"/>
    <col min="1069" max="1069" width="10.85546875" style="493" customWidth="1"/>
    <col min="1070" max="1070" width="9.42578125" style="493" customWidth="1"/>
    <col min="1071" max="1071" width="22.140625" style="493" customWidth="1"/>
    <col min="1072" max="1072" width="30.28515625" style="493" customWidth="1"/>
    <col min="1073" max="1073" width="29" style="493" customWidth="1"/>
    <col min="1074" max="1074" width="33.7109375" style="493" customWidth="1"/>
    <col min="1075" max="1075" width="32.28515625" style="493" customWidth="1"/>
    <col min="1076" max="1076" width="14.7109375" style="493" customWidth="1"/>
    <col min="1077" max="1077" width="14.42578125" style="493" customWidth="1"/>
    <col min="1078" max="1078" width="14.5703125" style="493" customWidth="1"/>
    <col min="1079" max="1079" width="18" style="493" customWidth="1"/>
    <col min="1080" max="1080" width="32.42578125" style="493" customWidth="1"/>
    <col min="1081" max="1081" width="35.42578125" style="493" customWidth="1"/>
    <col min="1082" max="1082" width="36.85546875" style="493" customWidth="1"/>
    <col min="1083" max="1083" width="33.5703125" style="493" customWidth="1"/>
    <col min="1084" max="1084" width="35.85546875" style="493" customWidth="1"/>
    <col min="1085" max="1085" width="30.5703125" style="493" customWidth="1"/>
    <col min="1086" max="1086" width="32.7109375" style="493" customWidth="1"/>
    <col min="1087" max="1087" width="32.140625" style="493" customWidth="1"/>
    <col min="1088" max="1088" width="36.5703125" style="493" customWidth="1"/>
    <col min="1089" max="1089" width="35.140625" style="493" customWidth="1"/>
    <col min="1090" max="1090" width="11.7109375" style="493" customWidth="1"/>
    <col min="1091" max="1091" width="15.42578125" style="493" customWidth="1"/>
    <col min="1092" max="1092" width="15.140625" style="493" customWidth="1"/>
    <col min="1093" max="1093" width="19.140625" style="493" customWidth="1"/>
    <col min="1094" max="1094" width="7.5703125" style="493" customWidth="1"/>
    <col min="1095" max="1095" width="11.28515625" style="493" customWidth="1"/>
    <col min="1096" max="1096" width="19.7109375" style="493" customWidth="1"/>
    <col min="1097" max="1097" width="25.42578125" style="493" customWidth="1"/>
    <col min="1098" max="1098" width="38.28515625" style="493" customWidth="1"/>
    <col min="1099" max="1099" width="31.7109375" style="493" customWidth="1"/>
    <col min="1100" max="1280" width="9.140625" style="493"/>
    <col min="1281" max="1281" width="17.140625" style="493" customWidth="1"/>
    <col min="1282" max="1282" width="16.85546875" style="493" customWidth="1"/>
    <col min="1283" max="1283" width="36.5703125" style="493" customWidth="1"/>
    <col min="1284" max="1284" width="14.140625" style="493" customWidth="1"/>
    <col min="1285" max="1285" width="18.5703125" style="493" customWidth="1"/>
    <col min="1286" max="1286" width="8.42578125" style="493" customWidth="1"/>
    <col min="1287" max="1287" width="17.7109375" style="493" customWidth="1"/>
    <col min="1288" max="1288" width="12.85546875" style="493" customWidth="1"/>
    <col min="1289" max="1289" width="29.28515625" style="493" customWidth="1"/>
    <col min="1290" max="1290" width="14.5703125" style="493" customWidth="1"/>
    <col min="1291" max="1291" width="32.42578125" style="493" customWidth="1"/>
    <col min="1292" max="1292" width="17.7109375" style="493" customWidth="1"/>
    <col min="1293" max="1293" width="33.7109375" style="493" customWidth="1"/>
    <col min="1294" max="1294" width="19.140625" style="493" customWidth="1"/>
    <col min="1295" max="1295" width="31.140625" style="493" customWidth="1"/>
    <col min="1296" max="1296" width="34.28515625" style="493" customWidth="1"/>
    <col min="1297" max="1297" width="33.42578125" style="493" customWidth="1"/>
    <col min="1298" max="1298" width="36.42578125" style="493" customWidth="1"/>
    <col min="1299" max="1299" width="11.85546875" style="493" customWidth="1"/>
    <col min="1300" max="1300" width="6.85546875" style="493" customWidth="1"/>
    <col min="1301" max="1301" width="10.85546875" style="493" customWidth="1"/>
    <col min="1302" max="1302" width="13" style="493" customWidth="1"/>
    <col min="1303" max="1303" width="11" style="493" customWidth="1"/>
    <col min="1304" max="1304" width="11.140625" style="493" customWidth="1"/>
    <col min="1305" max="1305" width="12.7109375" style="493" customWidth="1"/>
    <col min="1306" max="1306" width="10.42578125" style="493" customWidth="1"/>
    <col min="1307" max="1307" width="16.85546875" style="493" customWidth="1"/>
    <col min="1308" max="1308" width="14.140625" style="493" customWidth="1"/>
    <col min="1309" max="1309" width="15.7109375" style="493" customWidth="1"/>
    <col min="1310" max="1310" width="13.140625" style="493" customWidth="1"/>
    <col min="1311" max="1311" width="11.7109375" style="493" customWidth="1"/>
    <col min="1312" max="1312" width="14.140625" style="493" customWidth="1"/>
    <col min="1313" max="1313" width="10.42578125" style="493" customWidth="1"/>
    <col min="1314" max="1314" width="18.5703125" style="493" customWidth="1"/>
    <col min="1315" max="1315" width="16.140625" style="493" customWidth="1"/>
    <col min="1316" max="1316" width="18.5703125" style="493" customWidth="1"/>
    <col min="1317" max="1317" width="18.140625" style="493" customWidth="1"/>
    <col min="1318" max="1318" width="13.140625" style="493" customWidth="1"/>
    <col min="1319" max="1319" width="14.140625" style="493" customWidth="1"/>
    <col min="1320" max="1320" width="18.5703125" style="493" customWidth="1"/>
    <col min="1321" max="1321" width="16.42578125" style="493" customWidth="1"/>
    <col min="1322" max="1322" width="36.5703125" style="493" customWidth="1"/>
    <col min="1323" max="1323" width="13.42578125" style="493" customWidth="1"/>
    <col min="1324" max="1324" width="9.28515625" style="493" customWidth="1"/>
    <col min="1325" max="1325" width="10.85546875" style="493" customWidth="1"/>
    <col min="1326" max="1326" width="9.42578125" style="493" customWidth="1"/>
    <col min="1327" max="1327" width="22.140625" style="493" customWidth="1"/>
    <col min="1328" max="1328" width="30.28515625" style="493" customWidth="1"/>
    <col min="1329" max="1329" width="29" style="493" customWidth="1"/>
    <col min="1330" max="1330" width="33.7109375" style="493" customWidth="1"/>
    <col min="1331" max="1331" width="32.28515625" style="493" customWidth="1"/>
    <col min="1332" max="1332" width="14.7109375" style="493" customWidth="1"/>
    <col min="1333" max="1333" width="14.42578125" style="493" customWidth="1"/>
    <col min="1334" max="1334" width="14.5703125" style="493" customWidth="1"/>
    <col min="1335" max="1335" width="18" style="493" customWidth="1"/>
    <col min="1336" max="1336" width="32.42578125" style="493" customWidth="1"/>
    <col min="1337" max="1337" width="35.42578125" style="493" customWidth="1"/>
    <col min="1338" max="1338" width="36.85546875" style="493" customWidth="1"/>
    <col min="1339" max="1339" width="33.5703125" style="493" customWidth="1"/>
    <col min="1340" max="1340" width="35.85546875" style="493" customWidth="1"/>
    <col min="1341" max="1341" width="30.5703125" style="493" customWidth="1"/>
    <col min="1342" max="1342" width="32.7109375" style="493" customWidth="1"/>
    <col min="1343" max="1343" width="32.140625" style="493" customWidth="1"/>
    <col min="1344" max="1344" width="36.5703125" style="493" customWidth="1"/>
    <col min="1345" max="1345" width="35.140625" style="493" customWidth="1"/>
    <col min="1346" max="1346" width="11.7109375" style="493" customWidth="1"/>
    <col min="1347" max="1347" width="15.42578125" style="493" customWidth="1"/>
    <col min="1348" max="1348" width="15.140625" style="493" customWidth="1"/>
    <col min="1349" max="1349" width="19.140625" style="493" customWidth="1"/>
    <col min="1350" max="1350" width="7.5703125" style="493" customWidth="1"/>
    <col min="1351" max="1351" width="11.28515625" style="493" customWidth="1"/>
    <col min="1352" max="1352" width="19.7109375" style="493" customWidth="1"/>
    <col min="1353" max="1353" width="25.42578125" style="493" customWidth="1"/>
    <col min="1354" max="1354" width="38.28515625" style="493" customWidth="1"/>
    <col min="1355" max="1355" width="31.7109375" style="493" customWidth="1"/>
    <col min="1356" max="1536" width="9.140625" style="493"/>
    <col min="1537" max="1537" width="17.140625" style="493" customWidth="1"/>
    <col min="1538" max="1538" width="16.85546875" style="493" customWidth="1"/>
    <col min="1539" max="1539" width="36.5703125" style="493" customWidth="1"/>
    <col min="1540" max="1540" width="14.140625" style="493" customWidth="1"/>
    <col min="1541" max="1541" width="18.5703125" style="493" customWidth="1"/>
    <col min="1542" max="1542" width="8.42578125" style="493" customWidth="1"/>
    <col min="1543" max="1543" width="17.7109375" style="493" customWidth="1"/>
    <col min="1544" max="1544" width="12.85546875" style="493" customWidth="1"/>
    <col min="1545" max="1545" width="29.28515625" style="493" customWidth="1"/>
    <col min="1546" max="1546" width="14.5703125" style="493" customWidth="1"/>
    <col min="1547" max="1547" width="32.42578125" style="493" customWidth="1"/>
    <col min="1548" max="1548" width="17.7109375" style="493" customWidth="1"/>
    <col min="1549" max="1549" width="33.7109375" style="493" customWidth="1"/>
    <col min="1550" max="1550" width="19.140625" style="493" customWidth="1"/>
    <col min="1551" max="1551" width="31.140625" style="493" customWidth="1"/>
    <col min="1552" max="1552" width="34.28515625" style="493" customWidth="1"/>
    <col min="1553" max="1553" width="33.42578125" style="493" customWidth="1"/>
    <col min="1554" max="1554" width="36.42578125" style="493" customWidth="1"/>
    <col min="1555" max="1555" width="11.85546875" style="493" customWidth="1"/>
    <col min="1556" max="1556" width="6.85546875" style="493" customWidth="1"/>
    <col min="1557" max="1557" width="10.85546875" style="493" customWidth="1"/>
    <col min="1558" max="1558" width="13" style="493" customWidth="1"/>
    <col min="1559" max="1559" width="11" style="493" customWidth="1"/>
    <col min="1560" max="1560" width="11.140625" style="493" customWidth="1"/>
    <col min="1561" max="1561" width="12.7109375" style="493" customWidth="1"/>
    <col min="1562" max="1562" width="10.42578125" style="493" customWidth="1"/>
    <col min="1563" max="1563" width="16.85546875" style="493" customWidth="1"/>
    <col min="1564" max="1564" width="14.140625" style="493" customWidth="1"/>
    <col min="1565" max="1565" width="15.7109375" style="493" customWidth="1"/>
    <col min="1566" max="1566" width="13.140625" style="493" customWidth="1"/>
    <col min="1567" max="1567" width="11.7109375" style="493" customWidth="1"/>
    <col min="1568" max="1568" width="14.140625" style="493" customWidth="1"/>
    <col min="1569" max="1569" width="10.42578125" style="493" customWidth="1"/>
    <col min="1570" max="1570" width="18.5703125" style="493" customWidth="1"/>
    <col min="1571" max="1571" width="16.140625" style="493" customWidth="1"/>
    <col min="1572" max="1572" width="18.5703125" style="493" customWidth="1"/>
    <col min="1573" max="1573" width="18.140625" style="493" customWidth="1"/>
    <col min="1574" max="1574" width="13.140625" style="493" customWidth="1"/>
    <col min="1575" max="1575" width="14.140625" style="493" customWidth="1"/>
    <col min="1576" max="1576" width="18.5703125" style="493" customWidth="1"/>
    <col min="1577" max="1577" width="16.42578125" style="493" customWidth="1"/>
    <col min="1578" max="1578" width="36.5703125" style="493" customWidth="1"/>
    <col min="1579" max="1579" width="13.42578125" style="493" customWidth="1"/>
    <col min="1580" max="1580" width="9.28515625" style="493" customWidth="1"/>
    <col min="1581" max="1581" width="10.85546875" style="493" customWidth="1"/>
    <col min="1582" max="1582" width="9.42578125" style="493" customWidth="1"/>
    <col min="1583" max="1583" width="22.140625" style="493" customWidth="1"/>
    <col min="1584" max="1584" width="30.28515625" style="493" customWidth="1"/>
    <col min="1585" max="1585" width="29" style="493" customWidth="1"/>
    <col min="1586" max="1586" width="33.7109375" style="493" customWidth="1"/>
    <col min="1587" max="1587" width="32.28515625" style="493" customWidth="1"/>
    <col min="1588" max="1588" width="14.7109375" style="493" customWidth="1"/>
    <col min="1589" max="1589" width="14.42578125" style="493" customWidth="1"/>
    <col min="1590" max="1590" width="14.5703125" style="493" customWidth="1"/>
    <col min="1591" max="1591" width="18" style="493" customWidth="1"/>
    <col min="1592" max="1592" width="32.42578125" style="493" customWidth="1"/>
    <col min="1593" max="1593" width="35.42578125" style="493" customWidth="1"/>
    <col min="1594" max="1594" width="36.85546875" style="493" customWidth="1"/>
    <col min="1595" max="1595" width="33.5703125" style="493" customWidth="1"/>
    <col min="1596" max="1596" width="35.85546875" style="493" customWidth="1"/>
    <col min="1597" max="1597" width="30.5703125" style="493" customWidth="1"/>
    <col min="1598" max="1598" width="32.7109375" style="493" customWidth="1"/>
    <col min="1599" max="1599" width="32.140625" style="493" customWidth="1"/>
    <col min="1600" max="1600" width="36.5703125" style="493" customWidth="1"/>
    <col min="1601" max="1601" width="35.140625" style="493" customWidth="1"/>
    <col min="1602" max="1602" width="11.7109375" style="493" customWidth="1"/>
    <col min="1603" max="1603" width="15.42578125" style="493" customWidth="1"/>
    <col min="1604" max="1604" width="15.140625" style="493" customWidth="1"/>
    <col min="1605" max="1605" width="19.140625" style="493" customWidth="1"/>
    <col min="1606" max="1606" width="7.5703125" style="493" customWidth="1"/>
    <col min="1607" max="1607" width="11.28515625" style="493" customWidth="1"/>
    <col min="1608" max="1608" width="19.7109375" style="493" customWidth="1"/>
    <col min="1609" max="1609" width="25.42578125" style="493" customWidth="1"/>
    <col min="1610" max="1610" width="38.28515625" style="493" customWidth="1"/>
    <col min="1611" max="1611" width="31.7109375" style="493" customWidth="1"/>
    <col min="1612" max="1792" width="9.140625" style="493"/>
    <col min="1793" max="1793" width="17.140625" style="493" customWidth="1"/>
    <col min="1794" max="1794" width="16.85546875" style="493" customWidth="1"/>
    <col min="1795" max="1795" width="36.5703125" style="493" customWidth="1"/>
    <col min="1796" max="1796" width="14.140625" style="493" customWidth="1"/>
    <col min="1797" max="1797" width="18.5703125" style="493" customWidth="1"/>
    <col min="1798" max="1798" width="8.42578125" style="493" customWidth="1"/>
    <col min="1799" max="1799" width="17.7109375" style="493" customWidth="1"/>
    <col min="1800" max="1800" width="12.85546875" style="493" customWidth="1"/>
    <col min="1801" max="1801" width="29.28515625" style="493" customWidth="1"/>
    <col min="1802" max="1802" width="14.5703125" style="493" customWidth="1"/>
    <col min="1803" max="1803" width="32.42578125" style="493" customWidth="1"/>
    <col min="1804" max="1804" width="17.7109375" style="493" customWidth="1"/>
    <col min="1805" max="1805" width="33.7109375" style="493" customWidth="1"/>
    <col min="1806" max="1806" width="19.140625" style="493" customWidth="1"/>
    <col min="1807" max="1807" width="31.140625" style="493" customWidth="1"/>
    <col min="1808" max="1808" width="34.28515625" style="493" customWidth="1"/>
    <col min="1809" max="1809" width="33.42578125" style="493" customWidth="1"/>
    <col min="1810" max="1810" width="36.42578125" style="493" customWidth="1"/>
    <col min="1811" max="1811" width="11.85546875" style="493" customWidth="1"/>
    <col min="1812" max="1812" width="6.85546875" style="493" customWidth="1"/>
    <col min="1813" max="1813" width="10.85546875" style="493" customWidth="1"/>
    <col min="1814" max="1814" width="13" style="493" customWidth="1"/>
    <col min="1815" max="1815" width="11" style="493" customWidth="1"/>
    <col min="1816" max="1816" width="11.140625" style="493" customWidth="1"/>
    <col min="1817" max="1817" width="12.7109375" style="493" customWidth="1"/>
    <col min="1818" max="1818" width="10.42578125" style="493" customWidth="1"/>
    <col min="1819" max="1819" width="16.85546875" style="493" customWidth="1"/>
    <col min="1820" max="1820" width="14.140625" style="493" customWidth="1"/>
    <col min="1821" max="1821" width="15.7109375" style="493" customWidth="1"/>
    <col min="1822" max="1822" width="13.140625" style="493" customWidth="1"/>
    <col min="1823" max="1823" width="11.7109375" style="493" customWidth="1"/>
    <col min="1824" max="1824" width="14.140625" style="493" customWidth="1"/>
    <col min="1825" max="1825" width="10.42578125" style="493" customWidth="1"/>
    <col min="1826" max="1826" width="18.5703125" style="493" customWidth="1"/>
    <col min="1827" max="1827" width="16.140625" style="493" customWidth="1"/>
    <col min="1828" max="1828" width="18.5703125" style="493" customWidth="1"/>
    <col min="1829" max="1829" width="18.140625" style="493" customWidth="1"/>
    <col min="1830" max="1830" width="13.140625" style="493" customWidth="1"/>
    <col min="1831" max="1831" width="14.140625" style="493" customWidth="1"/>
    <col min="1832" max="1832" width="18.5703125" style="493" customWidth="1"/>
    <col min="1833" max="1833" width="16.42578125" style="493" customWidth="1"/>
    <col min="1834" max="1834" width="36.5703125" style="493" customWidth="1"/>
    <col min="1835" max="1835" width="13.42578125" style="493" customWidth="1"/>
    <col min="1836" max="1836" width="9.28515625" style="493" customWidth="1"/>
    <col min="1837" max="1837" width="10.85546875" style="493" customWidth="1"/>
    <col min="1838" max="1838" width="9.42578125" style="493" customWidth="1"/>
    <col min="1839" max="1839" width="22.140625" style="493" customWidth="1"/>
    <col min="1840" max="1840" width="30.28515625" style="493" customWidth="1"/>
    <col min="1841" max="1841" width="29" style="493" customWidth="1"/>
    <col min="1842" max="1842" width="33.7109375" style="493" customWidth="1"/>
    <col min="1843" max="1843" width="32.28515625" style="493" customWidth="1"/>
    <col min="1844" max="1844" width="14.7109375" style="493" customWidth="1"/>
    <col min="1845" max="1845" width="14.42578125" style="493" customWidth="1"/>
    <col min="1846" max="1846" width="14.5703125" style="493" customWidth="1"/>
    <col min="1847" max="1847" width="18" style="493" customWidth="1"/>
    <col min="1848" max="1848" width="32.42578125" style="493" customWidth="1"/>
    <col min="1849" max="1849" width="35.42578125" style="493" customWidth="1"/>
    <col min="1850" max="1850" width="36.85546875" style="493" customWidth="1"/>
    <col min="1851" max="1851" width="33.5703125" style="493" customWidth="1"/>
    <col min="1852" max="1852" width="35.85546875" style="493" customWidth="1"/>
    <col min="1853" max="1853" width="30.5703125" style="493" customWidth="1"/>
    <col min="1854" max="1854" width="32.7109375" style="493" customWidth="1"/>
    <col min="1855" max="1855" width="32.140625" style="493" customWidth="1"/>
    <col min="1856" max="1856" width="36.5703125" style="493" customWidth="1"/>
    <col min="1857" max="1857" width="35.140625" style="493" customWidth="1"/>
    <col min="1858" max="1858" width="11.7109375" style="493" customWidth="1"/>
    <col min="1859" max="1859" width="15.42578125" style="493" customWidth="1"/>
    <col min="1860" max="1860" width="15.140625" style="493" customWidth="1"/>
    <col min="1861" max="1861" width="19.140625" style="493" customWidth="1"/>
    <col min="1862" max="1862" width="7.5703125" style="493" customWidth="1"/>
    <col min="1863" max="1863" width="11.28515625" style="493" customWidth="1"/>
    <col min="1864" max="1864" width="19.7109375" style="493" customWidth="1"/>
    <col min="1865" max="1865" width="25.42578125" style="493" customWidth="1"/>
    <col min="1866" max="1866" width="38.28515625" style="493" customWidth="1"/>
    <col min="1867" max="1867" width="31.7109375" style="493" customWidth="1"/>
    <col min="1868" max="2048" width="9.140625" style="493"/>
    <col min="2049" max="2049" width="17.140625" style="493" customWidth="1"/>
    <col min="2050" max="2050" width="16.85546875" style="493" customWidth="1"/>
    <col min="2051" max="2051" width="36.5703125" style="493" customWidth="1"/>
    <col min="2052" max="2052" width="14.140625" style="493" customWidth="1"/>
    <col min="2053" max="2053" width="18.5703125" style="493" customWidth="1"/>
    <col min="2054" max="2054" width="8.42578125" style="493" customWidth="1"/>
    <col min="2055" max="2055" width="17.7109375" style="493" customWidth="1"/>
    <col min="2056" max="2056" width="12.85546875" style="493" customWidth="1"/>
    <col min="2057" max="2057" width="29.28515625" style="493" customWidth="1"/>
    <col min="2058" max="2058" width="14.5703125" style="493" customWidth="1"/>
    <col min="2059" max="2059" width="32.42578125" style="493" customWidth="1"/>
    <col min="2060" max="2060" width="17.7109375" style="493" customWidth="1"/>
    <col min="2061" max="2061" width="33.7109375" style="493" customWidth="1"/>
    <col min="2062" max="2062" width="19.140625" style="493" customWidth="1"/>
    <col min="2063" max="2063" width="31.140625" style="493" customWidth="1"/>
    <col min="2064" max="2064" width="34.28515625" style="493" customWidth="1"/>
    <col min="2065" max="2065" width="33.42578125" style="493" customWidth="1"/>
    <col min="2066" max="2066" width="36.42578125" style="493" customWidth="1"/>
    <col min="2067" max="2067" width="11.85546875" style="493" customWidth="1"/>
    <col min="2068" max="2068" width="6.85546875" style="493" customWidth="1"/>
    <col min="2069" max="2069" width="10.85546875" style="493" customWidth="1"/>
    <col min="2070" max="2070" width="13" style="493" customWidth="1"/>
    <col min="2071" max="2071" width="11" style="493" customWidth="1"/>
    <col min="2072" max="2072" width="11.140625" style="493" customWidth="1"/>
    <col min="2073" max="2073" width="12.7109375" style="493" customWidth="1"/>
    <col min="2074" max="2074" width="10.42578125" style="493" customWidth="1"/>
    <col min="2075" max="2075" width="16.85546875" style="493" customWidth="1"/>
    <col min="2076" max="2076" width="14.140625" style="493" customWidth="1"/>
    <col min="2077" max="2077" width="15.7109375" style="493" customWidth="1"/>
    <col min="2078" max="2078" width="13.140625" style="493" customWidth="1"/>
    <col min="2079" max="2079" width="11.7109375" style="493" customWidth="1"/>
    <col min="2080" max="2080" width="14.140625" style="493" customWidth="1"/>
    <col min="2081" max="2081" width="10.42578125" style="493" customWidth="1"/>
    <col min="2082" max="2082" width="18.5703125" style="493" customWidth="1"/>
    <col min="2083" max="2083" width="16.140625" style="493" customWidth="1"/>
    <col min="2084" max="2084" width="18.5703125" style="493" customWidth="1"/>
    <col min="2085" max="2085" width="18.140625" style="493" customWidth="1"/>
    <col min="2086" max="2086" width="13.140625" style="493" customWidth="1"/>
    <col min="2087" max="2087" width="14.140625" style="493" customWidth="1"/>
    <col min="2088" max="2088" width="18.5703125" style="493" customWidth="1"/>
    <col min="2089" max="2089" width="16.42578125" style="493" customWidth="1"/>
    <col min="2090" max="2090" width="36.5703125" style="493" customWidth="1"/>
    <col min="2091" max="2091" width="13.42578125" style="493" customWidth="1"/>
    <col min="2092" max="2092" width="9.28515625" style="493" customWidth="1"/>
    <col min="2093" max="2093" width="10.85546875" style="493" customWidth="1"/>
    <col min="2094" max="2094" width="9.42578125" style="493" customWidth="1"/>
    <col min="2095" max="2095" width="22.140625" style="493" customWidth="1"/>
    <col min="2096" max="2096" width="30.28515625" style="493" customWidth="1"/>
    <col min="2097" max="2097" width="29" style="493" customWidth="1"/>
    <col min="2098" max="2098" width="33.7109375" style="493" customWidth="1"/>
    <col min="2099" max="2099" width="32.28515625" style="493" customWidth="1"/>
    <col min="2100" max="2100" width="14.7109375" style="493" customWidth="1"/>
    <col min="2101" max="2101" width="14.42578125" style="493" customWidth="1"/>
    <col min="2102" max="2102" width="14.5703125" style="493" customWidth="1"/>
    <col min="2103" max="2103" width="18" style="493" customWidth="1"/>
    <col min="2104" max="2104" width="32.42578125" style="493" customWidth="1"/>
    <col min="2105" max="2105" width="35.42578125" style="493" customWidth="1"/>
    <col min="2106" max="2106" width="36.85546875" style="493" customWidth="1"/>
    <col min="2107" max="2107" width="33.5703125" style="493" customWidth="1"/>
    <col min="2108" max="2108" width="35.85546875" style="493" customWidth="1"/>
    <col min="2109" max="2109" width="30.5703125" style="493" customWidth="1"/>
    <col min="2110" max="2110" width="32.7109375" style="493" customWidth="1"/>
    <col min="2111" max="2111" width="32.140625" style="493" customWidth="1"/>
    <col min="2112" max="2112" width="36.5703125" style="493" customWidth="1"/>
    <col min="2113" max="2113" width="35.140625" style="493" customWidth="1"/>
    <col min="2114" max="2114" width="11.7109375" style="493" customWidth="1"/>
    <col min="2115" max="2115" width="15.42578125" style="493" customWidth="1"/>
    <col min="2116" max="2116" width="15.140625" style="493" customWidth="1"/>
    <col min="2117" max="2117" width="19.140625" style="493" customWidth="1"/>
    <col min="2118" max="2118" width="7.5703125" style="493" customWidth="1"/>
    <col min="2119" max="2119" width="11.28515625" style="493" customWidth="1"/>
    <col min="2120" max="2120" width="19.7109375" style="493" customWidth="1"/>
    <col min="2121" max="2121" width="25.42578125" style="493" customWidth="1"/>
    <col min="2122" max="2122" width="38.28515625" style="493" customWidth="1"/>
    <col min="2123" max="2123" width="31.7109375" style="493" customWidth="1"/>
    <col min="2124" max="2304" width="9.140625" style="493"/>
    <col min="2305" max="2305" width="17.140625" style="493" customWidth="1"/>
    <col min="2306" max="2306" width="16.85546875" style="493" customWidth="1"/>
    <col min="2307" max="2307" width="36.5703125" style="493" customWidth="1"/>
    <col min="2308" max="2308" width="14.140625" style="493" customWidth="1"/>
    <col min="2309" max="2309" width="18.5703125" style="493" customWidth="1"/>
    <col min="2310" max="2310" width="8.42578125" style="493" customWidth="1"/>
    <col min="2311" max="2311" width="17.7109375" style="493" customWidth="1"/>
    <col min="2312" max="2312" width="12.85546875" style="493" customWidth="1"/>
    <col min="2313" max="2313" width="29.28515625" style="493" customWidth="1"/>
    <col min="2314" max="2314" width="14.5703125" style="493" customWidth="1"/>
    <col min="2315" max="2315" width="32.42578125" style="493" customWidth="1"/>
    <col min="2316" max="2316" width="17.7109375" style="493" customWidth="1"/>
    <col min="2317" max="2317" width="33.7109375" style="493" customWidth="1"/>
    <col min="2318" max="2318" width="19.140625" style="493" customWidth="1"/>
    <col min="2319" max="2319" width="31.140625" style="493" customWidth="1"/>
    <col min="2320" max="2320" width="34.28515625" style="493" customWidth="1"/>
    <col min="2321" max="2321" width="33.42578125" style="493" customWidth="1"/>
    <col min="2322" max="2322" width="36.42578125" style="493" customWidth="1"/>
    <col min="2323" max="2323" width="11.85546875" style="493" customWidth="1"/>
    <col min="2324" max="2324" width="6.85546875" style="493" customWidth="1"/>
    <col min="2325" max="2325" width="10.85546875" style="493" customWidth="1"/>
    <col min="2326" max="2326" width="13" style="493" customWidth="1"/>
    <col min="2327" max="2327" width="11" style="493" customWidth="1"/>
    <col min="2328" max="2328" width="11.140625" style="493" customWidth="1"/>
    <col min="2329" max="2329" width="12.7109375" style="493" customWidth="1"/>
    <col min="2330" max="2330" width="10.42578125" style="493" customWidth="1"/>
    <col min="2331" max="2331" width="16.85546875" style="493" customWidth="1"/>
    <col min="2332" max="2332" width="14.140625" style="493" customWidth="1"/>
    <col min="2333" max="2333" width="15.7109375" style="493" customWidth="1"/>
    <col min="2334" max="2334" width="13.140625" style="493" customWidth="1"/>
    <col min="2335" max="2335" width="11.7109375" style="493" customWidth="1"/>
    <col min="2336" max="2336" width="14.140625" style="493" customWidth="1"/>
    <col min="2337" max="2337" width="10.42578125" style="493" customWidth="1"/>
    <col min="2338" max="2338" width="18.5703125" style="493" customWidth="1"/>
    <col min="2339" max="2339" width="16.140625" style="493" customWidth="1"/>
    <col min="2340" max="2340" width="18.5703125" style="493" customWidth="1"/>
    <col min="2341" max="2341" width="18.140625" style="493" customWidth="1"/>
    <col min="2342" max="2342" width="13.140625" style="493" customWidth="1"/>
    <col min="2343" max="2343" width="14.140625" style="493" customWidth="1"/>
    <col min="2344" max="2344" width="18.5703125" style="493" customWidth="1"/>
    <col min="2345" max="2345" width="16.42578125" style="493" customWidth="1"/>
    <col min="2346" max="2346" width="36.5703125" style="493" customWidth="1"/>
    <col min="2347" max="2347" width="13.42578125" style="493" customWidth="1"/>
    <col min="2348" max="2348" width="9.28515625" style="493" customWidth="1"/>
    <col min="2349" max="2349" width="10.85546875" style="493" customWidth="1"/>
    <col min="2350" max="2350" width="9.42578125" style="493" customWidth="1"/>
    <col min="2351" max="2351" width="22.140625" style="493" customWidth="1"/>
    <col min="2352" max="2352" width="30.28515625" style="493" customWidth="1"/>
    <col min="2353" max="2353" width="29" style="493" customWidth="1"/>
    <col min="2354" max="2354" width="33.7109375" style="493" customWidth="1"/>
    <col min="2355" max="2355" width="32.28515625" style="493" customWidth="1"/>
    <col min="2356" max="2356" width="14.7109375" style="493" customWidth="1"/>
    <col min="2357" max="2357" width="14.42578125" style="493" customWidth="1"/>
    <col min="2358" max="2358" width="14.5703125" style="493" customWidth="1"/>
    <col min="2359" max="2359" width="18" style="493" customWidth="1"/>
    <col min="2360" max="2360" width="32.42578125" style="493" customWidth="1"/>
    <col min="2361" max="2361" width="35.42578125" style="493" customWidth="1"/>
    <col min="2362" max="2362" width="36.85546875" style="493" customWidth="1"/>
    <col min="2363" max="2363" width="33.5703125" style="493" customWidth="1"/>
    <col min="2364" max="2364" width="35.85546875" style="493" customWidth="1"/>
    <col min="2365" max="2365" width="30.5703125" style="493" customWidth="1"/>
    <col min="2366" max="2366" width="32.7109375" style="493" customWidth="1"/>
    <col min="2367" max="2367" width="32.140625" style="493" customWidth="1"/>
    <col min="2368" max="2368" width="36.5703125" style="493" customWidth="1"/>
    <col min="2369" max="2369" width="35.140625" style="493" customWidth="1"/>
    <col min="2370" max="2370" width="11.7109375" style="493" customWidth="1"/>
    <col min="2371" max="2371" width="15.42578125" style="493" customWidth="1"/>
    <col min="2372" max="2372" width="15.140625" style="493" customWidth="1"/>
    <col min="2373" max="2373" width="19.140625" style="493" customWidth="1"/>
    <col min="2374" max="2374" width="7.5703125" style="493" customWidth="1"/>
    <col min="2375" max="2375" width="11.28515625" style="493" customWidth="1"/>
    <col min="2376" max="2376" width="19.7109375" style="493" customWidth="1"/>
    <col min="2377" max="2377" width="25.42578125" style="493" customWidth="1"/>
    <col min="2378" max="2378" width="38.28515625" style="493" customWidth="1"/>
    <col min="2379" max="2379" width="31.7109375" style="493" customWidth="1"/>
    <col min="2380" max="2560" width="9.140625" style="493"/>
    <col min="2561" max="2561" width="17.140625" style="493" customWidth="1"/>
    <col min="2562" max="2562" width="16.85546875" style="493" customWidth="1"/>
    <col min="2563" max="2563" width="36.5703125" style="493" customWidth="1"/>
    <col min="2564" max="2564" width="14.140625" style="493" customWidth="1"/>
    <col min="2565" max="2565" width="18.5703125" style="493" customWidth="1"/>
    <col min="2566" max="2566" width="8.42578125" style="493" customWidth="1"/>
    <col min="2567" max="2567" width="17.7109375" style="493" customWidth="1"/>
    <col min="2568" max="2568" width="12.85546875" style="493" customWidth="1"/>
    <col min="2569" max="2569" width="29.28515625" style="493" customWidth="1"/>
    <col min="2570" max="2570" width="14.5703125" style="493" customWidth="1"/>
    <col min="2571" max="2571" width="32.42578125" style="493" customWidth="1"/>
    <col min="2572" max="2572" width="17.7109375" style="493" customWidth="1"/>
    <col min="2573" max="2573" width="33.7109375" style="493" customWidth="1"/>
    <col min="2574" max="2574" width="19.140625" style="493" customWidth="1"/>
    <col min="2575" max="2575" width="31.140625" style="493" customWidth="1"/>
    <col min="2576" max="2576" width="34.28515625" style="493" customWidth="1"/>
    <col min="2577" max="2577" width="33.42578125" style="493" customWidth="1"/>
    <col min="2578" max="2578" width="36.42578125" style="493" customWidth="1"/>
    <col min="2579" max="2579" width="11.85546875" style="493" customWidth="1"/>
    <col min="2580" max="2580" width="6.85546875" style="493" customWidth="1"/>
    <col min="2581" max="2581" width="10.85546875" style="493" customWidth="1"/>
    <col min="2582" max="2582" width="13" style="493" customWidth="1"/>
    <col min="2583" max="2583" width="11" style="493" customWidth="1"/>
    <col min="2584" max="2584" width="11.140625" style="493" customWidth="1"/>
    <col min="2585" max="2585" width="12.7109375" style="493" customWidth="1"/>
    <col min="2586" max="2586" width="10.42578125" style="493" customWidth="1"/>
    <col min="2587" max="2587" width="16.85546875" style="493" customWidth="1"/>
    <col min="2588" max="2588" width="14.140625" style="493" customWidth="1"/>
    <col min="2589" max="2589" width="15.7109375" style="493" customWidth="1"/>
    <col min="2590" max="2590" width="13.140625" style="493" customWidth="1"/>
    <col min="2591" max="2591" width="11.7109375" style="493" customWidth="1"/>
    <col min="2592" max="2592" width="14.140625" style="493" customWidth="1"/>
    <col min="2593" max="2593" width="10.42578125" style="493" customWidth="1"/>
    <col min="2594" max="2594" width="18.5703125" style="493" customWidth="1"/>
    <col min="2595" max="2595" width="16.140625" style="493" customWidth="1"/>
    <col min="2596" max="2596" width="18.5703125" style="493" customWidth="1"/>
    <col min="2597" max="2597" width="18.140625" style="493" customWidth="1"/>
    <col min="2598" max="2598" width="13.140625" style="493" customWidth="1"/>
    <col min="2599" max="2599" width="14.140625" style="493" customWidth="1"/>
    <col min="2600" max="2600" width="18.5703125" style="493" customWidth="1"/>
    <col min="2601" max="2601" width="16.42578125" style="493" customWidth="1"/>
    <col min="2602" max="2602" width="36.5703125" style="493" customWidth="1"/>
    <col min="2603" max="2603" width="13.42578125" style="493" customWidth="1"/>
    <col min="2604" max="2604" width="9.28515625" style="493" customWidth="1"/>
    <col min="2605" max="2605" width="10.85546875" style="493" customWidth="1"/>
    <col min="2606" max="2606" width="9.42578125" style="493" customWidth="1"/>
    <col min="2607" max="2607" width="22.140625" style="493" customWidth="1"/>
    <col min="2608" max="2608" width="30.28515625" style="493" customWidth="1"/>
    <col min="2609" max="2609" width="29" style="493" customWidth="1"/>
    <col min="2610" max="2610" width="33.7109375" style="493" customWidth="1"/>
    <col min="2611" max="2611" width="32.28515625" style="493" customWidth="1"/>
    <col min="2612" max="2612" width="14.7109375" style="493" customWidth="1"/>
    <col min="2613" max="2613" width="14.42578125" style="493" customWidth="1"/>
    <col min="2614" max="2614" width="14.5703125" style="493" customWidth="1"/>
    <col min="2615" max="2615" width="18" style="493" customWidth="1"/>
    <col min="2616" max="2616" width="32.42578125" style="493" customWidth="1"/>
    <col min="2617" max="2617" width="35.42578125" style="493" customWidth="1"/>
    <col min="2618" max="2618" width="36.85546875" style="493" customWidth="1"/>
    <col min="2619" max="2619" width="33.5703125" style="493" customWidth="1"/>
    <col min="2620" max="2620" width="35.85546875" style="493" customWidth="1"/>
    <col min="2621" max="2621" width="30.5703125" style="493" customWidth="1"/>
    <col min="2622" max="2622" width="32.7109375" style="493" customWidth="1"/>
    <col min="2623" max="2623" width="32.140625" style="493" customWidth="1"/>
    <col min="2624" max="2624" width="36.5703125" style="493" customWidth="1"/>
    <col min="2625" max="2625" width="35.140625" style="493" customWidth="1"/>
    <col min="2626" max="2626" width="11.7109375" style="493" customWidth="1"/>
    <col min="2627" max="2627" width="15.42578125" style="493" customWidth="1"/>
    <col min="2628" max="2628" width="15.140625" style="493" customWidth="1"/>
    <col min="2629" max="2629" width="19.140625" style="493" customWidth="1"/>
    <col min="2630" max="2630" width="7.5703125" style="493" customWidth="1"/>
    <col min="2631" max="2631" width="11.28515625" style="493" customWidth="1"/>
    <col min="2632" max="2632" width="19.7109375" style="493" customWidth="1"/>
    <col min="2633" max="2633" width="25.42578125" style="493" customWidth="1"/>
    <col min="2634" max="2634" width="38.28515625" style="493" customWidth="1"/>
    <col min="2635" max="2635" width="31.7109375" style="493" customWidth="1"/>
    <col min="2636" max="2816" width="9.140625" style="493"/>
    <col min="2817" max="2817" width="17.140625" style="493" customWidth="1"/>
    <col min="2818" max="2818" width="16.85546875" style="493" customWidth="1"/>
    <col min="2819" max="2819" width="36.5703125" style="493" customWidth="1"/>
    <col min="2820" max="2820" width="14.140625" style="493" customWidth="1"/>
    <col min="2821" max="2821" width="18.5703125" style="493" customWidth="1"/>
    <col min="2822" max="2822" width="8.42578125" style="493" customWidth="1"/>
    <col min="2823" max="2823" width="17.7109375" style="493" customWidth="1"/>
    <col min="2824" max="2824" width="12.85546875" style="493" customWidth="1"/>
    <col min="2825" max="2825" width="29.28515625" style="493" customWidth="1"/>
    <col min="2826" max="2826" width="14.5703125" style="493" customWidth="1"/>
    <col min="2827" max="2827" width="32.42578125" style="493" customWidth="1"/>
    <col min="2828" max="2828" width="17.7109375" style="493" customWidth="1"/>
    <col min="2829" max="2829" width="33.7109375" style="493" customWidth="1"/>
    <col min="2830" max="2830" width="19.140625" style="493" customWidth="1"/>
    <col min="2831" max="2831" width="31.140625" style="493" customWidth="1"/>
    <col min="2832" max="2832" width="34.28515625" style="493" customWidth="1"/>
    <col min="2833" max="2833" width="33.42578125" style="493" customWidth="1"/>
    <col min="2834" max="2834" width="36.42578125" style="493" customWidth="1"/>
    <col min="2835" max="2835" width="11.85546875" style="493" customWidth="1"/>
    <col min="2836" max="2836" width="6.85546875" style="493" customWidth="1"/>
    <col min="2837" max="2837" width="10.85546875" style="493" customWidth="1"/>
    <col min="2838" max="2838" width="13" style="493" customWidth="1"/>
    <col min="2839" max="2839" width="11" style="493" customWidth="1"/>
    <col min="2840" max="2840" width="11.140625" style="493" customWidth="1"/>
    <col min="2841" max="2841" width="12.7109375" style="493" customWidth="1"/>
    <col min="2842" max="2842" width="10.42578125" style="493" customWidth="1"/>
    <col min="2843" max="2843" width="16.85546875" style="493" customWidth="1"/>
    <col min="2844" max="2844" width="14.140625" style="493" customWidth="1"/>
    <col min="2845" max="2845" width="15.7109375" style="493" customWidth="1"/>
    <col min="2846" max="2846" width="13.140625" style="493" customWidth="1"/>
    <col min="2847" max="2847" width="11.7109375" style="493" customWidth="1"/>
    <col min="2848" max="2848" width="14.140625" style="493" customWidth="1"/>
    <col min="2849" max="2849" width="10.42578125" style="493" customWidth="1"/>
    <col min="2850" max="2850" width="18.5703125" style="493" customWidth="1"/>
    <col min="2851" max="2851" width="16.140625" style="493" customWidth="1"/>
    <col min="2852" max="2852" width="18.5703125" style="493" customWidth="1"/>
    <col min="2853" max="2853" width="18.140625" style="493" customWidth="1"/>
    <col min="2854" max="2854" width="13.140625" style="493" customWidth="1"/>
    <col min="2855" max="2855" width="14.140625" style="493" customWidth="1"/>
    <col min="2856" max="2856" width="18.5703125" style="493" customWidth="1"/>
    <col min="2857" max="2857" width="16.42578125" style="493" customWidth="1"/>
    <col min="2858" max="2858" width="36.5703125" style="493" customWidth="1"/>
    <col min="2859" max="2859" width="13.42578125" style="493" customWidth="1"/>
    <col min="2860" max="2860" width="9.28515625" style="493" customWidth="1"/>
    <col min="2861" max="2861" width="10.85546875" style="493" customWidth="1"/>
    <col min="2862" max="2862" width="9.42578125" style="493" customWidth="1"/>
    <col min="2863" max="2863" width="22.140625" style="493" customWidth="1"/>
    <col min="2864" max="2864" width="30.28515625" style="493" customWidth="1"/>
    <col min="2865" max="2865" width="29" style="493" customWidth="1"/>
    <col min="2866" max="2866" width="33.7109375" style="493" customWidth="1"/>
    <col min="2867" max="2867" width="32.28515625" style="493" customWidth="1"/>
    <col min="2868" max="2868" width="14.7109375" style="493" customWidth="1"/>
    <col min="2869" max="2869" width="14.42578125" style="493" customWidth="1"/>
    <col min="2870" max="2870" width="14.5703125" style="493" customWidth="1"/>
    <col min="2871" max="2871" width="18" style="493" customWidth="1"/>
    <col min="2872" max="2872" width="32.42578125" style="493" customWidth="1"/>
    <col min="2873" max="2873" width="35.42578125" style="493" customWidth="1"/>
    <col min="2874" max="2874" width="36.85546875" style="493" customWidth="1"/>
    <col min="2875" max="2875" width="33.5703125" style="493" customWidth="1"/>
    <col min="2876" max="2876" width="35.85546875" style="493" customWidth="1"/>
    <col min="2877" max="2877" width="30.5703125" style="493" customWidth="1"/>
    <col min="2878" max="2878" width="32.7109375" style="493" customWidth="1"/>
    <col min="2879" max="2879" width="32.140625" style="493" customWidth="1"/>
    <col min="2880" max="2880" width="36.5703125" style="493" customWidth="1"/>
    <col min="2881" max="2881" width="35.140625" style="493" customWidth="1"/>
    <col min="2882" max="2882" width="11.7109375" style="493" customWidth="1"/>
    <col min="2883" max="2883" width="15.42578125" style="493" customWidth="1"/>
    <col min="2884" max="2884" width="15.140625" style="493" customWidth="1"/>
    <col min="2885" max="2885" width="19.140625" style="493" customWidth="1"/>
    <col min="2886" max="2886" width="7.5703125" style="493" customWidth="1"/>
    <col min="2887" max="2887" width="11.28515625" style="493" customWidth="1"/>
    <col min="2888" max="2888" width="19.7109375" style="493" customWidth="1"/>
    <col min="2889" max="2889" width="25.42578125" style="493" customWidth="1"/>
    <col min="2890" max="2890" width="38.28515625" style="493" customWidth="1"/>
    <col min="2891" max="2891" width="31.7109375" style="493" customWidth="1"/>
    <col min="2892" max="3072" width="9.140625" style="493"/>
    <col min="3073" max="3073" width="17.140625" style="493" customWidth="1"/>
    <col min="3074" max="3074" width="16.85546875" style="493" customWidth="1"/>
    <col min="3075" max="3075" width="36.5703125" style="493" customWidth="1"/>
    <col min="3076" max="3076" width="14.140625" style="493" customWidth="1"/>
    <col min="3077" max="3077" width="18.5703125" style="493" customWidth="1"/>
    <col min="3078" max="3078" width="8.42578125" style="493" customWidth="1"/>
    <col min="3079" max="3079" width="17.7109375" style="493" customWidth="1"/>
    <col min="3080" max="3080" width="12.85546875" style="493" customWidth="1"/>
    <col min="3081" max="3081" width="29.28515625" style="493" customWidth="1"/>
    <col min="3082" max="3082" width="14.5703125" style="493" customWidth="1"/>
    <col min="3083" max="3083" width="32.42578125" style="493" customWidth="1"/>
    <col min="3084" max="3084" width="17.7109375" style="493" customWidth="1"/>
    <col min="3085" max="3085" width="33.7109375" style="493" customWidth="1"/>
    <col min="3086" max="3086" width="19.140625" style="493" customWidth="1"/>
    <col min="3087" max="3087" width="31.140625" style="493" customWidth="1"/>
    <col min="3088" max="3088" width="34.28515625" style="493" customWidth="1"/>
    <col min="3089" max="3089" width="33.42578125" style="493" customWidth="1"/>
    <col min="3090" max="3090" width="36.42578125" style="493" customWidth="1"/>
    <col min="3091" max="3091" width="11.85546875" style="493" customWidth="1"/>
    <col min="3092" max="3092" width="6.85546875" style="493" customWidth="1"/>
    <col min="3093" max="3093" width="10.85546875" style="493" customWidth="1"/>
    <col min="3094" max="3094" width="13" style="493" customWidth="1"/>
    <col min="3095" max="3095" width="11" style="493" customWidth="1"/>
    <col min="3096" max="3096" width="11.140625" style="493" customWidth="1"/>
    <col min="3097" max="3097" width="12.7109375" style="493" customWidth="1"/>
    <col min="3098" max="3098" width="10.42578125" style="493" customWidth="1"/>
    <col min="3099" max="3099" width="16.85546875" style="493" customWidth="1"/>
    <col min="3100" max="3100" width="14.140625" style="493" customWidth="1"/>
    <col min="3101" max="3101" width="15.7109375" style="493" customWidth="1"/>
    <col min="3102" max="3102" width="13.140625" style="493" customWidth="1"/>
    <col min="3103" max="3103" width="11.7109375" style="493" customWidth="1"/>
    <col min="3104" max="3104" width="14.140625" style="493" customWidth="1"/>
    <col min="3105" max="3105" width="10.42578125" style="493" customWidth="1"/>
    <col min="3106" max="3106" width="18.5703125" style="493" customWidth="1"/>
    <col min="3107" max="3107" width="16.140625" style="493" customWidth="1"/>
    <col min="3108" max="3108" width="18.5703125" style="493" customWidth="1"/>
    <col min="3109" max="3109" width="18.140625" style="493" customWidth="1"/>
    <col min="3110" max="3110" width="13.140625" style="493" customWidth="1"/>
    <col min="3111" max="3111" width="14.140625" style="493" customWidth="1"/>
    <col min="3112" max="3112" width="18.5703125" style="493" customWidth="1"/>
    <col min="3113" max="3113" width="16.42578125" style="493" customWidth="1"/>
    <col min="3114" max="3114" width="36.5703125" style="493" customWidth="1"/>
    <col min="3115" max="3115" width="13.42578125" style="493" customWidth="1"/>
    <col min="3116" max="3116" width="9.28515625" style="493" customWidth="1"/>
    <col min="3117" max="3117" width="10.85546875" style="493" customWidth="1"/>
    <col min="3118" max="3118" width="9.42578125" style="493" customWidth="1"/>
    <col min="3119" max="3119" width="22.140625" style="493" customWidth="1"/>
    <col min="3120" max="3120" width="30.28515625" style="493" customWidth="1"/>
    <col min="3121" max="3121" width="29" style="493" customWidth="1"/>
    <col min="3122" max="3122" width="33.7109375" style="493" customWidth="1"/>
    <col min="3123" max="3123" width="32.28515625" style="493" customWidth="1"/>
    <col min="3124" max="3124" width="14.7109375" style="493" customWidth="1"/>
    <col min="3125" max="3125" width="14.42578125" style="493" customWidth="1"/>
    <col min="3126" max="3126" width="14.5703125" style="493" customWidth="1"/>
    <col min="3127" max="3127" width="18" style="493" customWidth="1"/>
    <col min="3128" max="3128" width="32.42578125" style="493" customWidth="1"/>
    <col min="3129" max="3129" width="35.42578125" style="493" customWidth="1"/>
    <col min="3130" max="3130" width="36.85546875" style="493" customWidth="1"/>
    <col min="3131" max="3131" width="33.5703125" style="493" customWidth="1"/>
    <col min="3132" max="3132" width="35.85546875" style="493" customWidth="1"/>
    <col min="3133" max="3133" width="30.5703125" style="493" customWidth="1"/>
    <col min="3134" max="3134" width="32.7109375" style="493" customWidth="1"/>
    <col min="3135" max="3135" width="32.140625" style="493" customWidth="1"/>
    <col min="3136" max="3136" width="36.5703125" style="493" customWidth="1"/>
    <col min="3137" max="3137" width="35.140625" style="493" customWidth="1"/>
    <col min="3138" max="3138" width="11.7109375" style="493" customWidth="1"/>
    <col min="3139" max="3139" width="15.42578125" style="493" customWidth="1"/>
    <col min="3140" max="3140" width="15.140625" style="493" customWidth="1"/>
    <col min="3141" max="3141" width="19.140625" style="493" customWidth="1"/>
    <col min="3142" max="3142" width="7.5703125" style="493" customWidth="1"/>
    <col min="3143" max="3143" width="11.28515625" style="493" customWidth="1"/>
    <col min="3144" max="3144" width="19.7109375" style="493" customWidth="1"/>
    <col min="3145" max="3145" width="25.42578125" style="493" customWidth="1"/>
    <col min="3146" max="3146" width="38.28515625" style="493" customWidth="1"/>
    <col min="3147" max="3147" width="31.7109375" style="493" customWidth="1"/>
    <col min="3148" max="3328" width="9.140625" style="493"/>
    <col min="3329" max="3329" width="17.140625" style="493" customWidth="1"/>
    <col min="3330" max="3330" width="16.85546875" style="493" customWidth="1"/>
    <col min="3331" max="3331" width="36.5703125" style="493" customWidth="1"/>
    <col min="3332" max="3332" width="14.140625" style="493" customWidth="1"/>
    <col min="3333" max="3333" width="18.5703125" style="493" customWidth="1"/>
    <col min="3334" max="3334" width="8.42578125" style="493" customWidth="1"/>
    <col min="3335" max="3335" width="17.7109375" style="493" customWidth="1"/>
    <col min="3336" max="3336" width="12.85546875" style="493" customWidth="1"/>
    <col min="3337" max="3337" width="29.28515625" style="493" customWidth="1"/>
    <col min="3338" max="3338" width="14.5703125" style="493" customWidth="1"/>
    <col min="3339" max="3339" width="32.42578125" style="493" customWidth="1"/>
    <col min="3340" max="3340" width="17.7109375" style="493" customWidth="1"/>
    <col min="3341" max="3341" width="33.7109375" style="493" customWidth="1"/>
    <col min="3342" max="3342" width="19.140625" style="493" customWidth="1"/>
    <col min="3343" max="3343" width="31.140625" style="493" customWidth="1"/>
    <col min="3344" max="3344" width="34.28515625" style="493" customWidth="1"/>
    <col min="3345" max="3345" width="33.42578125" style="493" customWidth="1"/>
    <col min="3346" max="3346" width="36.42578125" style="493" customWidth="1"/>
    <col min="3347" max="3347" width="11.85546875" style="493" customWidth="1"/>
    <col min="3348" max="3348" width="6.85546875" style="493" customWidth="1"/>
    <col min="3349" max="3349" width="10.85546875" style="493" customWidth="1"/>
    <col min="3350" max="3350" width="13" style="493" customWidth="1"/>
    <col min="3351" max="3351" width="11" style="493" customWidth="1"/>
    <col min="3352" max="3352" width="11.140625" style="493" customWidth="1"/>
    <col min="3353" max="3353" width="12.7109375" style="493" customWidth="1"/>
    <col min="3354" max="3354" width="10.42578125" style="493" customWidth="1"/>
    <col min="3355" max="3355" width="16.85546875" style="493" customWidth="1"/>
    <col min="3356" max="3356" width="14.140625" style="493" customWidth="1"/>
    <col min="3357" max="3357" width="15.7109375" style="493" customWidth="1"/>
    <col min="3358" max="3358" width="13.140625" style="493" customWidth="1"/>
    <col min="3359" max="3359" width="11.7109375" style="493" customWidth="1"/>
    <col min="3360" max="3360" width="14.140625" style="493" customWidth="1"/>
    <col min="3361" max="3361" width="10.42578125" style="493" customWidth="1"/>
    <col min="3362" max="3362" width="18.5703125" style="493" customWidth="1"/>
    <col min="3363" max="3363" width="16.140625" style="493" customWidth="1"/>
    <col min="3364" max="3364" width="18.5703125" style="493" customWidth="1"/>
    <col min="3365" max="3365" width="18.140625" style="493" customWidth="1"/>
    <col min="3366" max="3366" width="13.140625" style="493" customWidth="1"/>
    <col min="3367" max="3367" width="14.140625" style="493" customWidth="1"/>
    <col min="3368" max="3368" width="18.5703125" style="493" customWidth="1"/>
    <col min="3369" max="3369" width="16.42578125" style="493" customWidth="1"/>
    <col min="3370" max="3370" width="36.5703125" style="493" customWidth="1"/>
    <col min="3371" max="3371" width="13.42578125" style="493" customWidth="1"/>
    <col min="3372" max="3372" width="9.28515625" style="493" customWidth="1"/>
    <col min="3373" max="3373" width="10.85546875" style="493" customWidth="1"/>
    <col min="3374" max="3374" width="9.42578125" style="493" customWidth="1"/>
    <col min="3375" max="3375" width="22.140625" style="493" customWidth="1"/>
    <col min="3376" max="3376" width="30.28515625" style="493" customWidth="1"/>
    <col min="3377" max="3377" width="29" style="493" customWidth="1"/>
    <col min="3378" max="3378" width="33.7109375" style="493" customWidth="1"/>
    <col min="3379" max="3379" width="32.28515625" style="493" customWidth="1"/>
    <col min="3380" max="3380" width="14.7109375" style="493" customWidth="1"/>
    <col min="3381" max="3381" width="14.42578125" style="493" customWidth="1"/>
    <col min="3382" max="3382" width="14.5703125" style="493" customWidth="1"/>
    <col min="3383" max="3383" width="18" style="493" customWidth="1"/>
    <col min="3384" max="3384" width="32.42578125" style="493" customWidth="1"/>
    <col min="3385" max="3385" width="35.42578125" style="493" customWidth="1"/>
    <col min="3386" max="3386" width="36.85546875" style="493" customWidth="1"/>
    <col min="3387" max="3387" width="33.5703125" style="493" customWidth="1"/>
    <col min="3388" max="3388" width="35.85546875" style="493" customWidth="1"/>
    <col min="3389" max="3389" width="30.5703125" style="493" customWidth="1"/>
    <col min="3390" max="3390" width="32.7109375" style="493" customWidth="1"/>
    <col min="3391" max="3391" width="32.140625" style="493" customWidth="1"/>
    <col min="3392" max="3392" width="36.5703125" style="493" customWidth="1"/>
    <col min="3393" max="3393" width="35.140625" style="493" customWidth="1"/>
    <col min="3394" max="3394" width="11.7109375" style="493" customWidth="1"/>
    <col min="3395" max="3395" width="15.42578125" style="493" customWidth="1"/>
    <col min="3396" max="3396" width="15.140625" style="493" customWidth="1"/>
    <col min="3397" max="3397" width="19.140625" style="493" customWidth="1"/>
    <col min="3398" max="3398" width="7.5703125" style="493" customWidth="1"/>
    <col min="3399" max="3399" width="11.28515625" style="493" customWidth="1"/>
    <col min="3400" max="3400" width="19.7109375" style="493" customWidth="1"/>
    <col min="3401" max="3401" width="25.42578125" style="493" customWidth="1"/>
    <col min="3402" max="3402" width="38.28515625" style="493" customWidth="1"/>
    <col min="3403" max="3403" width="31.7109375" style="493" customWidth="1"/>
    <col min="3404" max="3584" width="9.140625" style="493"/>
    <col min="3585" max="3585" width="17.140625" style="493" customWidth="1"/>
    <col min="3586" max="3586" width="16.85546875" style="493" customWidth="1"/>
    <col min="3587" max="3587" width="36.5703125" style="493" customWidth="1"/>
    <col min="3588" max="3588" width="14.140625" style="493" customWidth="1"/>
    <col min="3589" max="3589" width="18.5703125" style="493" customWidth="1"/>
    <col min="3590" max="3590" width="8.42578125" style="493" customWidth="1"/>
    <col min="3591" max="3591" width="17.7109375" style="493" customWidth="1"/>
    <col min="3592" max="3592" width="12.85546875" style="493" customWidth="1"/>
    <col min="3593" max="3593" width="29.28515625" style="493" customWidth="1"/>
    <col min="3594" max="3594" width="14.5703125" style="493" customWidth="1"/>
    <col min="3595" max="3595" width="32.42578125" style="493" customWidth="1"/>
    <col min="3596" max="3596" width="17.7109375" style="493" customWidth="1"/>
    <col min="3597" max="3597" width="33.7109375" style="493" customWidth="1"/>
    <col min="3598" max="3598" width="19.140625" style="493" customWidth="1"/>
    <col min="3599" max="3599" width="31.140625" style="493" customWidth="1"/>
    <col min="3600" max="3600" width="34.28515625" style="493" customWidth="1"/>
    <col min="3601" max="3601" width="33.42578125" style="493" customWidth="1"/>
    <col min="3602" max="3602" width="36.42578125" style="493" customWidth="1"/>
    <col min="3603" max="3603" width="11.85546875" style="493" customWidth="1"/>
    <col min="3604" max="3604" width="6.85546875" style="493" customWidth="1"/>
    <col min="3605" max="3605" width="10.85546875" style="493" customWidth="1"/>
    <col min="3606" max="3606" width="13" style="493" customWidth="1"/>
    <col min="3607" max="3607" width="11" style="493" customWidth="1"/>
    <col min="3608" max="3608" width="11.140625" style="493" customWidth="1"/>
    <col min="3609" max="3609" width="12.7109375" style="493" customWidth="1"/>
    <col min="3610" max="3610" width="10.42578125" style="493" customWidth="1"/>
    <col min="3611" max="3611" width="16.85546875" style="493" customWidth="1"/>
    <col min="3612" max="3612" width="14.140625" style="493" customWidth="1"/>
    <col min="3613" max="3613" width="15.7109375" style="493" customWidth="1"/>
    <col min="3614" max="3614" width="13.140625" style="493" customWidth="1"/>
    <col min="3615" max="3615" width="11.7109375" style="493" customWidth="1"/>
    <col min="3616" max="3616" width="14.140625" style="493" customWidth="1"/>
    <col min="3617" max="3617" width="10.42578125" style="493" customWidth="1"/>
    <col min="3618" max="3618" width="18.5703125" style="493" customWidth="1"/>
    <col min="3619" max="3619" width="16.140625" style="493" customWidth="1"/>
    <col min="3620" max="3620" width="18.5703125" style="493" customWidth="1"/>
    <col min="3621" max="3621" width="18.140625" style="493" customWidth="1"/>
    <col min="3622" max="3622" width="13.140625" style="493" customWidth="1"/>
    <col min="3623" max="3623" width="14.140625" style="493" customWidth="1"/>
    <col min="3624" max="3624" width="18.5703125" style="493" customWidth="1"/>
    <col min="3625" max="3625" width="16.42578125" style="493" customWidth="1"/>
    <col min="3626" max="3626" width="36.5703125" style="493" customWidth="1"/>
    <col min="3627" max="3627" width="13.42578125" style="493" customWidth="1"/>
    <col min="3628" max="3628" width="9.28515625" style="493" customWidth="1"/>
    <col min="3629" max="3629" width="10.85546875" style="493" customWidth="1"/>
    <col min="3630" max="3630" width="9.42578125" style="493" customWidth="1"/>
    <col min="3631" max="3631" width="22.140625" style="493" customWidth="1"/>
    <col min="3632" max="3632" width="30.28515625" style="493" customWidth="1"/>
    <col min="3633" max="3633" width="29" style="493" customWidth="1"/>
    <col min="3634" max="3634" width="33.7109375" style="493" customWidth="1"/>
    <col min="3635" max="3635" width="32.28515625" style="493" customWidth="1"/>
    <col min="3636" max="3636" width="14.7109375" style="493" customWidth="1"/>
    <col min="3637" max="3637" width="14.42578125" style="493" customWidth="1"/>
    <col min="3638" max="3638" width="14.5703125" style="493" customWidth="1"/>
    <col min="3639" max="3639" width="18" style="493" customWidth="1"/>
    <col min="3640" max="3640" width="32.42578125" style="493" customWidth="1"/>
    <col min="3641" max="3641" width="35.42578125" style="493" customWidth="1"/>
    <col min="3642" max="3642" width="36.85546875" style="493" customWidth="1"/>
    <col min="3643" max="3643" width="33.5703125" style="493" customWidth="1"/>
    <col min="3644" max="3644" width="35.85546875" style="493" customWidth="1"/>
    <col min="3645" max="3645" width="30.5703125" style="493" customWidth="1"/>
    <col min="3646" max="3646" width="32.7109375" style="493" customWidth="1"/>
    <col min="3647" max="3647" width="32.140625" style="493" customWidth="1"/>
    <col min="3648" max="3648" width="36.5703125" style="493" customWidth="1"/>
    <col min="3649" max="3649" width="35.140625" style="493" customWidth="1"/>
    <col min="3650" max="3650" width="11.7109375" style="493" customWidth="1"/>
    <col min="3651" max="3651" width="15.42578125" style="493" customWidth="1"/>
    <col min="3652" max="3652" width="15.140625" style="493" customWidth="1"/>
    <col min="3653" max="3653" width="19.140625" style="493" customWidth="1"/>
    <col min="3654" max="3654" width="7.5703125" style="493" customWidth="1"/>
    <col min="3655" max="3655" width="11.28515625" style="493" customWidth="1"/>
    <col min="3656" max="3656" width="19.7109375" style="493" customWidth="1"/>
    <col min="3657" max="3657" width="25.42578125" style="493" customWidth="1"/>
    <col min="3658" max="3658" width="38.28515625" style="493" customWidth="1"/>
    <col min="3659" max="3659" width="31.7109375" style="493" customWidth="1"/>
    <col min="3660" max="3840" width="9.140625" style="493"/>
    <col min="3841" max="3841" width="17.140625" style="493" customWidth="1"/>
    <col min="3842" max="3842" width="16.85546875" style="493" customWidth="1"/>
    <col min="3843" max="3843" width="36.5703125" style="493" customWidth="1"/>
    <col min="3844" max="3844" width="14.140625" style="493" customWidth="1"/>
    <col min="3845" max="3845" width="18.5703125" style="493" customWidth="1"/>
    <col min="3846" max="3846" width="8.42578125" style="493" customWidth="1"/>
    <col min="3847" max="3847" width="17.7109375" style="493" customWidth="1"/>
    <col min="3848" max="3848" width="12.85546875" style="493" customWidth="1"/>
    <col min="3849" max="3849" width="29.28515625" style="493" customWidth="1"/>
    <col min="3850" max="3850" width="14.5703125" style="493" customWidth="1"/>
    <col min="3851" max="3851" width="32.42578125" style="493" customWidth="1"/>
    <col min="3852" max="3852" width="17.7109375" style="493" customWidth="1"/>
    <col min="3853" max="3853" width="33.7109375" style="493" customWidth="1"/>
    <col min="3854" max="3854" width="19.140625" style="493" customWidth="1"/>
    <col min="3855" max="3855" width="31.140625" style="493" customWidth="1"/>
    <col min="3856" max="3856" width="34.28515625" style="493" customWidth="1"/>
    <col min="3857" max="3857" width="33.42578125" style="493" customWidth="1"/>
    <col min="3858" max="3858" width="36.42578125" style="493" customWidth="1"/>
    <col min="3859" max="3859" width="11.85546875" style="493" customWidth="1"/>
    <col min="3860" max="3860" width="6.85546875" style="493" customWidth="1"/>
    <col min="3861" max="3861" width="10.85546875" style="493" customWidth="1"/>
    <col min="3862" max="3862" width="13" style="493" customWidth="1"/>
    <col min="3863" max="3863" width="11" style="493" customWidth="1"/>
    <col min="3864" max="3864" width="11.140625" style="493" customWidth="1"/>
    <col min="3865" max="3865" width="12.7109375" style="493" customWidth="1"/>
    <col min="3866" max="3866" width="10.42578125" style="493" customWidth="1"/>
    <col min="3867" max="3867" width="16.85546875" style="493" customWidth="1"/>
    <col min="3868" max="3868" width="14.140625" style="493" customWidth="1"/>
    <col min="3869" max="3869" width="15.7109375" style="493" customWidth="1"/>
    <col min="3870" max="3870" width="13.140625" style="493" customWidth="1"/>
    <col min="3871" max="3871" width="11.7109375" style="493" customWidth="1"/>
    <col min="3872" max="3872" width="14.140625" style="493" customWidth="1"/>
    <col min="3873" max="3873" width="10.42578125" style="493" customWidth="1"/>
    <col min="3874" max="3874" width="18.5703125" style="493" customWidth="1"/>
    <col min="3875" max="3875" width="16.140625" style="493" customWidth="1"/>
    <col min="3876" max="3876" width="18.5703125" style="493" customWidth="1"/>
    <col min="3877" max="3877" width="18.140625" style="493" customWidth="1"/>
    <col min="3878" max="3878" width="13.140625" style="493" customWidth="1"/>
    <col min="3879" max="3879" width="14.140625" style="493" customWidth="1"/>
    <col min="3880" max="3880" width="18.5703125" style="493" customWidth="1"/>
    <col min="3881" max="3881" width="16.42578125" style="493" customWidth="1"/>
    <col min="3882" max="3882" width="36.5703125" style="493" customWidth="1"/>
    <col min="3883" max="3883" width="13.42578125" style="493" customWidth="1"/>
    <col min="3884" max="3884" width="9.28515625" style="493" customWidth="1"/>
    <col min="3885" max="3885" width="10.85546875" style="493" customWidth="1"/>
    <col min="3886" max="3886" width="9.42578125" style="493" customWidth="1"/>
    <col min="3887" max="3887" width="22.140625" style="493" customWidth="1"/>
    <col min="3888" max="3888" width="30.28515625" style="493" customWidth="1"/>
    <col min="3889" max="3889" width="29" style="493" customWidth="1"/>
    <col min="3890" max="3890" width="33.7109375" style="493" customWidth="1"/>
    <col min="3891" max="3891" width="32.28515625" style="493" customWidth="1"/>
    <col min="3892" max="3892" width="14.7109375" style="493" customWidth="1"/>
    <col min="3893" max="3893" width="14.42578125" style="493" customWidth="1"/>
    <col min="3894" max="3894" width="14.5703125" style="493" customWidth="1"/>
    <col min="3895" max="3895" width="18" style="493" customWidth="1"/>
    <col min="3896" max="3896" width="32.42578125" style="493" customWidth="1"/>
    <col min="3897" max="3897" width="35.42578125" style="493" customWidth="1"/>
    <col min="3898" max="3898" width="36.85546875" style="493" customWidth="1"/>
    <col min="3899" max="3899" width="33.5703125" style="493" customWidth="1"/>
    <col min="3900" max="3900" width="35.85546875" style="493" customWidth="1"/>
    <col min="3901" max="3901" width="30.5703125" style="493" customWidth="1"/>
    <col min="3902" max="3902" width="32.7109375" style="493" customWidth="1"/>
    <col min="3903" max="3903" width="32.140625" style="493" customWidth="1"/>
    <col min="3904" max="3904" width="36.5703125" style="493" customWidth="1"/>
    <col min="3905" max="3905" width="35.140625" style="493" customWidth="1"/>
    <col min="3906" max="3906" width="11.7109375" style="493" customWidth="1"/>
    <col min="3907" max="3907" width="15.42578125" style="493" customWidth="1"/>
    <col min="3908" max="3908" width="15.140625" style="493" customWidth="1"/>
    <col min="3909" max="3909" width="19.140625" style="493" customWidth="1"/>
    <col min="3910" max="3910" width="7.5703125" style="493" customWidth="1"/>
    <col min="3911" max="3911" width="11.28515625" style="493" customWidth="1"/>
    <col min="3912" max="3912" width="19.7109375" style="493" customWidth="1"/>
    <col min="3913" max="3913" width="25.42578125" style="493" customWidth="1"/>
    <col min="3914" max="3914" width="38.28515625" style="493" customWidth="1"/>
    <col min="3915" max="3915" width="31.7109375" style="493" customWidth="1"/>
    <col min="3916" max="4096" width="9.140625" style="493"/>
    <col min="4097" max="4097" width="17.140625" style="493" customWidth="1"/>
    <col min="4098" max="4098" width="16.85546875" style="493" customWidth="1"/>
    <col min="4099" max="4099" width="36.5703125" style="493" customWidth="1"/>
    <col min="4100" max="4100" width="14.140625" style="493" customWidth="1"/>
    <col min="4101" max="4101" width="18.5703125" style="493" customWidth="1"/>
    <col min="4102" max="4102" width="8.42578125" style="493" customWidth="1"/>
    <col min="4103" max="4103" width="17.7109375" style="493" customWidth="1"/>
    <col min="4104" max="4104" width="12.85546875" style="493" customWidth="1"/>
    <col min="4105" max="4105" width="29.28515625" style="493" customWidth="1"/>
    <col min="4106" max="4106" width="14.5703125" style="493" customWidth="1"/>
    <col min="4107" max="4107" width="32.42578125" style="493" customWidth="1"/>
    <col min="4108" max="4108" width="17.7109375" style="493" customWidth="1"/>
    <col min="4109" max="4109" width="33.7109375" style="493" customWidth="1"/>
    <col min="4110" max="4110" width="19.140625" style="493" customWidth="1"/>
    <col min="4111" max="4111" width="31.140625" style="493" customWidth="1"/>
    <col min="4112" max="4112" width="34.28515625" style="493" customWidth="1"/>
    <col min="4113" max="4113" width="33.42578125" style="493" customWidth="1"/>
    <col min="4114" max="4114" width="36.42578125" style="493" customWidth="1"/>
    <col min="4115" max="4115" width="11.85546875" style="493" customWidth="1"/>
    <col min="4116" max="4116" width="6.85546875" style="493" customWidth="1"/>
    <col min="4117" max="4117" width="10.85546875" style="493" customWidth="1"/>
    <col min="4118" max="4118" width="13" style="493" customWidth="1"/>
    <col min="4119" max="4119" width="11" style="493" customWidth="1"/>
    <col min="4120" max="4120" width="11.140625" style="493" customWidth="1"/>
    <col min="4121" max="4121" width="12.7109375" style="493" customWidth="1"/>
    <col min="4122" max="4122" width="10.42578125" style="493" customWidth="1"/>
    <col min="4123" max="4123" width="16.85546875" style="493" customWidth="1"/>
    <col min="4124" max="4124" width="14.140625" style="493" customWidth="1"/>
    <col min="4125" max="4125" width="15.7109375" style="493" customWidth="1"/>
    <col min="4126" max="4126" width="13.140625" style="493" customWidth="1"/>
    <col min="4127" max="4127" width="11.7109375" style="493" customWidth="1"/>
    <col min="4128" max="4128" width="14.140625" style="493" customWidth="1"/>
    <col min="4129" max="4129" width="10.42578125" style="493" customWidth="1"/>
    <col min="4130" max="4130" width="18.5703125" style="493" customWidth="1"/>
    <col min="4131" max="4131" width="16.140625" style="493" customWidth="1"/>
    <col min="4132" max="4132" width="18.5703125" style="493" customWidth="1"/>
    <col min="4133" max="4133" width="18.140625" style="493" customWidth="1"/>
    <col min="4134" max="4134" width="13.140625" style="493" customWidth="1"/>
    <col min="4135" max="4135" width="14.140625" style="493" customWidth="1"/>
    <col min="4136" max="4136" width="18.5703125" style="493" customWidth="1"/>
    <col min="4137" max="4137" width="16.42578125" style="493" customWidth="1"/>
    <col min="4138" max="4138" width="36.5703125" style="493" customWidth="1"/>
    <col min="4139" max="4139" width="13.42578125" style="493" customWidth="1"/>
    <col min="4140" max="4140" width="9.28515625" style="493" customWidth="1"/>
    <col min="4141" max="4141" width="10.85546875" style="493" customWidth="1"/>
    <col min="4142" max="4142" width="9.42578125" style="493" customWidth="1"/>
    <col min="4143" max="4143" width="22.140625" style="493" customWidth="1"/>
    <col min="4144" max="4144" width="30.28515625" style="493" customWidth="1"/>
    <col min="4145" max="4145" width="29" style="493" customWidth="1"/>
    <col min="4146" max="4146" width="33.7109375" style="493" customWidth="1"/>
    <col min="4147" max="4147" width="32.28515625" style="493" customWidth="1"/>
    <col min="4148" max="4148" width="14.7109375" style="493" customWidth="1"/>
    <col min="4149" max="4149" width="14.42578125" style="493" customWidth="1"/>
    <col min="4150" max="4150" width="14.5703125" style="493" customWidth="1"/>
    <col min="4151" max="4151" width="18" style="493" customWidth="1"/>
    <col min="4152" max="4152" width="32.42578125" style="493" customWidth="1"/>
    <col min="4153" max="4153" width="35.42578125" style="493" customWidth="1"/>
    <col min="4154" max="4154" width="36.85546875" style="493" customWidth="1"/>
    <col min="4155" max="4155" width="33.5703125" style="493" customWidth="1"/>
    <col min="4156" max="4156" width="35.85546875" style="493" customWidth="1"/>
    <col min="4157" max="4157" width="30.5703125" style="493" customWidth="1"/>
    <col min="4158" max="4158" width="32.7109375" style="493" customWidth="1"/>
    <col min="4159" max="4159" width="32.140625" style="493" customWidth="1"/>
    <col min="4160" max="4160" width="36.5703125" style="493" customWidth="1"/>
    <col min="4161" max="4161" width="35.140625" style="493" customWidth="1"/>
    <col min="4162" max="4162" width="11.7109375" style="493" customWidth="1"/>
    <col min="4163" max="4163" width="15.42578125" style="493" customWidth="1"/>
    <col min="4164" max="4164" width="15.140625" style="493" customWidth="1"/>
    <col min="4165" max="4165" width="19.140625" style="493" customWidth="1"/>
    <col min="4166" max="4166" width="7.5703125" style="493" customWidth="1"/>
    <col min="4167" max="4167" width="11.28515625" style="493" customWidth="1"/>
    <col min="4168" max="4168" width="19.7109375" style="493" customWidth="1"/>
    <col min="4169" max="4169" width="25.42578125" style="493" customWidth="1"/>
    <col min="4170" max="4170" width="38.28515625" style="493" customWidth="1"/>
    <col min="4171" max="4171" width="31.7109375" style="493" customWidth="1"/>
    <col min="4172" max="4352" width="9.140625" style="493"/>
    <col min="4353" max="4353" width="17.140625" style="493" customWidth="1"/>
    <col min="4354" max="4354" width="16.85546875" style="493" customWidth="1"/>
    <col min="4355" max="4355" width="36.5703125" style="493" customWidth="1"/>
    <col min="4356" max="4356" width="14.140625" style="493" customWidth="1"/>
    <col min="4357" max="4357" width="18.5703125" style="493" customWidth="1"/>
    <col min="4358" max="4358" width="8.42578125" style="493" customWidth="1"/>
    <col min="4359" max="4359" width="17.7109375" style="493" customWidth="1"/>
    <col min="4360" max="4360" width="12.85546875" style="493" customWidth="1"/>
    <col min="4361" max="4361" width="29.28515625" style="493" customWidth="1"/>
    <col min="4362" max="4362" width="14.5703125" style="493" customWidth="1"/>
    <col min="4363" max="4363" width="32.42578125" style="493" customWidth="1"/>
    <col min="4364" max="4364" width="17.7109375" style="493" customWidth="1"/>
    <col min="4365" max="4365" width="33.7109375" style="493" customWidth="1"/>
    <col min="4366" max="4366" width="19.140625" style="493" customWidth="1"/>
    <col min="4367" max="4367" width="31.140625" style="493" customWidth="1"/>
    <col min="4368" max="4368" width="34.28515625" style="493" customWidth="1"/>
    <col min="4369" max="4369" width="33.42578125" style="493" customWidth="1"/>
    <col min="4370" max="4370" width="36.42578125" style="493" customWidth="1"/>
    <col min="4371" max="4371" width="11.85546875" style="493" customWidth="1"/>
    <col min="4372" max="4372" width="6.85546875" style="493" customWidth="1"/>
    <col min="4373" max="4373" width="10.85546875" style="493" customWidth="1"/>
    <col min="4374" max="4374" width="13" style="493" customWidth="1"/>
    <col min="4375" max="4375" width="11" style="493" customWidth="1"/>
    <col min="4376" max="4376" width="11.140625" style="493" customWidth="1"/>
    <col min="4377" max="4377" width="12.7109375" style="493" customWidth="1"/>
    <col min="4378" max="4378" width="10.42578125" style="493" customWidth="1"/>
    <col min="4379" max="4379" width="16.85546875" style="493" customWidth="1"/>
    <col min="4380" max="4380" width="14.140625" style="493" customWidth="1"/>
    <col min="4381" max="4381" width="15.7109375" style="493" customWidth="1"/>
    <col min="4382" max="4382" width="13.140625" style="493" customWidth="1"/>
    <col min="4383" max="4383" width="11.7109375" style="493" customWidth="1"/>
    <col min="4384" max="4384" width="14.140625" style="493" customWidth="1"/>
    <col min="4385" max="4385" width="10.42578125" style="493" customWidth="1"/>
    <col min="4386" max="4386" width="18.5703125" style="493" customWidth="1"/>
    <col min="4387" max="4387" width="16.140625" style="493" customWidth="1"/>
    <col min="4388" max="4388" width="18.5703125" style="493" customWidth="1"/>
    <col min="4389" max="4389" width="18.140625" style="493" customWidth="1"/>
    <col min="4390" max="4390" width="13.140625" style="493" customWidth="1"/>
    <col min="4391" max="4391" width="14.140625" style="493" customWidth="1"/>
    <col min="4392" max="4392" width="18.5703125" style="493" customWidth="1"/>
    <col min="4393" max="4393" width="16.42578125" style="493" customWidth="1"/>
    <col min="4394" max="4394" width="36.5703125" style="493" customWidth="1"/>
    <col min="4395" max="4395" width="13.42578125" style="493" customWidth="1"/>
    <col min="4396" max="4396" width="9.28515625" style="493" customWidth="1"/>
    <col min="4397" max="4397" width="10.85546875" style="493" customWidth="1"/>
    <col min="4398" max="4398" width="9.42578125" style="493" customWidth="1"/>
    <col min="4399" max="4399" width="22.140625" style="493" customWidth="1"/>
    <col min="4400" max="4400" width="30.28515625" style="493" customWidth="1"/>
    <col min="4401" max="4401" width="29" style="493" customWidth="1"/>
    <col min="4402" max="4402" width="33.7109375" style="493" customWidth="1"/>
    <col min="4403" max="4403" width="32.28515625" style="493" customWidth="1"/>
    <col min="4404" max="4404" width="14.7109375" style="493" customWidth="1"/>
    <col min="4405" max="4405" width="14.42578125" style="493" customWidth="1"/>
    <col min="4406" max="4406" width="14.5703125" style="493" customWidth="1"/>
    <col min="4407" max="4407" width="18" style="493" customWidth="1"/>
    <col min="4408" max="4408" width="32.42578125" style="493" customWidth="1"/>
    <col min="4409" max="4409" width="35.42578125" style="493" customWidth="1"/>
    <col min="4410" max="4410" width="36.85546875" style="493" customWidth="1"/>
    <col min="4411" max="4411" width="33.5703125" style="493" customWidth="1"/>
    <col min="4412" max="4412" width="35.85546875" style="493" customWidth="1"/>
    <col min="4413" max="4413" width="30.5703125" style="493" customWidth="1"/>
    <col min="4414" max="4414" width="32.7109375" style="493" customWidth="1"/>
    <col min="4415" max="4415" width="32.140625" style="493" customWidth="1"/>
    <col min="4416" max="4416" width="36.5703125" style="493" customWidth="1"/>
    <col min="4417" max="4417" width="35.140625" style="493" customWidth="1"/>
    <col min="4418" max="4418" width="11.7109375" style="493" customWidth="1"/>
    <col min="4419" max="4419" width="15.42578125" style="493" customWidth="1"/>
    <col min="4420" max="4420" width="15.140625" style="493" customWidth="1"/>
    <col min="4421" max="4421" width="19.140625" style="493" customWidth="1"/>
    <col min="4422" max="4422" width="7.5703125" style="493" customWidth="1"/>
    <col min="4423" max="4423" width="11.28515625" style="493" customWidth="1"/>
    <col min="4424" max="4424" width="19.7109375" style="493" customWidth="1"/>
    <col min="4425" max="4425" width="25.42578125" style="493" customWidth="1"/>
    <col min="4426" max="4426" width="38.28515625" style="493" customWidth="1"/>
    <col min="4427" max="4427" width="31.7109375" style="493" customWidth="1"/>
    <col min="4428" max="4608" width="9.140625" style="493"/>
    <col min="4609" max="4609" width="17.140625" style="493" customWidth="1"/>
    <col min="4610" max="4610" width="16.85546875" style="493" customWidth="1"/>
    <col min="4611" max="4611" width="36.5703125" style="493" customWidth="1"/>
    <col min="4612" max="4612" width="14.140625" style="493" customWidth="1"/>
    <col min="4613" max="4613" width="18.5703125" style="493" customWidth="1"/>
    <col min="4614" max="4614" width="8.42578125" style="493" customWidth="1"/>
    <col min="4615" max="4615" width="17.7109375" style="493" customWidth="1"/>
    <col min="4616" max="4616" width="12.85546875" style="493" customWidth="1"/>
    <col min="4617" max="4617" width="29.28515625" style="493" customWidth="1"/>
    <col min="4618" max="4618" width="14.5703125" style="493" customWidth="1"/>
    <col min="4619" max="4619" width="32.42578125" style="493" customWidth="1"/>
    <col min="4620" max="4620" width="17.7109375" style="493" customWidth="1"/>
    <col min="4621" max="4621" width="33.7109375" style="493" customWidth="1"/>
    <col min="4622" max="4622" width="19.140625" style="493" customWidth="1"/>
    <col min="4623" max="4623" width="31.140625" style="493" customWidth="1"/>
    <col min="4624" max="4624" width="34.28515625" style="493" customWidth="1"/>
    <col min="4625" max="4625" width="33.42578125" style="493" customWidth="1"/>
    <col min="4626" max="4626" width="36.42578125" style="493" customWidth="1"/>
    <col min="4627" max="4627" width="11.85546875" style="493" customWidth="1"/>
    <col min="4628" max="4628" width="6.85546875" style="493" customWidth="1"/>
    <col min="4629" max="4629" width="10.85546875" style="493" customWidth="1"/>
    <col min="4630" max="4630" width="13" style="493" customWidth="1"/>
    <col min="4631" max="4631" width="11" style="493" customWidth="1"/>
    <col min="4632" max="4632" width="11.140625" style="493" customWidth="1"/>
    <col min="4633" max="4633" width="12.7109375" style="493" customWidth="1"/>
    <col min="4634" max="4634" width="10.42578125" style="493" customWidth="1"/>
    <col min="4635" max="4635" width="16.85546875" style="493" customWidth="1"/>
    <col min="4636" max="4636" width="14.140625" style="493" customWidth="1"/>
    <col min="4637" max="4637" width="15.7109375" style="493" customWidth="1"/>
    <col min="4638" max="4638" width="13.140625" style="493" customWidth="1"/>
    <col min="4639" max="4639" width="11.7109375" style="493" customWidth="1"/>
    <col min="4640" max="4640" width="14.140625" style="493" customWidth="1"/>
    <col min="4641" max="4641" width="10.42578125" style="493" customWidth="1"/>
    <col min="4642" max="4642" width="18.5703125" style="493" customWidth="1"/>
    <col min="4643" max="4643" width="16.140625" style="493" customWidth="1"/>
    <col min="4644" max="4644" width="18.5703125" style="493" customWidth="1"/>
    <col min="4645" max="4645" width="18.140625" style="493" customWidth="1"/>
    <col min="4646" max="4646" width="13.140625" style="493" customWidth="1"/>
    <col min="4647" max="4647" width="14.140625" style="493" customWidth="1"/>
    <col min="4648" max="4648" width="18.5703125" style="493" customWidth="1"/>
    <col min="4649" max="4649" width="16.42578125" style="493" customWidth="1"/>
    <col min="4650" max="4650" width="36.5703125" style="493" customWidth="1"/>
    <col min="4651" max="4651" width="13.42578125" style="493" customWidth="1"/>
    <col min="4652" max="4652" width="9.28515625" style="493" customWidth="1"/>
    <col min="4653" max="4653" width="10.85546875" style="493" customWidth="1"/>
    <col min="4654" max="4654" width="9.42578125" style="493" customWidth="1"/>
    <col min="4655" max="4655" width="22.140625" style="493" customWidth="1"/>
    <col min="4656" max="4656" width="30.28515625" style="493" customWidth="1"/>
    <col min="4657" max="4657" width="29" style="493" customWidth="1"/>
    <col min="4658" max="4658" width="33.7109375" style="493" customWidth="1"/>
    <col min="4659" max="4659" width="32.28515625" style="493" customWidth="1"/>
    <col min="4660" max="4660" width="14.7109375" style="493" customWidth="1"/>
    <col min="4661" max="4661" width="14.42578125" style="493" customWidth="1"/>
    <col min="4662" max="4662" width="14.5703125" style="493" customWidth="1"/>
    <col min="4663" max="4663" width="18" style="493" customWidth="1"/>
    <col min="4664" max="4664" width="32.42578125" style="493" customWidth="1"/>
    <col min="4665" max="4665" width="35.42578125" style="493" customWidth="1"/>
    <col min="4666" max="4666" width="36.85546875" style="493" customWidth="1"/>
    <col min="4667" max="4667" width="33.5703125" style="493" customWidth="1"/>
    <col min="4668" max="4668" width="35.85546875" style="493" customWidth="1"/>
    <col min="4669" max="4669" width="30.5703125" style="493" customWidth="1"/>
    <col min="4670" max="4670" width="32.7109375" style="493" customWidth="1"/>
    <col min="4671" max="4671" width="32.140625" style="493" customWidth="1"/>
    <col min="4672" max="4672" width="36.5703125" style="493" customWidth="1"/>
    <col min="4673" max="4673" width="35.140625" style="493" customWidth="1"/>
    <col min="4674" max="4674" width="11.7109375" style="493" customWidth="1"/>
    <col min="4675" max="4675" width="15.42578125" style="493" customWidth="1"/>
    <col min="4676" max="4676" width="15.140625" style="493" customWidth="1"/>
    <col min="4677" max="4677" width="19.140625" style="493" customWidth="1"/>
    <col min="4678" max="4678" width="7.5703125" style="493" customWidth="1"/>
    <col min="4679" max="4679" width="11.28515625" style="493" customWidth="1"/>
    <col min="4680" max="4680" width="19.7109375" style="493" customWidth="1"/>
    <col min="4681" max="4681" width="25.42578125" style="493" customWidth="1"/>
    <col min="4682" max="4682" width="38.28515625" style="493" customWidth="1"/>
    <col min="4683" max="4683" width="31.7109375" style="493" customWidth="1"/>
    <col min="4684" max="4864" width="9.140625" style="493"/>
    <col min="4865" max="4865" width="17.140625" style="493" customWidth="1"/>
    <col min="4866" max="4866" width="16.85546875" style="493" customWidth="1"/>
    <col min="4867" max="4867" width="36.5703125" style="493" customWidth="1"/>
    <col min="4868" max="4868" width="14.140625" style="493" customWidth="1"/>
    <col min="4869" max="4869" width="18.5703125" style="493" customWidth="1"/>
    <col min="4870" max="4870" width="8.42578125" style="493" customWidth="1"/>
    <col min="4871" max="4871" width="17.7109375" style="493" customWidth="1"/>
    <col min="4872" max="4872" width="12.85546875" style="493" customWidth="1"/>
    <col min="4873" max="4873" width="29.28515625" style="493" customWidth="1"/>
    <col min="4874" max="4874" width="14.5703125" style="493" customWidth="1"/>
    <col min="4875" max="4875" width="32.42578125" style="493" customWidth="1"/>
    <col min="4876" max="4876" width="17.7109375" style="493" customWidth="1"/>
    <col min="4877" max="4877" width="33.7109375" style="493" customWidth="1"/>
    <col min="4878" max="4878" width="19.140625" style="493" customWidth="1"/>
    <col min="4879" max="4879" width="31.140625" style="493" customWidth="1"/>
    <col min="4880" max="4880" width="34.28515625" style="493" customWidth="1"/>
    <col min="4881" max="4881" width="33.42578125" style="493" customWidth="1"/>
    <col min="4882" max="4882" width="36.42578125" style="493" customWidth="1"/>
    <col min="4883" max="4883" width="11.85546875" style="493" customWidth="1"/>
    <col min="4884" max="4884" width="6.85546875" style="493" customWidth="1"/>
    <col min="4885" max="4885" width="10.85546875" style="493" customWidth="1"/>
    <col min="4886" max="4886" width="13" style="493" customWidth="1"/>
    <col min="4887" max="4887" width="11" style="493" customWidth="1"/>
    <col min="4888" max="4888" width="11.140625" style="493" customWidth="1"/>
    <col min="4889" max="4889" width="12.7109375" style="493" customWidth="1"/>
    <col min="4890" max="4890" width="10.42578125" style="493" customWidth="1"/>
    <col min="4891" max="4891" width="16.85546875" style="493" customWidth="1"/>
    <col min="4892" max="4892" width="14.140625" style="493" customWidth="1"/>
    <col min="4893" max="4893" width="15.7109375" style="493" customWidth="1"/>
    <col min="4894" max="4894" width="13.140625" style="493" customWidth="1"/>
    <col min="4895" max="4895" width="11.7109375" style="493" customWidth="1"/>
    <col min="4896" max="4896" width="14.140625" style="493" customWidth="1"/>
    <col min="4897" max="4897" width="10.42578125" style="493" customWidth="1"/>
    <col min="4898" max="4898" width="18.5703125" style="493" customWidth="1"/>
    <col min="4899" max="4899" width="16.140625" style="493" customWidth="1"/>
    <col min="4900" max="4900" width="18.5703125" style="493" customWidth="1"/>
    <col min="4901" max="4901" width="18.140625" style="493" customWidth="1"/>
    <col min="4902" max="4902" width="13.140625" style="493" customWidth="1"/>
    <col min="4903" max="4903" width="14.140625" style="493" customWidth="1"/>
    <col min="4904" max="4904" width="18.5703125" style="493" customWidth="1"/>
    <col min="4905" max="4905" width="16.42578125" style="493" customWidth="1"/>
    <col min="4906" max="4906" width="36.5703125" style="493" customWidth="1"/>
    <col min="4907" max="4907" width="13.42578125" style="493" customWidth="1"/>
    <col min="4908" max="4908" width="9.28515625" style="493" customWidth="1"/>
    <col min="4909" max="4909" width="10.85546875" style="493" customWidth="1"/>
    <col min="4910" max="4910" width="9.42578125" style="493" customWidth="1"/>
    <col min="4911" max="4911" width="22.140625" style="493" customWidth="1"/>
    <col min="4912" max="4912" width="30.28515625" style="493" customWidth="1"/>
    <col min="4913" max="4913" width="29" style="493" customWidth="1"/>
    <col min="4914" max="4914" width="33.7109375" style="493" customWidth="1"/>
    <col min="4915" max="4915" width="32.28515625" style="493" customWidth="1"/>
    <col min="4916" max="4916" width="14.7109375" style="493" customWidth="1"/>
    <col min="4917" max="4917" width="14.42578125" style="493" customWidth="1"/>
    <col min="4918" max="4918" width="14.5703125" style="493" customWidth="1"/>
    <col min="4919" max="4919" width="18" style="493" customWidth="1"/>
    <col min="4920" max="4920" width="32.42578125" style="493" customWidth="1"/>
    <col min="4921" max="4921" width="35.42578125" style="493" customWidth="1"/>
    <col min="4922" max="4922" width="36.85546875" style="493" customWidth="1"/>
    <col min="4923" max="4923" width="33.5703125" style="493" customWidth="1"/>
    <col min="4924" max="4924" width="35.85546875" style="493" customWidth="1"/>
    <col min="4925" max="4925" width="30.5703125" style="493" customWidth="1"/>
    <col min="4926" max="4926" width="32.7109375" style="493" customWidth="1"/>
    <col min="4927" max="4927" width="32.140625" style="493" customWidth="1"/>
    <col min="4928" max="4928" width="36.5703125" style="493" customWidth="1"/>
    <col min="4929" max="4929" width="35.140625" style="493" customWidth="1"/>
    <col min="4930" max="4930" width="11.7109375" style="493" customWidth="1"/>
    <col min="4931" max="4931" width="15.42578125" style="493" customWidth="1"/>
    <col min="4932" max="4932" width="15.140625" style="493" customWidth="1"/>
    <col min="4933" max="4933" width="19.140625" style="493" customWidth="1"/>
    <col min="4934" max="4934" width="7.5703125" style="493" customWidth="1"/>
    <col min="4935" max="4935" width="11.28515625" style="493" customWidth="1"/>
    <col min="4936" max="4936" width="19.7109375" style="493" customWidth="1"/>
    <col min="4937" max="4937" width="25.42578125" style="493" customWidth="1"/>
    <col min="4938" max="4938" width="38.28515625" style="493" customWidth="1"/>
    <col min="4939" max="4939" width="31.7109375" style="493" customWidth="1"/>
    <col min="4940" max="5120" width="9.140625" style="493"/>
    <col min="5121" max="5121" width="17.140625" style="493" customWidth="1"/>
    <col min="5122" max="5122" width="16.85546875" style="493" customWidth="1"/>
    <col min="5123" max="5123" width="36.5703125" style="493" customWidth="1"/>
    <col min="5124" max="5124" width="14.140625" style="493" customWidth="1"/>
    <col min="5125" max="5125" width="18.5703125" style="493" customWidth="1"/>
    <col min="5126" max="5126" width="8.42578125" style="493" customWidth="1"/>
    <col min="5127" max="5127" width="17.7109375" style="493" customWidth="1"/>
    <col min="5128" max="5128" width="12.85546875" style="493" customWidth="1"/>
    <col min="5129" max="5129" width="29.28515625" style="493" customWidth="1"/>
    <col min="5130" max="5130" width="14.5703125" style="493" customWidth="1"/>
    <col min="5131" max="5131" width="32.42578125" style="493" customWidth="1"/>
    <col min="5132" max="5132" width="17.7109375" style="493" customWidth="1"/>
    <col min="5133" max="5133" width="33.7109375" style="493" customWidth="1"/>
    <col min="5134" max="5134" width="19.140625" style="493" customWidth="1"/>
    <col min="5135" max="5135" width="31.140625" style="493" customWidth="1"/>
    <col min="5136" max="5136" width="34.28515625" style="493" customWidth="1"/>
    <col min="5137" max="5137" width="33.42578125" style="493" customWidth="1"/>
    <col min="5138" max="5138" width="36.42578125" style="493" customWidth="1"/>
    <col min="5139" max="5139" width="11.85546875" style="493" customWidth="1"/>
    <col min="5140" max="5140" width="6.85546875" style="493" customWidth="1"/>
    <col min="5141" max="5141" width="10.85546875" style="493" customWidth="1"/>
    <col min="5142" max="5142" width="13" style="493" customWidth="1"/>
    <col min="5143" max="5143" width="11" style="493" customWidth="1"/>
    <col min="5144" max="5144" width="11.140625" style="493" customWidth="1"/>
    <col min="5145" max="5145" width="12.7109375" style="493" customWidth="1"/>
    <col min="5146" max="5146" width="10.42578125" style="493" customWidth="1"/>
    <col min="5147" max="5147" width="16.85546875" style="493" customWidth="1"/>
    <col min="5148" max="5148" width="14.140625" style="493" customWidth="1"/>
    <col min="5149" max="5149" width="15.7109375" style="493" customWidth="1"/>
    <col min="5150" max="5150" width="13.140625" style="493" customWidth="1"/>
    <col min="5151" max="5151" width="11.7109375" style="493" customWidth="1"/>
    <col min="5152" max="5152" width="14.140625" style="493" customWidth="1"/>
    <col min="5153" max="5153" width="10.42578125" style="493" customWidth="1"/>
    <col min="5154" max="5154" width="18.5703125" style="493" customWidth="1"/>
    <col min="5155" max="5155" width="16.140625" style="493" customWidth="1"/>
    <col min="5156" max="5156" width="18.5703125" style="493" customWidth="1"/>
    <col min="5157" max="5157" width="18.140625" style="493" customWidth="1"/>
    <col min="5158" max="5158" width="13.140625" style="493" customWidth="1"/>
    <col min="5159" max="5159" width="14.140625" style="493" customWidth="1"/>
    <col min="5160" max="5160" width="18.5703125" style="493" customWidth="1"/>
    <col min="5161" max="5161" width="16.42578125" style="493" customWidth="1"/>
    <col min="5162" max="5162" width="36.5703125" style="493" customWidth="1"/>
    <col min="5163" max="5163" width="13.42578125" style="493" customWidth="1"/>
    <col min="5164" max="5164" width="9.28515625" style="493" customWidth="1"/>
    <col min="5165" max="5165" width="10.85546875" style="493" customWidth="1"/>
    <col min="5166" max="5166" width="9.42578125" style="493" customWidth="1"/>
    <col min="5167" max="5167" width="22.140625" style="493" customWidth="1"/>
    <col min="5168" max="5168" width="30.28515625" style="493" customWidth="1"/>
    <col min="5169" max="5169" width="29" style="493" customWidth="1"/>
    <col min="5170" max="5170" width="33.7109375" style="493" customWidth="1"/>
    <col min="5171" max="5171" width="32.28515625" style="493" customWidth="1"/>
    <col min="5172" max="5172" width="14.7109375" style="493" customWidth="1"/>
    <col min="5173" max="5173" width="14.42578125" style="493" customWidth="1"/>
    <col min="5174" max="5174" width="14.5703125" style="493" customWidth="1"/>
    <col min="5175" max="5175" width="18" style="493" customWidth="1"/>
    <col min="5176" max="5176" width="32.42578125" style="493" customWidth="1"/>
    <col min="5177" max="5177" width="35.42578125" style="493" customWidth="1"/>
    <col min="5178" max="5178" width="36.85546875" style="493" customWidth="1"/>
    <col min="5179" max="5179" width="33.5703125" style="493" customWidth="1"/>
    <col min="5180" max="5180" width="35.85546875" style="493" customWidth="1"/>
    <col min="5181" max="5181" width="30.5703125" style="493" customWidth="1"/>
    <col min="5182" max="5182" width="32.7109375" style="493" customWidth="1"/>
    <col min="5183" max="5183" width="32.140625" style="493" customWidth="1"/>
    <col min="5184" max="5184" width="36.5703125" style="493" customWidth="1"/>
    <col min="5185" max="5185" width="35.140625" style="493" customWidth="1"/>
    <col min="5186" max="5186" width="11.7109375" style="493" customWidth="1"/>
    <col min="5187" max="5187" width="15.42578125" style="493" customWidth="1"/>
    <col min="5188" max="5188" width="15.140625" style="493" customWidth="1"/>
    <col min="5189" max="5189" width="19.140625" style="493" customWidth="1"/>
    <col min="5190" max="5190" width="7.5703125" style="493" customWidth="1"/>
    <col min="5191" max="5191" width="11.28515625" style="493" customWidth="1"/>
    <col min="5192" max="5192" width="19.7109375" style="493" customWidth="1"/>
    <col min="5193" max="5193" width="25.42578125" style="493" customWidth="1"/>
    <col min="5194" max="5194" width="38.28515625" style="493" customWidth="1"/>
    <col min="5195" max="5195" width="31.7109375" style="493" customWidth="1"/>
    <col min="5196" max="5376" width="9.140625" style="493"/>
    <col min="5377" max="5377" width="17.140625" style="493" customWidth="1"/>
    <col min="5378" max="5378" width="16.85546875" style="493" customWidth="1"/>
    <col min="5379" max="5379" width="36.5703125" style="493" customWidth="1"/>
    <col min="5380" max="5380" width="14.140625" style="493" customWidth="1"/>
    <col min="5381" max="5381" width="18.5703125" style="493" customWidth="1"/>
    <col min="5382" max="5382" width="8.42578125" style="493" customWidth="1"/>
    <col min="5383" max="5383" width="17.7109375" style="493" customWidth="1"/>
    <col min="5384" max="5384" width="12.85546875" style="493" customWidth="1"/>
    <col min="5385" max="5385" width="29.28515625" style="493" customWidth="1"/>
    <col min="5386" max="5386" width="14.5703125" style="493" customWidth="1"/>
    <col min="5387" max="5387" width="32.42578125" style="493" customWidth="1"/>
    <col min="5388" max="5388" width="17.7109375" style="493" customWidth="1"/>
    <col min="5389" max="5389" width="33.7109375" style="493" customWidth="1"/>
    <col min="5390" max="5390" width="19.140625" style="493" customWidth="1"/>
    <col min="5391" max="5391" width="31.140625" style="493" customWidth="1"/>
    <col min="5392" max="5392" width="34.28515625" style="493" customWidth="1"/>
    <col min="5393" max="5393" width="33.42578125" style="493" customWidth="1"/>
    <col min="5394" max="5394" width="36.42578125" style="493" customWidth="1"/>
    <col min="5395" max="5395" width="11.85546875" style="493" customWidth="1"/>
    <col min="5396" max="5396" width="6.85546875" style="493" customWidth="1"/>
    <col min="5397" max="5397" width="10.85546875" style="493" customWidth="1"/>
    <col min="5398" max="5398" width="13" style="493" customWidth="1"/>
    <col min="5399" max="5399" width="11" style="493" customWidth="1"/>
    <col min="5400" max="5400" width="11.140625" style="493" customWidth="1"/>
    <col min="5401" max="5401" width="12.7109375" style="493" customWidth="1"/>
    <col min="5402" max="5402" width="10.42578125" style="493" customWidth="1"/>
    <col min="5403" max="5403" width="16.85546875" style="493" customWidth="1"/>
    <col min="5404" max="5404" width="14.140625" style="493" customWidth="1"/>
    <col min="5405" max="5405" width="15.7109375" style="493" customWidth="1"/>
    <col min="5406" max="5406" width="13.140625" style="493" customWidth="1"/>
    <col min="5407" max="5407" width="11.7109375" style="493" customWidth="1"/>
    <col min="5408" max="5408" width="14.140625" style="493" customWidth="1"/>
    <col min="5409" max="5409" width="10.42578125" style="493" customWidth="1"/>
    <col min="5410" max="5410" width="18.5703125" style="493" customWidth="1"/>
    <col min="5411" max="5411" width="16.140625" style="493" customWidth="1"/>
    <col min="5412" max="5412" width="18.5703125" style="493" customWidth="1"/>
    <col min="5413" max="5413" width="18.140625" style="493" customWidth="1"/>
    <col min="5414" max="5414" width="13.140625" style="493" customWidth="1"/>
    <col min="5415" max="5415" width="14.140625" style="493" customWidth="1"/>
    <col min="5416" max="5416" width="18.5703125" style="493" customWidth="1"/>
    <col min="5417" max="5417" width="16.42578125" style="493" customWidth="1"/>
    <col min="5418" max="5418" width="36.5703125" style="493" customWidth="1"/>
    <col min="5419" max="5419" width="13.42578125" style="493" customWidth="1"/>
    <col min="5420" max="5420" width="9.28515625" style="493" customWidth="1"/>
    <col min="5421" max="5421" width="10.85546875" style="493" customWidth="1"/>
    <col min="5422" max="5422" width="9.42578125" style="493" customWidth="1"/>
    <col min="5423" max="5423" width="22.140625" style="493" customWidth="1"/>
    <col min="5424" max="5424" width="30.28515625" style="493" customWidth="1"/>
    <col min="5425" max="5425" width="29" style="493" customWidth="1"/>
    <col min="5426" max="5426" width="33.7109375" style="493" customWidth="1"/>
    <col min="5427" max="5427" width="32.28515625" style="493" customWidth="1"/>
    <col min="5428" max="5428" width="14.7109375" style="493" customWidth="1"/>
    <col min="5429" max="5429" width="14.42578125" style="493" customWidth="1"/>
    <col min="5430" max="5430" width="14.5703125" style="493" customWidth="1"/>
    <col min="5431" max="5431" width="18" style="493" customWidth="1"/>
    <col min="5432" max="5432" width="32.42578125" style="493" customWidth="1"/>
    <col min="5433" max="5433" width="35.42578125" style="493" customWidth="1"/>
    <col min="5434" max="5434" width="36.85546875" style="493" customWidth="1"/>
    <col min="5435" max="5435" width="33.5703125" style="493" customWidth="1"/>
    <col min="5436" max="5436" width="35.85546875" style="493" customWidth="1"/>
    <col min="5437" max="5437" width="30.5703125" style="493" customWidth="1"/>
    <col min="5438" max="5438" width="32.7109375" style="493" customWidth="1"/>
    <col min="5439" max="5439" width="32.140625" style="493" customWidth="1"/>
    <col min="5440" max="5440" width="36.5703125" style="493" customWidth="1"/>
    <col min="5441" max="5441" width="35.140625" style="493" customWidth="1"/>
    <col min="5442" max="5442" width="11.7109375" style="493" customWidth="1"/>
    <col min="5443" max="5443" width="15.42578125" style="493" customWidth="1"/>
    <col min="5444" max="5444" width="15.140625" style="493" customWidth="1"/>
    <col min="5445" max="5445" width="19.140625" style="493" customWidth="1"/>
    <col min="5446" max="5446" width="7.5703125" style="493" customWidth="1"/>
    <col min="5447" max="5447" width="11.28515625" style="493" customWidth="1"/>
    <col min="5448" max="5448" width="19.7109375" style="493" customWidth="1"/>
    <col min="5449" max="5449" width="25.42578125" style="493" customWidth="1"/>
    <col min="5450" max="5450" width="38.28515625" style="493" customWidth="1"/>
    <col min="5451" max="5451" width="31.7109375" style="493" customWidth="1"/>
    <col min="5452" max="5632" width="9.140625" style="493"/>
    <col min="5633" max="5633" width="17.140625" style="493" customWidth="1"/>
    <col min="5634" max="5634" width="16.85546875" style="493" customWidth="1"/>
    <col min="5635" max="5635" width="36.5703125" style="493" customWidth="1"/>
    <col min="5636" max="5636" width="14.140625" style="493" customWidth="1"/>
    <col min="5637" max="5637" width="18.5703125" style="493" customWidth="1"/>
    <col min="5638" max="5638" width="8.42578125" style="493" customWidth="1"/>
    <col min="5639" max="5639" width="17.7109375" style="493" customWidth="1"/>
    <col min="5640" max="5640" width="12.85546875" style="493" customWidth="1"/>
    <col min="5641" max="5641" width="29.28515625" style="493" customWidth="1"/>
    <col min="5642" max="5642" width="14.5703125" style="493" customWidth="1"/>
    <col min="5643" max="5643" width="32.42578125" style="493" customWidth="1"/>
    <col min="5644" max="5644" width="17.7109375" style="493" customWidth="1"/>
    <col min="5645" max="5645" width="33.7109375" style="493" customWidth="1"/>
    <col min="5646" max="5646" width="19.140625" style="493" customWidth="1"/>
    <col min="5647" max="5647" width="31.140625" style="493" customWidth="1"/>
    <col min="5648" max="5648" width="34.28515625" style="493" customWidth="1"/>
    <col min="5649" max="5649" width="33.42578125" style="493" customWidth="1"/>
    <col min="5650" max="5650" width="36.42578125" style="493" customWidth="1"/>
    <col min="5651" max="5651" width="11.85546875" style="493" customWidth="1"/>
    <col min="5652" max="5652" width="6.85546875" style="493" customWidth="1"/>
    <col min="5653" max="5653" width="10.85546875" style="493" customWidth="1"/>
    <col min="5654" max="5654" width="13" style="493" customWidth="1"/>
    <col min="5655" max="5655" width="11" style="493" customWidth="1"/>
    <col min="5656" max="5656" width="11.140625" style="493" customWidth="1"/>
    <col min="5657" max="5657" width="12.7109375" style="493" customWidth="1"/>
    <col min="5658" max="5658" width="10.42578125" style="493" customWidth="1"/>
    <col min="5659" max="5659" width="16.85546875" style="493" customWidth="1"/>
    <col min="5660" max="5660" width="14.140625" style="493" customWidth="1"/>
    <col min="5661" max="5661" width="15.7109375" style="493" customWidth="1"/>
    <col min="5662" max="5662" width="13.140625" style="493" customWidth="1"/>
    <col min="5663" max="5663" width="11.7109375" style="493" customWidth="1"/>
    <col min="5664" max="5664" width="14.140625" style="493" customWidth="1"/>
    <col min="5665" max="5665" width="10.42578125" style="493" customWidth="1"/>
    <col min="5666" max="5666" width="18.5703125" style="493" customWidth="1"/>
    <col min="5667" max="5667" width="16.140625" style="493" customWidth="1"/>
    <col min="5668" max="5668" width="18.5703125" style="493" customWidth="1"/>
    <col min="5669" max="5669" width="18.140625" style="493" customWidth="1"/>
    <col min="5670" max="5670" width="13.140625" style="493" customWidth="1"/>
    <col min="5671" max="5671" width="14.140625" style="493" customWidth="1"/>
    <col min="5672" max="5672" width="18.5703125" style="493" customWidth="1"/>
    <col min="5673" max="5673" width="16.42578125" style="493" customWidth="1"/>
    <col min="5674" max="5674" width="36.5703125" style="493" customWidth="1"/>
    <col min="5675" max="5675" width="13.42578125" style="493" customWidth="1"/>
    <col min="5676" max="5676" width="9.28515625" style="493" customWidth="1"/>
    <col min="5677" max="5677" width="10.85546875" style="493" customWidth="1"/>
    <col min="5678" max="5678" width="9.42578125" style="493" customWidth="1"/>
    <col min="5679" max="5679" width="22.140625" style="493" customWidth="1"/>
    <col min="5680" max="5680" width="30.28515625" style="493" customWidth="1"/>
    <col min="5681" max="5681" width="29" style="493" customWidth="1"/>
    <col min="5682" max="5682" width="33.7109375" style="493" customWidth="1"/>
    <col min="5683" max="5683" width="32.28515625" style="493" customWidth="1"/>
    <col min="5684" max="5684" width="14.7109375" style="493" customWidth="1"/>
    <col min="5685" max="5685" width="14.42578125" style="493" customWidth="1"/>
    <col min="5686" max="5686" width="14.5703125" style="493" customWidth="1"/>
    <col min="5687" max="5687" width="18" style="493" customWidth="1"/>
    <col min="5688" max="5688" width="32.42578125" style="493" customWidth="1"/>
    <col min="5689" max="5689" width="35.42578125" style="493" customWidth="1"/>
    <col min="5690" max="5690" width="36.85546875" style="493" customWidth="1"/>
    <col min="5691" max="5691" width="33.5703125" style="493" customWidth="1"/>
    <col min="5692" max="5692" width="35.85546875" style="493" customWidth="1"/>
    <col min="5693" max="5693" width="30.5703125" style="493" customWidth="1"/>
    <col min="5694" max="5694" width="32.7109375" style="493" customWidth="1"/>
    <col min="5695" max="5695" width="32.140625" style="493" customWidth="1"/>
    <col min="5696" max="5696" width="36.5703125" style="493" customWidth="1"/>
    <col min="5697" max="5697" width="35.140625" style="493" customWidth="1"/>
    <col min="5698" max="5698" width="11.7109375" style="493" customWidth="1"/>
    <col min="5699" max="5699" width="15.42578125" style="493" customWidth="1"/>
    <col min="5700" max="5700" width="15.140625" style="493" customWidth="1"/>
    <col min="5701" max="5701" width="19.140625" style="493" customWidth="1"/>
    <col min="5702" max="5702" width="7.5703125" style="493" customWidth="1"/>
    <col min="5703" max="5703" width="11.28515625" style="493" customWidth="1"/>
    <col min="5704" max="5704" width="19.7109375" style="493" customWidth="1"/>
    <col min="5705" max="5705" width="25.42578125" style="493" customWidth="1"/>
    <col min="5706" max="5706" width="38.28515625" style="493" customWidth="1"/>
    <col min="5707" max="5707" width="31.7109375" style="493" customWidth="1"/>
    <col min="5708" max="5888" width="9.140625" style="493"/>
    <col min="5889" max="5889" width="17.140625" style="493" customWidth="1"/>
    <col min="5890" max="5890" width="16.85546875" style="493" customWidth="1"/>
    <col min="5891" max="5891" width="36.5703125" style="493" customWidth="1"/>
    <col min="5892" max="5892" width="14.140625" style="493" customWidth="1"/>
    <col min="5893" max="5893" width="18.5703125" style="493" customWidth="1"/>
    <col min="5894" max="5894" width="8.42578125" style="493" customWidth="1"/>
    <col min="5895" max="5895" width="17.7109375" style="493" customWidth="1"/>
    <col min="5896" max="5896" width="12.85546875" style="493" customWidth="1"/>
    <col min="5897" max="5897" width="29.28515625" style="493" customWidth="1"/>
    <col min="5898" max="5898" width="14.5703125" style="493" customWidth="1"/>
    <col min="5899" max="5899" width="32.42578125" style="493" customWidth="1"/>
    <col min="5900" max="5900" width="17.7109375" style="493" customWidth="1"/>
    <col min="5901" max="5901" width="33.7109375" style="493" customWidth="1"/>
    <col min="5902" max="5902" width="19.140625" style="493" customWidth="1"/>
    <col min="5903" max="5903" width="31.140625" style="493" customWidth="1"/>
    <col min="5904" max="5904" width="34.28515625" style="493" customWidth="1"/>
    <col min="5905" max="5905" width="33.42578125" style="493" customWidth="1"/>
    <col min="5906" max="5906" width="36.42578125" style="493" customWidth="1"/>
    <col min="5907" max="5907" width="11.85546875" style="493" customWidth="1"/>
    <col min="5908" max="5908" width="6.85546875" style="493" customWidth="1"/>
    <col min="5909" max="5909" width="10.85546875" style="493" customWidth="1"/>
    <col min="5910" max="5910" width="13" style="493" customWidth="1"/>
    <col min="5911" max="5911" width="11" style="493" customWidth="1"/>
    <col min="5912" max="5912" width="11.140625" style="493" customWidth="1"/>
    <col min="5913" max="5913" width="12.7109375" style="493" customWidth="1"/>
    <col min="5914" max="5914" width="10.42578125" style="493" customWidth="1"/>
    <col min="5915" max="5915" width="16.85546875" style="493" customWidth="1"/>
    <col min="5916" max="5916" width="14.140625" style="493" customWidth="1"/>
    <col min="5917" max="5917" width="15.7109375" style="493" customWidth="1"/>
    <col min="5918" max="5918" width="13.140625" style="493" customWidth="1"/>
    <col min="5919" max="5919" width="11.7109375" style="493" customWidth="1"/>
    <col min="5920" max="5920" width="14.140625" style="493" customWidth="1"/>
    <col min="5921" max="5921" width="10.42578125" style="493" customWidth="1"/>
    <col min="5922" max="5922" width="18.5703125" style="493" customWidth="1"/>
    <col min="5923" max="5923" width="16.140625" style="493" customWidth="1"/>
    <col min="5924" max="5924" width="18.5703125" style="493" customWidth="1"/>
    <col min="5925" max="5925" width="18.140625" style="493" customWidth="1"/>
    <col min="5926" max="5926" width="13.140625" style="493" customWidth="1"/>
    <col min="5927" max="5927" width="14.140625" style="493" customWidth="1"/>
    <col min="5928" max="5928" width="18.5703125" style="493" customWidth="1"/>
    <col min="5929" max="5929" width="16.42578125" style="493" customWidth="1"/>
    <col min="5930" max="5930" width="36.5703125" style="493" customWidth="1"/>
    <col min="5931" max="5931" width="13.42578125" style="493" customWidth="1"/>
    <col min="5932" max="5932" width="9.28515625" style="493" customWidth="1"/>
    <col min="5933" max="5933" width="10.85546875" style="493" customWidth="1"/>
    <col min="5934" max="5934" width="9.42578125" style="493" customWidth="1"/>
    <col min="5935" max="5935" width="22.140625" style="493" customWidth="1"/>
    <col min="5936" max="5936" width="30.28515625" style="493" customWidth="1"/>
    <col min="5937" max="5937" width="29" style="493" customWidth="1"/>
    <col min="5938" max="5938" width="33.7109375" style="493" customWidth="1"/>
    <col min="5939" max="5939" width="32.28515625" style="493" customWidth="1"/>
    <col min="5940" max="5940" width="14.7109375" style="493" customWidth="1"/>
    <col min="5941" max="5941" width="14.42578125" style="493" customWidth="1"/>
    <col min="5942" max="5942" width="14.5703125" style="493" customWidth="1"/>
    <col min="5943" max="5943" width="18" style="493" customWidth="1"/>
    <col min="5944" max="5944" width="32.42578125" style="493" customWidth="1"/>
    <col min="5945" max="5945" width="35.42578125" style="493" customWidth="1"/>
    <col min="5946" max="5946" width="36.85546875" style="493" customWidth="1"/>
    <col min="5947" max="5947" width="33.5703125" style="493" customWidth="1"/>
    <col min="5948" max="5948" width="35.85546875" style="493" customWidth="1"/>
    <col min="5949" max="5949" width="30.5703125" style="493" customWidth="1"/>
    <col min="5950" max="5950" width="32.7109375" style="493" customWidth="1"/>
    <col min="5951" max="5951" width="32.140625" style="493" customWidth="1"/>
    <col min="5952" max="5952" width="36.5703125" style="493" customWidth="1"/>
    <col min="5953" max="5953" width="35.140625" style="493" customWidth="1"/>
    <col min="5954" max="5954" width="11.7109375" style="493" customWidth="1"/>
    <col min="5955" max="5955" width="15.42578125" style="493" customWidth="1"/>
    <col min="5956" max="5956" width="15.140625" style="493" customWidth="1"/>
    <col min="5957" max="5957" width="19.140625" style="493" customWidth="1"/>
    <col min="5958" max="5958" width="7.5703125" style="493" customWidth="1"/>
    <col min="5959" max="5959" width="11.28515625" style="493" customWidth="1"/>
    <col min="5960" max="5960" width="19.7109375" style="493" customWidth="1"/>
    <col min="5961" max="5961" width="25.42578125" style="493" customWidth="1"/>
    <col min="5962" max="5962" width="38.28515625" style="493" customWidth="1"/>
    <col min="5963" max="5963" width="31.7109375" style="493" customWidth="1"/>
    <col min="5964" max="6144" width="9.140625" style="493"/>
    <col min="6145" max="6145" width="17.140625" style="493" customWidth="1"/>
    <col min="6146" max="6146" width="16.85546875" style="493" customWidth="1"/>
    <col min="6147" max="6147" width="36.5703125" style="493" customWidth="1"/>
    <col min="6148" max="6148" width="14.140625" style="493" customWidth="1"/>
    <col min="6149" max="6149" width="18.5703125" style="493" customWidth="1"/>
    <col min="6150" max="6150" width="8.42578125" style="493" customWidth="1"/>
    <col min="6151" max="6151" width="17.7109375" style="493" customWidth="1"/>
    <col min="6152" max="6152" width="12.85546875" style="493" customWidth="1"/>
    <col min="6153" max="6153" width="29.28515625" style="493" customWidth="1"/>
    <col min="6154" max="6154" width="14.5703125" style="493" customWidth="1"/>
    <col min="6155" max="6155" width="32.42578125" style="493" customWidth="1"/>
    <col min="6156" max="6156" width="17.7109375" style="493" customWidth="1"/>
    <col min="6157" max="6157" width="33.7109375" style="493" customWidth="1"/>
    <col min="6158" max="6158" width="19.140625" style="493" customWidth="1"/>
    <col min="6159" max="6159" width="31.140625" style="493" customWidth="1"/>
    <col min="6160" max="6160" width="34.28515625" style="493" customWidth="1"/>
    <col min="6161" max="6161" width="33.42578125" style="493" customWidth="1"/>
    <col min="6162" max="6162" width="36.42578125" style="493" customWidth="1"/>
    <col min="6163" max="6163" width="11.85546875" style="493" customWidth="1"/>
    <col min="6164" max="6164" width="6.85546875" style="493" customWidth="1"/>
    <col min="6165" max="6165" width="10.85546875" style="493" customWidth="1"/>
    <col min="6166" max="6166" width="13" style="493" customWidth="1"/>
    <col min="6167" max="6167" width="11" style="493" customWidth="1"/>
    <col min="6168" max="6168" width="11.140625" style="493" customWidth="1"/>
    <col min="6169" max="6169" width="12.7109375" style="493" customWidth="1"/>
    <col min="6170" max="6170" width="10.42578125" style="493" customWidth="1"/>
    <col min="6171" max="6171" width="16.85546875" style="493" customWidth="1"/>
    <col min="6172" max="6172" width="14.140625" style="493" customWidth="1"/>
    <col min="6173" max="6173" width="15.7109375" style="493" customWidth="1"/>
    <col min="6174" max="6174" width="13.140625" style="493" customWidth="1"/>
    <col min="6175" max="6175" width="11.7109375" style="493" customWidth="1"/>
    <col min="6176" max="6176" width="14.140625" style="493" customWidth="1"/>
    <col min="6177" max="6177" width="10.42578125" style="493" customWidth="1"/>
    <col min="6178" max="6178" width="18.5703125" style="493" customWidth="1"/>
    <col min="6179" max="6179" width="16.140625" style="493" customWidth="1"/>
    <col min="6180" max="6180" width="18.5703125" style="493" customWidth="1"/>
    <col min="6181" max="6181" width="18.140625" style="493" customWidth="1"/>
    <col min="6182" max="6182" width="13.140625" style="493" customWidth="1"/>
    <col min="6183" max="6183" width="14.140625" style="493" customWidth="1"/>
    <col min="6184" max="6184" width="18.5703125" style="493" customWidth="1"/>
    <col min="6185" max="6185" width="16.42578125" style="493" customWidth="1"/>
    <col min="6186" max="6186" width="36.5703125" style="493" customWidth="1"/>
    <col min="6187" max="6187" width="13.42578125" style="493" customWidth="1"/>
    <col min="6188" max="6188" width="9.28515625" style="493" customWidth="1"/>
    <col min="6189" max="6189" width="10.85546875" style="493" customWidth="1"/>
    <col min="6190" max="6190" width="9.42578125" style="493" customWidth="1"/>
    <col min="6191" max="6191" width="22.140625" style="493" customWidth="1"/>
    <col min="6192" max="6192" width="30.28515625" style="493" customWidth="1"/>
    <col min="6193" max="6193" width="29" style="493" customWidth="1"/>
    <col min="6194" max="6194" width="33.7109375" style="493" customWidth="1"/>
    <col min="6195" max="6195" width="32.28515625" style="493" customWidth="1"/>
    <col min="6196" max="6196" width="14.7109375" style="493" customWidth="1"/>
    <col min="6197" max="6197" width="14.42578125" style="493" customWidth="1"/>
    <col min="6198" max="6198" width="14.5703125" style="493" customWidth="1"/>
    <col min="6199" max="6199" width="18" style="493" customWidth="1"/>
    <col min="6200" max="6200" width="32.42578125" style="493" customWidth="1"/>
    <col min="6201" max="6201" width="35.42578125" style="493" customWidth="1"/>
    <col min="6202" max="6202" width="36.85546875" style="493" customWidth="1"/>
    <col min="6203" max="6203" width="33.5703125" style="493" customWidth="1"/>
    <col min="6204" max="6204" width="35.85546875" style="493" customWidth="1"/>
    <col min="6205" max="6205" width="30.5703125" style="493" customWidth="1"/>
    <col min="6206" max="6206" width="32.7109375" style="493" customWidth="1"/>
    <col min="6207" max="6207" width="32.140625" style="493" customWidth="1"/>
    <col min="6208" max="6208" width="36.5703125" style="493" customWidth="1"/>
    <col min="6209" max="6209" width="35.140625" style="493" customWidth="1"/>
    <col min="6210" max="6210" width="11.7109375" style="493" customWidth="1"/>
    <col min="6211" max="6211" width="15.42578125" style="493" customWidth="1"/>
    <col min="6212" max="6212" width="15.140625" style="493" customWidth="1"/>
    <col min="6213" max="6213" width="19.140625" style="493" customWidth="1"/>
    <col min="6214" max="6214" width="7.5703125" style="493" customWidth="1"/>
    <col min="6215" max="6215" width="11.28515625" style="493" customWidth="1"/>
    <col min="6216" max="6216" width="19.7109375" style="493" customWidth="1"/>
    <col min="6217" max="6217" width="25.42578125" style="493" customWidth="1"/>
    <col min="6218" max="6218" width="38.28515625" style="493" customWidth="1"/>
    <col min="6219" max="6219" width="31.7109375" style="493" customWidth="1"/>
    <col min="6220" max="6400" width="9.140625" style="493"/>
    <col min="6401" max="6401" width="17.140625" style="493" customWidth="1"/>
    <col min="6402" max="6402" width="16.85546875" style="493" customWidth="1"/>
    <col min="6403" max="6403" width="36.5703125" style="493" customWidth="1"/>
    <col min="6404" max="6404" width="14.140625" style="493" customWidth="1"/>
    <col min="6405" max="6405" width="18.5703125" style="493" customWidth="1"/>
    <col min="6406" max="6406" width="8.42578125" style="493" customWidth="1"/>
    <col min="6407" max="6407" width="17.7109375" style="493" customWidth="1"/>
    <col min="6408" max="6408" width="12.85546875" style="493" customWidth="1"/>
    <col min="6409" max="6409" width="29.28515625" style="493" customWidth="1"/>
    <col min="6410" max="6410" width="14.5703125" style="493" customWidth="1"/>
    <col min="6411" max="6411" width="32.42578125" style="493" customWidth="1"/>
    <col min="6412" max="6412" width="17.7109375" style="493" customWidth="1"/>
    <col min="6413" max="6413" width="33.7109375" style="493" customWidth="1"/>
    <col min="6414" max="6414" width="19.140625" style="493" customWidth="1"/>
    <col min="6415" max="6415" width="31.140625" style="493" customWidth="1"/>
    <col min="6416" max="6416" width="34.28515625" style="493" customWidth="1"/>
    <col min="6417" max="6417" width="33.42578125" style="493" customWidth="1"/>
    <col min="6418" max="6418" width="36.42578125" style="493" customWidth="1"/>
    <col min="6419" max="6419" width="11.85546875" style="493" customWidth="1"/>
    <col min="6420" max="6420" width="6.85546875" style="493" customWidth="1"/>
    <col min="6421" max="6421" width="10.85546875" style="493" customWidth="1"/>
    <col min="6422" max="6422" width="13" style="493" customWidth="1"/>
    <col min="6423" max="6423" width="11" style="493" customWidth="1"/>
    <col min="6424" max="6424" width="11.140625" style="493" customWidth="1"/>
    <col min="6425" max="6425" width="12.7109375" style="493" customWidth="1"/>
    <col min="6426" max="6426" width="10.42578125" style="493" customWidth="1"/>
    <col min="6427" max="6427" width="16.85546875" style="493" customWidth="1"/>
    <col min="6428" max="6428" width="14.140625" style="493" customWidth="1"/>
    <col min="6429" max="6429" width="15.7109375" style="493" customWidth="1"/>
    <col min="6430" max="6430" width="13.140625" style="493" customWidth="1"/>
    <col min="6431" max="6431" width="11.7109375" style="493" customWidth="1"/>
    <col min="6432" max="6432" width="14.140625" style="493" customWidth="1"/>
    <col min="6433" max="6433" width="10.42578125" style="493" customWidth="1"/>
    <col min="6434" max="6434" width="18.5703125" style="493" customWidth="1"/>
    <col min="6435" max="6435" width="16.140625" style="493" customWidth="1"/>
    <col min="6436" max="6436" width="18.5703125" style="493" customWidth="1"/>
    <col min="6437" max="6437" width="18.140625" style="493" customWidth="1"/>
    <col min="6438" max="6438" width="13.140625" style="493" customWidth="1"/>
    <col min="6439" max="6439" width="14.140625" style="493" customWidth="1"/>
    <col min="6440" max="6440" width="18.5703125" style="493" customWidth="1"/>
    <col min="6441" max="6441" width="16.42578125" style="493" customWidth="1"/>
    <col min="6442" max="6442" width="36.5703125" style="493" customWidth="1"/>
    <col min="6443" max="6443" width="13.42578125" style="493" customWidth="1"/>
    <col min="6444" max="6444" width="9.28515625" style="493" customWidth="1"/>
    <col min="6445" max="6445" width="10.85546875" style="493" customWidth="1"/>
    <col min="6446" max="6446" width="9.42578125" style="493" customWidth="1"/>
    <col min="6447" max="6447" width="22.140625" style="493" customWidth="1"/>
    <col min="6448" max="6448" width="30.28515625" style="493" customWidth="1"/>
    <col min="6449" max="6449" width="29" style="493" customWidth="1"/>
    <col min="6450" max="6450" width="33.7109375" style="493" customWidth="1"/>
    <col min="6451" max="6451" width="32.28515625" style="493" customWidth="1"/>
    <col min="6452" max="6452" width="14.7109375" style="493" customWidth="1"/>
    <col min="6453" max="6453" width="14.42578125" style="493" customWidth="1"/>
    <col min="6454" max="6454" width="14.5703125" style="493" customWidth="1"/>
    <col min="6455" max="6455" width="18" style="493" customWidth="1"/>
    <col min="6456" max="6456" width="32.42578125" style="493" customWidth="1"/>
    <col min="6457" max="6457" width="35.42578125" style="493" customWidth="1"/>
    <col min="6458" max="6458" width="36.85546875" style="493" customWidth="1"/>
    <col min="6459" max="6459" width="33.5703125" style="493" customWidth="1"/>
    <col min="6460" max="6460" width="35.85546875" style="493" customWidth="1"/>
    <col min="6461" max="6461" width="30.5703125" style="493" customWidth="1"/>
    <col min="6462" max="6462" width="32.7109375" style="493" customWidth="1"/>
    <col min="6463" max="6463" width="32.140625" style="493" customWidth="1"/>
    <col min="6464" max="6464" width="36.5703125" style="493" customWidth="1"/>
    <col min="6465" max="6465" width="35.140625" style="493" customWidth="1"/>
    <col min="6466" max="6466" width="11.7109375" style="493" customWidth="1"/>
    <col min="6467" max="6467" width="15.42578125" style="493" customWidth="1"/>
    <col min="6468" max="6468" width="15.140625" style="493" customWidth="1"/>
    <col min="6469" max="6469" width="19.140625" style="493" customWidth="1"/>
    <col min="6470" max="6470" width="7.5703125" style="493" customWidth="1"/>
    <col min="6471" max="6471" width="11.28515625" style="493" customWidth="1"/>
    <col min="6472" max="6472" width="19.7109375" style="493" customWidth="1"/>
    <col min="6473" max="6473" width="25.42578125" style="493" customWidth="1"/>
    <col min="6474" max="6474" width="38.28515625" style="493" customWidth="1"/>
    <col min="6475" max="6475" width="31.7109375" style="493" customWidth="1"/>
    <col min="6476" max="6656" width="9.140625" style="493"/>
    <col min="6657" max="6657" width="17.140625" style="493" customWidth="1"/>
    <col min="6658" max="6658" width="16.85546875" style="493" customWidth="1"/>
    <col min="6659" max="6659" width="36.5703125" style="493" customWidth="1"/>
    <col min="6660" max="6660" width="14.140625" style="493" customWidth="1"/>
    <col min="6661" max="6661" width="18.5703125" style="493" customWidth="1"/>
    <col min="6662" max="6662" width="8.42578125" style="493" customWidth="1"/>
    <col min="6663" max="6663" width="17.7109375" style="493" customWidth="1"/>
    <col min="6664" max="6664" width="12.85546875" style="493" customWidth="1"/>
    <col min="6665" max="6665" width="29.28515625" style="493" customWidth="1"/>
    <col min="6666" max="6666" width="14.5703125" style="493" customWidth="1"/>
    <col min="6667" max="6667" width="32.42578125" style="493" customWidth="1"/>
    <col min="6668" max="6668" width="17.7109375" style="493" customWidth="1"/>
    <col min="6669" max="6669" width="33.7109375" style="493" customWidth="1"/>
    <col min="6670" max="6670" width="19.140625" style="493" customWidth="1"/>
    <col min="6671" max="6671" width="31.140625" style="493" customWidth="1"/>
    <col min="6672" max="6672" width="34.28515625" style="493" customWidth="1"/>
    <col min="6673" max="6673" width="33.42578125" style="493" customWidth="1"/>
    <col min="6674" max="6674" width="36.42578125" style="493" customWidth="1"/>
    <col min="6675" max="6675" width="11.85546875" style="493" customWidth="1"/>
    <col min="6676" max="6676" width="6.85546875" style="493" customWidth="1"/>
    <col min="6677" max="6677" width="10.85546875" style="493" customWidth="1"/>
    <col min="6678" max="6678" width="13" style="493" customWidth="1"/>
    <col min="6679" max="6679" width="11" style="493" customWidth="1"/>
    <col min="6680" max="6680" width="11.140625" style="493" customWidth="1"/>
    <col min="6681" max="6681" width="12.7109375" style="493" customWidth="1"/>
    <col min="6682" max="6682" width="10.42578125" style="493" customWidth="1"/>
    <col min="6683" max="6683" width="16.85546875" style="493" customWidth="1"/>
    <col min="6684" max="6684" width="14.140625" style="493" customWidth="1"/>
    <col min="6685" max="6685" width="15.7109375" style="493" customWidth="1"/>
    <col min="6686" max="6686" width="13.140625" style="493" customWidth="1"/>
    <col min="6687" max="6687" width="11.7109375" style="493" customWidth="1"/>
    <col min="6688" max="6688" width="14.140625" style="493" customWidth="1"/>
    <col min="6689" max="6689" width="10.42578125" style="493" customWidth="1"/>
    <col min="6690" max="6690" width="18.5703125" style="493" customWidth="1"/>
    <col min="6691" max="6691" width="16.140625" style="493" customWidth="1"/>
    <col min="6692" max="6692" width="18.5703125" style="493" customWidth="1"/>
    <col min="6693" max="6693" width="18.140625" style="493" customWidth="1"/>
    <col min="6694" max="6694" width="13.140625" style="493" customWidth="1"/>
    <col min="6695" max="6695" width="14.140625" style="493" customWidth="1"/>
    <col min="6696" max="6696" width="18.5703125" style="493" customWidth="1"/>
    <col min="6697" max="6697" width="16.42578125" style="493" customWidth="1"/>
    <col min="6698" max="6698" width="36.5703125" style="493" customWidth="1"/>
    <col min="6699" max="6699" width="13.42578125" style="493" customWidth="1"/>
    <col min="6700" max="6700" width="9.28515625" style="493" customWidth="1"/>
    <col min="6701" max="6701" width="10.85546875" style="493" customWidth="1"/>
    <col min="6702" max="6702" width="9.42578125" style="493" customWidth="1"/>
    <col min="6703" max="6703" width="22.140625" style="493" customWidth="1"/>
    <col min="6704" max="6704" width="30.28515625" style="493" customWidth="1"/>
    <col min="6705" max="6705" width="29" style="493" customWidth="1"/>
    <col min="6706" max="6706" width="33.7109375" style="493" customWidth="1"/>
    <col min="6707" max="6707" width="32.28515625" style="493" customWidth="1"/>
    <col min="6708" max="6708" width="14.7109375" style="493" customWidth="1"/>
    <col min="6709" max="6709" width="14.42578125" style="493" customWidth="1"/>
    <col min="6710" max="6710" width="14.5703125" style="493" customWidth="1"/>
    <col min="6711" max="6711" width="18" style="493" customWidth="1"/>
    <col min="6712" max="6712" width="32.42578125" style="493" customWidth="1"/>
    <col min="6713" max="6713" width="35.42578125" style="493" customWidth="1"/>
    <col min="6714" max="6714" width="36.85546875" style="493" customWidth="1"/>
    <col min="6715" max="6715" width="33.5703125" style="493" customWidth="1"/>
    <col min="6716" max="6716" width="35.85546875" style="493" customWidth="1"/>
    <col min="6717" max="6717" width="30.5703125" style="493" customWidth="1"/>
    <col min="6718" max="6718" width="32.7109375" style="493" customWidth="1"/>
    <col min="6719" max="6719" width="32.140625" style="493" customWidth="1"/>
    <col min="6720" max="6720" width="36.5703125" style="493" customWidth="1"/>
    <col min="6721" max="6721" width="35.140625" style="493" customWidth="1"/>
    <col min="6722" max="6722" width="11.7109375" style="493" customWidth="1"/>
    <col min="6723" max="6723" width="15.42578125" style="493" customWidth="1"/>
    <col min="6724" max="6724" width="15.140625" style="493" customWidth="1"/>
    <col min="6725" max="6725" width="19.140625" style="493" customWidth="1"/>
    <col min="6726" max="6726" width="7.5703125" style="493" customWidth="1"/>
    <col min="6727" max="6727" width="11.28515625" style="493" customWidth="1"/>
    <col min="6728" max="6728" width="19.7109375" style="493" customWidth="1"/>
    <col min="6729" max="6729" width="25.42578125" style="493" customWidth="1"/>
    <col min="6730" max="6730" width="38.28515625" style="493" customWidth="1"/>
    <col min="6731" max="6731" width="31.7109375" style="493" customWidth="1"/>
    <col min="6732" max="6912" width="9.140625" style="493"/>
    <col min="6913" max="6913" width="17.140625" style="493" customWidth="1"/>
    <col min="6914" max="6914" width="16.85546875" style="493" customWidth="1"/>
    <col min="6915" max="6915" width="36.5703125" style="493" customWidth="1"/>
    <col min="6916" max="6916" width="14.140625" style="493" customWidth="1"/>
    <col min="6917" max="6917" width="18.5703125" style="493" customWidth="1"/>
    <col min="6918" max="6918" width="8.42578125" style="493" customWidth="1"/>
    <col min="6919" max="6919" width="17.7109375" style="493" customWidth="1"/>
    <col min="6920" max="6920" width="12.85546875" style="493" customWidth="1"/>
    <col min="6921" max="6921" width="29.28515625" style="493" customWidth="1"/>
    <col min="6922" max="6922" width="14.5703125" style="493" customWidth="1"/>
    <col min="6923" max="6923" width="32.42578125" style="493" customWidth="1"/>
    <col min="6924" max="6924" width="17.7109375" style="493" customWidth="1"/>
    <col min="6925" max="6925" width="33.7109375" style="493" customWidth="1"/>
    <col min="6926" max="6926" width="19.140625" style="493" customWidth="1"/>
    <col min="6927" max="6927" width="31.140625" style="493" customWidth="1"/>
    <col min="6928" max="6928" width="34.28515625" style="493" customWidth="1"/>
    <col min="6929" max="6929" width="33.42578125" style="493" customWidth="1"/>
    <col min="6930" max="6930" width="36.42578125" style="493" customWidth="1"/>
    <col min="6931" max="6931" width="11.85546875" style="493" customWidth="1"/>
    <col min="6932" max="6932" width="6.85546875" style="493" customWidth="1"/>
    <col min="6933" max="6933" width="10.85546875" style="493" customWidth="1"/>
    <col min="6934" max="6934" width="13" style="493" customWidth="1"/>
    <col min="6935" max="6935" width="11" style="493" customWidth="1"/>
    <col min="6936" max="6936" width="11.140625" style="493" customWidth="1"/>
    <col min="6937" max="6937" width="12.7109375" style="493" customWidth="1"/>
    <col min="6938" max="6938" width="10.42578125" style="493" customWidth="1"/>
    <col min="6939" max="6939" width="16.85546875" style="493" customWidth="1"/>
    <col min="6940" max="6940" width="14.140625" style="493" customWidth="1"/>
    <col min="6941" max="6941" width="15.7109375" style="493" customWidth="1"/>
    <col min="6942" max="6942" width="13.140625" style="493" customWidth="1"/>
    <col min="6943" max="6943" width="11.7109375" style="493" customWidth="1"/>
    <col min="6944" max="6944" width="14.140625" style="493" customWidth="1"/>
    <col min="6945" max="6945" width="10.42578125" style="493" customWidth="1"/>
    <col min="6946" max="6946" width="18.5703125" style="493" customWidth="1"/>
    <col min="6947" max="6947" width="16.140625" style="493" customWidth="1"/>
    <col min="6948" max="6948" width="18.5703125" style="493" customWidth="1"/>
    <col min="6949" max="6949" width="18.140625" style="493" customWidth="1"/>
    <col min="6950" max="6950" width="13.140625" style="493" customWidth="1"/>
    <col min="6951" max="6951" width="14.140625" style="493" customWidth="1"/>
    <col min="6952" max="6952" width="18.5703125" style="493" customWidth="1"/>
    <col min="6953" max="6953" width="16.42578125" style="493" customWidth="1"/>
    <col min="6954" max="6954" width="36.5703125" style="493" customWidth="1"/>
    <col min="6955" max="6955" width="13.42578125" style="493" customWidth="1"/>
    <col min="6956" max="6956" width="9.28515625" style="493" customWidth="1"/>
    <col min="6957" max="6957" width="10.85546875" style="493" customWidth="1"/>
    <col min="6958" max="6958" width="9.42578125" style="493" customWidth="1"/>
    <col min="6959" max="6959" width="22.140625" style="493" customWidth="1"/>
    <col min="6960" max="6960" width="30.28515625" style="493" customWidth="1"/>
    <col min="6961" max="6961" width="29" style="493" customWidth="1"/>
    <col min="6962" max="6962" width="33.7109375" style="493" customWidth="1"/>
    <col min="6963" max="6963" width="32.28515625" style="493" customWidth="1"/>
    <col min="6964" max="6964" width="14.7109375" style="493" customWidth="1"/>
    <col min="6965" max="6965" width="14.42578125" style="493" customWidth="1"/>
    <col min="6966" max="6966" width="14.5703125" style="493" customWidth="1"/>
    <col min="6967" max="6967" width="18" style="493" customWidth="1"/>
    <col min="6968" max="6968" width="32.42578125" style="493" customWidth="1"/>
    <col min="6969" max="6969" width="35.42578125" style="493" customWidth="1"/>
    <col min="6970" max="6970" width="36.85546875" style="493" customWidth="1"/>
    <col min="6971" max="6971" width="33.5703125" style="493" customWidth="1"/>
    <col min="6972" max="6972" width="35.85546875" style="493" customWidth="1"/>
    <col min="6973" max="6973" width="30.5703125" style="493" customWidth="1"/>
    <col min="6974" max="6974" width="32.7109375" style="493" customWidth="1"/>
    <col min="6975" max="6975" width="32.140625" style="493" customWidth="1"/>
    <col min="6976" max="6976" width="36.5703125" style="493" customWidth="1"/>
    <col min="6977" max="6977" width="35.140625" style="493" customWidth="1"/>
    <col min="6978" max="6978" width="11.7109375" style="493" customWidth="1"/>
    <col min="6979" max="6979" width="15.42578125" style="493" customWidth="1"/>
    <col min="6980" max="6980" width="15.140625" style="493" customWidth="1"/>
    <col min="6981" max="6981" width="19.140625" style="493" customWidth="1"/>
    <col min="6982" max="6982" width="7.5703125" style="493" customWidth="1"/>
    <col min="6983" max="6983" width="11.28515625" style="493" customWidth="1"/>
    <col min="6984" max="6984" width="19.7109375" style="493" customWidth="1"/>
    <col min="6985" max="6985" width="25.42578125" style="493" customWidth="1"/>
    <col min="6986" max="6986" width="38.28515625" style="493" customWidth="1"/>
    <col min="6987" max="6987" width="31.7109375" style="493" customWidth="1"/>
    <col min="6988" max="7168" width="9.140625" style="493"/>
    <col min="7169" max="7169" width="17.140625" style="493" customWidth="1"/>
    <col min="7170" max="7170" width="16.85546875" style="493" customWidth="1"/>
    <col min="7171" max="7171" width="36.5703125" style="493" customWidth="1"/>
    <col min="7172" max="7172" width="14.140625" style="493" customWidth="1"/>
    <col min="7173" max="7173" width="18.5703125" style="493" customWidth="1"/>
    <col min="7174" max="7174" width="8.42578125" style="493" customWidth="1"/>
    <col min="7175" max="7175" width="17.7109375" style="493" customWidth="1"/>
    <col min="7176" max="7176" width="12.85546875" style="493" customWidth="1"/>
    <col min="7177" max="7177" width="29.28515625" style="493" customWidth="1"/>
    <col min="7178" max="7178" width="14.5703125" style="493" customWidth="1"/>
    <col min="7179" max="7179" width="32.42578125" style="493" customWidth="1"/>
    <col min="7180" max="7180" width="17.7109375" style="493" customWidth="1"/>
    <col min="7181" max="7181" width="33.7109375" style="493" customWidth="1"/>
    <col min="7182" max="7182" width="19.140625" style="493" customWidth="1"/>
    <col min="7183" max="7183" width="31.140625" style="493" customWidth="1"/>
    <col min="7184" max="7184" width="34.28515625" style="493" customWidth="1"/>
    <col min="7185" max="7185" width="33.42578125" style="493" customWidth="1"/>
    <col min="7186" max="7186" width="36.42578125" style="493" customWidth="1"/>
    <col min="7187" max="7187" width="11.85546875" style="493" customWidth="1"/>
    <col min="7188" max="7188" width="6.85546875" style="493" customWidth="1"/>
    <col min="7189" max="7189" width="10.85546875" style="493" customWidth="1"/>
    <col min="7190" max="7190" width="13" style="493" customWidth="1"/>
    <col min="7191" max="7191" width="11" style="493" customWidth="1"/>
    <col min="7192" max="7192" width="11.140625" style="493" customWidth="1"/>
    <col min="7193" max="7193" width="12.7109375" style="493" customWidth="1"/>
    <col min="7194" max="7194" width="10.42578125" style="493" customWidth="1"/>
    <col min="7195" max="7195" width="16.85546875" style="493" customWidth="1"/>
    <col min="7196" max="7196" width="14.140625" style="493" customWidth="1"/>
    <col min="7197" max="7197" width="15.7109375" style="493" customWidth="1"/>
    <col min="7198" max="7198" width="13.140625" style="493" customWidth="1"/>
    <col min="7199" max="7199" width="11.7109375" style="493" customWidth="1"/>
    <col min="7200" max="7200" width="14.140625" style="493" customWidth="1"/>
    <col min="7201" max="7201" width="10.42578125" style="493" customWidth="1"/>
    <col min="7202" max="7202" width="18.5703125" style="493" customWidth="1"/>
    <col min="7203" max="7203" width="16.140625" style="493" customWidth="1"/>
    <col min="7204" max="7204" width="18.5703125" style="493" customWidth="1"/>
    <col min="7205" max="7205" width="18.140625" style="493" customWidth="1"/>
    <col min="7206" max="7206" width="13.140625" style="493" customWidth="1"/>
    <col min="7207" max="7207" width="14.140625" style="493" customWidth="1"/>
    <col min="7208" max="7208" width="18.5703125" style="493" customWidth="1"/>
    <col min="7209" max="7209" width="16.42578125" style="493" customWidth="1"/>
    <col min="7210" max="7210" width="36.5703125" style="493" customWidth="1"/>
    <col min="7211" max="7211" width="13.42578125" style="493" customWidth="1"/>
    <col min="7212" max="7212" width="9.28515625" style="493" customWidth="1"/>
    <col min="7213" max="7213" width="10.85546875" style="493" customWidth="1"/>
    <col min="7214" max="7214" width="9.42578125" style="493" customWidth="1"/>
    <col min="7215" max="7215" width="22.140625" style="493" customWidth="1"/>
    <col min="7216" max="7216" width="30.28515625" style="493" customWidth="1"/>
    <col min="7217" max="7217" width="29" style="493" customWidth="1"/>
    <col min="7218" max="7218" width="33.7109375" style="493" customWidth="1"/>
    <col min="7219" max="7219" width="32.28515625" style="493" customWidth="1"/>
    <col min="7220" max="7220" width="14.7109375" style="493" customWidth="1"/>
    <col min="7221" max="7221" width="14.42578125" style="493" customWidth="1"/>
    <col min="7222" max="7222" width="14.5703125" style="493" customWidth="1"/>
    <col min="7223" max="7223" width="18" style="493" customWidth="1"/>
    <col min="7224" max="7224" width="32.42578125" style="493" customWidth="1"/>
    <col min="7225" max="7225" width="35.42578125" style="493" customWidth="1"/>
    <col min="7226" max="7226" width="36.85546875" style="493" customWidth="1"/>
    <col min="7227" max="7227" width="33.5703125" style="493" customWidth="1"/>
    <col min="7228" max="7228" width="35.85546875" style="493" customWidth="1"/>
    <col min="7229" max="7229" width="30.5703125" style="493" customWidth="1"/>
    <col min="7230" max="7230" width="32.7109375" style="493" customWidth="1"/>
    <col min="7231" max="7231" width="32.140625" style="493" customWidth="1"/>
    <col min="7232" max="7232" width="36.5703125" style="493" customWidth="1"/>
    <col min="7233" max="7233" width="35.140625" style="493" customWidth="1"/>
    <col min="7234" max="7234" width="11.7109375" style="493" customWidth="1"/>
    <col min="7235" max="7235" width="15.42578125" style="493" customWidth="1"/>
    <col min="7236" max="7236" width="15.140625" style="493" customWidth="1"/>
    <col min="7237" max="7237" width="19.140625" style="493" customWidth="1"/>
    <col min="7238" max="7238" width="7.5703125" style="493" customWidth="1"/>
    <col min="7239" max="7239" width="11.28515625" style="493" customWidth="1"/>
    <col min="7240" max="7240" width="19.7109375" style="493" customWidth="1"/>
    <col min="7241" max="7241" width="25.42578125" style="493" customWidth="1"/>
    <col min="7242" max="7242" width="38.28515625" style="493" customWidth="1"/>
    <col min="7243" max="7243" width="31.7109375" style="493" customWidth="1"/>
    <col min="7244" max="7424" width="9.140625" style="493"/>
    <col min="7425" max="7425" width="17.140625" style="493" customWidth="1"/>
    <col min="7426" max="7426" width="16.85546875" style="493" customWidth="1"/>
    <col min="7427" max="7427" width="36.5703125" style="493" customWidth="1"/>
    <col min="7428" max="7428" width="14.140625" style="493" customWidth="1"/>
    <col min="7429" max="7429" width="18.5703125" style="493" customWidth="1"/>
    <col min="7430" max="7430" width="8.42578125" style="493" customWidth="1"/>
    <col min="7431" max="7431" width="17.7109375" style="493" customWidth="1"/>
    <col min="7432" max="7432" width="12.85546875" style="493" customWidth="1"/>
    <col min="7433" max="7433" width="29.28515625" style="493" customWidth="1"/>
    <col min="7434" max="7434" width="14.5703125" style="493" customWidth="1"/>
    <col min="7435" max="7435" width="32.42578125" style="493" customWidth="1"/>
    <col min="7436" max="7436" width="17.7109375" style="493" customWidth="1"/>
    <col min="7437" max="7437" width="33.7109375" style="493" customWidth="1"/>
    <col min="7438" max="7438" width="19.140625" style="493" customWidth="1"/>
    <col min="7439" max="7439" width="31.140625" style="493" customWidth="1"/>
    <col min="7440" max="7440" width="34.28515625" style="493" customWidth="1"/>
    <col min="7441" max="7441" width="33.42578125" style="493" customWidth="1"/>
    <col min="7442" max="7442" width="36.42578125" style="493" customWidth="1"/>
    <col min="7443" max="7443" width="11.85546875" style="493" customWidth="1"/>
    <col min="7444" max="7444" width="6.85546875" style="493" customWidth="1"/>
    <col min="7445" max="7445" width="10.85546875" style="493" customWidth="1"/>
    <col min="7446" max="7446" width="13" style="493" customWidth="1"/>
    <col min="7447" max="7447" width="11" style="493" customWidth="1"/>
    <col min="7448" max="7448" width="11.140625" style="493" customWidth="1"/>
    <col min="7449" max="7449" width="12.7109375" style="493" customWidth="1"/>
    <col min="7450" max="7450" width="10.42578125" style="493" customWidth="1"/>
    <col min="7451" max="7451" width="16.85546875" style="493" customWidth="1"/>
    <col min="7452" max="7452" width="14.140625" style="493" customWidth="1"/>
    <col min="7453" max="7453" width="15.7109375" style="493" customWidth="1"/>
    <col min="7454" max="7454" width="13.140625" style="493" customWidth="1"/>
    <col min="7455" max="7455" width="11.7109375" style="493" customWidth="1"/>
    <col min="7456" max="7456" width="14.140625" style="493" customWidth="1"/>
    <col min="7457" max="7457" width="10.42578125" style="493" customWidth="1"/>
    <col min="7458" max="7458" width="18.5703125" style="493" customWidth="1"/>
    <col min="7459" max="7459" width="16.140625" style="493" customWidth="1"/>
    <col min="7460" max="7460" width="18.5703125" style="493" customWidth="1"/>
    <col min="7461" max="7461" width="18.140625" style="493" customWidth="1"/>
    <col min="7462" max="7462" width="13.140625" style="493" customWidth="1"/>
    <col min="7463" max="7463" width="14.140625" style="493" customWidth="1"/>
    <col min="7464" max="7464" width="18.5703125" style="493" customWidth="1"/>
    <col min="7465" max="7465" width="16.42578125" style="493" customWidth="1"/>
    <col min="7466" max="7466" width="36.5703125" style="493" customWidth="1"/>
    <col min="7467" max="7467" width="13.42578125" style="493" customWidth="1"/>
    <col min="7468" max="7468" width="9.28515625" style="493" customWidth="1"/>
    <col min="7469" max="7469" width="10.85546875" style="493" customWidth="1"/>
    <col min="7470" max="7470" width="9.42578125" style="493" customWidth="1"/>
    <col min="7471" max="7471" width="22.140625" style="493" customWidth="1"/>
    <col min="7472" max="7472" width="30.28515625" style="493" customWidth="1"/>
    <col min="7473" max="7473" width="29" style="493" customWidth="1"/>
    <col min="7474" max="7474" width="33.7109375" style="493" customWidth="1"/>
    <col min="7475" max="7475" width="32.28515625" style="493" customWidth="1"/>
    <col min="7476" max="7476" width="14.7109375" style="493" customWidth="1"/>
    <col min="7477" max="7477" width="14.42578125" style="493" customWidth="1"/>
    <col min="7478" max="7478" width="14.5703125" style="493" customWidth="1"/>
    <col min="7479" max="7479" width="18" style="493" customWidth="1"/>
    <col min="7480" max="7480" width="32.42578125" style="493" customWidth="1"/>
    <col min="7481" max="7481" width="35.42578125" style="493" customWidth="1"/>
    <col min="7482" max="7482" width="36.85546875" style="493" customWidth="1"/>
    <col min="7483" max="7483" width="33.5703125" style="493" customWidth="1"/>
    <col min="7484" max="7484" width="35.85546875" style="493" customWidth="1"/>
    <col min="7485" max="7485" width="30.5703125" style="493" customWidth="1"/>
    <col min="7486" max="7486" width="32.7109375" style="493" customWidth="1"/>
    <col min="7487" max="7487" width="32.140625" style="493" customWidth="1"/>
    <col min="7488" max="7488" width="36.5703125" style="493" customWidth="1"/>
    <col min="7489" max="7489" width="35.140625" style="493" customWidth="1"/>
    <col min="7490" max="7490" width="11.7109375" style="493" customWidth="1"/>
    <col min="7491" max="7491" width="15.42578125" style="493" customWidth="1"/>
    <col min="7492" max="7492" width="15.140625" style="493" customWidth="1"/>
    <col min="7493" max="7493" width="19.140625" style="493" customWidth="1"/>
    <col min="7494" max="7494" width="7.5703125" style="493" customWidth="1"/>
    <col min="7495" max="7495" width="11.28515625" style="493" customWidth="1"/>
    <col min="7496" max="7496" width="19.7109375" style="493" customWidth="1"/>
    <col min="7497" max="7497" width="25.42578125" style="493" customWidth="1"/>
    <col min="7498" max="7498" width="38.28515625" style="493" customWidth="1"/>
    <col min="7499" max="7499" width="31.7109375" style="493" customWidth="1"/>
    <col min="7500" max="7680" width="9.140625" style="493"/>
    <col min="7681" max="7681" width="17.140625" style="493" customWidth="1"/>
    <col min="7682" max="7682" width="16.85546875" style="493" customWidth="1"/>
    <col min="7683" max="7683" width="36.5703125" style="493" customWidth="1"/>
    <col min="7684" max="7684" width="14.140625" style="493" customWidth="1"/>
    <col min="7685" max="7685" width="18.5703125" style="493" customWidth="1"/>
    <col min="7686" max="7686" width="8.42578125" style="493" customWidth="1"/>
    <col min="7687" max="7687" width="17.7109375" style="493" customWidth="1"/>
    <col min="7688" max="7688" width="12.85546875" style="493" customWidth="1"/>
    <col min="7689" max="7689" width="29.28515625" style="493" customWidth="1"/>
    <col min="7690" max="7690" width="14.5703125" style="493" customWidth="1"/>
    <col min="7691" max="7691" width="32.42578125" style="493" customWidth="1"/>
    <col min="7692" max="7692" width="17.7109375" style="493" customWidth="1"/>
    <col min="7693" max="7693" width="33.7109375" style="493" customWidth="1"/>
    <col min="7694" max="7694" width="19.140625" style="493" customWidth="1"/>
    <col min="7695" max="7695" width="31.140625" style="493" customWidth="1"/>
    <col min="7696" max="7696" width="34.28515625" style="493" customWidth="1"/>
    <col min="7697" max="7697" width="33.42578125" style="493" customWidth="1"/>
    <col min="7698" max="7698" width="36.42578125" style="493" customWidth="1"/>
    <col min="7699" max="7699" width="11.85546875" style="493" customWidth="1"/>
    <col min="7700" max="7700" width="6.85546875" style="493" customWidth="1"/>
    <col min="7701" max="7701" width="10.85546875" style="493" customWidth="1"/>
    <col min="7702" max="7702" width="13" style="493" customWidth="1"/>
    <col min="7703" max="7703" width="11" style="493" customWidth="1"/>
    <col min="7704" max="7704" width="11.140625" style="493" customWidth="1"/>
    <col min="7705" max="7705" width="12.7109375" style="493" customWidth="1"/>
    <col min="7706" max="7706" width="10.42578125" style="493" customWidth="1"/>
    <col min="7707" max="7707" width="16.85546875" style="493" customWidth="1"/>
    <col min="7708" max="7708" width="14.140625" style="493" customWidth="1"/>
    <col min="7709" max="7709" width="15.7109375" style="493" customWidth="1"/>
    <col min="7710" max="7710" width="13.140625" style="493" customWidth="1"/>
    <col min="7711" max="7711" width="11.7109375" style="493" customWidth="1"/>
    <col min="7712" max="7712" width="14.140625" style="493" customWidth="1"/>
    <col min="7713" max="7713" width="10.42578125" style="493" customWidth="1"/>
    <col min="7714" max="7714" width="18.5703125" style="493" customWidth="1"/>
    <col min="7715" max="7715" width="16.140625" style="493" customWidth="1"/>
    <col min="7716" max="7716" width="18.5703125" style="493" customWidth="1"/>
    <col min="7717" max="7717" width="18.140625" style="493" customWidth="1"/>
    <col min="7718" max="7718" width="13.140625" style="493" customWidth="1"/>
    <col min="7719" max="7719" width="14.140625" style="493" customWidth="1"/>
    <col min="7720" max="7720" width="18.5703125" style="493" customWidth="1"/>
    <col min="7721" max="7721" width="16.42578125" style="493" customWidth="1"/>
    <col min="7722" max="7722" width="36.5703125" style="493" customWidth="1"/>
    <col min="7723" max="7723" width="13.42578125" style="493" customWidth="1"/>
    <col min="7724" max="7724" width="9.28515625" style="493" customWidth="1"/>
    <col min="7725" max="7725" width="10.85546875" style="493" customWidth="1"/>
    <col min="7726" max="7726" width="9.42578125" style="493" customWidth="1"/>
    <col min="7727" max="7727" width="22.140625" style="493" customWidth="1"/>
    <col min="7728" max="7728" width="30.28515625" style="493" customWidth="1"/>
    <col min="7729" max="7729" width="29" style="493" customWidth="1"/>
    <col min="7730" max="7730" width="33.7109375" style="493" customWidth="1"/>
    <col min="7731" max="7731" width="32.28515625" style="493" customWidth="1"/>
    <col min="7732" max="7732" width="14.7109375" style="493" customWidth="1"/>
    <col min="7733" max="7733" width="14.42578125" style="493" customWidth="1"/>
    <col min="7734" max="7734" width="14.5703125" style="493" customWidth="1"/>
    <col min="7735" max="7735" width="18" style="493" customWidth="1"/>
    <col min="7736" max="7736" width="32.42578125" style="493" customWidth="1"/>
    <col min="7737" max="7737" width="35.42578125" style="493" customWidth="1"/>
    <col min="7738" max="7738" width="36.85546875" style="493" customWidth="1"/>
    <col min="7739" max="7739" width="33.5703125" style="493" customWidth="1"/>
    <col min="7740" max="7740" width="35.85546875" style="493" customWidth="1"/>
    <col min="7741" max="7741" width="30.5703125" style="493" customWidth="1"/>
    <col min="7742" max="7742" width="32.7109375" style="493" customWidth="1"/>
    <col min="7743" max="7743" width="32.140625" style="493" customWidth="1"/>
    <col min="7744" max="7744" width="36.5703125" style="493" customWidth="1"/>
    <col min="7745" max="7745" width="35.140625" style="493" customWidth="1"/>
    <col min="7746" max="7746" width="11.7109375" style="493" customWidth="1"/>
    <col min="7747" max="7747" width="15.42578125" style="493" customWidth="1"/>
    <col min="7748" max="7748" width="15.140625" style="493" customWidth="1"/>
    <col min="7749" max="7749" width="19.140625" style="493" customWidth="1"/>
    <col min="7750" max="7750" width="7.5703125" style="493" customWidth="1"/>
    <col min="7751" max="7751" width="11.28515625" style="493" customWidth="1"/>
    <col min="7752" max="7752" width="19.7109375" style="493" customWidth="1"/>
    <col min="7753" max="7753" width="25.42578125" style="493" customWidth="1"/>
    <col min="7754" max="7754" width="38.28515625" style="493" customWidth="1"/>
    <col min="7755" max="7755" width="31.7109375" style="493" customWidth="1"/>
    <col min="7756" max="7936" width="9.140625" style="493"/>
    <col min="7937" max="7937" width="17.140625" style="493" customWidth="1"/>
    <col min="7938" max="7938" width="16.85546875" style="493" customWidth="1"/>
    <col min="7939" max="7939" width="36.5703125" style="493" customWidth="1"/>
    <col min="7940" max="7940" width="14.140625" style="493" customWidth="1"/>
    <col min="7941" max="7941" width="18.5703125" style="493" customWidth="1"/>
    <col min="7942" max="7942" width="8.42578125" style="493" customWidth="1"/>
    <col min="7943" max="7943" width="17.7109375" style="493" customWidth="1"/>
    <col min="7944" max="7944" width="12.85546875" style="493" customWidth="1"/>
    <col min="7945" max="7945" width="29.28515625" style="493" customWidth="1"/>
    <col min="7946" max="7946" width="14.5703125" style="493" customWidth="1"/>
    <col min="7947" max="7947" width="32.42578125" style="493" customWidth="1"/>
    <col min="7948" max="7948" width="17.7109375" style="493" customWidth="1"/>
    <col min="7949" max="7949" width="33.7109375" style="493" customWidth="1"/>
    <col min="7950" max="7950" width="19.140625" style="493" customWidth="1"/>
    <col min="7951" max="7951" width="31.140625" style="493" customWidth="1"/>
    <col min="7952" max="7952" width="34.28515625" style="493" customWidth="1"/>
    <col min="7953" max="7953" width="33.42578125" style="493" customWidth="1"/>
    <col min="7954" max="7954" width="36.42578125" style="493" customWidth="1"/>
    <col min="7955" max="7955" width="11.85546875" style="493" customWidth="1"/>
    <col min="7956" max="7956" width="6.85546875" style="493" customWidth="1"/>
    <col min="7957" max="7957" width="10.85546875" style="493" customWidth="1"/>
    <col min="7958" max="7958" width="13" style="493" customWidth="1"/>
    <col min="7959" max="7959" width="11" style="493" customWidth="1"/>
    <col min="7960" max="7960" width="11.140625" style="493" customWidth="1"/>
    <col min="7961" max="7961" width="12.7109375" style="493" customWidth="1"/>
    <col min="7962" max="7962" width="10.42578125" style="493" customWidth="1"/>
    <col min="7963" max="7963" width="16.85546875" style="493" customWidth="1"/>
    <col min="7964" max="7964" width="14.140625" style="493" customWidth="1"/>
    <col min="7965" max="7965" width="15.7109375" style="493" customWidth="1"/>
    <col min="7966" max="7966" width="13.140625" style="493" customWidth="1"/>
    <col min="7967" max="7967" width="11.7109375" style="493" customWidth="1"/>
    <col min="7968" max="7968" width="14.140625" style="493" customWidth="1"/>
    <col min="7969" max="7969" width="10.42578125" style="493" customWidth="1"/>
    <col min="7970" max="7970" width="18.5703125" style="493" customWidth="1"/>
    <col min="7971" max="7971" width="16.140625" style="493" customWidth="1"/>
    <col min="7972" max="7972" width="18.5703125" style="493" customWidth="1"/>
    <col min="7973" max="7973" width="18.140625" style="493" customWidth="1"/>
    <col min="7974" max="7974" width="13.140625" style="493" customWidth="1"/>
    <col min="7975" max="7975" width="14.140625" style="493" customWidth="1"/>
    <col min="7976" max="7976" width="18.5703125" style="493" customWidth="1"/>
    <col min="7977" max="7977" width="16.42578125" style="493" customWidth="1"/>
    <col min="7978" max="7978" width="36.5703125" style="493" customWidth="1"/>
    <col min="7979" max="7979" width="13.42578125" style="493" customWidth="1"/>
    <col min="7980" max="7980" width="9.28515625" style="493" customWidth="1"/>
    <col min="7981" max="7981" width="10.85546875" style="493" customWidth="1"/>
    <col min="7982" max="7982" width="9.42578125" style="493" customWidth="1"/>
    <col min="7983" max="7983" width="22.140625" style="493" customWidth="1"/>
    <col min="7984" max="7984" width="30.28515625" style="493" customWidth="1"/>
    <col min="7985" max="7985" width="29" style="493" customWidth="1"/>
    <col min="7986" max="7986" width="33.7109375" style="493" customWidth="1"/>
    <col min="7987" max="7987" width="32.28515625" style="493" customWidth="1"/>
    <col min="7988" max="7988" width="14.7109375" style="493" customWidth="1"/>
    <col min="7989" max="7989" width="14.42578125" style="493" customWidth="1"/>
    <col min="7990" max="7990" width="14.5703125" style="493" customWidth="1"/>
    <col min="7991" max="7991" width="18" style="493" customWidth="1"/>
    <col min="7992" max="7992" width="32.42578125" style="493" customWidth="1"/>
    <col min="7993" max="7993" width="35.42578125" style="493" customWidth="1"/>
    <col min="7994" max="7994" width="36.85546875" style="493" customWidth="1"/>
    <col min="7995" max="7995" width="33.5703125" style="493" customWidth="1"/>
    <col min="7996" max="7996" width="35.85546875" style="493" customWidth="1"/>
    <col min="7997" max="7997" width="30.5703125" style="493" customWidth="1"/>
    <col min="7998" max="7998" width="32.7109375" style="493" customWidth="1"/>
    <col min="7999" max="7999" width="32.140625" style="493" customWidth="1"/>
    <col min="8000" max="8000" width="36.5703125" style="493" customWidth="1"/>
    <col min="8001" max="8001" width="35.140625" style="493" customWidth="1"/>
    <col min="8002" max="8002" width="11.7109375" style="493" customWidth="1"/>
    <col min="8003" max="8003" width="15.42578125" style="493" customWidth="1"/>
    <col min="8004" max="8004" width="15.140625" style="493" customWidth="1"/>
    <col min="8005" max="8005" width="19.140625" style="493" customWidth="1"/>
    <col min="8006" max="8006" width="7.5703125" style="493" customWidth="1"/>
    <col min="8007" max="8007" width="11.28515625" style="493" customWidth="1"/>
    <col min="8008" max="8008" width="19.7109375" style="493" customWidth="1"/>
    <col min="8009" max="8009" width="25.42578125" style="493" customWidth="1"/>
    <col min="8010" max="8010" width="38.28515625" style="493" customWidth="1"/>
    <col min="8011" max="8011" width="31.7109375" style="493" customWidth="1"/>
    <col min="8012" max="8192" width="9.140625" style="493"/>
    <col min="8193" max="8193" width="17.140625" style="493" customWidth="1"/>
    <col min="8194" max="8194" width="16.85546875" style="493" customWidth="1"/>
    <col min="8195" max="8195" width="36.5703125" style="493" customWidth="1"/>
    <col min="8196" max="8196" width="14.140625" style="493" customWidth="1"/>
    <col min="8197" max="8197" width="18.5703125" style="493" customWidth="1"/>
    <col min="8198" max="8198" width="8.42578125" style="493" customWidth="1"/>
    <col min="8199" max="8199" width="17.7109375" style="493" customWidth="1"/>
    <col min="8200" max="8200" width="12.85546875" style="493" customWidth="1"/>
    <col min="8201" max="8201" width="29.28515625" style="493" customWidth="1"/>
    <col min="8202" max="8202" width="14.5703125" style="493" customWidth="1"/>
    <col min="8203" max="8203" width="32.42578125" style="493" customWidth="1"/>
    <col min="8204" max="8204" width="17.7109375" style="493" customWidth="1"/>
    <col min="8205" max="8205" width="33.7109375" style="493" customWidth="1"/>
    <col min="8206" max="8206" width="19.140625" style="493" customWidth="1"/>
    <col min="8207" max="8207" width="31.140625" style="493" customWidth="1"/>
    <col min="8208" max="8208" width="34.28515625" style="493" customWidth="1"/>
    <col min="8209" max="8209" width="33.42578125" style="493" customWidth="1"/>
    <col min="8210" max="8210" width="36.42578125" style="493" customWidth="1"/>
    <col min="8211" max="8211" width="11.85546875" style="493" customWidth="1"/>
    <col min="8212" max="8212" width="6.85546875" style="493" customWidth="1"/>
    <col min="8213" max="8213" width="10.85546875" style="493" customWidth="1"/>
    <col min="8214" max="8214" width="13" style="493" customWidth="1"/>
    <col min="8215" max="8215" width="11" style="493" customWidth="1"/>
    <col min="8216" max="8216" width="11.140625" style="493" customWidth="1"/>
    <col min="8217" max="8217" width="12.7109375" style="493" customWidth="1"/>
    <col min="8218" max="8218" width="10.42578125" style="493" customWidth="1"/>
    <col min="8219" max="8219" width="16.85546875" style="493" customWidth="1"/>
    <col min="8220" max="8220" width="14.140625" style="493" customWidth="1"/>
    <col min="8221" max="8221" width="15.7109375" style="493" customWidth="1"/>
    <col min="8222" max="8222" width="13.140625" style="493" customWidth="1"/>
    <col min="8223" max="8223" width="11.7109375" style="493" customWidth="1"/>
    <col min="8224" max="8224" width="14.140625" style="493" customWidth="1"/>
    <col min="8225" max="8225" width="10.42578125" style="493" customWidth="1"/>
    <col min="8226" max="8226" width="18.5703125" style="493" customWidth="1"/>
    <col min="8227" max="8227" width="16.140625" style="493" customWidth="1"/>
    <col min="8228" max="8228" width="18.5703125" style="493" customWidth="1"/>
    <col min="8229" max="8229" width="18.140625" style="493" customWidth="1"/>
    <col min="8230" max="8230" width="13.140625" style="493" customWidth="1"/>
    <col min="8231" max="8231" width="14.140625" style="493" customWidth="1"/>
    <col min="8232" max="8232" width="18.5703125" style="493" customWidth="1"/>
    <col min="8233" max="8233" width="16.42578125" style="493" customWidth="1"/>
    <col min="8234" max="8234" width="36.5703125" style="493" customWidth="1"/>
    <col min="8235" max="8235" width="13.42578125" style="493" customWidth="1"/>
    <col min="8236" max="8236" width="9.28515625" style="493" customWidth="1"/>
    <col min="8237" max="8237" width="10.85546875" style="493" customWidth="1"/>
    <col min="8238" max="8238" width="9.42578125" style="493" customWidth="1"/>
    <col min="8239" max="8239" width="22.140625" style="493" customWidth="1"/>
    <col min="8240" max="8240" width="30.28515625" style="493" customWidth="1"/>
    <col min="8241" max="8241" width="29" style="493" customWidth="1"/>
    <col min="8242" max="8242" width="33.7109375" style="493" customWidth="1"/>
    <col min="8243" max="8243" width="32.28515625" style="493" customWidth="1"/>
    <col min="8244" max="8244" width="14.7109375" style="493" customWidth="1"/>
    <col min="8245" max="8245" width="14.42578125" style="493" customWidth="1"/>
    <col min="8246" max="8246" width="14.5703125" style="493" customWidth="1"/>
    <col min="8247" max="8247" width="18" style="493" customWidth="1"/>
    <col min="8248" max="8248" width="32.42578125" style="493" customWidth="1"/>
    <col min="8249" max="8249" width="35.42578125" style="493" customWidth="1"/>
    <col min="8250" max="8250" width="36.85546875" style="493" customWidth="1"/>
    <col min="8251" max="8251" width="33.5703125" style="493" customWidth="1"/>
    <col min="8252" max="8252" width="35.85546875" style="493" customWidth="1"/>
    <col min="8253" max="8253" width="30.5703125" style="493" customWidth="1"/>
    <col min="8254" max="8254" width="32.7109375" style="493" customWidth="1"/>
    <col min="8255" max="8255" width="32.140625" style="493" customWidth="1"/>
    <col min="8256" max="8256" width="36.5703125" style="493" customWidth="1"/>
    <col min="8257" max="8257" width="35.140625" style="493" customWidth="1"/>
    <col min="8258" max="8258" width="11.7109375" style="493" customWidth="1"/>
    <col min="8259" max="8259" width="15.42578125" style="493" customWidth="1"/>
    <col min="8260" max="8260" width="15.140625" style="493" customWidth="1"/>
    <col min="8261" max="8261" width="19.140625" style="493" customWidth="1"/>
    <col min="8262" max="8262" width="7.5703125" style="493" customWidth="1"/>
    <col min="8263" max="8263" width="11.28515625" style="493" customWidth="1"/>
    <col min="8264" max="8264" width="19.7109375" style="493" customWidth="1"/>
    <col min="8265" max="8265" width="25.42578125" style="493" customWidth="1"/>
    <col min="8266" max="8266" width="38.28515625" style="493" customWidth="1"/>
    <col min="8267" max="8267" width="31.7109375" style="493" customWidth="1"/>
    <col min="8268" max="8448" width="9.140625" style="493"/>
    <col min="8449" max="8449" width="17.140625" style="493" customWidth="1"/>
    <col min="8450" max="8450" width="16.85546875" style="493" customWidth="1"/>
    <col min="8451" max="8451" width="36.5703125" style="493" customWidth="1"/>
    <col min="8452" max="8452" width="14.140625" style="493" customWidth="1"/>
    <col min="8453" max="8453" width="18.5703125" style="493" customWidth="1"/>
    <col min="8454" max="8454" width="8.42578125" style="493" customWidth="1"/>
    <col min="8455" max="8455" width="17.7109375" style="493" customWidth="1"/>
    <col min="8456" max="8456" width="12.85546875" style="493" customWidth="1"/>
    <col min="8457" max="8457" width="29.28515625" style="493" customWidth="1"/>
    <col min="8458" max="8458" width="14.5703125" style="493" customWidth="1"/>
    <col min="8459" max="8459" width="32.42578125" style="493" customWidth="1"/>
    <col min="8460" max="8460" width="17.7109375" style="493" customWidth="1"/>
    <col min="8461" max="8461" width="33.7109375" style="493" customWidth="1"/>
    <col min="8462" max="8462" width="19.140625" style="493" customWidth="1"/>
    <col min="8463" max="8463" width="31.140625" style="493" customWidth="1"/>
    <col min="8464" max="8464" width="34.28515625" style="493" customWidth="1"/>
    <col min="8465" max="8465" width="33.42578125" style="493" customWidth="1"/>
    <col min="8466" max="8466" width="36.42578125" style="493" customWidth="1"/>
    <col min="8467" max="8467" width="11.85546875" style="493" customWidth="1"/>
    <col min="8468" max="8468" width="6.85546875" style="493" customWidth="1"/>
    <col min="8469" max="8469" width="10.85546875" style="493" customWidth="1"/>
    <col min="8470" max="8470" width="13" style="493" customWidth="1"/>
    <col min="8471" max="8471" width="11" style="493" customWidth="1"/>
    <col min="8472" max="8472" width="11.140625" style="493" customWidth="1"/>
    <col min="8473" max="8473" width="12.7109375" style="493" customWidth="1"/>
    <col min="8474" max="8474" width="10.42578125" style="493" customWidth="1"/>
    <col min="8475" max="8475" width="16.85546875" style="493" customWidth="1"/>
    <col min="8476" max="8476" width="14.140625" style="493" customWidth="1"/>
    <col min="8477" max="8477" width="15.7109375" style="493" customWidth="1"/>
    <col min="8478" max="8478" width="13.140625" style="493" customWidth="1"/>
    <col min="8479" max="8479" width="11.7109375" style="493" customWidth="1"/>
    <col min="8480" max="8480" width="14.140625" style="493" customWidth="1"/>
    <col min="8481" max="8481" width="10.42578125" style="493" customWidth="1"/>
    <col min="8482" max="8482" width="18.5703125" style="493" customWidth="1"/>
    <col min="8483" max="8483" width="16.140625" style="493" customWidth="1"/>
    <col min="8484" max="8484" width="18.5703125" style="493" customWidth="1"/>
    <col min="8485" max="8485" width="18.140625" style="493" customWidth="1"/>
    <col min="8486" max="8486" width="13.140625" style="493" customWidth="1"/>
    <col min="8487" max="8487" width="14.140625" style="493" customWidth="1"/>
    <col min="8488" max="8488" width="18.5703125" style="493" customWidth="1"/>
    <col min="8489" max="8489" width="16.42578125" style="493" customWidth="1"/>
    <col min="8490" max="8490" width="36.5703125" style="493" customWidth="1"/>
    <col min="8491" max="8491" width="13.42578125" style="493" customWidth="1"/>
    <col min="8492" max="8492" width="9.28515625" style="493" customWidth="1"/>
    <col min="8493" max="8493" width="10.85546875" style="493" customWidth="1"/>
    <col min="8494" max="8494" width="9.42578125" style="493" customWidth="1"/>
    <col min="8495" max="8495" width="22.140625" style="493" customWidth="1"/>
    <col min="8496" max="8496" width="30.28515625" style="493" customWidth="1"/>
    <col min="8497" max="8497" width="29" style="493" customWidth="1"/>
    <col min="8498" max="8498" width="33.7109375" style="493" customWidth="1"/>
    <col min="8499" max="8499" width="32.28515625" style="493" customWidth="1"/>
    <col min="8500" max="8500" width="14.7109375" style="493" customWidth="1"/>
    <col min="8501" max="8501" width="14.42578125" style="493" customWidth="1"/>
    <col min="8502" max="8502" width="14.5703125" style="493" customWidth="1"/>
    <col min="8503" max="8503" width="18" style="493" customWidth="1"/>
    <col min="8504" max="8504" width="32.42578125" style="493" customWidth="1"/>
    <col min="8505" max="8505" width="35.42578125" style="493" customWidth="1"/>
    <col min="8506" max="8506" width="36.85546875" style="493" customWidth="1"/>
    <col min="8507" max="8507" width="33.5703125" style="493" customWidth="1"/>
    <col min="8508" max="8508" width="35.85546875" style="493" customWidth="1"/>
    <col min="8509" max="8509" width="30.5703125" style="493" customWidth="1"/>
    <col min="8510" max="8510" width="32.7109375" style="493" customWidth="1"/>
    <col min="8511" max="8511" width="32.140625" style="493" customWidth="1"/>
    <col min="8512" max="8512" width="36.5703125" style="493" customWidth="1"/>
    <col min="8513" max="8513" width="35.140625" style="493" customWidth="1"/>
    <col min="8514" max="8514" width="11.7109375" style="493" customWidth="1"/>
    <col min="8515" max="8515" width="15.42578125" style="493" customWidth="1"/>
    <col min="8516" max="8516" width="15.140625" style="493" customWidth="1"/>
    <col min="8517" max="8517" width="19.140625" style="493" customWidth="1"/>
    <col min="8518" max="8518" width="7.5703125" style="493" customWidth="1"/>
    <col min="8519" max="8519" width="11.28515625" style="493" customWidth="1"/>
    <col min="8520" max="8520" width="19.7109375" style="493" customWidth="1"/>
    <col min="8521" max="8521" width="25.42578125" style="493" customWidth="1"/>
    <col min="8522" max="8522" width="38.28515625" style="493" customWidth="1"/>
    <col min="8523" max="8523" width="31.7109375" style="493" customWidth="1"/>
    <col min="8524" max="8704" width="9.140625" style="493"/>
    <col min="8705" max="8705" width="17.140625" style="493" customWidth="1"/>
    <col min="8706" max="8706" width="16.85546875" style="493" customWidth="1"/>
    <col min="8707" max="8707" width="36.5703125" style="493" customWidth="1"/>
    <col min="8708" max="8708" width="14.140625" style="493" customWidth="1"/>
    <col min="8709" max="8709" width="18.5703125" style="493" customWidth="1"/>
    <col min="8710" max="8710" width="8.42578125" style="493" customWidth="1"/>
    <col min="8711" max="8711" width="17.7109375" style="493" customWidth="1"/>
    <col min="8712" max="8712" width="12.85546875" style="493" customWidth="1"/>
    <col min="8713" max="8713" width="29.28515625" style="493" customWidth="1"/>
    <col min="8714" max="8714" width="14.5703125" style="493" customWidth="1"/>
    <col min="8715" max="8715" width="32.42578125" style="493" customWidth="1"/>
    <col min="8716" max="8716" width="17.7109375" style="493" customWidth="1"/>
    <col min="8717" max="8717" width="33.7109375" style="493" customWidth="1"/>
    <col min="8718" max="8718" width="19.140625" style="493" customWidth="1"/>
    <col min="8719" max="8719" width="31.140625" style="493" customWidth="1"/>
    <col min="8720" max="8720" width="34.28515625" style="493" customWidth="1"/>
    <col min="8721" max="8721" width="33.42578125" style="493" customWidth="1"/>
    <col min="8722" max="8722" width="36.42578125" style="493" customWidth="1"/>
    <col min="8723" max="8723" width="11.85546875" style="493" customWidth="1"/>
    <col min="8724" max="8724" width="6.85546875" style="493" customWidth="1"/>
    <col min="8725" max="8725" width="10.85546875" style="493" customWidth="1"/>
    <col min="8726" max="8726" width="13" style="493" customWidth="1"/>
    <col min="8727" max="8727" width="11" style="493" customWidth="1"/>
    <col min="8728" max="8728" width="11.140625" style="493" customWidth="1"/>
    <col min="8729" max="8729" width="12.7109375" style="493" customWidth="1"/>
    <col min="8730" max="8730" width="10.42578125" style="493" customWidth="1"/>
    <col min="8731" max="8731" width="16.85546875" style="493" customWidth="1"/>
    <col min="8732" max="8732" width="14.140625" style="493" customWidth="1"/>
    <col min="8733" max="8733" width="15.7109375" style="493" customWidth="1"/>
    <col min="8734" max="8734" width="13.140625" style="493" customWidth="1"/>
    <col min="8735" max="8735" width="11.7109375" style="493" customWidth="1"/>
    <col min="8736" max="8736" width="14.140625" style="493" customWidth="1"/>
    <col min="8737" max="8737" width="10.42578125" style="493" customWidth="1"/>
    <col min="8738" max="8738" width="18.5703125" style="493" customWidth="1"/>
    <col min="8739" max="8739" width="16.140625" style="493" customWidth="1"/>
    <col min="8740" max="8740" width="18.5703125" style="493" customWidth="1"/>
    <col min="8741" max="8741" width="18.140625" style="493" customWidth="1"/>
    <col min="8742" max="8742" width="13.140625" style="493" customWidth="1"/>
    <col min="8743" max="8743" width="14.140625" style="493" customWidth="1"/>
    <col min="8744" max="8744" width="18.5703125" style="493" customWidth="1"/>
    <col min="8745" max="8745" width="16.42578125" style="493" customWidth="1"/>
    <col min="8746" max="8746" width="36.5703125" style="493" customWidth="1"/>
    <col min="8747" max="8747" width="13.42578125" style="493" customWidth="1"/>
    <col min="8748" max="8748" width="9.28515625" style="493" customWidth="1"/>
    <col min="8749" max="8749" width="10.85546875" style="493" customWidth="1"/>
    <col min="8750" max="8750" width="9.42578125" style="493" customWidth="1"/>
    <col min="8751" max="8751" width="22.140625" style="493" customWidth="1"/>
    <col min="8752" max="8752" width="30.28515625" style="493" customWidth="1"/>
    <col min="8753" max="8753" width="29" style="493" customWidth="1"/>
    <col min="8754" max="8754" width="33.7109375" style="493" customWidth="1"/>
    <col min="8755" max="8755" width="32.28515625" style="493" customWidth="1"/>
    <col min="8756" max="8756" width="14.7109375" style="493" customWidth="1"/>
    <col min="8757" max="8757" width="14.42578125" style="493" customWidth="1"/>
    <col min="8758" max="8758" width="14.5703125" style="493" customWidth="1"/>
    <col min="8759" max="8759" width="18" style="493" customWidth="1"/>
    <col min="8760" max="8760" width="32.42578125" style="493" customWidth="1"/>
    <col min="8761" max="8761" width="35.42578125" style="493" customWidth="1"/>
    <col min="8762" max="8762" width="36.85546875" style="493" customWidth="1"/>
    <col min="8763" max="8763" width="33.5703125" style="493" customWidth="1"/>
    <col min="8764" max="8764" width="35.85546875" style="493" customWidth="1"/>
    <col min="8765" max="8765" width="30.5703125" style="493" customWidth="1"/>
    <col min="8766" max="8766" width="32.7109375" style="493" customWidth="1"/>
    <col min="8767" max="8767" width="32.140625" style="493" customWidth="1"/>
    <col min="8768" max="8768" width="36.5703125" style="493" customWidth="1"/>
    <col min="8769" max="8769" width="35.140625" style="493" customWidth="1"/>
    <col min="8770" max="8770" width="11.7109375" style="493" customWidth="1"/>
    <col min="8771" max="8771" width="15.42578125" style="493" customWidth="1"/>
    <col min="8772" max="8772" width="15.140625" style="493" customWidth="1"/>
    <col min="8773" max="8773" width="19.140625" style="493" customWidth="1"/>
    <col min="8774" max="8774" width="7.5703125" style="493" customWidth="1"/>
    <col min="8775" max="8775" width="11.28515625" style="493" customWidth="1"/>
    <col min="8776" max="8776" width="19.7109375" style="493" customWidth="1"/>
    <col min="8777" max="8777" width="25.42578125" style="493" customWidth="1"/>
    <col min="8778" max="8778" width="38.28515625" style="493" customWidth="1"/>
    <col min="8779" max="8779" width="31.7109375" style="493" customWidth="1"/>
    <col min="8780" max="8960" width="9.140625" style="493"/>
    <col min="8961" max="8961" width="17.140625" style="493" customWidth="1"/>
    <col min="8962" max="8962" width="16.85546875" style="493" customWidth="1"/>
    <col min="8963" max="8963" width="36.5703125" style="493" customWidth="1"/>
    <col min="8964" max="8964" width="14.140625" style="493" customWidth="1"/>
    <col min="8965" max="8965" width="18.5703125" style="493" customWidth="1"/>
    <col min="8966" max="8966" width="8.42578125" style="493" customWidth="1"/>
    <col min="8967" max="8967" width="17.7109375" style="493" customWidth="1"/>
    <col min="8968" max="8968" width="12.85546875" style="493" customWidth="1"/>
    <col min="8969" max="8969" width="29.28515625" style="493" customWidth="1"/>
    <col min="8970" max="8970" width="14.5703125" style="493" customWidth="1"/>
    <col min="8971" max="8971" width="32.42578125" style="493" customWidth="1"/>
    <col min="8972" max="8972" width="17.7109375" style="493" customWidth="1"/>
    <col min="8973" max="8973" width="33.7109375" style="493" customWidth="1"/>
    <col min="8974" max="8974" width="19.140625" style="493" customWidth="1"/>
    <col min="8975" max="8975" width="31.140625" style="493" customWidth="1"/>
    <col min="8976" max="8976" width="34.28515625" style="493" customWidth="1"/>
    <col min="8977" max="8977" width="33.42578125" style="493" customWidth="1"/>
    <col min="8978" max="8978" width="36.42578125" style="493" customWidth="1"/>
    <col min="8979" max="8979" width="11.85546875" style="493" customWidth="1"/>
    <col min="8980" max="8980" width="6.85546875" style="493" customWidth="1"/>
    <col min="8981" max="8981" width="10.85546875" style="493" customWidth="1"/>
    <col min="8982" max="8982" width="13" style="493" customWidth="1"/>
    <col min="8983" max="8983" width="11" style="493" customWidth="1"/>
    <col min="8984" max="8984" width="11.140625" style="493" customWidth="1"/>
    <col min="8985" max="8985" width="12.7109375" style="493" customWidth="1"/>
    <col min="8986" max="8986" width="10.42578125" style="493" customWidth="1"/>
    <col min="8987" max="8987" width="16.85546875" style="493" customWidth="1"/>
    <col min="8988" max="8988" width="14.140625" style="493" customWidth="1"/>
    <col min="8989" max="8989" width="15.7109375" style="493" customWidth="1"/>
    <col min="8990" max="8990" width="13.140625" style="493" customWidth="1"/>
    <col min="8991" max="8991" width="11.7109375" style="493" customWidth="1"/>
    <col min="8992" max="8992" width="14.140625" style="493" customWidth="1"/>
    <col min="8993" max="8993" width="10.42578125" style="493" customWidth="1"/>
    <col min="8994" max="8994" width="18.5703125" style="493" customWidth="1"/>
    <col min="8995" max="8995" width="16.140625" style="493" customWidth="1"/>
    <col min="8996" max="8996" width="18.5703125" style="493" customWidth="1"/>
    <col min="8997" max="8997" width="18.140625" style="493" customWidth="1"/>
    <col min="8998" max="8998" width="13.140625" style="493" customWidth="1"/>
    <col min="8999" max="8999" width="14.140625" style="493" customWidth="1"/>
    <col min="9000" max="9000" width="18.5703125" style="493" customWidth="1"/>
    <col min="9001" max="9001" width="16.42578125" style="493" customWidth="1"/>
    <col min="9002" max="9002" width="36.5703125" style="493" customWidth="1"/>
    <col min="9003" max="9003" width="13.42578125" style="493" customWidth="1"/>
    <col min="9004" max="9004" width="9.28515625" style="493" customWidth="1"/>
    <col min="9005" max="9005" width="10.85546875" style="493" customWidth="1"/>
    <col min="9006" max="9006" width="9.42578125" style="493" customWidth="1"/>
    <col min="9007" max="9007" width="22.140625" style="493" customWidth="1"/>
    <col min="9008" max="9008" width="30.28515625" style="493" customWidth="1"/>
    <col min="9009" max="9009" width="29" style="493" customWidth="1"/>
    <col min="9010" max="9010" width="33.7109375" style="493" customWidth="1"/>
    <col min="9011" max="9011" width="32.28515625" style="493" customWidth="1"/>
    <col min="9012" max="9012" width="14.7109375" style="493" customWidth="1"/>
    <col min="9013" max="9013" width="14.42578125" style="493" customWidth="1"/>
    <col min="9014" max="9014" width="14.5703125" style="493" customWidth="1"/>
    <col min="9015" max="9015" width="18" style="493" customWidth="1"/>
    <col min="9016" max="9016" width="32.42578125" style="493" customWidth="1"/>
    <col min="9017" max="9017" width="35.42578125" style="493" customWidth="1"/>
    <col min="9018" max="9018" width="36.85546875" style="493" customWidth="1"/>
    <col min="9019" max="9019" width="33.5703125" style="493" customWidth="1"/>
    <col min="9020" max="9020" width="35.85546875" style="493" customWidth="1"/>
    <col min="9021" max="9021" width="30.5703125" style="493" customWidth="1"/>
    <col min="9022" max="9022" width="32.7109375" style="493" customWidth="1"/>
    <col min="9023" max="9023" width="32.140625" style="493" customWidth="1"/>
    <col min="9024" max="9024" width="36.5703125" style="493" customWidth="1"/>
    <col min="9025" max="9025" width="35.140625" style="493" customWidth="1"/>
    <col min="9026" max="9026" width="11.7109375" style="493" customWidth="1"/>
    <col min="9027" max="9027" width="15.42578125" style="493" customWidth="1"/>
    <col min="9028" max="9028" width="15.140625" style="493" customWidth="1"/>
    <col min="9029" max="9029" width="19.140625" style="493" customWidth="1"/>
    <col min="9030" max="9030" width="7.5703125" style="493" customWidth="1"/>
    <col min="9031" max="9031" width="11.28515625" style="493" customWidth="1"/>
    <col min="9032" max="9032" width="19.7109375" style="493" customWidth="1"/>
    <col min="9033" max="9033" width="25.42578125" style="493" customWidth="1"/>
    <col min="9034" max="9034" width="38.28515625" style="493" customWidth="1"/>
    <col min="9035" max="9035" width="31.7109375" style="493" customWidth="1"/>
    <col min="9036" max="9216" width="9.140625" style="493"/>
    <col min="9217" max="9217" width="17.140625" style="493" customWidth="1"/>
    <col min="9218" max="9218" width="16.85546875" style="493" customWidth="1"/>
    <col min="9219" max="9219" width="36.5703125" style="493" customWidth="1"/>
    <col min="9220" max="9220" width="14.140625" style="493" customWidth="1"/>
    <col min="9221" max="9221" width="18.5703125" style="493" customWidth="1"/>
    <col min="9222" max="9222" width="8.42578125" style="493" customWidth="1"/>
    <col min="9223" max="9223" width="17.7109375" style="493" customWidth="1"/>
    <col min="9224" max="9224" width="12.85546875" style="493" customWidth="1"/>
    <col min="9225" max="9225" width="29.28515625" style="493" customWidth="1"/>
    <col min="9226" max="9226" width="14.5703125" style="493" customWidth="1"/>
    <col min="9227" max="9227" width="32.42578125" style="493" customWidth="1"/>
    <col min="9228" max="9228" width="17.7109375" style="493" customWidth="1"/>
    <col min="9229" max="9229" width="33.7109375" style="493" customWidth="1"/>
    <col min="9230" max="9230" width="19.140625" style="493" customWidth="1"/>
    <col min="9231" max="9231" width="31.140625" style="493" customWidth="1"/>
    <col min="9232" max="9232" width="34.28515625" style="493" customWidth="1"/>
    <col min="9233" max="9233" width="33.42578125" style="493" customWidth="1"/>
    <col min="9234" max="9234" width="36.42578125" style="493" customWidth="1"/>
    <col min="9235" max="9235" width="11.85546875" style="493" customWidth="1"/>
    <col min="9236" max="9236" width="6.85546875" style="493" customWidth="1"/>
    <col min="9237" max="9237" width="10.85546875" style="493" customWidth="1"/>
    <col min="9238" max="9238" width="13" style="493" customWidth="1"/>
    <col min="9239" max="9239" width="11" style="493" customWidth="1"/>
    <col min="9240" max="9240" width="11.140625" style="493" customWidth="1"/>
    <col min="9241" max="9241" width="12.7109375" style="493" customWidth="1"/>
    <col min="9242" max="9242" width="10.42578125" style="493" customWidth="1"/>
    <col min="9243" max="9243" width="16.85546875" style="493" customWidth="1"/>
    <col min="9244" max="9244" width="14.140625" style="493" customWidth="1"/>
    <col min="9245" max="9245" width="15.7109375" style="493" customWidth="1"/>
    <col min="9246" max="9246" width="13.140625" style="493" customWidth="1"/>
    <col min="9247" max="9247" width="11.7109375" style="493" customWidth="1"/>
    <col min="9248" max="9248" width="14.140625" style="493" customWidth="1"/>
    <col min="9249" max="9249" width="10.42578125" style="493" customWidth="1"/>
    <col min="9250" max="9250" width="18.5703125" style="493" customWidth="1"/>
    <col min="9251" max="9251" width="16.140625" style="493" customWidth="1"/>
    <col min="9252" max="9252" width="18.5703125" style="493" customWidth="1"/>
    <col min="9253" max="9253" width="18.140625" style="493" customWidth="1"/>
    <col min="9254" max="9254" width="13.140625" style="493" customWidth="1"/>
    <col min="9255" max="9255" width="14.140625" style="493" customWidth="1"/>
    <col min="9256" max="9256" width="18.5703125" style="493" customWidth="1"/>
    <col min="9257" max="9257" width="16.42578125" style="493" customWidth="1"/>
    <col min="9258" max="9258" width="36.5703125" style="493" customWidth="1"/>
    <col min="9259" max="9259" width="13.42578125" style="493" customWidth="1"/>
    <col min="9260" max="9260" width="9.28515625" style="493" customWidth="1"/>
    <col min="9261" max="9261" width="10.85546875" style="493" customWidth="1"/>
    <col min="9262" max="9262" width="9.42578125" style="493" customWidth="1"/>
    <col min="9263" max="9263" width="22.140625" style="493" customWidth="1"/>
    <col min="9264" max="9264" width="30.28515625" style="493" customWidth="1"/>
    <col min="9265" max="9265" width="29" style="493" customWidth="1"/>
    <col min="9266" max="9266" width="33.7109375" style="493" customWidth="1"/>
    <col min="9267" max="9267" width="32.28515625" style="493" customWidth="1"/>
    <col min="9268" max="9268" width="14.7109375" style="493" customWidth="1"/>
    <col min="9269" max="9269" width="14.42578125" style="493" customWidth="1"/>
    <col min="9270" max="9270" width="14.5703125" style="493" customWidth="1"/>
    <col min="9271" max="9271" width="18" style="493" customWidth="1"/>
    <col min="9272" max="9272" width="32.42578125" style="493" customWidth="1"/>
    <col min="9273" max="9273" width="35.42578125" style="493" customWidth="1"/>
    <col min="9274" max="9274" width="36.85546875" style="493" customWidth="1"/>
    <col min="9275" max="9275" width="33.5703125" style="493" customWidth="1"/>
    <col min="9276" max="9276" width="35.85546875" style="493" customWidth="1"/>
    <col min="9277" max="9277" width="30.5703125" style="493" customWidth="1"/>
    <col min="9278" max="9278" width="32.7109375" style="493" customWidth="1"/>
    <col min="9279" max="9279" width="32.140625" style="493" customWidth="1"/>
    <col min="9280" max="9280" width="36.5703125" style="493" customWidth="1"/>
    <col min="9281" max="9281" width="35.140625" style="493" customWidth="1"/>
    <col min="9282" max="9282" width="11.7109375" style="493" customWidth="1"/>
    <col min="9283" max="9283" width="15.42578125" style="493" customWidth="1"/>
    <col min="9284" max="9284" width="15.140625" style="493" customWidth="1"/>
    <col min="9285" max="9285" width="19.140625" style="493" customWidth="1"/>
    <col min="9286" max="9286" width="7.5703125" style="493" customWidth="1"/>
    <col min="9287" max="9287" width="11.28515625" style="493" customWidth="1"/>
    <col min="9288" max="9288" width="19.7109375" style="493" customWidth="1"/>
    <col min="9289" max="9289" width="25.42578125" style="493" customWidth="1"/>
    <col min="9290" max="9290" width="38.28515625" style="493" customWidth="1"/>
    <col min="9291" max="9291" width="31.7109375" style="493" customWidth="1"/>
    <col min="9292" max="9472" width="9.140625" style="493"/>
    <col min="9473" max="9473" width="17.140625" style="493" customWidth="1"/>
    <col min="9474" max="9474" width="16.85546875" style="493" customWidth="1"/>
    <col min="9475" max="9475" width="36.5703125" style="493" customWidth="1"/>
    <col min="9476" max="9476" width="14.140625" style="493" customWidth="1"/>
    <col min="9477" max="9477" width="18.5703125" style="493" customWidth="1"/>
    <col min="9478" max="9478" width="8.42578125" style="493" customWidth="1"/>
    <col min="9479" max="9479" width="17.7109375" style="493" customWidth="1"/>
    <col min="9480" max="9480" width="12.85546875" style="493" customWidth="1"/>
    <col min="9481" max="9481" width="29.28515625" style="493" customWidth="1"/>
    <col min="9482" max="9482" width="14.5703125" style="493" customWidth="1"/>
    <col min="9483" max="9483" width="32.42578125" style="493" customWidth="1"/>
    <col min="9484" max="9484" width="17.7109375" style="493" customWidth="1"/>
    <col min="9485" max="9485" width="33.7109375" style="493" customWidth="1"/>
    <col min="9486" max="9486" width="19.140625" style="493" customWidth="1"/>
    <col min="9487" max="9487" width="31.140625" style="493" customWidth="1"/>
    <col min="9488" max="9488" width="34.28515625" style="493" customWidth="1"/>
    <col min="9489" max="9489" width="33.42578125" style="493" customWidth="1"/>
    <col min="9490" max="9490" width="36.42578125" style="493" customWidth="1"/>
    <col min="9491" max="9491" width="11.85546875" style="493" customWidth="1"/>
    <col min="9492" max="9492" width="6.85546875" style="493" customWidth="1"/>
    <col min="9493" max="9493" width="10.85546875" style="493" customWidth="1"/>
    <col min="9494" max="9494" width="13" style="493" customWidth="1"/>
    <col min="9495" max="9495" width="11" style="493" customWidth="1"/>
    <col min="9496" max="9496" width="11.140625" style="493" customWidth="1"/>
    <col min="9497" max="9497" width="12.7109375" style="493" customWidth="1"/>
    <col min="9498" max="9498" width="10.42578125" style="493" customWidth="1"/>
    <col min="9499" max="9499" width="16.85546875" style="493" customWidth="1"/>
    <col min="9500" max="9500" width="14.140625" style="493" customWidth="1"/>
    <col min="9501" max="9501" width="15.7109375" style="493" customWidth="1"/>
    <col min="9502" max="9502" width="13.140625" style="493" customWidth="1"/>
    <col min="9503" max="9503" width="11.7109375" style="493" customWidth="1"/>
    <col min="9504" max="9504" width="14.140625" style="493" customWidth="1"/>
    <col min="9505" max="9505" width="10.42578125" style="493" customWidth="1"/>
    <col min="9506" max="9506" width="18.5703125" style="493" customWidth="1"/>
    <col min="9507" max="9507" width="16.140625" style="493" customWidth="1"/>
    <col min="9508" max="9508" width="18.5703125" style="493" customWidth="1"/>
    <col min="9509" max="9509" width="18.140625" style="493" customWidth="1"/>
    <col min="9510" max="9510" width="13.140625" style="493" customWidth="1"/>
    <col min="9511" max="9511" width="14.140625" style="493" customWidth="1"/>
    <col min="9512" max="9512" width="18.5703125" style="493" customWidth="1"/>
    <col min="9513" max="9513" width="16.42578125" style="493" customWidth="1"/>
    <col min="9514" max="9514" width="36.5703125" style="493" customWidth="1"/>
    <col min="9515" max="9515" width="13.42578125" style="493" customWidth="1"/>
    <col min="9516" max="9516" width="9.28515625" style="493" customWidth="1"/>
    <col min="9517" max="9517" width="10.85546875" style="493" customWidth="1"/>
    <col min="9518" max="9518" width="9.42578125" style="493" customWidth="1"/>
    <col min="9519" max="9519" width="22.140625" style="493" customWidth="1"/>
    <col min="9520" max="9520" width="30.28515625" style="493" customWidth="1"/>
    <col min="9521" max="9521" width="29" style="493" customWidth="1"/>
    <col min="9522" max="9522" width="33.7109375" style="493" customWidth="1"/>
    <col min="9523" max="9523" width="32.28515625" style="493" customWidth="1"/>
    <col min="9524" max="9524" width="14.7109375" style="493" customWidth="1"/>
    <col min="9525" max="9525" width="14.42578125" style="493" customWidth="1"/>
    <col min="9526" max="9526" width="14.5703125" style="493" customWidth="1"/>
    <col min="9527" max="9527" width="18" style="493" customWidth="1"/>
    <col min="9528" max="9528" width="32.42578125" style="493" customWidth="1"/>
    <col min="9529" max="9529" width="35.42578125" style="493" customWidth="1"/>
    <col min="9530" max="9530" width="36.85546875" style="493" customWidth="1"/>
    <col min="9531" max="9531" width="33.5703125" style="493" customWidth="1"/>
    <col min="9532" max="9532" width="35.85546875" style="493" customWidth="1"/>
    <col min="9533" max="9533" width="30.5703125" style="493" customWidth="1"/>
    <col min="9534" max="9534" width="32.7109375" style="493" customWidth="1"/>
    <col min="9535" max="9535" width="32.140625" style="493" customWidth="1"/>
    <col min="9536" max="9536" width="36.5703125" style="493" customWidth="1"/>
    <col min="9537" max="9537" width="35.140625" style="493" customWidth="1"/>
    <col min="9538" max="9538" width="11.7109375" style="493" customWidth="1"/>
    <col min="9539" max="9539" width="15.42578125" style="493" customWidth="1"/>
    <col min="9540" max="9540" width="15.140625" style="493" customWidth="1"/>
    <col min="9541" max="9541" width="19.140625" style="493" customWidth="1"/>
    <col min="9542" max="9542" width="7.5703125" style="493" customWidth="1"/>
    <col min="9543" max="9543" width="11.28515625" style="493" customWidth="1"/>
    <col min="9544" max="9544" width="19.7109375" style="493" customWidth="1"/>
    <col min="9545" max="9545" width="25.42578125" style="493" customWidth="1"/>
    <col min="9546" max="9546" width="38.28515625" style="493" customWidth="1"/>
    <col min="9547" max="9547" width="31.7109375" style="493" customWidth="1"/>
    <col min="9548" max="9728" width="9.140625" style="493"/>
    <col min="9729" max="9729" width="17.140625" style="493" customWidth="1"/>
    <col min="9730" max="9730" width="16.85546875" style="493" customWidth="1"/>
    <col min="9731" max="9731" width="36.5703125" style="493" customWidth="1"/>
    <col min="9732" max="9732" width="14.140625" style="493" customWidth="1"/>
    <col min="9733" max="9733" width="18.5703125" style="493" customWidth="1"/>
    <col min="9734" max="9734" width="8.42578125" style="493" customWidth="1"/>
    <col min="9735" max="9735" width="17.7109375" style="493" customWidth="1"/>
    <col min="9736" max="9736" width="12.85546875" style="493" customWidth="1"/>
    <col min="9737" max="9737" width="29.28515625" style="493" customWidth="1"/>
    <col min="9738" max="9738" width="14.5703125" style="493" customWidth="1"/>
    <col min="9739" max="9739" width="32.42578125" style="493" customWidth="1"/>
    <col min="9740" max="9740" width="17.7109375" style="493" customWidth="1"/>
    <col min="9741" max="9741" width="33.7109375" style="493" customWidth="1"/>
    <col min="9742" max="9742" width="19.140625" style="493" customWidth="1"/>
    <col min="9743" max="9743" width="31.140625" style="493" customWidth="1"/>
    <col min="9744" max="9744" width="34.28515625" style="493" customWidth="1"/>
    <col min="9745" max="9745" width="33.42578125" style="493" customWidth="1"/>
    <col min="9746" max="9746" width="36.42578125" style="493" customWidth="1"/>
    <col min="9747" max="9747" width="11.85546875" style="493" customWidth="1"/>
    <col min="9748" max="9748" width="6.85546875" style="493" customWidth="1"/>
    <col min="9749" max="9749" width="10.85546875" style="493" customWidth="1"/>
    <col min="9750" max="9750" width="13" style="493" customWidth="1"/>
    <col min="9751" max="9751" width="11" style="493" customWidth="1"/>
    <col min="9752" max="9752" width="11.140625" style="493" customWidth="1"/>
    <col min="9753" max="9753" width="12.7109375" style="493" customWidth="1"/>
    <col min="9754" max="9754" width="10.42578125" style="493" customWidth="1"/>
    <col min="9755" max="9755" width="16.85546875" style="493" customWidth="1"/>
    <col min="9756" max="9756" width="14.140625" style="493" customWidth="1"/>
    <col min="9757" max="9757" width="15.7109375" style="493" customWidth="1"/>
    <col min="9758" max="9758" width="13.140625" style="493" customWidth="1"/>
    <col min="9759" max="9759" width="11.7109375" style="493" customWidth="1"/>
    <col min="9760" max="9760" width="14.140625" style="493" customWidth="1"/>
    <col min="9761" max="9761" width="10.42578125" style="493" customWidth="1"/>
    <col min="9762" max="9762" width="18.5703125" style="493" customWidth="1"/>
    <col min="9763" max="9763" width="16.140625" style="493" customWidth="1"/>
    <col min="9764" max="9764" width="18.5703125" style="493" customWidth="1"/>
    <col min="9765" max="9765" width="18.140625" style="493" customWidth="1"/>
    <col min="9766" max="9766" width="13.140625" style="493" customWidth="1"/>
    <col min="9767" max="9767" width="14.140625" style="493" customWidth="1"/>
    <col min="9768" max="9768" width="18.5703125" style="493" customWidth="1"/>
    <col min="9769" max="9769" width="16.42578125" style="493" customWidth="1"/>
    <col min="9770" max="9770" width="36.5703125" style="493" customWidth="1"/>
    <col min="9771" max="9771" width="13.42578125" style="493" customWidth="1"/>
    <col min="9772" max="9772" width="9.28515625" style="493" customWidth="1"/>
    <col min="9773" max="9773" width="10.85546875" style="493" customWidth="1"/>
    <col min="9774" max="9774" width="9.42578125" style="493" customWidth="1"/>
    <col min="9775" max="9775" width="22.140625" style="493" customWidth="1"/>
    <col min="9776" max="9776" width="30.28515625" style="493" customWidth="1"/>
    <col min="9777" max="9777" width="29" style="493" customWidth="1"/>
    <col min="9778" max="9778" width="33.7109375" style="493" customWidth="1"/>
    <col min="9779" max="9779" width="32.28515625" style="493" customWidth="1"/>
    <col min="9780" max="9780" width="14.7109375" style="493" customWidth="1"/>
    <col min="9781" max="9781" width="14.42578125" style="493" customWidth="1"/>
    <col min="9782" max="9782" width="14.5703125" style="493" customWidth="1"/>
    <col min="9783" max="9783" width="18" style="493" customWidth="1"/>
    <col min="9784" max="9784" width="32.42578125" style="493" customWidth="1"/>
    <col min="9785" max="9785" width="35.42578125" style="493" customWidth="1"/>
    <col min="9786" max="9786" width="36.85546875" style="493" customWidth="1"/>
    <col min="9787" max="9787" width="33.5703125" style="493" customWidth="1"/>
    <col min="9788" max="9788" width="35.85546875" style="493" customWidth="1"/>
    <col min="9789" max="9789" width="30.5703125" style="493" customWidth="1"/>
    <col min="9790" max="9790" width="32.7109375" style="493" customWidth="1"/>
    <col min="9791" max="9791" width="32.140625" style="493" customWidth="1"/>
    <col min="9792" max="9792" width="36.5703125" style="493" customWidth="1"/>
    <col min="9793" max="9793" width="35.140625" style="493" customWidth="1"/>
    <col min="9794" max="9794" width="11.7109375" style="493" customWidth="1"/>
    <col min="9795" max="9795" width="15.42578125" style="493" customWidth="1"/>
    <col min="9796" max="9796" width="15.140625" style="493" customWidth="1"/>
    <col min="9797" max="9797" width="19.140625" style="493" customWidth="1"/>
    <col min="9798" max="9798" width="7.5703125" style="493" customWidth="1"/>
    <col min="9799" max="9799" width="11.28515625" style="493" customWidth="1"/>
    <col min="9800" max="9800" width="19.7109375" style="493" customWidth="1"/>
    <col min="9801" max="9801" width="25.42578125" style="493" customWidth="1"/>
    <col min="9802" max="9802" width="38.28515625" style="493" customWidth="1"/>
    <col min="9803" max="9803" width="31.7109375" style="493" customWidth="1"/>
    <col min="9804" max="9984" width="9.140625" style="493"/>
    <col min="9985" max="9985" width="17.140625" style="493" customWidth="1"/>
    <col min="9986" max="9986" width="16.85546875" style="493" customWidth="1"/>
    <col min="9987" max="9987" width="36.5703125" style="493" customWidth="1"/>
    <col min="9988" max="9988" width="14.140625" style="493" customWidth="1"/>
    <col min="9989" max="9989" width="18.5703125" style="493" customWidth="1"/>
    <col min="9990" max="9990" width="8.42578125" style="493" customWidth="1"/>
    <col min="9991" max="9991" width="17.7109375" style="493" customWidth="1"/>
    <col min="9992" max="9992" width="12.85546875" style="493" customWidth="1"/>
    <col min="9993" max="9993" width="29.28515625" style="493" customWidth="1"/>
    <col min="9994" max="9994" width="14.5703125" style="493" customWidth="1"/>
    <col min="9995" max="9995" width="32.42578125" style="493" customWidth="1"/>
    <col min="9996" max="9996" width="17.7109375" style="493" customWidth="1"/>
    <col min="9997" max="9997" width="33.7109375" style="493" customWidth="1"/>
    <col min="9998" max="9998" width="19.140625" style="493" customWidth="1"/>
    <col min="9999" max="9999" width="31.140625" style="493" customWidth="1"/>
    <col min="10000" max="10000" width="34.28515625" style="493" customWidth="1"/>
    <col min="10001" max="10001" width="33.42578125" style="493" customWidth="1"/>
    <col min="10002" max="10002" width="36.42578125" style="493" customWidth="1"/>
    <col min="10003" max="10003" width="11.85546875" style="493" customWidth="1"/>
    <col min="10004" max="10004" width="6.85546875" style="493" customWidth="1"/>
    <col min="10005" max="10005" width="10.85546875" style="493" customWidth="1"/>
    <col min="10006" max="10006" width="13" style="493" customWidth="1"/>
    <col min="10007" max="10007" width="11" style="493" customWidth="1"/>
    <col min="10008" max="10008" width="11.140625" style="493" customWidth="1"/>
    <col min="10009" max="10009" width="12.7109375" style="493" customWidth="1"/>
    <col min="10010" max="10010" width="10.42578125" style="493" customWidth="1"/>
    <col min="10011" max="10011" width="16.85546875" style="493" customWidth="1"/>
    <col min="10012" max="10012" width="14.140625" style="493" customWidth="1"/>
    <col min="10013" max="10013" width="15.7109375" style="493" customWidth="1"/>
    <col min="10014" max="10014" width="13.140625" style="493" customWidth="1"/>
    <col min="10015" max="10015" width="11.7109375" style="493" customWidth="1"/>
    <col min="10016" max="10016" width="14.140625" style="493" customWidth="1"/>
    <col min="10017" max="10017" width="10.42578125" style="493" customWidth="1"/>
    <col min="10018" max="10018" width="18.5703125" style="493" customWidth="1"/>
    <col min="10019" max="10019" width="16.140625" style="493" customWidth="1"/>
    <col min="10020" max="10020" width="18.5703125" style="493" customWidth="1"/>
    <col min="10021" max="10021" width="18.140625" style="493" customWidth="1"/>
    <col min="10022" max="10022" width="13.140625" style="493" customWidth="1"/>
    <col min="10023" max="10023" width="14.140625" style="493" customWidth="1"/>
    <col min="10024" max="10024" width="18.5703125" style="493" customWidth="1"/>
    <col min="10025" max="10025" width="16.42578125" style="493" customWidth="1"/>
    <col min="10026" max="10026" width="36.5703125" style="493" customWidth="1"/>
    <col min="10027" max="10027" width="13.42578125" style="493" customWidth="1"/>
    <col min="10028" max="10028" width="9.28515625" style="493" customWidth="1"/>
    <col min="10029" max="10029" width="10.85546875" style="493" customWidth="1"/>
    <col min="10030" max="10030" width="9.42578125" style="493" customWidth="1"/>
    <col min="10031" max="10031" width="22.140625" style="493" customWidth="1"/>
    <col min="10032" max="10032" width="30.28515625" style="493" customWidth="1"/>
    <col min="10033" max="10033" width="29" style="493" customWidth="1"/>
    <col min="10034" max="10034" width="33.7109375" style="493" customWidth="1"/>
    <col min="10035" max="10035" width="32.28515625" style="493" customWidth="1"/>
    <col min="10036" max="10036" width="14.7109375" style="493" customWidth="1"/>
    <col min="10037" max="10037" width="14.42578125" style="493" customWidth="1"/>
    <col min="10038" max="10038" width="14.5703125" style="493" customWidth="1"/>
    <col min="10039" max="10039" width="18" style="493" customWidth="1"/>
    <col min="10040" max="10040" width="32.42578125" style="493" customWidth="1"/>
    <col min="10041" max="10041" width="35.42578125" style="493" customWidth="1"/>
    <col min="10042" max="10042" width="36.85546875" style="493" customWidth="1"/>
    <col min="10043" max="10043" width="33.5703125" style="493" customWidth="1"/>
    <col min="10044" max="10044" width="35.85546875" style="493" customWidth="1"/>
    <col min="10045" max="10045" width="30.5703125" style="493" customWidth="1"/>
    <col min="10046" max="10046" width="32.7109375" style="493" customWidth="1"/>
    <col min="10047" max="10047" width="32.140625" style="493" customWidth="1"/>
    <col min="10048" max="10048" width="36.5703125" style="493" customWidth="1"/>
    <col min="10049" max="10049" width="35.140625" style="493" customWidth="1"/>
    <col min="10050" max="10050" width="11.7109375" style="493" customWidth="1"/>
    <col min="10051" max="10051" width="15.42578125" style="493" customWidth="1"/>
    <col min="10052" max="10052" width="15.140625" style="493" customWidth="1"/>
    <col min="10053" max="10053" width="19.140625" style="493" customWidth="1"/>
    <col min="10054" max="10054" width="7.5703125" style="493" customWidth="1"/>
    <col min="10055" max="10055" width="11.28515625" style="493" customWidth="1"/>
    <col min="10056" max="10056" width="19.7109375" style="493" customWidth="1"/>
    <col min="10057" max="10057" width="25.42578125" style="493" customWidth="1"/>
    <col min="10058" max="10058" width="38.28515625" style="493" customWidth="1"/>
    <col min="10059" max="10059" width="31.7109375" style="493" customWidth="1"/>
    <col min="10060" max="10240" width="9.140625" style="493"/>
    <col min="10241" max="10241" width="17.140625" style="493" customWidth="1"/>
    <col min="10242" max="10242" width="16.85546875" style="493" customWidth="1"/>
    <col min="10243" max="10243" width="36.5703125" style="493" customWidth="1"/>
    <col min="10244" max="10244" width="14.140625" style="493" customWidth="1"/>
    <col min="10245" max="10245" width="18.5703125" style="493" customWidth="1"/>
    <col min="10246" max="10246" width="8.42578125" style="493" customWidth="1"/>
    <col min="10247" max="10247" width="17.7109375" style="493" customWidth="1"/>
    <col min="10248" max="10248" width="12.85546875" style="493" customWidth="1"/>
    <col min="10249" max="10249" width="29.28515625" style="493" customWidth="1"/>
    <col min="10250" max="10250" width="14.5703125" style="493" customWidth="1"/>
    <col min="10251" max="10251" width="32.42578125" style="493" customWidth="1"/>
    <col min="10252" max="10252" width="17.7109375" style="493" customWidth="1"/>
    <col min="10253" max="10253" width="33.7109375" style="493" customWidth="1"/>
    <col min="10254" max="10254" width="19.140625" style="493" customWidth="1"/>
    <col min="10255" max="10255" width="31.140625" style="493" customWidth="1"/>
    <col min="10256" max="10256" width="34.28515625" style="493" customWidth="1"/>
    <col min="10257" max="10257" width="33.42578125" style="493" customWidth="1"/>
    <col min="10258" max="10258" width="36.42578125" style="493" customWidth="1"/>
    <col min="10259" max="10259" width="11.85546875" style="493" customWidth="1"/>
    <col min="10260" max="10260" width="6.85546875" style="493" customWidth="1"/>
    <col min="10261" max="10261" width="10.85546875" style="493" customWidth="1"/>
    <col min="10262" max="10262" width="13" style="493" customWidth="1"/>
    <col min="10263" max="10263" width="11" style="493" customWidth="1"/>
    <col min="10264" max="10264" width="11.140625" style="493" customWidth="1"/>
    <col min="10265" max="10265" width="12.7109375" style="493" customWidth="1"/>
    <col min="10266" max="10266" width="10.42578125" style="493" customWidth="1"/>
    <col min="10267" max="10267" width="16.85546875" style="493" customWidth="1"/>
    <col min="10268" max="10268" width="14.140625" style="493" customWidth="1"/>
    <col min="10269" max="10269" width="15.7109375" style="493" customWidth="1"/>
    <col min="10270" max="10270" width="13.140625" style="493" customWidth="1"/>
    <col min="10271" max="10271" width="11.7109375" style="493" customWidth="1"/>
    <col min="10272" max="10272" width="14.140625" style="493" customWidth="1"/>
    <col min="10273" max="10273" width="10.42578125" style="493" customWidth="1"/>
    <col min="10274" max="10274" width="18.5703125" style="493" customWidth="1"/>
    <col min="10275" max="10275" width="16.140625" style="493" customWidth="1"/>
    <col min="10276" max="10276" width="18.5703125" style="493" customWidth="1"/>
    <col min="10277" max="10277" width="18.140625" style="493" customWidth="1"/>
    <col min="10278" max="10278" width="13.140625" style="493" customWidth="1"/>
    <col min="10279" max="10279" width="14.140625" style="493" customWidth="1"/>
    <col min="10280" max="10280" width="18.5703125" style="493" customWidth="1"/>
    <col min="10281" max="10281" width="16.42578125" style="493" customWidth="1"/>
    <col min="10282" max="10282" width="36.5703125" style="493" customWidth="1"/>
    <col min="10283" max="10283" width="13.42578125" style="493" customWidth="1"/>
    <col min="10284" max="10284" width="9.28515625" style="493" customWidth="1"/>
    <col min="10285" max="10285" width="10.85546875" style="493" customWidth="1"/>
    <col min="10286" max="10286" width="9.42578125" style="493" customWidth="1"/>
    <col min="10287" max="10287" width="22.140625" style="493" customWidth="1"/>
    <col min="10288" max="10288" width="30.28515625" style="493" customWidth="1"/>
    <col min="10289" max="10289" width="29" style="493" customWidth="1"/>
    <col min="10290" max="10290" width="33.7109375" style="493" customWidth="1"/>
    <col min="10291" max="10291" width="32.28515625" style="493" customWidth="1"/>
    <col min="10292" max="10292" width="14.7109375" style="493" customWidth="1"/>
    <col min="10293" max="10293" width="14.42578125" style="493" customWidth="1"/>
    <col min="10294" max="10294" width="14.5703125" style="493" customWidth="1"/>
    <col min="10295" max="10295" width="18" style="493" customWidth="1"/>
    <col min="10296" max="10296" width="32.42578125" style="493" customWidth="1"/>
    <col min="10297" max="10297" width="35.42578125" style="493" customWidth="1"/>
    <col min="10298" max="10298" width="36.85546875" style="493" customWidth="1"/>
    <col min="10299" max="10299" width="33.5703125" style="493" customWidth="1"/>
    <col min="10300" max="10300" width="35.85546875" style="493" customWidth="1"/>
    <col min="10301" max="10301" width="30.5703125" style="493" customWidth="1"/>
    <col min="10302" max="10302" width="32.7109375" style="493" customWidth="1"/>
    <col min="10303" max="10303" width="32.140625" style="493" customWidth="1"/>
    <col min="10304" max="10304" width="36.5703125" style="493" customWidth="1"/>
    <col min="10305" max="10305" width="35.140625" style="493" customWidth="1"/>
    <col min="10306" max="10306" width="11.7109375" style="493" customWidth="1"/>
    <col min="10307" max="10307" width="15.42578125" style="493" customWidth="1"/>
    <col min="10308" max="10308" width="15.140625" style="493" customWidth="1"/>
    <col min="10309" max="10309" width="19.140625" style="493" customWidth="1"/>
    <col min="10310" max="10310" width="7.5703125" style="493" customWidth="1"/>
    <col min="10311" max="10311" width="11.28515625" style="493" customWidth="1"/>
    <col min="10312" max="10312" width="19.7109375" style="493" customWidth="1"/>
    <col min="10313" max="10313" width="25.42578125" style="493" customWidth="1"/>
    <col min="10314" max="10314" width="38.28515625" style="493" customWidth="1"/>
    <col min="10315" max="10315" width="31.7109375" style="493" customWidth="1"/>
    <col min="10316" max="10496" width="9.140625" style="493"/>
    <col min="10497" max="10497" width="17.140625" style="493" customWidth="1"/>
    <col min="10498" max="10498" width="16.85546875" style="493" customWidth="1"/>
    <col min="10499" max="10499" width="36.5703125" style="493" customWidth="1"/>
    <col min="10500" max="10500" width="14.140625" style="493" customWidth="1"/>
    <col min="10501" max="10501" width="18.5703125" style="493" customWidth="1"/>
    <col min="10502" max="10502" width="8.42578125" style="493" customWidth="1"/>
    <col min="10503" max="10503" width="17.7109375" style="493" customWidth="1"/>
    <col min="10504" max="10504" width="12.85546875" style="493" customWidth="1"/>
    <col min="10505" max="10505" width="29.28515625" style="493" customWidth="1"/>
    <col min="10506" max="10506" width="14.5703125" style="493" customWidth="1"/>
    <col min="10507" max="10507" width="32.42578125" style="493" customWidth="1"/>
    <col min="10508" max="10508" width="17.7109375" style="493" customWidth="1"/>
    <col min="10509" max="10509" width="33.7109375" style="493" customWidth="1"/>
    <col min="10510" max="10510" width="19.140625" style="493" customWidth="1"/>
    <col min="10511" max="10511" width="31.140625" style="493" customWidth="1"/>
    <col min="10512" max="10512" width="34.28515625" style="493" customWidth="1"/>
    <col min="10513" max="10513" width="33.42578125" style="493" customWidth="1"/>
    <col min="10514" max="10514" width="36.42578125" style="493" customWidth="1"/>
    <col min="10515" max="10515" width="11.85546875" style="493" customWidth="1"/>
    <col min="10516" max="10516" width="6.85546875" style="493" customWidth="1"/>
    <col min="10517" max="10517" width="10.85546875" style="493" customWidth="1"/>
    <col min="10518" max="10518" width="13" style="493" customWidth="1"/>
    <col min="10519" max="10519" width="11" style="493" customWidth="1"/>
    <col min="10520" max="10520" width="11.140625" style="493" customWidth="1"/>
    <col min="10521" max="10521" width="12.7109375" style="493" customWidth="1"/>
    <col min="10522" max="10522" width="10.42578125" style="493" customWidth="1"/>
    <col min="10523" max="10523" width="16.85546875" style="493" customWidth="1"/>
    <col min="10524" max="10524" width="14.140625" style="493" customWidth="1"/>
    <col min="10525" max="10525" width="15.7109375" style="493" customWidth="1"/>
    <col min="10526" max="10526" width="13.140625" style="493" customWidth="1"/>
    <col min="10527" max="10527" width="11.7109375" style="493" customWidth="1"/>
    <col min="10528" max="10528" width="14.140625" style="493" customWidth="1"/>
    <col min="10529" max="10529" width="10.42578125" style="493" customWidth="1"/>
    <col min="10530" max="10530" width="18.5703125" style="493" customWidth="1"/>
    <col min="10531" max="10531" width="16.140625" style="493" customWidth="1"/>
    <col min="10532" max="10532" width="18.5703125" style="493" customWidth="1"/>
    <col min="10533" max="10533" width="18.140625" style="493" customWidth="1"/>
    <col min="10534" max="10534" width="13.140625" style="493" customWidth="1"/>
    <col min="10535" max="10535" width="14.140625" style="493" customWidth="1"/>
    <col min="10536" max="10536" width="18.5703125" style="493" customWidth="1"/>
    <col min="10537" max="10537" width="16.42578125" style="493" customWidth="1"/>
    <col min="10538" max="10538" width="36.5703125" style="493" customWidth="1"/>
    <col min="10539" max="10539" width="13.42578125" style="493" customWidth="1"/>
    <col min="10540" max="10540" width="9.28515625" style="493" customWidth="1"/>
    <col min="10541" max="10541" width="10.85546875" style="493" customWidth="1"/>
    <col min="10542" max="10542" width="9.42578125" style="493" customWidth="1"/>
    <col min="10543" max="10543" width="22.140625" style="493" customWidth="1"/>
    <col min="10544" max="10544" width="30.28515625" style="493" customWidth="1"/>
    <col min="10545" max="10545" width="29" style="493" customWidth="1"/>
    <col min="10546" max="10546" width="33.7109375" style="493" customWidth="1"/>
    <col min="10547" max="10547" width="32.28515625" style="493" customWidth="1"/>
    <col min="10548" max="10548" width="14.7109375" style="493" customWidth="1"/>
    <col min="10549" max="10549" width="14.42578125" style="493" customWidth="1"/>
    <col min="10550" max="10550" width="14.5703125" style="493" customWidth="1"/>
    <col min="10551" max="10551" width="18" style="493" customWidth="1"/>
    <col min="10552" max="10552" width="32.42578125" style="493" customWidth="1"/>
    <col min="10553" max="10553" width="35.42578125" style="493" customWidth="1"/>
    <col min="10554" max="10554" width="36.85546875" style="493" customWidth="1"/>
    <col min="10555" max="10555" width="33.5703125" style="493" customWidth="1"/>
    <col min="10556" max="10556" width="35.85546875" style="493" customWidth="1"/>
    <col min="10557" max="10557" width="30.5703125" style="493" customWidth="1"/>
    <col min="10558" max="10558" width="32.7109375" style="493" customWidth="1"/>
    <col min="10559" max="10559" width="32.140625" style="493" customWidth="1"/>
    <col min="10560" max="10560" width="36.5703125" style="493" customWidth="1"/>
    <col min="10561" max="10561" width="35.140625" style="493" customWidth="1"/>
    <col min="10562" max="10562" width="11.7109375" style="493" customWidth="1"/>
    <col min="10563" max="10563" width="15.42578125" style="493" customWidth="1"/>
    <col min="10564" max="10564" width="15.140625" style="493" customWidth="1"/>
    <col min="10565" max="10565" width="19.140625" style="493" customWidth="1"/>
    <col min="10566" max="10566" width="7.5703125" style="493" customWidth="1"/>
    <col min="10567" max="10567" width="11.28515625" style="493" customWidth="1"/>
    <col min="10568" max="10568" width="19.7109375" style="493" customWidth="1"/>
    <col min="10569" max="10569" width="25.42578125" style="493" customWidth="1"/>
    <col min="10570" max="10570" width="38.28515625" style="493" customWidth="1"/>
    <col min="10571" max="10571" width="31.7109375" style="493" customWidth="1"/>
    <col min="10572" max="10752" width="9.140625" style="493"/>
    <col min="10753" max="10753" width="17.140625" style="493" customWidth="1"/>
    <col min="10754" max="10754" width="16.85546875" style="493" customWidth="1"/>
    <col min="10755" max="10755" width="36.5703125" style="493" customWidth="1"/>
    <col min="10756" max="10756" width="14.140625" style="493" customWidth="1"/>
    <col min="10757" max="10757" width="18.5703125" style="493" customWidth="1"/>
    <col min="10758" max="10758" width="8.42578125" style="493" customWidth="1"/>
    <col min="10759" max="10759" width="17.7109375" style="493" customWidth="1"/>
    <col min="10760" max="10760" width="12.85546875" style="493" customWidth="1"/>
    <col min="10761" max="10761" width="29.28515625" style="493" customWidth="1"/>
    <col min="10762" max="10762" width="14.5703125" style="493" customWidth="1"/>
    <col min="10763" max="10763" width="32.42578125" style="493" customWidth="1"/>
    <col min="10764" max="10764" width="17.7109375" style="493" customWidth="1"/>
    <col min="10765" max="10765" width="33.7109375" style="493" customWidth="1"/>
    <col min="10766" max="10766" width="19.140625" style="493" customWidth="1"/>
    <col min="10767" max="10767" width="31.140625" style="493" customWidth="1"/>
    <col min="10768" max="10768" width="34.28515625" style="493" customWidth="1"/>
    <col min="10769" max="10769" width="33.42578125" style="493" customWidth="1"/>
    <col min="10770" max="10770" width="36.42578125" style="493" customWidth="1"/>
    <col min="10771" max="10771" width="11.85546875" style="493" customWidth="1"/>
    <col min="10772" max="10772" width="6.85546875" style="493" customWidth="1"/>
    <col min="10773" max="10773" width="10.85546875" style="493" customWidth="1"/>
    <col min="10774" max="10774" width="13" style="493" customWidth="1"/>
    <col min="10775" max="10775" width="11" style="493" customWidth="1"/>
    <col min="10776" max="10776" width="11.140625" style="493" customWidth="1"/>
    <col min="10777" max="10777" width="12.7109375" style="493" customWidth="1"/>
    <col min="10778" max="10778" width="10.42578125" style="493" customWidth="1"/>
    <col min="10779" max="10779" width="16.85546875" style="493" customWidth="1"/>
    <col min="10780" max="10780" width="14.140625" style="493" customWidth="1"/>
    <col min="10781" max="10781" width="15.7109375" style="493" customWidth="1"/>
    <col min="10782" max="10782" width="13.140625" style="493" customWidth="1"/>
    <col min="10783" max="10783" width="11.7109375" style="493" customWidth="1"/>
    <col min="10784" max="10784" width="14.140625" style="493" customWidth="1"/>
    <col min="10785" max="10785" width="10.42578125" style="493" customWidth="1"/>
    <col min="10786" max="10786" width="18.5703125" style="493" customWidth="1"/>
    <col min="10787" max="10787" width="16.140625" style="493" customWidth="1"/>
    <col min="10788" max="10788" width="18.5703125" style="493" customWidth="1"/>
    <col min="10789" max="10789" width="18.140625" style="493" customWidth="1"/>
    <col min="10790" max="10790" width="13.140625" style="493" customWidth="1"/>
    <col min="10791" max="10791" width="14.140625" style="493" customWidth="1"/>
    <col min="10792" max="10792" width="18.5703125" style="493" customWidth="1"/>
    <col min="10793" max="10793" width="16.42578125" style="493" customWidth="1"/>
    <col min="10794" max="10794" width="36.5703125" style="493" customWidth="1"/>
    <col min="10795" max="10795" width="13.42578125" style="493" customWidth="1"/>
    <col min="10796" max="10796" width="9.28515625" style="493" customWidth="1"/>
    <col min="10797" max="10797" width="10.85546875" style="493" customWidth="1"/>
    <col min="10798" max="10798" width="9.42578125" style="493" customWidth="1"/>
    <col min="10799" max="10799" width="22.140625" style="493" customWidth="1"/>
    <col min="10800" max="10800" width="30.28515625" style="493" customWidth="1"/>
    <col min="10801" max="10801" width="29" style="493" customWidth="1"/>
    <col min="10802" max="10802" width="33.7109375" style="493" customWidth="1"/>
    <col min="10803" max="10803" width="32.28515625" style="493" customWidth="1"/>
    <col min="10804" max="10804" width="14.7109375" style="493" customWidth="1"/>
    <col min="10805" max="10805" width="14.42578125" style="493" customWidth="1"/>
    <col min="10806" max="10806" width="14.5703125" style="493" customWidth="1"/>
    <col min="10807" max="10807" width="18" style="493" customWidth="1"/>
    <col min="10808" max="10808" width="32.42578125" style="493" customWidth="1"/>
    <col min="10809" max="10809" width="35.42578125" style="493" customWidth="1"/>
    <col min="10810" max="10810" width="36.85546875" style="493" customWidth="1"/>
    <col min="10811" max="10811" width="33.5703125" style="493" customWidth="1"/>
    <col min="10812" max="10812" width="35.85546875" style="493" customWidth="1"/>
    <col min="10813" max="10813" width="30.5703125" style="493" customWidth="1"/>
    <col min="10814" max="10814" width="32.7109375" style="493" customWidth="1"/>
    <col min="10815" max="10815" width="32.140625" style="493" customWidth="1"/>
    <col min="10816" max="10816" width="36.5703125" style="493" customWidth="1"/>
    <col min="10817" max="10817" width="35.140625" style="493" customWidth="1"/>
    <col min="10818" max="10818" width="11.7109375" style="493" customWidth="1"/>
    <col min="10819" max="10819" width="15.42578125" style="493" customWidth="1"/>
    <col min="10820" max="10820" width="15.140625" style="493" customWidth="1"/>
    <col min="10821" max="10821" width="19.140625" style="493" customWidth="1"/>
    <col min="10822" max="10822" width="7.5703125" style="493" customWidth="1"/>
    <col min="10823" max="10823" width="11.28515625" style="493" customWidth="1"/>
    <col min="10824" max="10824" width="19.7109375" style="493" customWidth="1"/>
    <col min="10825" max="10825" width="25.42578125" style="493" customWidth="1"/>
    <col min="10826" max="10826" width="38.28515625" style="493" customWidth="1"/>
    <col min="10827" max="10827" width="31.7109375" style="493" customWidth="1"/>
    <col min="10828" max="11008" width="9.140625" style="493"/>
    <col min="11009" max="11009" width="17.140625" style="493" customWidth="1"/>
    <col min="11010" max="11010" width="16.85546875" style="493" customWidth="1"/>
    <col min="11011" max="11011" width="36.5703125" style="493" customWidth="1"/>
    <col min="11012" max="11012" width="14.140625" style="493" customWidth="1"/>
    <col min="11013" max="11013" width="18.5703125" style="493" customWidth="1"/>
    <col min="11014" max="11014" width="8.42578125" style="493" customWidth="1"/>
    <col min="11015" max="11015" width="17.7109375" style="493" customWidth="1"/>
    <col min="11016" max="11016" width="12.85546875" style="493" customWidth="1"/>
    <col min="11017" max="11017" width="29.28515625" style="493" customWidth="1"/>
    <col min="11018" max="11018" width="14.5703125" style="493" customWidth="1"/>
    <col min="11019" max="11019" width="32.42578125" style="493" customWidth="1"/>
    <col min="11020" max="11020" width="17.7109375" style="493" customWidth="1"/>
    <col min="11021" max="11021" width="33.7109375" style="493" customWidth="1"/>
    <col min="11022" max="11022" width="19.140625" style="493" customWidth="1"/>
    <col min="11023" max="11023" width="31.140625" style="493" customWidth="1"/>
    <col min="11024" max="11024" width="34.28515625" style="493" customWidth="1"/>
    <col min="11025" max="11025" width="33.42578125" style="493" customWidth="1"/>
    <col min="11026" max="11026" width="36.42578125" style="493" customWidth="1"/>
    <col min="11027" max="11027" width="11.85546875" style="493" customWidth="1"/>
    <col min="11028" max="11028" width="6.85546875" style="493" customWidth="1"/>
    <col min="11029" max="11029" width="10.85546875" style="493" customWidth="1"/>
    <col min="11030" max="11030" width="13" style="493" customWidth="1"/>
    <col min="11031" max="11031" width="11" style="493" customWidth="1"/>
    <col min="11032" max="11032" width="11.140625" style="493" customWidth="1"/>
    <col min="11033" max="11033" width="12.7109375" style="493" customWidth="1"/>
    <col min="11034" max="11034" width="10.42578125" style="493" customWidth="1"/>
    <col min="11035" max="11035" width="16.85546875" style="493" customWidth="1"/>
    <col min="11036" max="11036" width="14.140625" style="493" customWidth="1"/>
    <col min="11037" max="11037" width="15.7109375" style="493" customWidth="1"/>
    <col min="11038" max="11038" width="13.140625" style="493" customWidth="1"/>
    <col min="11039" max="11039" width="11.7109375" style="493" customWidth="1"/>
    <col min="11040" max="11040" width="14.140625" style="493" customWidth="1"/>
    <col min="11041" max="11041" width="10.42578125" style="493" customWidth="1"/>
    <col min="11042" max="11042" width="18.5703125" style="493" customWidth="1"/>
    <col min="11043" max="11043" width="16.140625" style="493" customWidth="1"/>
    <col min="11044" max="11044" width="18.5703125" style="493" customWidth="1"/>
    <col min="11045" max="11045" width="18.140625" style="493" customWidth="1"/>
    <col min="11046" max="11046" width="13.140625" style="493" customWidth="1"/>
    <col min="11047" max="11047" width="14.140625" style="493" customWidth="1"/>
    <col min="11048" max="11048" width="18.5703125" style="493" customWidth="1"/>
    <col min="11049" max="11049" width="16.42578125" style="493" customWidth="1"/>
    <col min="11050" max="11050" width="36.5703125" style="493" customWidth="1"/>
    <col min="11051" max="11051" width="13.42578125" style="493" customWidth="1"/>
    <col min="11052" max="11052" width="9.28515625" style="493" customWidth="1"/>
    <col min="11053" max="11053" width="10.85546875" style="493" customWidth="1"/>
    <col min="11054" max="11054" width="9.42578125" style="493" customWidth="1"/>
    <col min="11055" max="11055" width="22.140625" style="493" customWidth="1"/>
    <col min="11056" max="11056" width="30.28515625" style="493" customWidth="1"/>
    <col min="11057" max="11057" width="29" style="493" customWidth="1"/>
    <col min="11058" max="11058" width="33.7109375" style="493" customWidth="1"/>
    <col min="11059" max="11059" width="32.28515625" style="493" customWidth="1"/>
    <col min="11060" max="11060" width="14.7109375" style="493" customWidth="1"/>
    <col min="11061" max="11061" width="14.42578125" style="493" customWidth="1"/>
    <col min="11062" max="11062" width="14.5703125" style="493" customWidth="1"/>
    <col min="11063" max="11063" width="18" style="493" customWidth="1"/>
    <col min="11064" max="11064" width="32.42578125" style="493" customWidth="1"/>
    <col min="11065" max="11065" width="35.42578125" style="493" customWidth="1"/>
    <col min="11066" max="11066" width="36.85546875" style="493" customWidth="1"/>
    <col min="11067" max="11067" width="33.5703125" style="493" customWidth="1"/>
    <col min="11068" max="11068" width="35.85546875" style="493" customWidth="1"/>
    <col min="11069" max="11069" width="30.5703125" style="493" customWidth="1"/>
    <col min="11070" max="11070" width="32.7109375" style="493" customWidth="1"/>
    <col min="11071" max="11071" width="32.140625" style="493" customWidth="1"/>
    <col min="11072" max="11072" width="36.5703125" style="493" customWidth="1"/>
    <col min="11073" max="11073" width="35.140625" style="493" customWidth="1"/>
    <col min="11074" max="11074" width="11.7109375" style="493" customWidth="1"/>
    <col min="11075" max="11075" width="15.42578125" style="493" customWidth="1"/>
    <col min="11076" max="11076" width="15.140625" style="493" customWidth="1"/>
    <col min="11077" max="11077" width="19.140625" style="493" customWidth="1"/>
    <col min="11078" max="11078" width="7.5703125" style="493" customWidth="1"/>
    <col min="11079" max="11079" width="11.28515625" style="493" customWidth="1"/>
    <col min="11080" max="11080" width="19.7109375" style="493" customWidth="1"/>
    <col min="11081" max="11081" width="25.42578125" style="493" customWidth="1"/>
    <col min="11082" max="11082" width="38.28515625" style="493" customWidth="1"/>
    <col min="11083" max="11083" width="31.7109375" style="493" customWidth="1"/>
    <col min="11084" max="11264" width="9.140625" style="493"/>
    <col min="11265" max="11265" width="17.140625" style="493" customWidth="1"/>
    <col min="11266" max="11266" width="16.85546875" style="493" customWidth="1"/>
    <col min="11267" max="11267" width="36.5703125" style="493" customWidth="1"/>
    <col min="11268" max="11268" width="14.140625" style="493" customWidth="1"/>
    <col min="11269" max="11269" width="18.5703125" style="493" customWidth="1"/>
    <col min="11270" max="11270" width="8.42578125" style="493" customWidth="1"/>
    <col min="11271" max="11271" width="17.7109375" style="493" customWidth="1"/>
    <col min="11272" max="11272" width="12.85546875" style="493" customWidth="1"/>
    <col min="11273" max="11273" width="29.28515625" style="493" customWidth="1"/>
    <col min="11274" max="11274" width="14.5703125" style="493" customWidth="1"/>
    <col min="11275" max="11275" width="32.42578125" style="493" customWidth="1"/>
    <col min="11276" max="11276" width="17.7109375" style="493" customWidth="1"/>
    <col min="11277" max="11277" width="33.7109375" style="493" customWidth="1"/>
    <col min="11278" max="11278" width="19.140625" style="493" customWidth="1"/>
    <col min="11279" max="11279" width="31.140625" style="493" customWidth="1"/>
    <col min="11280" max="11280" width="34.28515625" style="493" customWidth="1"/>
    <col min="11281" max="11281" width="33.42578125" style="493" customWidth="1"/>
    <col min="11282" max="11282" width="36.42578125" style="493" customWidth="1"/>
    <col min="11283" max="11283" width="11.85546875" style="493" customWidth="1"/>
    <col min="11284" max="11284" width="6.85546875" style="493" customWidth="1"/>
    <col min="11285" max="11285" width="10.85546875" style="493" customWidth="1"/>
    <col min="11286" max="11286" width="13" style="493" customWidth="1"/>
    <col min="11287" max="11287" width="11" style="493" customWidth="1"/>
    <col min="11288" max="11288" width="11.140625" style="493" customWidth="1"/>
    <col min="11289" max="11289" width="12.7109375" style="493" customWidth="1"/>
    <col min="11290" max="11290" width="10.42578125" style="493" customWidth="1"/>
    <col min="11291" max="11291" width="16.85546875" style="493" customWidth="1"/>
    <col min="11292" max="11292" width="14.140625" style="493" customWidth="1"/>
    <col min="11293" max="11293" width="15.7109375" style="493" customWidth="1"/>
    <col min="11294" max="11294" width="13.140625" style="493" customWidth="1"/>
    <col min="11295" max="11295" width="11.7109375" style="493" customWidth="1"/>
    <col min="11296" max="11296" width="14.140625" style="493" customWidth="1"/>
    <col min="11297" max="11297" width="10.42578125" style="493" customWidth="1"/>
    <col min="11298" max="11298" width="18.5703125" style="493" customWidth="1"/>
    <col min="11299" max="11299" width="16.140625" style="493" customWidth="1"/>
    <col min="11300" max="11300" width="18.5703125" style="493" customWidth="1"/>
    <col min="11301" max="11301" width="18.140625" style="493" customWidth="1"/>
    <col min="11302" max="11302" width="13.140625" style="493" customWidth="1"/>
    <col min="11303" max="11303" width="14.140625" style="493" customWidth="1"/>
    <col min="11304" max="11304" width="18.5703125" style="493" customWidth="1"/>
    <col min="11305" max="11305" width="16.42578125" style="493" customWidth="1"/>
    <col min="11306" max="11306" width="36.5703125" style="493" customWidth="1"/>
    <col min="11307" max="11307" width="13.42578125" style="493" customWidth="1"/>
    <col min="11308" max="11308" width="9.28515625" style="493" customWidth="1"/>
    <col min="11309" max="11309" width="10.85546875" style="493" customWidth="1"/>
    <col min="11310" max="11310" width="9.42578125" style="493" customWidth="1"/>
    <col min="11311" max="11311" width="22.140625" style="493" customWidth="1"/>
    <col min="11312" max="11312" width="30.28515625" style="493" customWidth="1"/>
    <col min="11313" max="11313" width="29" style="493" customWidth="1"/>
    <col min="11314" max="11314" width="33.7109375" style="493" customWidth="1"/>
    <col min="11315" max="11315" width="32.28515625" style="493" customWidth="1"/>
    <col min="11316" max="11316" width="14.7109375" style="493" customWidth="1"/>
    <col min="11317" max="11317" width="14.42578125" style="493" customWidth="1"/>
    <col min="11318" max="11318" width="14.5703125" style="493" customWidth="1"/>
    <col min="11319" max="11319" width="18" style="493" customWidth="1"/>
    <col min="11320" max="11320" width="32.42578125" style="493" customWidth="1"/>
    <col min="11321" max="11321" width="35.42578125" style="493" customWidth="1"/>
    <col min="11322" max="11322" width="36.85546875" style="493" customWidth="1"/>
    <col min="11323" max="11323" width="33.5703125" style="493" customWidth="1"/>
    <col min="11324" max="11324" width="35.85546875" style="493" customWidth="1"/>
    <col min="11325" max="11325" width="30.5703125" style="493" customWidth="1"/>
    <col min="11326" max="11326" width="32.7109375" style="493" customWidth="1"/>
    <col min="11327" max="11327" width="32.140625" style="493" customWidth="1"/>
    <col min="11328" max="11328" width="36.5703125" style="493" customWidth="1"/>
    <col min="11329" max="11329" width="35.140625" style="493" customWidth="1"/>
    <col min="11330" max="11330" width="11.7109375" style="493" customWidth="1"/>
    <col min="11331" max="11331" width="15.42578125" style="493" customWidth="1"/>
    <col min="11332" max="11332" width="15.140625" style="493" customWidth="1"/>
    <col min="11333" max="11333" width="19.140625" style="493" customWidth="1"/>
    <col min="11334" max="11334" width="7.5703125" style="493" customWidth="1"/>
    <col min="11335" max="11335" width="11.28515625" style="493" customWidth="1"/>
    <col min="11336" max="11336" width="19.7109375" style="493" customWidth="1"/>
    <col min="11337" max="11337" width="25.42578125" style="493" customWidth="1"/>
    <col min="11338" max="11338" width="38.28515625" style="493" customWidth="1"/>
    <col min="11339" max="11339" width="31.7109375" style="493" customWidth="1"/>
    <col min="11340" max="11520" width="9.140625" style="493"/>
    <col min="11521" max="11521" width="17.140625" style="493" customWidth="1"/>
    <col min="11522" max="11522" width="16.85546875" style="493" customWidth="1"/>
    <col min="11523" max="11523" width="36.5703125" style="493" customWidth="1"/>
    <col min="11524" max="11524" width="14.140625" style="493" customWidth="1"/>
    <col min="11525" max="11525" width="18.5703125" style="493" customWidth="1"/>
    <col min="11526" max="11526" width="8.42578125" style="493" customWidth="1"/>
    <col min="11527" max="11527" width="17.7109375" style="493" customWidth="1"/>
    <col min="11528" max="11528" width="12.85546875" style="493" customWidth="1"/>
    <col min="11529" max="11529" width="29.28515625" style="493" customWidth="1"/>
    <col min="11530" max="11530" width="14.5703125" style="493" customWidth="1"/>
    <col min="11531" max="11531" width="32.42578125" style="493" customWidth="1"/>
    <col min="11532" max="11532" width="17.7109375" style="493" customWidth="1"/>
    <col min="11533" max="11533" width="33.7109375" style="493" customWidth="1"/>
    <col min="11534" max="11534" width="19.140625" style="493" customWidth="1"/>
    <col min="11535" max="11535" width="31.140625" style="493" customWidth="1"/>
    <col min="11536" max="11536" width="34.28515625" style="493" customWidth="1"/>
    <col min="11537" max="11537" width="33.42578125" style="493" customWidth="1"/>
    <col min="11538" max="11538" width="36.42578125" style="493" customWidth="1"/>
    <col min="11539" max="11539" width="11.85546875" style="493" customWidth="1"/>
    <col min="11540" max="11540" width="6.85546875" style="493" customWidth="1"/>
    <col min="11541" max="11541" width="10.85546875" style="493" customWidth="1"/>
    <col min="11542" max="11542" width="13" style="493" customWidth="1"/>
    <col min="11543" max="11543" width="11" style="493" customWidth="1"/>
    <col min="11544" max="11544" width="11.140625" style="493" customWidth="1"/>
    <col min="11545" max="11545" width="12.7109375" style="493" customWidth="1"/>
    <col min="11546" max="11546" width="10.42578125" style="493" customWidth="1"/>
    <col min="11547" max="11547" width="16.85546875" style="493" customWidth="1"/>
    <col min="11548" max="11548" width="14.140625" style="493" customWidth="1"/>
    <col min="11549" max="11549" width="15.7109375" style="493" customWidth="1"/>
    <col min="11550" max="11550" width="13.140625" style="493" customWidth="1"/>
    <col min="11551" max="11551" width="11.7109375" style="493" customWidth="1"/>
    <col min="11552" max="11552" width="14.140625" style="493" customWidth="1"/>
    <col min="11553" max="11553" width="10.42578125" style="493" customWidth="1"/>
    <col min="11554" max="11554" width="18.5703125" style="493" customWidth="1"/>
    <col min="11555" max="11555" width="16.140625" style="493" customWidth="1"/>
    <col min="11556" max="11556" width="18.5703125" style="493" customWidth="1"/>
    <col min="11557" max="11557" width="18.140625" style="493" customWidth="1"/>
    <col min="11558" max="11558" width="13.140625" style="493" customWidth="1"/>
    <col min="11559" max="11559" width="14.140625" style="493" customWidth="1"/>
    <col min="11560" max="11560" width="18.5703125" style="493" customWidth="1"/>
    <col min="11561" max="11561" width="16.42578125" style="493" customWidth="1"/>
    <col min="11562" max="11562" width="36.5703125" style="493" customWidth="1"/>
    <col min="11563" max="11563" width="13.42578125" style="493" customWidth="1"/>
    <col min="11564" max="11564" width="9.28515625" style="493" customWidth="1"/>
    <col min="11565" max="11565" width="10.85546875" style="493" customWidth="1"/>
    <col min="11566" max="11566" width="9.42578125" style="493" customWidth="1"/>
    <col min="11567" max="11567" width="22.140625" style="493" customWidth="1"/>
    <col min="11568" max="11568" width="30.28515625" style="493" customWidth="1"/>
    <col min="11569" max="11569" width="29" style="493" customWidth="1"/>
    <col min="11570" max="11570" width="33.7109375" style="493" customWidth="1"/>
    <col min="11571" max="11571" width="32.28515625" style="493" customWidth="1"/>
    <col min="11572" max="11572" width="14.7109375" style="493" customWidth="1"/>
    <col min="11573" max="11573" width="14.42578125" style="493" customWidth="1"/>
    <col min="11574" max="11574" width="14.5703125" style="493" customWidth="1"/>
    <col min="11575" max="11575" width="18" style="493" customWidth="1"/>
    <col min="11576" max="11576" width="32.42578125" style="493" customWidth="1"/>
    <col min="11577" max="11577" width="35.42578125" style="493" customWidth="1"/>
    <col min="11578" max="11578" width="36.85546875" style="493" customWidth="1"/>
    <col min="11579" max="11579" width="33.5703125" style="493" customWidth="1"/>
    <col min="11580" max="11580" width="35.85546875" style="493" customWidth="1"/>
    <col min="11581" max="11581" width="30.5703125" style="493" customWidth="1"/>
    <col min="11582" max="11582" width="32.7109375" style="493" customWidth="1"/>
    <col min="11583" max="11583" width="32.140625" style="493" customWidth="1"/>
    <col min="11584" max="11584" width="36.5703125" style="493" customWidth="1"/>
    <col min="11585" max="11585" width="35.140625" style="493" customWidth="1"/>
    <col min="11586" max="11586" width="11.7109375" style="493" customWidth="1"/>
    <col min="11587" max="11587" width="15.42578125" style="493" customWidth="1"/>
    <col min="11588" max="11588" width="15.140625" style="493" customWidth="1"/>
    <col min="11589" max="11589" width="19.140625" style="493" customWidth="1"/>
    <col min="11590" max="11590" width="7.5703125" style="493" customWidth="1"/>
    <col min="11591" max="11591" width="11.28515625" style="493" customWidth="1"/>
    <col min="11592" max="11592" width="19.7109375" style="493" customWidth="1"/>
    <col min="11593" max="11593" width="25.42578125" style="493" customWidth="1"/>
    <col min="11594" max="11594" width="38.28515625" style="493" customWidth="1"/>
    <col min="11595" max="11595" width="31.7109375" style="493" customWidth="1"/>
    <col min="11596" max="11776" width="9.140625" style="493"/>
    <col min="11777" max="11777" width="17.140625" style="493" customWidth="1"/>
    <col min="11778" max="11778" width="16.85546875" style="493" customWidth="1"/>
    <col min="11779" max="11779" width="36.5703125" style="493" customWidth="1"/>
    <col min="11780" max="11780" width="14.140625" style="493" customWidth="1"/>
    <col min="11781" max="11781" width="18.5703125" style="493" customWidth="1"/>
    <col min="11782" max="11782" width="8.42578125" style="493" customWidth="1"/>
    <col min="11783" max="11783" width="17.7109375" style="493" customWidth="1"/>
    <col min="11784" max="11784" width="12.85546875" style="493" customWidth="1"/>
    <col min="11785" max="11785" width="29.28515625" style="493" customWidth="1"/>
    <col min="11786" max="11786" width="14.5703125" style="493" customWidth="1"/>
    <col min="11787" max="11787" width="32.42578125" style="493" customWidth="1"/>
    <col min="11788" max="11788" width="17.7109375" style="493" customWidth="1"/>
    <col min="11789" max="11789" width="33.7109375" style="493" customWidth="1"/>
    <col min="11790" max="11790" width="19.140625" style="493" customWidth="1"/>
    <col min="11791" max="11791" width="31.140625" style="493" customWidth="1"/>
    <col min="11792" max="11792" width="34.28515625" style="493" customWidth="1"/>
    <col min="11793" max="11793" width="33.42578125" style="493" customWidth="1"/>
    <col min="11794" max="11794" width="36.42578125" style="493" customWidth="1"/>
    <col min="11795" max="11795" width="11.85546875" style="493" customWidth="1"/>
    <col min="11796" max="11796" width="6.85546875" style="493" customWidth="1"/>
    <col min="11797" max="11797" width="10.85546875" style="493" customWidth="1"/>
    <col min="11798" max="11798" width="13" style="493" customWidth="1"/>
    <col min="11799" max="11799" width="11" style="493" customWidth="1"/>
    <col min="11800" max="11800" width="11.140625" style="493" customWidth="1"/>
    <col min="11801" max="11801" width="12.7109375" style="493" customWidth="1"/>
    <col min="11802" max="11802" width="10.42578125" style="493" customWidth="1"/>
    <col min="11803" max="11803" width="16.85546875" style="493" customWidth="1"/>
    <col min="11804" max="11804" width="14.140625" style="493" customWidth="1"/>
    <col min="11805" max="11805" width="15.7109375" style="493" customWidth="1"/>
    <col min="11806" max="11806" width="13.140625" style="493" customWidth="1"/>
    <col min="11807" max="11807" width="11.7109375" style="493" customWidth="1"/>
    <col min="11808" max="11808" width="14.140625" style="493" customWidth="1"/>
    <col min="11809" max="11809" width="10.42578125" style="493" customWidth="1"/>
    <col min="11810" max="11810" width="18.5703125" style="493" customWidth="1"/>
    <col min="11811" max="11811" width="16.140625" style="493" customWidth="1"/>
    <col min="11812" max="11812" width="18.5703125" style="493" customWidth="1"/>
    <col min="11813" max="11813" width="18.140625" style="493" customWidth="1"/>
    <col min="11814" max="11814" width="13.140625" style="493" customWidth="1"/>
    <col min="11815" max="11815" width="14.140625" style="493" customWidth="1"/>
    <col min="11816" max="11816" width="18.5703125" style="493" customWidth="1"/>
    <col min="11817" max="11817" width="16.42578125" style="493" customWidth="1"/>
    <col min="11818" max="11818" width="36.5703125" style="493" customWidth="1"/>
    <col min="11819" max="11819" width="13.42578125" style="493" customWidth="1"/>
    <col min="11820" max="11820" width="9.28515625" style="493" customWidth="1"/>
    <col min="11821" max="11821" width="10.85546875" style="493" customWidth="1"/>
    <col min="11822" max="11822" width="9.42578125" style="493" customWidth="1"/>
    <col min="11823" max="11823" width="22.140625" style="493" customWidth="1"/>
    <col min="11824" max="11824" width="30.28515625" style="493" customWidth="1"/>
    <col min="11825" max="11825" width="29" style="493" customWidth="1"/>
    <col min="11826" max="11826" width="33.7109375" style="493" customWidth="1"/>
    <col min="11827" max="11827" width="32.28515625" style="493" customWidth="1"/>
    <col min="11828" max="11828" width="14.7109375" style="493" customWidth="1"/>
    <col min="11829" max="11829" width="14.42578125" style="493" customWidth="1"/>
    <col min="11830" max="11830" width="14.5703125" style="493" customWidth="1"/>
    <col min="11831" max="11831" width="18" style="493" customWidth="1"/>
    <col min="11832" max="11832" width="32.42578125" style="493" customWidth="1"/>
    <col min="11833" max="11833" width="35.42578125" style="493" customWidth="1"/>
    <col min="11834" max="11834" width="36.85546875" style="493" customWidth="1"/>
    <col min="11835" max="11835" width="33.5703125" style="493" customWidth="1"/>
    <col min="11836" max="11836" width="35.85546875" style="493" customWidth="1"/>
    <col min="11837" max="11837" width="30.5703125" style="493" customWidth="1"/>
    <col min="11838" max="11838" width="32.7109375" style="493" customWidth="1"/>
    <col min="11839" max="11839" width="32.140625" style="493" customWidth="1"/>
    <col min="11840" max="11840" width="36.5703125" style="493" customWidth="1"/>
    <col min="11841" max="11841" width="35.140625" style="493" customWidth="1"/>
    <col min="11842" max="11842" width="11.7109375" style="493" customWidth="1"/>
    <col min="11843" max="11843" width="15.42578125" style="493" customWidth="1"/>
    <col min="11844" max="11844" width="15.140625" style="493" customWidth="1"/>
    <col min="11845" max="11845" width="19.140625" style="493" customWidth="1"/>
    <col min="11846" max="11846" width="7.5703125" style="493" customWidth="1"/>
    <col min="11847" max="11847" width="11.28515625" style="493" customWidth="1"/>
    <col min="11848" max="11848" width="19.7109375" style="493" customWidth="1"/>
    <col min="11849" max="11849" width="25.42578125" style="493" customWidth="1"/>
    <col min="11850" max="11850" width="38.28515625" style="493" customWidth="1"/>
    <col min="11851" max="11851" width="31.7109375" style="493" customWidth="1"/>
    <col min="11852" max="12032" width="9.140625" style="493"/>
    <col min="12033" max="12033" width="17.140625" style="493" customWidth="1"/>
    <col min="12034" max="12034" width="16.85546875" style="493" customWidth="1"/>
    <col min="12035" max="12035" width="36.5703125" style="493" customWidth="1"/>
    <col min="12036" max="12036" width="14.140625" style="493" customWidth="1"/>
    <col min="12037" max="12037" width="18.5703125" style="493" customWidth="1"/>
    <col min="12038" max="12038" width="8.42578125" style="493" customWidth="1"/>
    <col min="12039" max="12039" width="17.7109375" style="493" customWidth="1"/>
    <col min="12040" max="12040" width="12.85546875" style="493" customWidth="1"/>
    <col min="12041" max="12041" width="29.28515625" style="493" customWidth="1"/>
    <col min="12042" max="12042" width="14.5703125" style="493" customWidth="1"/>
    <col min="12043" max="12043" width="32.42578125" style="493" customWidth="1"/>
    <col min="12044" max="12044" width="17.7109375" style="493" customWidth="1"/>
    <col min="12045" max="12045" width="33.7109375" style="493" customWidth="1"/>
    <col min="12046" max="12046" width="19.140625" style="493" customWidth="1"/>
    <col min="12047" max="12047" width="31.140625" style="493" customWidth="1"/>
    <col min="12048" max="12048" width="34.28515625" style="493" customWidth="1"/>
    <col min="12049" max="12049" width="33.42578125" style="493" customWidth="1"/>
    <col min="12050" max="12050" width="36.42578125" style="493" customWidth="1"/>
    <col min="12051" max="12051" width="11.85546875" style="493" customWidth="1"/>
    <col min="12052" max="12052" width="6.85546875" style="493" customWidth="1"/>
    <col min="12053" max="12053" width="10.85546875" style="493" customWidth="1"/>
    <col min="12054" max="12054" width="13" style="493" customWidth="1"/>
    <col min="12055" max="12055" width="11" style="493" customWidth="1"/>
    <col min="12056" max="12056" width="11.140625" style="493" customWidth="1"/>
    <col min="12057" max="12057" width="12.7109375" style="493" customWidth="1"/>
    <col min="12058" max="12058" width="10.42578125" style="493" customWidth="1"/>
    <col min="12059" max="12059" width="16.85546875" style="493" customWidth="1"/>
    <col min="12060" max="12060" width="14.140625" style="493" customWidth="1"/>
    <col min="12061" max="12061" width="15.7109375" style="493" customWidth="1"/>
    <col min="12062" max="12062" width="13.140625" style="493" customWidth="1"/>
    <col min="12063" max="12063" width="11.7109375" style="493" customWidth="1"/>
    <col min="12064" max="12064" width="14.140625" style="493" customWidth="1"/>
    <col min="12065" max="12065" width="10.42578125" style="493" customWidth="1"/>
    <col min="12066" max="12066" width="18.5703125" style="493" customWidth="1"/>
    <col min="12067" max="12067" width="16.140625" style="493" customWidth="1"/>
    <col min="12068" max="12068" width="18.5703125" style="493" customWidth="1"/>
    <col min="12069" max="12069" width="18.140625" style="493" customWidth="1"/>
    <col min="12070" max="12070" width="13.140625" style="493" customWidth="1"/>
    <col min="12071" max="12071" width="14.140625" style="493" customWidth="1"/>
    <col min="12072" max="12072" width="18.5703125" style="493" customWidth="1"/>
    <col min="12073" max="12073" width="16.42578125" style="493" customWidth="1"/>
    <col min="12074" max="12074" width="36.5703125" style="493" customWidth="1"/>
    <col min="12075" max="12075" width="13.42578125" style="493" customWidth="1"/>
    <col min="12076" max="12076" width="9.28515625" style="493" customWidth="1"/>
    <col min="12077" max="12077" width="10.85546875" style="493" customWidth="1"/>
    <col min="12078" max="12078" width="9.42578125" style="493" customWidth="1"/>
    <col min="12079" max="12079" width="22.140625" style="493" customWidth="1"/>
    <col min="12080" max="12080" width="30.28515625" style="493" customWidth="1"/>
    <col min="12081" max="12081" width="29" style="493" customWidth="1"/>
    <col min="12082" max="12082" width="33.7109375" style="493" customWidth="1"/>
    <col min="12083" max="12083" width="32.28515625" style="493" customWidth="1"/>
    <col min="12084" max="12084" width="14.7109375" style="493" customWidth="1"/>
    <col min="12085" max="12085" width="14.42578125" style="493" customWidth="1"/>
    <col min="12086" max="12086" width="14.5703125" style="493" customWidth="1"/>
    <col min="12087" max="12087" width="18" style="493" customWidth="1"/>
    <col min="12088" max="12088" width="32.42578125" style="493" customWidth="1"/>
    <col min="12089" max="12089" width="35.42578125" style="493" customWidth="1"/>
    <col min="12090" max="12090" width="36.85546875" style="493" customWidth="1"/>
    <col min="12091" max="12091" width="33.5703125" style="493" customWidth="1"/>
    <col min="12092" max="12092" width="35.85546875" style="493" customWidth="1"/>
    <col min="12093" max="12093" width="30.5703125" style="493" customWidth="1"/>
    <col min="12094" max="12094" width="32.7109375" style="493" customWidth="1"/>
    <col min="12095" max="12095" width="32.140625" style="493" customWidth="1"/>
    <col min="12096" max="12096" width="36.5703125" style="493" customWidth="1"/>
    <col min="12097" max="12097" width="35.140625" style="493" customWidth="1"/>
    <col min="12098" max="12098" width="11.7109375" style="493" customWidth="1"/>
    <col min="12099" max="12099" width="15.42578125" style="493" customWidth="1"/>
    <col min="12100" max="12100" width="15.140625" style="493" customWidth="1"/>
    <col min="12101" max="12101" width="19.140625" style="493" customWidth="1"/>
    <col min="12102" max="12102" width="7.5703125" style="493" customWidth="1"/>
    <col min="12103" max="12103" width="11.28515625" style="493" customWidth="1"/>
    <col min="12104" max="12104" width="19.7109375" style="493" customWidth="1"/>
    <col min="12105" max="12105" width="25.42578125" style="493" customWidth="1"/>
    <col min="12106" max="12106" width="38.28515625" style="493" customWidth="1"/>
    <col min="12107" max="12107" width="31.7109375" style="493" customWidth="1"/>
    <col min="12108" max="12288" width="9.140625" style="493"/>
    <col min="12289" max="12289" width="17.140625" style="493" customWidth="1"/>
    <col min="12290" max="12290" width="16.85546875" style="493" customWidth="1"/>
    <col min="12291" max="12291" width="36.5703125" style="493" customWidth="1"/>
    <col min="12292" max="12292" width="14.140625" style="493" customWidth="1"/>
    <col min="12293" max="12293" width="18.5703125" style="493" customWidth="1"/>
    <col min="12294" max="12294" width="8.42578125" style="493" customWidth="1"/>
    <col min="12295" max="12295" width="17.7109375" style="493" customWidth="1"/>
    <col min="12296" max="12296" width="12.85546875" style="493" customWidth="1"/>
    <col min="12297" max="12297" width="29.28515625" style="493" customWidth="1"/>
    <col min="12298" max="12298" width="14.5703125" style="493" customWidth="1"/>
    <col min="12299" max="12299" width="32.42578125" style="493" customWidth="1"/>
    <col min="12300" max="12300" width="17.7109375" style="493" customWidth="1"/>
    <col min="12301" max="12301" width="33.7109375" style="493" customWidth="1"/>
    <col min="12302" max="12302" width="19.140625" style="493" customWidth="1"/>
    <col min="12303" max="12303" width="31.140625" style="493" customWidth="1"/>
    <col min="12304" max="12304" width="34.28515625" style="493" customWidth="1"/>
    <col min="12305" max="12305" width="33.42578125" style="493" customWidth="1"/>
    <col min="12306" max="12306" width="36.42578125" style="493" customWidth="1"/>
    <col min="12307" max="12307" width="11.85546875" style="493" customWidth="1"/>
    <col min="12308" max="12308" width="6.85546875" style="493" customWidth="1"/>
    <col min="12309" max="12309" width="10.85546875" style="493" customWidth="1"/>
    <col min="12310" max="12310" width="13" style="493" customWidth="1"/>
    <col min="12311" max="12311" width="11" style="493" customWidth="1"/>
    <col min="12312" max="12312" width="11.140625" style="493" customWidth="1"/>
    <col min="12313" max="12313" width="12.7109375" style="493" customWidth="1"/>
    <col min="12314" max="12314" width="10.42578125" style="493" customWidth="1"/>
    <col min="12315" max="12315" width="16.85546875" style="493" customWidth="1"/>
    <col min="12316" max="12316" width="14.140625" style="493" customWidth="1"/>
    <col min="12317" max="12317" width="15.7109375" style="493" customWidth="1"/>
    <col min="12318" max="12318" width="13.140625" style="493" customWidth="1"/>
    <col min="12319" max="12319" width="11.7109375" style="493" customWidth="1"/>
    <col min="12320" max="12320" width="14.140625" style="493" customWidth="1"/>
    <col min="12321" max="12321" width="10.42578125" style="493" customWidth="1"/>
    <col min="12322" max="12322" width="18.5703125" style="493" customWidth="1"/>
    <col min="12323" max="12323" width="16.140625" style="493" customWidth="1"/>
    <col min="12324" max="12324" width="18.5703125" style="493" customWidth="1"/>
    <col min="12325" max="12325" width="18.140625" style="493" customWidth="1"/>
    <col min="12326" max="12326" width="13.140625" style="493" customWidth="1"/>
    <col min="12327" max="12327" width="14.140625" style="493" customWidth="1"/>
    <col min="12328" max="12328" width="18.5703125" style="493" customWidth="1"/>
    <col min="12329" max="12329" width="16.42578125" style="493" customWidth="1"/>
    <col min="12330" max="12330" width="36.5703125" style="493" customWidth="1"/>
    <col min="12331" max="12331" width="13.42578125" style="493" customWidth="1"/>
    <col min="12332" max="12332" width="9.28515625" style="493" customWidth="1"/>
    <col min="12333" max="12333" width="10.85546875" style="493" customWidth="1"/>
    <col min="12334" max="12334" width="9.42578125" style="493" customWidth="1"/>
    <col min="12335" max="12335" width="22.140625" style="493" customWidth="1"/>
    <col min="12336" max="12336" width="30.28515625" style="493" customWidth="1"/>
    <col min="12337" max="12337" width="29" style="493" customWidth="1"/>
    <col min="12338" max="12338" width="33.7109375" style="493" customWidth="1"/>
    <col min="12339" max="12339" width="32.28515625" style="493" customWidth="1"/>
    <col min="12340" max="12340" width="14.7109375" style="493" customWidth="1"/>
    <col min="12341" max="12341" width="14.42578125" style="493" customWidth="1"/>
    <col min="12342" max="12342" width="14.5703125" style="493" customWidth="1"/>
    <col min="12343" max="12343" width="18" style="493" customWidth="1"/>
    <col min="12344" max="12344" width="32.42578125" style="493" customWidth="1"/>
    <col min="12345" max="12345" width="35.42578125" style="493" customWidth="1"/>
    <col min="12346" max="12346" width="36.85546875" style="493" customWidth="1"/>
    <col min="12347" max="12347" width="33.5703125" style="493" customWidth="1"/>
    <col min="12348" max="12348" width="35.85546875" style="493" customWidth="1"/>
    <col min="12349" max="12349" width="30.5703125" style="493" customWidth="1"/>
    <col min="12350" max="12350" width="32.7109375" style="493" customWidth="1"/>
    <col min="12351" max="12351" width="32.140625" style="493" customWidth="1"/>
    <col min="12352" max="12352" width="36.5703125" style="493" customWidth="1"/>
    <col min="12353" max="12353" width="35.140625" style="493" customWidth="1"/>
    <col min="12354" max="12354" width="11.7109375" style="493" customWidth="1"/>
    <col min="12355" max="12355" width="15.42578125" style="493" customWidth="1"/>
    <col min="12356" max="12356" width="15.140625" style="493" customWidth="1"/>
    <col min="12357" max="12357" width="19.140625" style="493" customWidth="1"/>
    <col min="12358" max="12358" width="7.5703125" style="493" customWidth="1"/>
    <col min="12359" max="12359" width="11.28515625" style="493" customWidth="1"/>
    <col min="12360" max="12360" width="19.7109375" style="493" customWidth="1"/>
    <col min="12361" max="12361" width="25.42578125" style="493" customWidth="1"/>
    <col min="12362" max="12362" width="38.28515625" style="493" customWidth="1"/>
    <col min="12363" max="12363" width="31.7109375" style="493" customWidth="1"/>
    <col min="12364" max="12544" width="9.140625" style="493"/>
    <col min="12545" max="12545" width="17.140625" style="493" customWidth="1"/>
    <col min="12546" max="12546" width="16.85546875" style="493" customWidth="1"/>
    <col min="12547" max="12547" width="36.5703125" style="493" customWidth="1"/>
    <col min="12548" max="12548" width="14.140625" style="493" customWidth="1"/>
    <col min="12549" max="12549" width="18.5703125" style="493" customWidth="1"/>
    <col min="12550" max="12550" width="8.42578125" style="493" customWidth="1"/>
    <col min="12551" max="12551" width="17.7109375" style="493" customWidth="1"/>
    <col min="12552" max="12552" width="12.85546875" style="493" customWidth="1"/>
    <col min="12553" max="12553" width="29.28515625" style="493" customWidth="1"/>
    <col min="12554" max="12554" width="14.5703125" style="493" customWidth="1"/>
    <col min="12555" max="12555" width="32.42578125" style="493" customWidth="1"/>
    <col min="12556" max="12556" width="17.7109375" style="493" customWidth="1"/>
    <col min="12557" max="12557" width="33.7109375" style="493" customWidth="1"/>
    <col min="12558" max="12558" width="19.140625" style="493" customWidth="1"/>
    <col min="12559" max="12559" width="31.140625" style="493" customWidth="1"/>
    <col min="12560" max="12560" width="34.28515625" style="493" customWidth="1"/>
    <col min="12561" max="12561" width="33.42578125" style="493" customWidth="1"/>
    <col min="12562" max="12562" width="36.42578125" style="493" customWidth="1"/>
    <col min="12563" max="12563" width="11.85546875" style="493" customWidth="1"/>
    <col min="12564" max="12564" width="6.85546875" style="493" customWidth="1"/>
    <col min="12565" max="12565" width="10.85546875" style="493" customWidth="1"/>
    <col min="12566" max="12566" width="13" style="493" customWidth="1"/>
    <col min="12567" max="12567" width="11" style="493" customWidth="1"/>
    <col min="12568" max="12568" width="11.140625" style="493" customWidth="1"/>
    <col min="12569" max="12569" width="12.7109375" style="493" customWidth="1"/>
    <col min="12570" max="12570" width="10.42578125" style="493" customWidth="1"/>
    <col min="12571" max="12571" width="16.85546875" style="493" customWidth="1"/>
    <col min="12572" max="12572" width="14.140625" style="493" customWidth="1"/>
    <col min="12573" max="12573" width="15.7109375" style="493" customWidth="1"/>
    <col min="12574" max="12574" width="13.140625" style="493" customWidth="1"/>
    <col min="12575" max="12575" width="11.7109375" style="493" customWidth="1"/>
    <col min="12576" max="12576" width="14.140625" style="493" customWidth="1"/>
    <col min="12577" max="12577" width="10.42578125" style="493" customWidth="1"/>
    <col min="12578" max="12578" width="18.5703125" style="493" customWidth="1"/>
    <col min="12579" max="12579" width="16.140625" style="493" customWidth="1"/>
    <col min="12580" max="12580" width="18.5703125" style="493" customWidth="1"/>
    <col min="12581" max="12581" width="18.140625" style="493" customWidth="1"/>
    <col min="12582" max="12582" width="13.140625" style="493" customWidth="1"/>
    <col min="12583" max="12583" width="14.140625" style="493" customWidth="1"/>
    <col min="12584" max="12584" width="18.5703125" style="493" customWidth="1"/>
    <col min="12585" max="12585" width="16.42578125" style="493" customWidth="1"/>
    <col min="12586" max="12586" width="36.5703125" style="493" customWidth="1"/>
    <col min="12587" max="12587" width="13.42578125" style="493" customWidth="1"/>
    <col min="12588" max="12588" width="9.28515625" style="493" customWidth="1"/>
    <col min="12589" max="12589" width="10.85546875" style="493" customWidth="1"/>
    <col min="12590" max="12590" width="9.42578125" style="493" customWidth="1"/>
    <col min="12591" max="12591" width="22.140625" style="493" customWidth="1"/>
    <col min="12592" max="12592" width="30.28515625" style="493" customWidth="1"/>
    <col min="12593" max="12593" width="29" style="493" customWidth="1"/>
    <col min="12594" max="12594" width="33.7109375" style="493" customWidth="1"/>
    <col min="12595" max="12595" width="32.28515625" style="493" customWidth="1"/>
    <col min="12596" max="12596" width="14.7109375" style="493" customWidth="1"/>
    <col min="12597" max="12597" width="14.42578125" style="493" customWidth="1"/>
    <col min="12598" max="12598" width="14.5703125" style="493" customWidth="1"/>
    <col min="12599" max="12599" width="18" style="493" customWidth="1"/>
    <col min="12600" max="12600" width="32.42578125" style="493" customWidth="1"/>
    <col min="12601" max="12601" width="35.42578125" style="493" customWidth="1"/>
    <col min="12602" max="12602" width="36.85546875" style="493" customWidth="1"/>
    <col min="12603" max="12603" width="33.5703125" style="493" customWidth="1"/>
    <col min="12604" max="12604" width="35.85546875" style="493" customWidth="1"/>
    <col min="12605" max="12605" width="30.5703125" style="493" customWidth="1"/>
    <col min="12606" max="12606" width="32.7109375" style="493" customWidth="1"/>
    <col min="12607" max="12607" width="32.140625" style="493" customWidth="1"/>
    <col min="12608" max="12608" width="36.5703125" style="493" customWidth="1"/>
    <col min="12609" max="12609" width="35.140625" style="493" customWidth="1"/>
    <col min="12610" max="12610" width="11.7109375" style="493" customWidth="1"/>
    <col min="12611" max="12611" width="15.42578125" style="493" customWidth="1"/>
    <col min="12612" max="12612" width="15.140625" style="493" customWidth="1"/>
    <col min="12613" max="12613" width="19.140625" style="493" customWidth="1"/>
    <col min="12614" max="12614" width="7.5703125" style="493" customWidth="1"/>
    <col min="12615" max="12615" width="11.28515625" style="493" customWidth="1"/>
    <col min="12616" max="12616" width="19.7109375" style="493" customWidth="1"/>
    <col min="12617" max="12617" width="25.42578125" style="493" customWidth="1"/>
    <col min="12618" max="12618" width="38.28515625" style="493" customWidth="1"/>
    <col min="12619" max="12619" width="31.7109375" style="493" customWidth="1"/>
    <col min="12620" max="12800" width="9.140625" style="493"/>
    <col min="12801" max="12801" width="17.140625" style="493" customWidth="1"/>
    <col min="12802" max="12802" width="16.85546875" style="493" customWidth="1"/>
    <col min="12803" max="12803" width="36.5703125" style="493" customWidth="1"/>
    <col min="12804" max="12804" width="14.140625" style="493" customWidth="1"/>
    <col min="12805" max="12805" width="18.5703125" style="493" customWidth="1"/>
    <col min="12806" max="12806" width="8.42578125" style="493" customWidth="1"/>
    <col min="12807" max="12807" width="17.7109375" style="493" customWidth="1"/>
    <col min="12808" max="12808" width="12.85546875" style="493" customWidth="1"/>
    <col min="12809" max="12809" width="29.28515625" style="493" customWidth="1"/>
    <col min="12810" max="12810" width="14.5703125" style="493" customWidth="1"/>
    <col min="12811" max="12811" width="32.42578125" style="493" customWidth="1"/>
    <col min="12812" max="12812" width="17.7109375" style="493" customWidth="1"/>
    <col min="12813" max="12813" width="33.7109375" style="493" customWidth="1"/>
    <col min="12814" max="12814" width="19.140625" style="493" customWidth="1"/>
    <col min="12815" max="12815" width="31.140625" style="493" customWidth="1"/>
    <col min="12816" max="12816" width="34.28515625" style="493" customWidth="1"/>
    <col min="12817" max="12817" width="33.42578125" style="493" customWidth="1"/>
    <col min="12818" max="12818" width="36.42578125" style="493" customWidth="1"/>
    <col min="12819" max="12819" width="11.85546875" style="493" customWidth="1"/>
    <col min="12820" max="12820" width="6.85546875" style="493" customWidth="1"/>
    <col min="12821" max="12821" width="10.85546875" style="493" customWidth="1"/>
    <col min="12822" max="12822" width="13" style="493" customWidth="1"/>
    <col min="12823" max="12823" width="11" style="493" customWidth="1"/>
    <col min="12824" max="12824" width="11.140625" style="493" customWidth="1"/>
    <col min="12825" max="12825" width="12.7109375" style="493" customWidth="1"/>
    <col min="12826" max="12826" width="10.42578125" style="493" customWidth="1"/>
    <col min="12827" max="12827" width="16.85546875" style="493" customWidth="1"/>
    <col min="12828" max="12828" width="14.140625" style="493" customWidth="1"/>
    <col min="12829" max="12829" width="15.7109375" style="493" customWidth="1"/>
    <col min="12830" max="12830" width="13.140625" style="493" customWidth="1"/>
    <col min="12831" max="12831" width="11.7109375" style="493" customWidth="1"/>
    <col min="12832" max="12832" width="14.140625" style="493" customWidth="1"/>
    <col min="12833" max="12833" width="10.42578125" style="493" customWidth="1"/>
    <col min="12834" max="12834" width="18.5703125" style="493" customWidth="1"/>
    <col min="12835" max="12835" width="16.140625" style="493" customWidth="1"/>
    <col min="12836" max="12836" width="18.5703125" style="493" customWidth="1"/>
    <col min="12837" max="12837" width="18.140625" style="493" customWidth="1"/>
    <col min="12838" max="12838" width="13.140625" style="493" customWidth="1"/>
    <col min="12839" max="12839" width="14.140625" style="493" customWidth="1"/>
    <col min="12840" max="12840" width="18.5703125" style="493" customWidth="1"/>
    <col min="12841" max="12841" width="16.42578125" style="493" customWidth="1"/>
    <col min="12842" max="12842" width="36.5703125" style="493" customWidth="1"/>
    <col min="12843" max="12843" width="13.42578125" style="493" customWidth="1"/>
    <col min="12844" max="12844" width="9.28515625" style="493" customWidth="1"/>
    <col min="12845" max="12845" width="10.85546875" style="493" customWidth="1"/>
    <col min="12846" max="12846" width="9.42578125" style="493" customWidth="1"/>
    <col min="12847" max="12847" width="22.140625" style="493" customWidth="1"/>
    <col min="12848" max="12848" width="30.28515625" style="493" customWidth="1"/>
    <col min="12849" max="12849" width="29" style="493" customWidth="1"/>
    <col min="12850" max="12850" width="33.7109375" style="493" customWidth="1"/>
    <col min="12851" max="12851" width="32.28515625" style="493" customWidth="1"/>
    <col min="12852" max="12852" width="14.7109375" style="493" customWidth="1"/>
    <col min="12853" max="12853" width="14.42578125" style="493" customWidth="1"/>
    <col min="12854" max="12854" width="14.5703125" style="493" customWidth="1"/>
    <col min="12855" max="12855" width="18" style="493" customWidth="1"/>
    <col min="12856" max="12856" width="32.42578125" style="493" customWidth="1"/>
    <col min="12857" max="12857" width="35.42578125" style="493" customWidth="1"/>
    <col min="12858" max="12858" width="36.85546875" style="493" customWidth="1"/>
    <col min="12859" max="12859" width="33.5703125" style="493" customWidth="1"/>
    <col min="12860" max="12860" width="35.85546875" style="493" customWidth="1"/>
    <col min="12861" max="12861" width="30.5703125" style="493" customWidth="1"/>
    <col min="12862" max="12862" width="32.7109375" style="493" customWidth="1"/>
    <col min="12863" max="12863" width="32.140625" style="493" customWidth="1"/>
    <col min="12864" max="12864" width="36.5703125" style="493" customWidth="1"/>
    <col min="12865" max="12865" width="35.140625" style="493" customWidth="1"/>
    <col min="12866" max="12866" width="11.7109375" style="493" customWidth="1"/>
    <col min="12867" max="12867" width="15.42578125" style="493" customWidth="1"/>
    <col min="12868" max="12868" width="15.140625" style="493" customWidth="1"/>
    <col min="12869" max="12869" width="19.140625" style="493" customWidth="1"/>
    <col min="12870" max="12870" width="7.5703125" style="493" customWidth="1"/>
    <col min="12871" max="12871" width="11.28515625" style="493" customWidth="1"/>
    <col min="12872" max="12872" width="19.7109375" style="493" customWidth="1"/>
    <col min="12873" max="12873" width="25.42578125" style="493" customWidth="1"/>
    <col min="12874" max="12874" width="38.28515625" style="493" customWidth="1"/>
    <col min="12875" max="12875" width="31.7109375" style="493" customWidth="1"/>
    <col min="12876" max="13056" width="9.140625" style="493"/>
    <col min="13057" max="13057" width="17.140625" style="493" customWidth="1"/>
    <col min="13058" max="13058" width="16.85546875" style="493" customWidth="1"/>
    <col min="13059" max="13059" width="36.5703125" style="493" customWidth="1"/>
    <col min="13060" max="13060" width="14.140625" style="493" customWidth="1"/>
    <col min="13061" max="13061" width="18.5703125" style="493" customWidth="1"/>
    <col min="13062" max="13062" width="8.42578125" style="493" customWidth="1"/>
    <col min="13063" max="13063" width="17.7109375" style="493" customWidth="1"/>
    <col min="13064" max="13064" width="12.85546875" style="493" customWidth="1"/>
    <col min="13065" max="13065" width="29.28515625" style="493" customWidth="1"/>
    <col min="13066" max="13066" width="14.5703125" style="493" customWidth="1"/>
    <col min="13067" max="13067" width="32.42578125" style="493" customWidth="1"/>
    <col min="13068" max="13068" width="17.7109375" style="493" customWidth="1"/>
    <col min="13069" max="13069" width="33.7109375" style="493" customWidth="1"/>
    <col min="13070" max="13070" width="19.140625" style="493" customWidth="1"/>
    <col min="13071" max="13071" width="31.140625" style="493" customWidth="1"/>
    <col min="13072" max="13072" width="34.28515625" style="493" customWidth="1"/>
    <col min="13073" max="13073" width="33.42578125" style="493" customWidth="1"/>
    <col min="13074" max="13074" width="36.42578125" style="493" customWidth="1"/>
    <col min="13075" max="13075" width="11.85546875" style="493" customWidth="1"/>
    <col min="13076" max="13076" width="6.85546875" style="493" customWidth="1"/>
    <col min="13077" max="13077" width="10.85546875" style="493" customWidth="1"/>
    <col min="13078" max="13078" width="13" style="493" customWidth="1"/>
    <col min="13079" max="13079" width="11" style="493" customWidth="1"/>
    <col min="13080" max="13080" width="11.140625" style="493" customWidth="1"/>
    <col min="13081" max="13081" width="12.7109375" style="493" customWidth="1"/>
    <col min="13082" max="13082" width="10.42578125" style="493" customWidth="1"/>
    <col min="13083" max="13083" width="16.85546875" style="493" customWidth="1"/>
    <col min="13084" max="13084" width="14.140625" style="493" customWidth="1"/>
    <col min="13085" max="13085" width="15.7109375" style="493" customWidth="1"/>
    <col min="13086" max="13086" width="13.140625" style="493" customWidth="1"/>
    <col min="13087" max="13087" width="11.7109375" style="493" customWidth="1"/>
    <col min="13088" max="13088" width="14.140625" style="493" customWidth="1"/>
    <col min="13089" max="13089" width="10.42578125" style="493" customWidth="1"/>
    <col min="13090" max="13090" width="18.5703125" style="493" customWidth="1"/>
    <col min="13091" max="13091" width="16.140625" style="493" customWidth="1"/>
    <col min="13092" max="13092" width="18.5703125" style="493" customWidth="1"/>
    <col min="13093" max="13093" width="18.140625" style="493" customWidth="1"/>
    <col min="13094" max="13094" width="13.140625" style="493" customWidth="1"/>
    <col min="13095" max="13095" width="14.140625" style="493" customWidth="1"/>
    <col min="13096" max="13096" width="18.5703125" style="493" customWidth="1"/>
    <col min="13097" max="13097" width="16.42578125" style="493" customWidth="1"/>
    <col min="13098" max="13098" width="36.5703125" style="493" customWidth="1"/>
    <col min="13099" max="13099" width="13.42578125" style="493" customWidth="1"/>
    <col min="13100" max="13100" width="9.28515625" style="493" customWidth="1"/>
    <col min="13101" max="13101" width="10.85546875" style="493" customWidth="1"/>
    <col min="13102" max="13102" width="9.42578125" style="493" customWidth="1"/>
    <col min="13103" max="13103" width="22.140625" style="493" customWidth="1"/>
    <col min="13104" max="13104" width="30.28515625" style="493" customWidth="1"/>
    <col min="13105" max="13105" width="29" style="493" customWidth="1"/>
    <col min="13106" max="13106" width="33.7109375" style="493" customWidth="1"/>
    <col min="13107" max="13107" width="32.28515625" style="493" customWidth="1"/>
    <col min="13108" max="13108" width="14.7109375" style="493" customWidth="1"/>
    <col min="13109" max="13109" width="14.42578125" style="493" customWidth="1"/>
    <col min="13110" max="13110" width="14.5703125" style="493" customWidth="1"/>
    <col min="13111" max="13111" width="18" style="493" customWidth="1"/>
    <col min="13112" max="13112" width="32.42578125" style="493" customWidth="1"/>
    <col min="13113" max="13113" width="35.42578125" style="493" customWidth="1"/>
    <col min="13114" max="13114" width="36.85546875" style="493" customWidth="1"/>
    <col min="13115" max="13115" width="33.5703125" style="493" customWidth="1"/>
    <col min="13116" max="13116" width="35.85546875" style="493" customWidth="1"/>
    <col min="13117" max="13117" width="30.5703125" style="493" customWidth="1"/>
    <col min="13118" max="13118" width="32.7109375" style="493" customWidth="1"/>
    <col min="13119" max="13119" width="32.140625" style="493" customWidth="1"/>
    <col min="13120" max="13120" width="36.5703125" style="493" customWidth="1"/>
    <col min="13121" max="13121" width="35.140625" style="493" customWidth="1"/>
    <col min="13122" max="13122" width="11.7109375" style="493" customWidth="1"/>
    <col min="13123" max="13123" width="15.42578125" style="493" customWidth="1"/>
    <col min="13124" max="13124" width="15.140625" style="493" customWidth="1"/>
    <col min="13125" max="13125" width="19.140625" style="493" customWidth="1"/>
    <col min="13126" max="13126" width="7.5703125" style="493" customWidth="1"/>
    <col min="13127" max="13127" width="11.28515625" style="493" customWidth="1"/>
    <col min="13128" max="13128" width="19.7109375" style="493" customWidth="1"/>
    <col min="13129" max="13129" width="25.42578125" style="493" customWidth="1"/>
    <col min="13130" max="13130" width="38.28515625" style="493" customWidth="1"/>
    <col min="13131" max="13131" width="31.7109375" style="493" customWidth="1"/>
    <col min="13132" max="13312" width="9.140625" style="493"/>
    <col min="13313" max="13313" width="17.140625" style="493" customWidth="1"/>
    <col min="13314" max="13314" width="16.85546875" style="493" customWidth="1"/>
    <col min="13315" max="13315" width="36.5703125" style="493" customWidth="1"/>
    <col min="13316" max="13316" width="14.140625" style="493" customWidth="1"/>
    <col min="13317" max="13317" width="18.5703125" style="493" customWidth="1"/>
    <col min="13318" max="13318" width="8.42578125" style="493" customWidth="1"/>
    <col min="13319" max="13319" width="17.7109375" style="493" customWidth="1"/>
    <col min="13320" max="13320" width="12.85546875" style="493" customWidth="1"/>
    <col min="13321" max="13321" width="29.28515625" style="493" customWidth="1"/>
    <col min="13322" max="13322" width="14.5703125" style="493" customWidth="1"/>
    <col min="13323" max="13323" width="32.42578125" style="493" customWidth="1"/>
    <col min="13324" max="13324" width="17.7109375" style="493" customWidth="1"/>
    <col min="13325" max="13325" width="33.7109375" style="493" customWidth="1"/>
    <col min="13326" max="13326" width="19.140625" style="493" customWidth="1"/>
    <col min="13327" max="13327" width="31.140625" style="493" customWidth="1"/>
    <col min="13328" max="13328" width="34.28515625" style="493" customWidth="1"/>
    <col min="13329" max="13329" width="33.42578125" style="493" customWidth="1"/>
    <col min="13330" max="13330" width="36.42578125" style="493" customWidth="1"/>
    <col min="13331" max="13331" width="11.85546875" style="493" customWidth="1"/>
    <col min="13332" max="13332" width="6.85546875" style="493" customWidth="1"/>
    <col min="13333" max="13333" width="10.85546875" style="493" customWidth="1"/>
    <col min="13334" max="13334" width="13" style="493" customWidth="1"/>
    <col min="13335" max="13335" width="11" style="493" customWidth="1"/>
    <col min="13336" max="13336" width="11.140625" style="493" customWidth="1"/>
    <col min="13337" max="13337" width="12.7109375" style="493" customWidth="1"/>
    <col min="13338" max="13338" width="10.42578125" style="493" customWidth="1"/>
    <col min="13339" max="13339" width="16.85546875" style="493" customWidth="1"/>
    <col min="13340" max="13340" width="14.140625" style="493" customWidth="1"/>
    <col min="13341" max="13341" width="15.7109375" style="493" customWidth="1"/>
    <col min="13342" max="13342" width="13.140625" style="493" customWidth="1"/>
    <col min="13343" max="13343" width="11.7109375" style="493" customWidth="1"/>
    <col min="13344" max="13344" width="14.140625" style="493" customWidth="1"/>
    <col min="13345" max="13345" width="10.42578125" style="493" customWidth="1"/>
    <col min="13346" max="13346" width="18.5703125" style="493" customWidth="1"/>
    <col min="13347" max="13347" width="16.140625" style="493" customWidth="1"/>
    <col min="13348" max="13348" width="18.5703125" style="493" customWidth="1"/>
    <col min="13349" max="13349" width="18.140625" style="493" customWidth="1"/>
    <col min="13350" max="13350" width="13.140625" style="493" customWidth="1"/>
    <col min="13351" max="13351" width="14.140625" style="493" customWidth="1"/>
    <col min="13352" max="13352" width="18.5703125" style="493" customWidth="1"/>
    <col min="13353" max="13353" width="16.42578125" style="493" customWidth="1"/>
    <col min="13354" max="13354" width="36.5703125" style="493" customWidth="1"/>
    <col min="13355" max="13355" width="13.42578125" style="493" customWidth="1"/>
    <col min="13356" max="13356" width="9.28515625" style="493" customWidth="1"/>
    <col min="13357" max="13357" width="10.85546875" style="493" customWidth="1"/>
    <col min="13358" max="13358" width="9.42578125" style="493" customWidth="1"/>
    <col min="13359" max="13359" width="22.140625" style="493" customWidth="1"/>
    <col min="13360" max="13360" width="30.28515625" style="493" customWidth="1"/>
    <col min="13361" max="13361" width="29" style="493" customWidth="1"/>
    <col min="13362" max="13362" width="33.7109375" style="493" customWidth="1"/>
    <col min="13363" max="13363" width="32.28515625" style="493" customWidth="1"/>
    <col min="13364" max="13364" width="14.7109375" style="493" customWidth="1"/>
    <col min="13365" max="13365" width="14.42578125" style="493" customWidth="1"/>
    <col min="13366" max="13366" width="14.5703125" style="493" customWidth="1"/>
    <col min="13367" max="13367" width="18" style="493" customWidth="1"/>
    <col min="13368" max="13368" width="32.42578125" style="493" customWidth="1"/>
    <col min="13369" max="13369" width="35.42578125" style="493" customWidth="1"/>
    <col min="13370" max="13370" width="36.85546875" style="493" customWidth="1"/>
    <col min="13371" max="13371" width="33.5703125" style="493" customWidth="1"/>
    <col min="13372" max="13372" width="35.85546875" style="493" customWidth="1"/>
    <col min="13373" max="13373" width="30.5703125" style="493" customWidth="1"/>
    <col min="13374" max="13374" width="32.7109375" style="493" customWidth="1"/>
    <col min="13375" max="13375" width="32.140625" style="493" customWidth="1"/>
    <col min="13376" max="13376" width="36.5703125" style="493" customWidth="1"/>
    <col min="13377" max="13377" width="35.140625" style="493" customWidth="1"/>
    <col min="13378" max="13378" width="11.7109375" style="493" customWidth="1"/>
    <col min="13379" max="13379" width="15.42578125" style="493" customWidth="1"/>
    <col min="13380" max="13380" width="15.140625" style="493" customWidth="1"/>
    <col min="13381" max="13381" width="19.140625" style="493" customWidth="1"/>
    <col min="13382" max="13382" width="7.5703125" style="493" customWidth="1"/>
    <col min="13383" max="13383" width="11.28515625" style="493" customWidth="1"/>
    <col min="13384" max="13384" width="19.7109375" style="493" customWidth="1"/>
    <col min="13385" max="13385" width="25.42578125" style="493" customWidth="1"/>
    <col min="13386" max="13386" width="38.28515625" style="493" customWidth="1"/>
    <col min="13387" max="13387" width="31.7109375" style="493" customWidth="1"/>
    <col min="13388" max="13568" width="9.140625" style="493"/>
    <col min="13569" max="13569" width="17.140625" style="493" customWidth="1"/>
    <col min="13570" max="13570" width="16.85546875" style="493" customWidth="1"/>
    <col min="13571" max="13571" width="36.5703125" style="493" customWidth="1"/>
    <col min="13572" max="13572" width="14.140625" style="493" customWidth="1"/>
    <col min="13573" max="13573" width="18.5703125" style="493" customWidth="1"/>
    <col min="13574" max="13574" width="8.42578125" style="493" customWidth="1"/>
    <col min="13575" max="13575" width="17.7109375" style="493" customWidth="1"/>
    <col min="13576" max="13576" width="12.85546875" style="493" customWidth="1"/>
    <col min="13577" max="13577" width="29.28515625" style="493" customWidth="1"/>
    <col min="13578" max="13578" width="14.5703125" style="493" customWidth="1"/>
    <col min="13579" max="13579" width="32.42578125" style="493" customWidth="1"/>
    <col min="13580" max="13580" width="17.7109375" style="493" customWidth="1"/>
    <col min="13581" max="13581" width="33.7109375" style="493" customWidth="1"/>
    <col min="13582" max="13582" width="19.140625" style="493" customWidth="1"/>
    <col min="13583" max="13583" width="31.140625" style="493" customWidth="1"/>
    <col min="13584" max="13584" width="34.28515625" style="493" customWidth="1"/>
    <col min="13585" max="13585" width="33.42578125" style="493" customWidth="1"/>
    <col min="13586" max="13586" width="36.42578125" style="493" customWidth="1"/>
    <col min="13587" max="13587" width="11.85546875" style="493" customWidth="1"/>
    <col min="13588" max="13588" width="6.85546875" style="493" customWidth="1"/>
    <col min="13589" max="13589" width="10.85546875" style="493" customWidth="1"/>
    <col min="13590" max="13590" width="13" style="493" customWidth="1"/>
    <col min="13591" max="13591" width="11" style="493" customWidth="1"/>
    <col min="13592" max="13592" width="11.140625" style="493" customWidth="1"/>
    <col min="13593" max="13593" width="12.7109375" style="493" customWidth="1"/>
    <col min="13594" max="13594" width="10.42578125" style="493" customWidth="1"/>
    <col min="13595" max="13595" width="16.85546875" style="493" customWidth="1"/>
    <col min="13596" max="13596" width="14.140625" style="493" customWidth="1"/>
    <col min="13597" max="13597" width="15.7109375" style="493" customWidth="1"/>
    <col min="13598" max="13598" width="13.140625" style="493" customWidth="1"/>
    <col min="13599" max="13599" width="11.7109375" style="493" customWidth="1"/>
    <col min="13600" max="13600" width="14.140625" style="493" customWidth="1"/>
    <col min="13601" max="13601" width="10.42578125" style="493" customWidth="1"/>
    <col min="13602" max="13602" width="18.5703125" style="493" customWidth="1"/>
    <col min="13603" max="13603" width="16.140625" style="493" customWidth="1"/>
    <col min="13604" max="13604" width="18.5703125" style="493" customWidth="1"/>
    <col min="13605" max="13605" width="18.140625" style="493" customWidth="1"/>
    <col min="13606" max="13606" width="13.140625" style="493" customWidth="1"/>
    <col min="13607" max="13607" width="14.140625" style="493" customWidth="1"/>
    <col min="13608" max="13608" width="18.5703125" style="493" customWidth="1"/>
    <col min="13609" max="13609" width="16.42578125" style="493" customWidth="1"/>
    <col min="13610" max="13610" width="36.5703125" style="493" customWidth="1"/>
    <col min="13611" max="13611" width="13.42578125" style="493" customWidth="1"/>
    <col min="13612" max="13612" width="9.28515625" style="493" customWidth="1"/>
    <col min="13613" max="13613" width="10.85546875" style="493" customWidth="1"/>
    <col min="13614" max="13614" width="9.42578125" style="493" customWidth="1"/>
    <col min="13615" max="13615" width="22.140625" style="493" customWidth="1"/>
    <col min="13616" max="13616" width="30.28515625" style="493" customWidth="1"/>
    <col min="13617" max="13617" width="29" style="493" customWidth="1"/>
    <col min="13618" max="13618" width="33.7109375" style="493" customWidth="1"/>
    <col min="13619" max="13619" width="32.28515625" style="493" customWidth="1"/>
    <col min="13620" max="13620" width="14.7109375" style="493" customWidth="1"/>
    <col min="13621" max="13621" width="14.42578125" style="493" customWidth="1"/>
    <col min="13622" max="13622" width="14.5703125" style="493" customWidth="1"/>
    <col min="13623" max="13623" width="18" style="493" customWidth="1"/>
    <col min="13624" max="13624" width="32.42578125" style="493" customWidth="1"/>
    <col min="13625" max="13625" width="35.42578125" style="493" customWidth="1"/>
    <col min="13626" max="13626" width="36.85546875" style="493" customWidth="1"/>
    <col min="13627" max="13627" width="33.5703125" style="493" customWidth="1"/>
    <col min="13628" max="13628" width="35.85546875" style="493" customWidth="1"/>
    <col min="13629" max="13629" width="30.5703125" style="493" customWidth="1"/>
    <col min="13630" max="13630" width="32.7109375" style="493" customWidth="1"/>
    <col min="13631" max="13631" width="32.140625" style="493" customWidth="1"/>
    <col min="13632" max="13632" width="36.5703125" style="493" customWidth="1"/>
    <col min="13633" max="13633" width="35.140625" style="493" customWidth="1"/>
    <col min="13634" max="13634" width="11.7109375" style="493" customWidth="1"/>
    <col min="13635" max="13635" width="15.42578125" style="493" customWidth="1"/>
    <col min="13636" max="13636" width="15.140625" style="493" customWidth="1"/>
    <col min="13637" max="13637" width="19.140625" style="493" customWidth="1"/>
    <col min="13638" max="13638" width="7.5703125" style="493" customWidth="1"/>
    <col min="13639" max="13639" width="11.28515625" style="493" customWidth="1"/>
    <col min="13640" max="13640" width="19.7109375" style="493" customWidth="1"/>
    <col min="13641" max="13641" width="25.42578125" style="493" customWidth="1"/>
    <col min="13642" max="13642" width="38.28515625" style="493" customWidth="1"/>
    <col min="13643" max="13643" width="31.7109375" style="493" customWidth="1"/>
    <col min="13644" max="13824" width="9.140625" style="493"/>
    <col min="13825" max="13825" width="17.140625" style="493" customWidth="1"/>
    <col min="13826" max="13826" width="16.85546875" style="493" customWidth="1"/>
    <col min="13827" max="13827" width="36.5703125" style="493" customWidth="1"/>
    <col min="13828" max="13828" width="14.140625" style="493" customWidth="1"/>
    <col min="13829" max="13829" width="18.5703125" style="493" customWidth="1"/>
    <col min="13830" max="13830" width="8.42578125" style="493" customWidth="1"/>
    <col min="13831" max="13831" width="17.7109375" style="493" customWidth="1"/>
    <col min="13832" max="13832" width="12.85546875" style="493" customWidth="1"/>
    <col min="13833" max="13833" width="29.28515625" style="493" customWidth="1"/>
    <col min="13834" max="13834" width="14.5703125" style="493" customWidth="1"/>
    <col min="13835" max="13835" width="32.42578125" style="493" customWidth="1"/>
    <col min="13836" max="13836" width="17.7109375" style="493" customWidth="1"/>
    <col min="13837" max="13837" width="33.7109375" style="493" customWidth="1"/>
    <col min="13838" max="13838" width="19.140625" style="493" customWidth="1"/>
    <col min="13839" max="13839" width="31.140625" style="493" customWidth="1"/>
    <col min="13840" max="13840" width="34.28515625" style="493" customWidth="1"/>
    <col min="13841" max="13841" width="33.42578125" style="493" customWidth="1"/>
    <col min="13842" max="13842" width="36.42578125" style="493" customWidth="1"/>
    <col min="13843" max="13843" width="11.85546875" style="493" customWidth="1"/>
    <col min="13844" max="13844" width="6.85546875" style="493" customWidth="1"/>
    <col min="13845" max="13845" width="10.85546875" style="493" customWidth="1"/>
    <col min="13846" max="13846" width="13" style="493" customWidth="1"/>
    <col min="13847" max="13847" width="11" style="493" customWidth="1"/>
    <col min="13848" max="13848" width="11.140625" style="493" customWidth="1"/>
    <col min="13849" max="13849" width="12.7109375" style="493" customWidth="1"/>
    <col min="13850" max="13850" width="10.42578125" style="493" customWidth="1"/>
    <col min="13851" max="13851" width="16.85546875" style="493" customWidth="1"/>
    <col min="13852" max="13852" width="14.140625" style="493" customWidth="1"/>
    <col min="13853" max="13853" width="15.7109375" style="493" customWidth="1"/>
    <col min="13854" max="13854" width="13.140625" style="493" customWidth="1"/>
    <col min="13855" max="13855" width="11.7109375" style="493" customWidth="1"/>
    <col min="13856" max="13856" width="14.140625" style="493" customWidth="1"/>
    <col min="13857" max="13857" width="10.42578125" style="493" customWidth="1"/>
    <col min="13858" max="13858" width="18.5703125" style="493" customWidth="1"/>
    <col min="13859" max="13859" width="16.140625" style="493" customWidth="1"/>
    <col min="13860" max="13860" width="18.5703125" style="493" customWidth="1"/>
    <col min="13861" max="13861" width="18.140625" style="493" customWidth="1"/>
    <col min="13862" max="13862" width="13.140625" style="493" customWidth="1"/>
    <col min="13863" max="13863" width="14.140625" style="493" customWidth="1"/>
    <col min="13864" max="13864" width="18.5703125" style="493" customWidth="1"/>
    <col min="13865" max="13865" width="16.42578125" style="493" customWidth="1"/>
    <col min="13866" max="13866" width="36.5703125" style="493" customWidth="1"/>
    <col min="13867" max="13867" width="13.42578125" style="493" customWidth="1"/>
    <col min="13868" max="13868" width="9.28515625" style="493" customWidth="1"/>
    <col min="13869" max="13869" width="10.85546875" style="493" customWidth="1"/>
    <col min="13870" max="13870" width="9.42578125" style="493" customWidth="1"/>
    <col min="13871" max="13871" width="22.140625" style="493" customWidth="1"/>
    <col min="13872" max="13872" width="30.28515625" style="493" customWidth="1"/>
    <col min="13873" max="13873" width="29" style="493" customWidth="1"/>
    <col min="13874" max="13874" width="33.7109375" style="493" customWidth="1"/>
    <col min="13875" max="13875" width="32.28515625" style="493" customWidth="1"/>
    <col min="13876" max="13876" width="14.7109375" style="493" customWidth="1"/>
    <col min="13877" max="13877" width="14.42578125" style="493" customWidth="1"/>
    <col min="13878" max="13878" width="14.5703125" style="493" customWidth="1"/>
    <col min="13879" max="13879" width="18" style="493" customWidth="1"/>
    <col min="13880" max="13880" width="32.42578125" style="493" customWidth="1"/>
    <col min="13881" max="13881" width="35.42578125" style="493" customWidth="1"/>
    <col min="13882" max="13882" width="36.85546875" style="493" customWidth="1"/>
    <col min="13883" max="13883" width="33.5703125" style="493" customWidth="1"/>
    <col min="13884" max="13884" width="35.85546875" style="493" customWidth="1"/>
    <col min="13885" max="13885" width="30.5703125" style="493" customWidth="1"/>
    <col min="13886" max="13886" width="32.7109375" style="493" customWidth="1"/>
    <col min="13887" max="13887" width="32.140625" style="493" customWidth="1"/>
    <col min="13888" max="13888" width="36.5703125" style="493" customWidth="1"/>
    <col min="13889" max="13889" width="35.140625" style="493" customWidth="1"/>
    <col min="13890" max="13890" width="11.7109375" style="493" customWidth="1"/>
    <col min="13891" max="13891" width="15.42578125" style="493" customWidth="1"/>
    <col min="13892" max="13892" width="15.140625" style="493" customWidth="1"/>
    <col min="13893" max="13893" width="19.140625" style="493" customWidth="1"/>
    <col min="13894" max="13894" width="7.5703125" style="493" customWidth="1"/>
    <col min="13895" max="13895" width="11.28515625" style="493" customWidth="1"/>
    <col min="13896" max="13896" width="19.7109375" style="493" customWidth="1"/>
    <col min="13897" max="13897" width="25.42578125" style="493" customWidth="1"/>
    <col min="13898" max="13898" width="38.28515625" style="493" customWidth="1"/>
    <col min="13899" max="13899" width="31.7109375" style="493" customWidth="1"/>
    <col min="13900" max="14080" width="9.140625" style="493"/>
    <col min="14081" max="14081" width="17.140625" style="493" customWidth="1"/>
    <col min="14082" max="14082" width="16.85546875" style="493" customWidth="1"/>
    <col min="14083" max="14083" width="36.5703125" style="493" customWidth="1"/>
    <col min="14084" max="14084" width="14.140625" style="493" customWidth="1"/>
    <col min="14085" max="14085" width="18.5703125" style="493" customWidth="1"/>
    <col min="14086" max="14086" width="8.42578125" style="493" customWidth="1"/>
    <col min="14087" max="14087" width="17.7109375" style="493" customWidth="1"/>
    <col min="14088" max="14088" width="12.85546875" style="493" customWidth="1"/>
    <col min="14089" max="14089" width="29.28515625" style="493" customWidth="1"/>
    <col min="14090" max="14090" width="14.5703125" style="493" customWidth="1"/>
    <col min="14091" max="14091" width="32.42578125" style="493" customWidth="1"/>
    <col min="14092" max="14092" width="17.7109375" style="493" customWidth="1"/>
    <col min="14093" max="14093" width="33.7109375" style="493" customWidth="1"/>
    <col min="14094" max="14094" width="19.140625" style="493" customWidth="1"/>
    <col min="14095" max="14095" width="31.140625" style="493" customWidth="1"/>
    <col min="14096" max="14096" width="34.28515625" style="493" customWidth="1"/>
    <col min="14097" max="14097" width="33.42578125" style="493" customWidth="1"/>
    <col min="14098" max="14098" width="36.42578125" style="493" customWidth="1"/>
    <col min="14099" max="14099" width="11.85546875" style="493" customWidth="1"/>
    <col min="14100" max="14100" width="6.85546875" style="493" customWidth="1"/>
    <col min="14101" max="14101" width="10.85546875" style="493" customWidth="1"/>
    <col min="14102" max="14102" width="13" style="493" customWidth="1"/>
    <col min="14103" max="14103" width="11" style="493" customWidth="1"/>
    <col min="14104" max="14104" width="11.140625" style="493" customWidth="1"/>
    <col min="14105" max="14105" width="12.7109375" style="493" customWidth="1"/>
    <col min="14106" max="14106" width="10.42578125" style="493" customWidth="1"/>
    <col min="14107" max="14107" width="16.85546875" style="493" customWidth="1"/>
    <col min="14108" max="14108" width="14.140625" style="493" customWidth="1"/>
    <col min="14109" max="14109" width="15.7109375" style="493" customWidth="1"/>
    <col min="14110" max="14110" width="13.140625" style="493" customWidth="1"/>
    <col min="14111" max="14111" width="11.7109375" style="493" customWidth="1"/>
    <col min="14112" max="14112" width="14.140625" style="493" customWidth="1"/>
    <col min="14113" max="14113" width="10.42578125" style="493" customWidth="1"/>
    <col min="14114" max="14114" width="18.5703125" style="493" customWidth="1"/>
    <col min="14115" max="14115" width="16.140625" style="493" customWidth="1"/>
    <col min="14116" max="14116" width="18.5703125" style="493" customWidth="1"/>
    <col min="14117" max="14117" width="18.140625" style="493" customWidth="1"/>
    <col min="14118" max="14118" width="13.140625" style="493" customWidth="1"/>
    <col min="14119" max="14119" width="14.140625" style="493" customWidth="1"/>
    <col min="14120" max="14120" width="18.5703125" style="493" customWidth="1"/>
    <col min="14121" max="14121" width="16.42578125" style="493" customWidth="1"/>
    <col min="14122" max="14122" width="36.5703125" style="493" customWidth="1"/>
    <col min="14123" max="14123" width="13.42578125" style="493" customWidth="1"/>
    <col min="14124" max="14124" width="9.28515625" style="493" customWidth="1"/>
    <col min="14125" max="14125" width="10.85546875" style="493" customWidth="1"/>
    <col min="14126" max="14126" width="9.42578125" style="493" customWidth="1"/>
    <col min="14127" max="14127" width="22.140625" style="493" customWidth="1"/>
    <col min="14128" max="14128" width="30.28515625" style="493" customWidth="1"/>
    <col min="14129" max="14129" width="29" style="493" customWidth="1"/>
    <col min="14130" max="14130" width="33.7109375" style="493" customWidth="1"/>
    <col min="14131" max="14131" width="32.28515625" style="493" customWidth="1"/>
    <col min="14132" max="14132" width="14.7109375" style="493" customWidth="1"/>
    <col min="14133" max="14133" width="14.42578125" style="493" customWidth="1"/>
    <col min="14134" max="14134" width="14.5703125" style="493" customWidth="1"/>
    <col min="14135" max="14135" width="18" style="493" customWidth="1"/>
    <col min="14136" max="14136" width="32.42578125" style="493" customWidth="1"/>
    <col min="14137" max="14137" width="35.42578125" style="493" customWidth="1"/>
    <col min="14138" max="14138" width="36.85546875" style="493" customWidth="1"/>
    <col min="14139" max="14139" width="33.5703125" style="493" customWidth="1"/>
    <col min="14140" max="14140" width="35.85546875" style="493" customWidth="1"/>
    <col min="14141" max="14141" width="30.5703125" style="493" customWidth="1"/>
    <col min="14142" max="14142" width="32.7109375" style="493" customWidth="1"/>
    <col min="14143" max="14143" width="32.140625" style="493" customWidth="1"/>
    <col min="14144" max="14144" width="36.5703125" style="493" customWidth="1"/>
    <col min="14145" max="14145" width="35.140625" style="493" customWidth="1"/>
    <col min="14146" max="14146" width="11.7109375" style="493" customWidth="1"/>
    <col min="14147" max="14147" width="15.42578125" style="493" customWidth="1"/>
    <col min="14148" max="14148" width="15.140625" style="493" customWidth="1"/>
    <col min="14149" max="14149" width="19.140625" style="493" customWidth="1"/>
    <col min="14150" max="14150" width="7.5703125" style="493" customWidth="1"/>
    <col min="14151" max="14151" width="11.28515625" style="493" customWidth="1"/>
    <col min="14152" max="14152" width="19.7109375" style="493" customWidth="1"/>
    <col min="14153" max="14153" width="25.42578125" style="493" customWidth="1"/>
    <col min="14154" max="14154" width="38.28515625" style="493" customWidth="1"/>
    <col min="14155" max="14155" width="31.7109375" style="493" customWidth="1"/>
    <col min="14156" max="14336" width="9.140625" style="493"/>
    <col min="14337" max="14337" width="17.140625" style="493" customWidth="1"/>
    <col min="14338" max="14338" width="16.85546875" style="493" customWidth="1"/>
    <col min="14339" max="14339" width="36.5703125" style="493" customWidth="1"/>
    <col min="14340" max="14340" width="14.140625" style="493" customWidth="1"/>
    <col min="14341" max="14341" width="18.5703125" style="493" customWidth="1"/>
    <col min="14342" max="14342" width="8.42578125" style="493" customWidth="1"/>
    <col min="14343" max="14343" width="17.7109375" style="493" customWidth="1"/>
    <col min="14344" max="14344" width="12.85546875" style="493" customWidth="1"/>
    <col min="14345" max="14345" width="29.28515625" style="493" customWidth="1"/>
    <col min="14346" max="14346" width="14.5703125" style="493" customWidth="1"/>
    <col min="14347" max="14347" width="32.42578125" style="493" customWidth="1"/>
    <col min="14348" max="14348" width="17.7109375" style="493" customWidth="1"/>
    <col min="14349" max="14349" width="33.7109375" style="493" customWidth="1"/>
    <col min="14350" max="14350" width="19.140625" style="493" customWidth="1"/>
    <col min="14351" max="14351" width="31.140625" style="493" customWidth="1"/>
    <col min="14352" max="14352" width="34.28515625" style="493" customWidth="1"/>
    <col min="14353" max="14353" width="33.42578125" style="493" customWidth="1"/>
    <col min="14354" max="14354" width="36.42578125" style="493" customWidth="1"/>
    <col min="14355" max="14355" width="11.85546875" style="493" customWidth="1"/>
    <col min="14356" max="14356" width="6.85546875" style="493" customWidth="1"/>
    <col min="14357" max="14357" width="10.85546875" style="493" customWidth="1"/>
    <col min="14358" max="14358" width="13" style="493" customWidth="1"/>
    <col min="14359" max="14359" width="11" style="493" customWidth="1"/>
    <col min="14360" max="14360" width="11.140625" style="493" customWidth="1"/>
    <col min="14361" max="14361" width="12.7109375" style="493" customWidth="1"/>
    <col min="14362" max="14362" width="10.42578125" style="493" customWidth="1"/>
    <col min="14363" max="14363" width="16.85546875" style="493" customWidth="1"/>
    <col min="14364" max="14364" width="14.140625" style="493" customWidth="1"/>
    <col min="14365" max="14365" width="15.7109375" style="493" customWidth="1"/>
    <col min="14366" max="14366" width="13.140625" style="493" customWidth="1"/>
    <col min="14367" max="14367" width="11.7109375" style="493" customWidth="1"/>
    <col min="14368" max="14368" width="14.140625" style="493" customWidth="1"/>
    <col min="14369" max="14369" width="10.42578125" style="493" customWidth="1"/>
    <col min="14370" max="14370" width="18.5703125" style="493" customWidth="1"/>
    <col min="14371" max="14371" width="16.140625" style="493" customWidth="1"/>
    <col min="14372" max="14372" width="18.5703125" style="493" customWidth="1"/>
    <col min="14373" max="14373" width="18.140625" style="493" customWidth="1"/>
    <col min="14374" max="14374" width="13.140625" style="493" customWidth="1"/>
    <col min="14375" max="14375" width="14.140625" style="493" customWidth="1"/>
    <col min="14376" max="14376" width="18.5703125" style="493" customWidth="1"/>
    <col min="14377" max="14377" width="16.42578125" style="493" customWidth="1"/>
    <col min="14378" max="14378" width="36.5703125" style="493" customWidth="1"/>
    <col min="14379" max="14379" width="13.42578125" style="493" customWidth="1"/>
    <col min="14380" max="14380" width="9.28515625" style="493" customWidth="1"/>
    <col min="14381" max="14381" width="10.85546875" style="493" customWidth="1"/>
    <col min="14382" max="14382" width="9.42578125" style="493" customWidth="1"/>
    <col min="14383" max="14383" width="22.140625" style="493" customWidth="1"/>
    <col min="14384" max="14384" width="30.28515625" style="493" customWidth="1"/>
    <col min="14385" max="14385" width="29" style="493" customWidth="1"/>
    <col min="14386" max="14386" width="33.7109375" style="493" customWidth="1"/>
    <col min="14387" max="14387" width="32.28515625" style="493" customWidth="1"/>
    <col min="14388" max="14388" width="14.7109375" style="493" customWidth="1"/>
    <col min="14389" max="14389" width="14.42578125" style="493" customWidth="1"/>
    <col min="14390" max="14390" width="14.5703125" style="493" customWidth="1"/>
    <col min="14391" max="14391" width="18" style="493" customWidth="1"/>
    <col min="14392" max="14392" width="32.42578125" style="493" customWidth="1"/>
    <col min="14393" max="14393" width="35.42578125" style="493" customWidth="1"/>
    <col min="14394" max="14394" width="36.85546875" style="493" customWidth="1"/>
    <col min="14395" max="14395" width="33.5703125" style="493" customWidth="1"/>
    <col min="14396" max="14396" width="35.85546875" style="493" customWidth="1"/>
    <col min="14397" max="14397" width="30.5703125" style="493" customWidth="1"/>
    <col min="14398" max="14398" width="32.7109375" style="493" customWidth="1"/>
    <col min="14399" max="14399" width="32.140625" style="493" customWidth="1"/>
    <col min="14400" max="14400" width="36.5703125" style="493" customWidth="1"/>
    <col min="14401" max="14401" width="35.140625" style="493" customWidth="1"/>
    <col min="14402" max="14402" width="11.7109375" style="493" customWidth="1"/>
    <col min="14403" max="14403" width="15.42578125" style="493" customWidth="1"/>
    <col min="14404" max="14404" width="15.140625" style="493" customWidth="1"/>
    <col min="14405" max="14405" width="19.140625" style="493" customWidth="1"/>
    <col min="14406" max="14406" width="7.5703125" style="493" customWidth="1"/>
    <col min="14407" max="14407" width="11.28515625" style="493" customWidth="1"/>
    <col min="14408" max="14408" width="19.7109375" style="493" customWidth="1"/>
    <col min="14409" max="14409" width="25.42578125" style="493" customWidth="1"/>
    <col min="14410" max="14410" width="38.28515625" style="493" customWidth="1"/>
    <col min="14411" max="14411" width="31.7109375" style="493" customWidth="1"/>
    <col min="14412" max="14592" width="9.140625" style="493"/>
    <col min="14593" max="14593" width="17.140625" style="493" customWidth="1"/>
    <col min="14594" max="14594" width="16.85546875" style="493" customWidth="1"/>
    <col min="14595" max="14595" width="36.5703125" style="493" customWidth="1"/>
    <col min="14596" max="14596" width="14.140625" style="493" customWidth="1"/>
    <col min="14597" max="14597" width="18.5703125" style="493" customWidth="1"/>
    <col min="14598" max="14598" width="8.42578125" style="493" customWidth="1"/>
    <col min="14599" max="14599" width="17.7109375" style="493" customWidth="1"/>
    <col min="14600" max="14600" width="12.85546875" style="493" customWidth="1"/>
    <col min="14601" max="14601" width="29.28515625" style="493" customWidth="1"/>
    <col min="14602" max="14602" width="14.5703125" style="493" customWidth="1"/>
    <col min="14603" max="14603" width="32.42578125" style="493" customWidth="1"/>
    <col min="14604" max="14604" width="17.7109375" style="493" customWidth="1"/>
    <col min="14605" max="14605" width="33.7109375" style="493" customWidth="1"/>
    <col min="14606" max="14606" width="19.140625" style="493" customWidth="1"/>
    <col min="14607" max="14607" width="31.140625" style="493" customWidth="1"/>
    <col min="14608" max="14608" width="34.28515625" style="493" customWidth="1"/>
    <col min="14609" max="14609" width="33.42578125" style="493" customWidth="1"/>
    <col min="14610" max="14610" width="36.42578125" style="493" customWidth="1"/>
    <col min="14611" max="14611" width="11.85546875" style="493" customWidth="1"/>
    <col min="14612" max="14612" width="6.85546875" style="493" customWidth="1"/>
    <col min="14613" max="14613" width="10.85546875" style="493" customWidth="1"/>
    <col min="14614" max="14614" width="13" style="493" customWidth="1"/>
    <col min="14615" max="14615" width="11" style="493" customWidth="1"/>
    <col min="14616" max="14616" width="11.140625" style="493" customWidth="1"/>
    <col min="14617" max="14617" width="12.7109375" style="493" customWidth="1"/>
    <col min="14618" max="14618" width="10.42578125" style="493" customWidth="1"/>
    <col min="14619" max="14619" width="16.85546875" style="493" customWidth="1"/>
    <col min="14620" max="14620" width="14.140625" style="493" customWidth="1"/>
    <col min="14621" max="14621" width="15.7109375" style="493" customWidth="1"/>
    <col min="14622" max="14622" width="13.140625" style="493" customWidth="1"/>
    <col min="14623" max="14623" width="11.7109375" style="493" customWidth="1"/>
    <col min="14624" max="14624" width="14.140625" style="493" customWidth="1"/>
    <col min="14625" max="14625" width="10.42578125" style="493" customWidth="1"/>
    <col min="14626" max="14626" width="18.5703125" style="493" customWidth="1"/>
    <col min="14627" max="14627" width="16.140625" style="493" customWidth="1"/>
    <col min="14628" max="14628" width="18.5703125" style="493" customWidth="1"/>
    <col min="14629" max="14629" width="18.140625" style="493" customWidth="1"/>
    <col min="14630" max="14630" width="13.140625" style="493" customWidth="1"/>
    <col min="14631" max="14631" width="14.140625" style="493" customWidth="1"/>
    <col min="14632" max="14632" width="18.5703125" style="493" customWidth="1"/>
    <col min="14633" max="14633" width="16.42578125" style="493" customWidth="1"/>
    <col min="14634" max="14634" width="36.5703125" style="493" customWidth="1"/>
    <col min="14635" max="14635" width="13.42578125" style="493" customWidth="1"/>
    <col min="14636" max="14636" width="9.28515625" style="493" customWidth="1"/>
    <col min="14637" max="14637" width="10.85546875" style="493" customWidth="1"/>
    <col min="14638" max="14638" width="9.42578125" style="493" customWidth="1"/>
    <col min="14639" max="14639" width="22.140625" style="493" customWidth="1"/>
    <col min="14640" max="14640" width="30.28515625" style="493" customWidth="1"/>
    <col min="14641" max="14641" width="29" style="493" customWidth="1"/>
    <col min="14642" max="14642" width="33.7109375" style="493" customWidth="1"/>
    <col min="14643" max="14643" width="32.28515625" style="493" customWidth="1"/>
    <col min="14644" max="14644" width="14.7109375" style="493" customWidth="1"/>
    <col min="14645" max="14645" width="14.42578125" style="493" customWidth="1"/>
    <col min="14646" max="14646" width="14.5703125" style="493" customWidth="1"/>
    <col min="14647" max="14647" width="18" style="493" customWidth="1"/>
    <col min="14648" max="14648" width="32.42578125" style="493" customWidth="1"/>
    <col min="14649" max="14649" width="35.42578125" style="493" customWidth="1"/>
    <col min="14650" max="14650" width="36.85546875" style="493" customWidth="1"/>
    <col min="14651" max="14651" width="33.5703125" style="493" customWidth="1"/>
    <col min="14652" max="14652" width="35.85546875" style="493" customWidth="1"/>
    <col min="14653" max="14653" width="30.5703125" style="493" customWidth="1"/>
    <col min="14654" max="14654" width="32.7109375" style="493" customWidth="1"/>
    <col min="14655" max="14655" width="32.140625" style="493" customWidth="1"/>
    <col min="14656" max="14656" width="36.5703125" style="493" customWidth="1"/>
    <col min="14657" max="14657" width="35.140625" style="493" customWidth="1"/>
    <col min="14658" max="14658" width="11.7109375" style="493" customWidth="1"/>
    <col min="14659" max="14659" width="15.42578125" style="493" customWidth="1"/>
    <col min="14660" max="14660" width="15.140625" style="493" customWidth="1"/>
    <col min="14661" max="14661" width="19.140625" style="493" customWidth="1"/>
    <col min="14662" max="14662" width="7.5703125" style="493" customWidth="1"/>
    <col min="14663" max="14663" width="11.28515625" style="493" customWidth="1"/>
    <col min="14664" max="14664" width="19.7109375" style="493" customWidth="1"/>
    <col min="14665" max="14665" width="25.42578125" style="493" customWidth="1"/>
    <col min="14666" max="14666" width="38.28515625" style="493" customWidth="1"/>
    <col min="14667" max="14667" width="31.7109375" style="493" customWidth="1"/>
    <col min="14668" max="14848" width="9.140625" style="493"/>
    <col min="14849" max="14849" width="17.140625" style="493" customWidth="1"/>
    <col min="14850" max="14850" width="16.85546875" style="493" customWidth="1"/>
    <col min="14851" max="14851" width="36.5703125" style="493" customWidth="1"/>
    <col min="14852" max="14852" width="14.140625" style="493" customWidth="1"/>
    <col min="14853" max="14853" width="18.5703125" style="493" customWidth="1"/>
    <col min="14854" max="14854" width="8.42578125" style="493" customWidth="1"/>
    <col min="14855" max="14855" width="17.7109375" style="493" customWidth="1"/>
    <col min="14856" max="14856" width="12.85546875" style="493" customWidth="1"/>
    <col min="14857" max="14857" width="29.28515625" style="493" customWidth="1"/>
    <col min="14858" max="14858" width="14.5703125" style="493" customWidth="1"/>
    <col min="14859" max="14859" width="32.42578125" style="493" customWidth="1"/>
    <col min="14860" max="14860" width="17.7109375" style="493" customWidth="1"/>
    <col min="14861" max="14861" width="33.7109375" style="493" customWidth="1"/>
    <col min="14862" max="14862" width="19.140625" style="493" customWidth="1"/>
    <col min="14863" max="14863" width="31.140625" style="493" customWidth="1"/>
    <col min="14864" max="14864" width="34.28515625" style="493" customWidth="1"/>
    <col min="14865" max="14865" width="33.42578125" style="493" customWidth="1"/>
    <col min="14866" max="14866" width="36.42578125" style="493" customWidth="1"/>
    <col min="14867" max="14867" width="11.85546875" style="493" customWidth="1"/>
    <col min="14868" max="14868" width="6.85546875" style="493" customWidth="1"/>
    <col min="14869" max="14869" width="10.85546875" style="493" customWidth="1"/>
    <col min="14870" max="14870" width="13" style="493" customWidth="1"/>
    <col min="14871" max="14871" width="11" style="493" customWidth="1"/>
    <col min="14872" max="14872" width="11.140625" style="493" customWidth="1"/>
    <col min="14873" max="14873" width="12.7109375" style="493" customWidth="1"/>
    <col min="14874" max="14874" width="10.42578125" style="493" customWidth="1"/>
    <col min="14875" max="14875" width="16.85546875" style="493" customWidth="1"/>
    <col min="14876" max="14876" width="14.140625" style="493" customWidth="1"/>
    <col min="14877" max="14877" width="15.7109375" style="493" customWidth="1"/>
    <col min="14878" max="14878" width="13.140625" style="493" customWidth="1"/>
    <col min="14879" max="14879" width="11.7109375" style="493" customWidth="1"/>
    <col min="14880" max="14880" width="14.140625" style="493" customWidth="1"/>
    <col min="14881" max="14881" width="10.42578125" style="493" customWidth="1"/>
    <col min="14882" max="14882" width="18.5703125" style="493" customWidth="1"/>
    <col min="14883" max="14883" width="16.140625" style="493" customWidth="1"/>
    <col min="14884" max="14884" width="18.5703125" style="493" customWidth="1"/>
    <col min="14885" max="14885" width="18.140625" style="493" customWidth="1"/>
    <col min="14886" max="14886" width="13.140625" style="493" customWidth="1"/>
    <col min="14887" max="14887" width="14.140625" style="493" customWidth="1"/>
    <col min="14888" max="14888" width="18.5703125" style="493" customWidth="1"/>
    <col min="14889" max="14889" width="16.42578125" style="493" customWidth="1"/>
    <col min="14890" max="14890" width="36.5703125" style="493" customWidth="1"/>
    <col min="14891" max="14891" width="13.42578125" style="493" customWidth="1"/>
    <col min="14892" max="14892" width="9.28515625" style="493" customWidth="1"/>
    <col min="14893" max="14893" width="10.85546875" style="493" customWidth="1"/>
    <col min="14894" max="14894" width="9.42578125" style="493" customWidth="1"/>
    <col min="14895" max="14895" width="22.140625" style="493" customWidth="1"/>
    <col min="14896" max="14896" width="30.28515625" style="493" customWidth="1"/>
    <col min="14897" max="14897" width="29" style="493" customWidth="1"/>
    <col min="14898" max="14898" width="33.7109375" style="493" customWidth="1"/>
    <col min="14899" max="14899" width="32.28515625" style="493" customWidth="1"/>
    <col min="14900" max="14900" width="14.7109375" style="493" customWidth="1"/>
    <col min="14901" max="14901" width="14.42578125" style="493" customWidth="1"/>
    <col min="14902" max="14902" width="14.5703125" style="493" customWidth="1"/>
    <col min="14903" max="14903" width="18" style="493" customWidth="1"/>
    <col min="14904" max="14904" width="32.42578125" style="493" customWidth="1"/>
    <col min="14905" max="14905" width="35.42578125" style="493" customWidth="1"/>
    <col min="14906" max="14906" width="36.85546875" style="493" customWidth="1"/>
    <col min="14907" max="14907" width="33.5703125" style="493" customWidth="1"/>
    <col min="14908" max="14908" width="35.85546875" style="493" customWidth="1"/>
    <col min="14909" max="14909" width="30.5703125" style="493" customWidth="1"/>
    <col min="14910" max="14910" width="32.7109375" style="493" customWidth="1"/>
    <col min="14911" max="14911" width="32.140625" style="493" customWidth="1"/>
    <col min="14912" max="14912" width="36.5703125" style="493" customWidth="1"/>
    <col min="14913" max="14913" width="35.140625" style="493" customWidth="1"/>
    <col min="14914" max="14914" width="11.7109375" style="493" customWidth="1"/>
    <col min="14915" max="14915" width="15.42578125" style="493" customWidth="1"/>
    <col min="14916" max="14916" width="15.140625" style="493" customWidth="1"/>
    <col min="14917" max="14917" width="19.140625" style="493" customWidth="1"/>
    <col min="14918" max="14918" width="7.5703125" style="493" customWidth="1"/>
    <col min="14919" max="14919" width="11.28515625" style="493" customWidth="1"/>
    <col min="14920" max="14920" width="19.7109375" style="493" customWidth="1"/>
    <col min="14921" max="14921" width="25.42578125" style="493" customWidth="1"/>
    <col min="14922" max="14922" width="38.28515625" style="493" customWidth="1"/>
    <col min="14923" max="14923" width="31.7109375" style="493" customWidth="1"/>
    <col min="14924" max="15104" width="9.140625" style="493"/>
    <col min="15105" max="15105" width="17.140625" style="493" customWidth="1"/>
    <col min="15106" max="15106" width="16.85546875" style="493" customWidth="1"/>
    <col min="15107" max="15107" width="36.5703125" style="493" customWidth="1"/>
    <col min="15108" max="15108" width="14.140625" style="493" customWidth="1"/>
    <col min="15109" max="15109" width="18.5703125" style="493" customWidth="1"/>
    <col min="15110" max="15110" width="8.42578125" style="493" customWidth="1"/>
    <col min="15111" max="15111" width="17.7109375" style="493" customWidth="1"/>
    <col min="15112" max="15112" width="12.85546875" style="493" customWidth="1"/>
    <col min="15113" max="15113" width="29.28515625" style="493" customWidth="1"/>
    <col min="15114" max="15114" width="14.5703125" style="493" customWidth="1"/>
    <col min="15115" max="15115" width="32.42578125" style="493" customWidth="1"/>
    <col min="15116" max="15116" width="17.7109375" style="493" customWidth="1"/>
    <col min="15117" max="15117" width="33.7109375" style="493" customWidth="1"/>
    <col min="15118" max="15118" width="19.140625" style="493" customWidth="1"/>
    <col min="15119" max="15119" width="31.140625" style="493" customWidth="1"/>
    <col min="15120" max="15120" width="34.28515625" style="493" customWidth="1"/>
    <col min="15121" max="15121" width="33.42578125" style="493" customWidth="1"/>
    <col min="15122" max="15122" width="36.42578125" style="493" customWidth="1"/>
    <col min="15123" max="15123" width="11.85546875" style="493" customWidth="1"/>
    <col min="15124" max="15124" width="6.85546875" style="493" customWidth="1"/>
    <col min="15125" max="15125" width="10.85546875" style="493" customWidth="1"/>
    <col min="15126" max="15126" width="13" style="493" customWidth="1"/>
    <col min="15127" max="15127" width="11" style="493" customWidth="1"/>
    <col min="15128" max="15128" width="11.140625" style="493" customWidth="1"/>
    <col min="15129" max="15129" width="12.7109375" style="493" customWidth="1"/>
    <col min="15130" max="15130" width="10.42578125" style="493" customWidth="1"/>
    <col min="15131" max="15131" width="16.85546875" style="493" customWidth="1"/>
    <col min="15132" max="15132" width="14.140625" style="493" customWidth="1"/>
    <col min="15133" max="15133" width="15.7109375" style="493" customWidth="1"/>
    <col min="15134" max="15134" width="13.140625" style="493" customWidth="1"/>
    <col min="15135" max="15135" width="11.7109375" style="493" customWidth="1"/>
    <col min="15136" max="15136" width="14.140625" style="493" customWidth="1"/>
    <col min="15137" max="15137" width="10.42578125" style="493" customWidth="1"/>
    <col min="15138" max="15138" width="18.5703125" style="493" customWidth="1"/>
    <col min="15139" max="15139" width="16.140625" style="493" customWidth="1"/>
    <col min="15140" max="15140" width="18.5703125" style="493" customWidth="1"/>
    <col min="15141" max="15141" width="18.140625" style="493" customWidth="1"/>
    <col min="15142" max="15142" width="13.140625" style="493" customWidth="1"/>
    <col min="15143" max="15143" width="14.140625" style="493" customWidth="1"/>
    <col min="15144" max="15144" width="18.5703125" style="493" customWidth="1"/>
    <col min="15145" max="15145" width="16.42578125" style="493" customWidth="1"/>
    <col min="15146" max="15146" width="36.5703125" style="493" customWidth="1"/>
    <col min="15147" max="15147" width="13.42578125" style="493" customWidth="1"/>
    <col min="15148" max="15148" width="9.28515625" style="493" customWidth="1"/>
    <col min="15149" max="15149" width="10.85546875" style="493" customWidth="1"/>
    <col min="15150" max="15150" width="9.42578125" style="493" customWidth="1"/>
    <col min="15151" max="15151" width="22.140625" style="493" customWidth="1"/>
    <col min="15152" max="15152" width="30.28515625" style="493" customWidth="1"/>
    <col min="15153" max="15153" width="29" style="493" customWidth="1"/>
    <col min="15154" max="15154" width="33.7109375" style="493" customWidth="1"/>
    <col min="15155" max="15155" width="32.28515625" style="493" customWidth="1"/>
    <col min="15156" max="15156" width="14.7109375" style="493" customWidth="1"/>
    <col min="15157" max="15157" width="14.42578125" style="493" customWidth="1"/>
    <col min="15158" max="15158" width="14.5703125" style="493" customWidth="1"/>
    <col min="15159" max="15159" width="18" style="493" customWidth="1"/>
    <col min="15160" max="15160" width="32.42578125" style="493" customWidth="1"/>
    <col min="15161" max="15161" width="35.42578125" style="493" customWidth="1"/>
    <col min="15162" max="15162" width="36.85546875" style="493" customWidth="1"/>
    <col min="15163" max="15163" width="33.5703125" style="493" customWidth="1"/>
    <col min="15164" max="15164" width="35.85546875" style="493" customWidth="1"/>
    <col min="15165" max="15165" width="30.5703125" style="493" customWidth="1"/>
    <col min="15166" max="15166" width="32.7109375" style="493" customWidth="1"/>
    <col min="15167" max="15167" width="32.140625" style="493" customWidth="1"/>
    <col min="15168" max="15168" width="36.5703125" style="493" customWidth="1"/>
    <col min="15169" max="15169" width="35.140625" style="493" customWidth="1"/>
    <col min="15170" max="15170" width="11.7109375" style="493" customWidth="1"/>
    <col min="15171" max="15171" width="15.42578125" style="493" customWidth="1"/>
    <col min="15172" max="15172" width="15.140625" style="493" customWidth="1"/>
    <col min="15173" max="15173" width="19.140625" style="493" customWidth="1"/>
    <col min="15174" max="15174" width="7.5703125" style="493" customWidth="1"/>
    <col min="15175" max="15175" width="11.28515625" style="493" customWidth="1"/>
    <col min="15176" max="15176" width="19.7109375" style="493" customWidth="1"/>
    <col min="15177" max="15177" width="25.42578125" style="493" customWidth="1"/>
    <col min="15178" max="15178" width="38.28515625" style="493" customWidth="1"/>
    <col min="15179" max="15179" width="31.7109375" style="493" customWidth="1"/>
    <col min="15180" max="15360" width="9.140625" style="493"/>
    <col min="15361" max="15361" width="17.140625" style="493" customWidth="1"/>
    <col min="15362" max="15362" width="16.85546875" style="493" customWidth="1"/>
    <col min="15363" max="15363" width="36.5703125" style="493" customWidth="1"/>
    <col min="15364" max="15364" width="14.140625" style="493" customWidth="1"/>
    <col min="15365" max="15365" width="18.5703125" style="493" customWidth="1"/>
    <col min="15366" max="15366" width="8.42578125" style="493" customWidth="1"/>
    <col min="15367" max="15367" width="17.7109375" style="493" customWidth="1"/>
    <col min="15368" max="15368" width="12.85546875" style="493" customWidth="1"/>
    <col min="15369" max="15369" width="29.28515625" style="493" customWidth="1"/>
    <col min="15370" max="15370" width="14.5703125" style="493" customWidth="1"/>
    <col min="15371" max="15371" width="32.42578125" style="493" customWidth="1"/>
    <col min="15372" max="15372" width="17.7109375" style="493" customWidth="1"/>
    <col min="15373" max="15373" width="33.7109375" style="493" customWidth="1"/>
    <col min="15374" max="15374" width="19.140625" style="493" customWidth="1"/>
    <col min="15375" max="15375" width="31.140625" style="493" customWidth="1"/>
    <col min="15376" max="15376" width="34.28515625" style="493" customWidth="1"/>
    <col min="15377" max="15377" width="33.42578125" style="493" customWidth="1"/>
    <col min="15378" max="15378" width="36.42578125" style="493" customWidth="1"/>
    <col min="15379" max="15379" width="11.85546875" style="493" customWidth="1"/>
    <col min="15380" max="15380" width="6.85546875" style="493" customWidth="1"/>
    <col min="15381" max="15381" width="10.85546875" style="493" customWidth="1"/>
    <col min="15382" max="15382" width="13" style="493" customWidth="1"/>
    <col min="15383" max="15383" width="11" style="493" customWidth="1"/>
    <col min="15384" max="15384" width="11.140625" style="493" customWidth="1"/>
    <col min="15385" max="15385" width="12.7109375" style="493" customWidth="1"/>
    <col min="15386" max="15386" width="10.42578125" style="493" customWidth="1"/>
    <col min="15387" max="15387" width="16.85546875" style="493" customWidth="1"/>
    <col min="15388" max="15388" width="14.140625" style="493" customWidth="1"/>
    <col min="15389" max="15389" width="15.7109375" style="493" customWidth="1"/>
    <col min="15390" max="15390" width="13.140625" style="493" customWidth="1"/>
    <col min="15391" max="15391" width="11.7109375" style="493" customWidth="1"/>
    <col min="15392" max="15392" width="14.140625" style="493" customWidth="1"/>
    <col min="15393" max="15393" width="10.42578125" style="493" customWidth="1"/>
    <col min="15394" max="15394" width="18.5703125" style="493" customWidth="1"/>
    <col min="15395" max="15395" width="16.140625" style="493" customWidth="1"/>
    <col min="15396" max="15396" width="18.5703125" style="493" customWidth="1"/>
    <col min="15397" max="15397" width="18.140625" style="493" customWidth="1"/>
    <col min="15398" max="15398" width="13.140625" style="493" customWidth="1"/>
    <col min="15399" max="15399" width="14.140625" style="493" customWidth="1"/>
    <col min="15400" max="15400" width="18.5703125" style="493" customWidth="1"/>
    <col min="15401" max="15401" width="16.42578125" style="493" customWidth="1"/>
    <col min="15402" max="15402" width="36.5703125" style="493" customWidth="1"/>
    <col min="15403" max="15403" width="13.42578125" style="493" customWidth="1"/>
    <col min="15404" max="15404" width="9.28515625" style="493" customWidth="1"/>
    <col min="15405" max="15405" width="10.85546875" style="493" customWidth="1"/>
    <col min="15406" max="15406" width="9.42578125" style="493" customWidth="1"/>
    <col min="15407" max="15407" width="22.140625" style="493" customWidth="1"/>
    <col min="15408" max="15408" width="30.28515625" style="493" customWidth="1"/>
    <col min="15409" max="15409" width="29" style="493" customWidth="1"/>
    <col min="15410" max="15410" width="33.7109375" style="493" customWidth="1"/>
    <col min="15411" max="15411" width="32.28515625" style="493" customWidth="1"/>
    <col min="15412" max="15412" width="14.7109375" style="493" customWidth="1"/>
    <col min="15413" max="15413" width="14.42578125" style="493" customWidth="1"/>
    <col min="15414" max="15414" width="14.5703125" style="493" customWidth="1"/>
    <col min="15415" max="15415" width="18" style="493" customWidth="1"/>
    <col min="15416" max="15416" width="32.42578125" style="493" customWidth="1"/>
    <col min="15417" max="15417" width="35.42578125" style="493" customWidth="1"/>
    <col min="15418" max="15418" width="36.85546875" style="493" customWidth="1"/>
    <col min="15419" max="15419" width="33.5703125" style="493" customWidth="1"/>
    <col min="15420" max="15420" width="35.85546875" style="493" customWidth="1"/>
    <col min="15421" max="15421" width="30.5703125" style="493" customWidth="1"/>
    <col min="15422" max="15422" width="32.7109375" style="493" customWidth="1"/>
    <col min="15423" max="15423" width="32.140625" style="493" customWidth="1"/>
    <col min="15424" max="15424" width="36.5703125" style="493" customWidth="1"/>
    <col min="15425" max="15425" width="35.140625" style="493" customWidth="1"/>
    <col min="15426" max="15426" width="11.7109375" style="493" customWidth="1"/>
    <col min="15427" max="15427" width="15.42578125" style="493" customWidth="1"/>
    <col min="15428" max="15428" width="15.140625" style="493" customWidth="1"/>
    <col min="15429" max="15429" width="19.140625" style="493" customWidth="1"/>
    <col min="15430" max="15430" width="7.5703125" style="493" customWidth="1"/>
    <col min="15431" max="15431" width="11.28515625" style="493" customWidth="1"/>
    <col min="15432" max="15432" width="19.7109375" style="493" customWidth="1"/>
    <col min="15433" max="15433" width="25.42578125" style="493" customWidth="1"/>
    <col min="15434" max="15434" width="38.28515625" style="493" customWidth="1"/>
    <col min="15435" max="15435" width="31.7109375" style="493" customWidth="1"/>
    <col min="15436" max="15616" width="9.140625" style="493"/>
    <col min="15617" max="15617" width="17.140625" style="493" customWidth="1"/>
    <col min="15618" max="15618" width="16.85546875" style="493" customWidth="1"/>
    <col min="15619" max="15619" width="36.5703125" style="493" customWidth="1"/>
    <col min="15620" max="15620" width="14.140625" style="493" customWidth="1"/>
    <col min="15621" max="15621" width="18.5703125" style="493" customWidth="1"/>
    <col min="15622" max="15622" width="8.42578125" style="493" customWidth="1"/>
    <col min="15623" max="15623" width="17.7109375" style="493" customWidth="1"/>
    <col min="15624" max="15624" width="12.85546875" style="493" customWidth="1"/>
    <col min="15625" max="15625" width="29.28515625" style="493" customWidth="1"/>
    <col min="15626" max="15626" width="14.5703125" style="493" customWidth="1"/>
    <col min="15627" max="15627" width="32.42578125" style="493" customWidth="1"/>
    <col min="15628" max="15628" width="17.7109375" style="493" customWidth="1"/>
    <col min="15629" max="15629" width="33.7109375" style="493" customWidth="1"/>
    <col min="15630" max="15630" width="19.140625" style="493" customWidth="1"/>
    <col min="15631" max="15631" width="31.140625" style="493" customWidth="1"/>
    <col min="15632" max="15632" width="34.28515625" style="493" customWidth="1"/>
    <col min="15633" max="15633" width="33.42578125" style="493" customWidth="1"/>
    <col min="15634" max="15634" width="36.42578125" style="493" customWidth="1"/>
    <col min="15635" max="15635" width="11.85546875" style="493" customWidth="1"/>
    <col min="15636" max="15636" width="6.85546875" style="493" customWidth="1"/>
    <col min="15637" max="15637" width="10.85546875" style="493" customWidth="1"/>
    <col min="15638" max="15638" width="13" style="493" customWidth="1"/>
    <col min="15639" max="15639" width="11" style="493" customWidth="1"/>
    <col min="15640" max="15640" width="11.140625" style="493" customWidth="1"/>
    <col min="15641" max="15641" width="12.7109375" style="493" customWidth="1"/>
    <col min="15642" max="15642" width="10.42578125" style="493" customWidth="1"/>
    <col min="15643" max="15643" width="16.85546875" style="493" customWidth="1"/>
    <col min="15644" max="15644" width="14.140625" style="493" customWidth="1"/>
    <col min="15645" max="15645" width="15.7109375" style="493" customWidth="1"/>
    <col min="15646" max="15646" width="13.140625" style="493" customWidth="1"/>
    <col min="15647" max="15647" width="11.7109375" style="493" customWidth="1"/>
    <col min="15648" max="15648" width="14.140625" style="493" customWidth="1"/>
    <col min="15649" max="15649" width="10.42578125" style="493" customWidth="1"/>
    <col min="15650" max="15650" width="18.5703125" style="493" customWidth="1"/>
    <col min="15651" max="15651" width="16.140625" style="493" customWidth="1"/>
    <col min="15652" max="15652" width="18.5703125" style="493" customWidth="1"/>
    <col min="15653" max="15653" width="18.140625" style="493" customWidth="1"/>
    <col min="15654" max="15654" width="13.140625" style="493" customWidth="1"/>
    <col min="15655" max="15655" width="14.140625" style="493" customWidth="1"/>
    <col min="15656" max="15656" width="18.5703125" style="493" customWidth="1"/>
    <col min="15657" max="15657" width="16.42578125" style="493" customWidth="1"/>
    <col min="15658" max="15658" width="36.5703125" style="493" customWidth="1"/>
    <col min="15659" max="15659" width="13.42578125" style="493" customWidth="1"/>
    <col min="15660" max="15660" width="9.28515625" style="493" customWidth="1"/>
    <col min="15661" max="15661" width="10.85546875" style="493" customWidth="1"/>
    <col min="15662" max="15662" width="9.42578125" style="493" customWidth="1"/>
    <col min="15663" max="15663" width="22.140625" style="493" customWidth="1"/>
    <col min="15664" max="15664" width="30.28515625" style="493" customWidth="1"/>
    <col min="15665" max="15665" width="29" style="493" customWidth="1"/>
    <col min="15666" max="15666" width="33.7109375" style="493" customWidth="1"/>
    <col min="15667" max="15667" width="32.28515625" style="493" customWidth="1"/>
    <col min="15668" max="15668" width="14.7109375" style="493" customWidth="1"/>
    <col min="15669" max="15669" width="14.42578125" style="493" customWidth="1"/>
    <col min="15670" max="15670" width="14.5703125" style="493" customWidth="1"/>
    <col min="15671" max="15671" width="18" style="493" customWidth="1"/>
    <col min="15672" max="15672" width="32.42578125" style="493" customWidth="1"/>
    <col min="15673" max="15673" width="35.42578125" style="493" customWidth="1"/>
    <col min="15674" max="15674" width="36.85546875" style="493" customWidth="1"/>
    <col min="15675" max="15675" width="33.5703125" style="493" customWidth="1"/>
    <col min="15676" max="15676" width="35.85546875" style="493" customWidth="1"/>
    <col min="15677" max="15677" width="30.5703125" style="493" customWidth="1"/>
    <col min="15678" max="15678" width="32.7109375" style="493" customWidth="1"/>
    <col min="15679" max="15679" width="32.140625" style="493" customWidth="1"/>
    <col min="15680" max="15680" width="36.5703125" style="493" customWidth="1"/>
    <col min="15681" max="15681" width="35.140625" style="493" customWidth="1"/>
    <col min="15682" max="15682" width="11.7109375" style="493" customWidth="1"/>
    <col min="15683" max="15683" width="15.42578125" style="493" customWidth="1"/>
    <col min="15684" max="15684" width="15.140625" style="493" customWidth="1"/>
    <col min="15685" max="15685" width="19.140625" style="493" customWidth="1"/>
    <col min="15686" max="15686" width="7.5703125" style="493" customWidth="1"/>
    <col min="15687" max="15687" width="11.28515625" style="493" customWidth="1"/>
    <col min="15688" max="15688" width="19.7109375" style="493" customWidth="1"/>
    <col min="15689" max="15689" width="25.42578125" style="493" customWidth="1"/>
    <col min="15690" max="15690" width="38.28515625" style="493" customWidth="1"/>
    <col min="15691" max="15691" width="31.7109375" style="493" customWidth="1"/>
    <col min="15692" max="15872" width="9.140625" style="493"/>
    <col min="15873" max="15873" width="17.140625" style="493" customWidth="1"/>
    <col min="15874" max="15874" width="16.85546875" style="493" customWidth="1"/>
    <col min="15875" max="15875" width="36.5703125" style="493" customWidth="1"/>
    <col min="15876" max="15876" width="14.140625" style="493" customWidth="1"/>
    <col min="15877" max="15877" width="18.5703125" style="493" customWidth="1"/>
    <col min="15878" max="15878" width="8.42578125" style="493" customWidth="1"/>
    <col min="15879" max="15879" width="17.7109375" style="493" customWidth="1"/>
    <col min="15880" max="15880" width="12.85546875" style="493" customWidth="1"/>
    <col min="15881" max="15881" width="29.28515625" style="493" customWidth="1"/>
    <col min="15882" max="15882" width="14.5703125" style="493" customWidth="1"/>
    <col min="15883" max="15883" width="32.42578125" style="493" customWidth="1"/>
    <col min="15884" max="15884" width="17.7109375" style="493" customWidth="1"/>
    <col min="15885" max="15885" width="33.7109375" style="493" customWidth="1"/>
    <col min="15886" max="15886" width="19.140625" style="493" customWidth="1"/>
    <col min="15887" max="15887" width="31.140625" style="493" customWidth="1"/>
    <col min="15888" max="15888" width="34.28515625" style="493" customWidth="1"/>
    <col min="15889" max="15889" width="33.42578125" style="493" customWidth="1"/>
    <col min="15890" max="15890" width="36.42578125" style="493" customWidth="1"/>
    <col min="15891" max="15891" width="11.85546875" style="493" customWidth="1"/>
    <col min="15892" max="15892" width="6.85546875" style="493" customWidth="1"/>
    <col min="15893" max="15893" width="10.85546875" style="493" customWidth="1"/>
    <col min="15894" max="15894" width="13" style="493" customWidth="1"/>
    <col min="15895" max="15895" width="11" style="493" customWidth="1"/>
    <col min="15896" max="15896" width="11.140625" style="493" customWidth="1"/>
    <col min="15897" max="15897" width="12.7109375" style="493" customWidth="1"/>
    <col min="15898" max="15898" width="10.42578125" style="493" customWidth="1"/>
    <col min="15899" max="15899" width="16.85546875" style="493" customWidth="1"/>
    <col min="15900" max="15900" width="14.140625" style="493" customWidth="1"/>
    <col min="15901" max="15901" width="15.7109375" style="493" customWidth="1"/>
    <col min="15902" max="15902" width="13.140625" style="493" customWidth="1"/>
    <col min="15903" max="15903" width="11.7109375" style="493" customWidth="1"/>
    <col min="15904" max="15904" width="14.140625" style="493" customWidth="1"/>
    <col min="15905" max="15905" width="10.42578125" style="493" customWidth="1"/>
    <col min="15906" max="15906" width="18.5703125" style="493" customWidth="1"/>
    <col min="15907" max="15907" width="16.140625" style="493" customWidth="1"/>
    <col min="15908" max="15908" width="18.5703125" style="493" customWidth="1"/>
    <col min="15909" max="15909" width="18.140625" style="493" customWidth="1"/>
    <col min="15910" max="15910" width="13.140625" style="493" customWidth="1"/>
    <col min="15911" max="15911" width="14.140625" style="493" customWidth="1"/>
    <col min="15912" max="15912" width="18.5703125" style="493" customWidth="1"/>
    <col min="15913" max="15913" width="16.42578125" style="493" customWidth="1"/>
    <col min="15914" max="15914" width="36.5703125" style="493" customWidth="1"/>
    <col min="15915" max="15915" width="13.42578125" style="493" customWidth="1"/>
    <col min="15916" max="15916" width="9.28515625" style="493" customWidth="1"/>
    <col min="15917" max="15917" width="10.85546875" style="493" customWidth="1"/>
    <col min="15918" max="15918" width="9.42578125" style="493" customWidth="1"/>
    <col min="15919" max="15919" width="22.140625" style="493" customWidth="1"/>
    <col min="15920" max="15920" width="30.28515625" style="493" customWidth="1"/>
    <col min="15921" max="15921" width="29" style="493" customWidth="1"/>
    <col min="15922" max="15922" width="33.7109375" style="493" customWidth="1"/>
    <col min="15923" max="15923" width="32.28515625" style="493" customWidth="1"/>
    <col min="15924" max="15924" width="14.7109375" style="493" customWidth="1"/>
    <col min="15925" max="15925" width="14.42578125" style="493" customWidth="1"/>
    <col min="15926" max="15926" width="14.5703125" style="493" customWidth="1"/>
    <col min="15927" max="15927" width="18" style="493" customWidth="1"/>
    <col min="15928" max="15928" width="32.42578125" style="493" customWidth="1"/>
    <col min="15929" max="15929" width="35.42578125" style="493" customWidth="1"/>
    <col min="15930" max="15930" width="36.85546875" style="493" customWidth="1"/>
    <col min="15931" max="15931" width="33.5703125" style="493" customWidth="1"/>
    <col min="15932" max="15932" width="35.85546875" style="493" customWidth="1"/>
    <col min="15933" max="15933" width="30.5703125" style="493" customWidth="1"/>
    <col min="15934" max="15934" width="32.7109375" style="493" customWidth="1"/>
    <col min="15935" max="15935" width="32.140625" style="493" customWidth="1"/>
    <col min="15936" max="15936" width="36.5703125" style="493" customWidth="1"/>
    <col min="15937" max="15937" width="35.140625" style="493" customWidth="1"/>
    <col min="15938" max="15938" width="11.7109375" style="493" customWidth="1"/>
    <col min="15939" max="15939" width="15.42578125" style="493" customWidth="1"/>
    <col min="15940" max="15940" width="15.140625" style="493" customWidth="1"/>
    <col min="15941" max="15941" width="19.140625" style="493" customWidth="1"/>
    <col min="15942" max="15942" width="7.5703125" style="493" customWidth="1"/>
    <col min="15943" max="15943" width="11.28515625" style="493" customWidth="1"/>
    <col min="15944" max="15944" width="19.7109375" style="493" customWidth="1"/>
    <col min="15945" max="15945" width="25.42578125" style="493" customWidth="1"/>
    <col min="15946" max="15946" width="38.28515625" style="493" customWidth="1"/>
    <col min="15947" max="15947" width="31.7109375" style="493" customWidth="1"/>
    <col min="15948" max="16128" width="9.140625" style="493"/>
    <col min="16129" max="16129" width="17.140625" style="493" customWidth="1"/>
    <col min="16130" max="16130" width="16.85546875" style="493" customWidth="1"/>
    <col min="16131" max="16131" width="36.5703125" style="493" customWidth="1"/>
    <col min="16132" max="16132" width="14.140625" style="493" customWidth="1"/>
    <col min="16133" max="16133" width="18.5703125" style="493" customWidth="1"/>
    <col min="16134" max="16134" width="8.42578125" style="493" customWidth="1"/>
    <col min="16135" max="16135" width="17.7109375" style="493" customWidth="1"/>
    <col min="16136" max="16136" width="12.85546875" style="493" customWidth="1"/>
    <col min="16137" max="16137" width="29.28515625" style="493" customWidth="1"/>
    <col min="16138" max="16138" width="14.5703125" style="493" customWidth="1"/>
    <col min="16139" max="16139" width="32.42578125" style="493" customWidth="1"/>
    <col min="16140" max="16140" width="17.7109375" style="493" customWidth="1"/>
    <col min="16141" max="16141" width="33.7109375" style="493" customWidth="1"/>
    <col min="16142" max="16142" width="19.140625" style="493" customWidth="1"/>
    <col min="16143" max="16143" width="31.140625" style="493" customWidth="1"/>
    <col min="16144" max="16144" width="34.28515625" style="493" customWidth="1"/>
    <col min="16145" max="16145" width="33.42578125" style="493" customWidth="1"/>
    <col min="16146" max="16146" width="36.42578125" style="493" customWidth="1"/>
    <col min="16147" max="16147" width="11.85546875" style="493" customWidth="1"/>
    <col min="16148" max="16148" width="6.85546875" style="493" customWidth="1"/>
    <col min="16149" max="16149" width="10.85546875" style="493" customWidth="1"/>
    <col min="16150" max="16150" width="13" style="493" customWidth="1"/>
    <col min="16151" max="16151" width="11" style="493" customWidth="1"/>
    <col min="16152" max="16152" width="11.140625" style="493" customWidth="1"/>
    <col min="16153" max="16153" width="12.7109375" style="493" customWidth="1"/>
    <col min="16154" max="16154" width="10.42578125" style="493" customWidth="1"/>
    <col min="16155" max="16155" width="16.85546875" style="493" customWidth="1"/>
    <col min="16156" max="16156" width="14.140625" style="493" customWidth="1"/>
    <col min="16157" max="16157" width="15.7109375" style="493" customWidth="1"/>
    <col min="16158" max="16158" width="13.140625" style="493" customWidth="1"/>
    <col min="16159" max="16159" width="11.7109375" style="493" customWidth="1"/>
    <col min="16160" max="16160" width="14.140625" style="493" customWidth="1"/>
    <col min="16161" max="16161" width="10.42578125" style="493" customWidth="1"/>
    <col min="16162" max="16162" width="18.5703125" style="493" customWidth="1"/>
    <col min="16163" max="16163" width="16.140625" style="493" customWidth="1"/>
    <col min="16164" max="16164" width="18.5703125" style="493" customWidth="1"/>
    <col min="16165" max="16165" width="18.140625" style="493" customWidth="1"/>
    <col min="16166" max="16166" width="13.140625" style="493" customWidth="1"/>
    <col min="16167" max="16167" width="14.140625" style="493" customWidth="1"/>
    <col min="16168" max="16168" width="18.5703125" style="493" customWidth="1"/>
    <col min="16169" max="16169" width="16.42578125" style="493" customWidth="1"/>
    <col min="16170" max="16170" width="36.5703125" style="493" customWidth="1"/>
    <col min="16171" max="16171" width="13.42578125" style="493" customWidth="1"/>
    <col min="16172" max="16172" width="9.28515625" style="493" customWidth="1"/>
    <col min="16173" max="16173" width="10.85546875" style="493" customWidth="1"/>
    <col min="16174" max="16174" width="9.42578125" style="493" customWidth="1"/>
    <col min="16175" max="16175" width="22.140625" style="493" customWidth="1"/>
    <col min="16176" max="16176" width="30.28515625" style="493" customWidth="1"/>
    <col min="16177" max="16177" width="29" style="493" customWidth="1"/>
    <col min="16178" max="16178" width="33.7109375" style="493" customWidth="1"/>
    <col min="16179" max="16179" width="32.28515625" style="493" customWidth="1"/>
    <col min="16180" max="16180" width="14.7109375" style="493" customWidth="1"/>
    <col min="16181" max="16181" width="14.42578125" style="493" customWidth="1"/>
    <col min="16182" max="16182" width="14.5703125" style="493" customWidth="1"/>
    <col min="16183" max="16183" width="18" style="493" customWidth="1"/>
    <col min="16184" max="16184" width="32.42578125" style="493" customWidth="1"/>
    <col min="16185" max="16185" width="35.42578125" style="493" customWidth="1"/>
    <col min="16186" max="16186" width="36.85546875" style="493" customWidth="1"/>
    <col min="16187" max="16187" width="33.5703125" style="493" customWidth="1"/>
    <col min="16188" max="16188" width="35.85546875" style="493" customWidth="1"/>
    <col min="16189" max="16189" width="30.5703125" style="493" customWidth="1"/>
    <col min="16190" max="16190" width="32.7109375" style="493" customWidth="1"/>
    <col min="16191" max="16191" width="32.140625" style="493" customWidth="1"/>
    <col min="16192" max="16192" width="36.5703125" style="493" customWidth="1"/>
    <col min="16193" max="16193" width="35.140625" style="493" customWidth="1"/>
    <col min="16194" max="16194" width="11.7109375" style="493" customWidth="1"/>
    <col min="16195" max="16195" width="15.42578125" style="493" customWidth="1"/>
    <col min="16196" max="16196" width="15.140625" style="493" customWidth="1"/>
    <col min="16197" max="16197" width="19.140625" style="493" customWidth="1"/>
    <col min="16198" max="16198" width="7.5703125" style="493" customWidth="1"/>
    <col min="16199" max="16199" width="11.28515625" style="493" customWidth="1"/>
    <col min="16200" max="16200" width="19.7109375" style="493" customWidth="1"/>
    <col min="16201" max="16201" width="25.42578125" style="493" customWidth="1"/>
    <col min="16202" max="16202" width="38.28515625" style="493" customWidth="1"/>
    <col min="16203" max="16203" width="31.7109375" style="493" customWidth="1"/>
    <col min="16204" max="16384" width="9.140625" style="493"/>
  </cols>
  <sheetData>
    <row r="1" spans="1:75" customFormat="1" ht="15" x14ac:dyDescent="0.25">
      <c r="A1" s="1052" t="s">
        <v>2540</v>
      </c>
    </row>
    <row r="2" spans="1:75" customFormat="1" ht="25.5" customHeight="1" x14ac:dyDescent="0.25">
      <c r="A2" s="1053" t="s">
        <v>1108</v>
      </c>
      <c r="B2" s="1025" t="s">
        <v>1260</v>
      </c>
      <c r="C2" s="1025" t="s">
        <v>228</v>
      </c>
      <c r="D2" s="1025" t="s">
        <v>48</v>
      </c>
      <c r="E2" s="1025" t="s">
        <v>1261</v>
      </c>
      <c r="F2" s="1025" t="s">
        <v>1262</v>
      </c>
      <c r="G2" s="1025" t="s">
        <v>1263</v>
      </c>
      <c r="H2" s="1025" t="s">
        <v>1264</v>
      </c>
      <c r="I2" s="1025" t="s">
        <v>1265</v>
      </c>
      <c r="J2" s="1025" t="s">
        <v>1266</v>
      </c>
      <c r="K2" s="1025" t="s">
        <v>1247</v>
      </c>
      <c r="L2" s="1025" t="s">
        <v>1248</v>
      </c>
      <c r="M2" s="1025" t="s">
        <v>1249</v>
      </c>
      <c r="N2" s="1025" t="s">
        <v>1250</v>
      </c>
      <c r="O2" s="1025" t="s">
        <v>1267</v>
      </c>
      <c r="P2" s="1025" t="s">
        <v>1268</v>
      </c>
      <c r="Q2" s="1025" t="s">
        <v>1269</v>
      </c>
      <c r="R2" s="1025" t="s">
        <v>1270</v>
      </c>
      <c r="S2" s="1025" t="s">
        <v>1271</v>
      </c>
      <c r="T2" s="1025" t="s">
        <v>1272</v>
      </c>
      <c r="U2" s="1025" t="s">
        <v>1273</v>
      </c>
      <c r="V2" s="1025" t="s">
        <v>379</v>
      </c>
      <c r="W2" s="1025" t="s">
        <v>232</v>
      </c>
      <c r="X2" s="1025" t="s">
        <v>1274</v>
      </c>
      <c r="Y2" s="1025" t="s">
        <v>1275</v>
      </c>
      <c r="Z2" s="1025" t="s">
        <v>1276</v>
      </c>
      <c r="AA2" s="1025" t="s">
        <v>1277</v>
      </c>
      <c r="AB2" s="1025" t="s">
        <v>1278</v>
      </c>
      <c r="AC2" s="1025" t="s">
        <v>1279</v>
      </c>
      <c r="AD2" s="1025" t="s">
        <v>1280</v>
      </c>
      <c r="AE2" s="1025" t="s">
        <v>1281</v>
      </c>
      <c r="AF2" s="1025" t="s">
        <v>1118</v>
      </c>
      <c r="AG2" s="1025" t="s">
        <v>1282</v>
      </c>
      <c r="AH2" s="1025" t="s">
        <v>1283</v>
      </c>
      <c r="AI2" s="1025" t="s">
        <v>1284</v>
      </c>
      <c r="AJ2" s="1025" t="s">
        <v>1285</v>
      </c>
      <c r="AK2" s="1025" t="s">
        <v>1286</v>
      </c>
      <c r="AL2" s="1025" t="s">
        <v>1287</v>
      </c>
      <c r="AM2" s="1025" t="s">
        <v>1288</v>
      </c>
      <c r="AN2" s="1025" t="s">
        <v>1289</v>
      </c>
      <c r="AO2" s="1025" t="s">
        <v>1290</v>
      </c>
      <c r="AP2" s="1025" t="s">
        <v>1291</v>
      </c>
      <c r="AQ2" s="1025" t="s">
        <v>1120</v>
      </c>
      <c r="AR2" s="1025" t="s">
        <v>1292</v>
      </c>
      <c r="AS2" s="1025" t="s">
        <v>1293</v>
      </c>
      <c r="AT2" s="1025" t="s">
        <v>1294</v>
      </c>
      <c r="AU2" s="1025" t="s">
        <v>1295</v>
      </c>
      <c r="AV2" s="1025" t="s">
        <v>1296</v>
      </c>
      <c r="AW2" s="1025" t="s">
        <v>1297</v>
      </c>
      <c r="AX2" s="1025" t="s">
        <v>1298</v>
      </c>
      <c r="AY2" s="1025" t="s">
        <v>1299</v>
      </c>
      <c r="AZ2" s="1025" t="s">
        <v>1300</v>
      </c>
      <c r="BA2" s="1025" t="s">
        <v>1301</v>
      </c>
      <c r="BB2" s="1025" t="s">
        <v>1302</v>
      </c>
      <c r="BC2" s="1025" t="s">
        <v>1303</v>
      </c>
      <c r="BD2" s="1025" t="s">
        <v>1304</v>
      </c>
      <c r="BE2" s="1025" t="s">
        <v>1305</v>
      </c>
      <c r="BF2" s="1025" t="s">
        <v>1306</v>
      </c>
      <c r="BG2" s="1025" t="s">
        <v>1307</v>
      </c>
      <c r="BH2" s="1025" t="s">
        <v>1308</v>
      </c>
      <c r="BI2" s="1025" t="s">
        <v>1309</v>
      </c>
      <c r="BJ2" s="1025" t="s">
        <v>1310</v>
      </c>
      <c r="BK2" s="1025" t="s">
        <v>1311</v>
      </c>
      <c r="BL2" s="1025" t="s">
        <v>1312</v>
      </c>
      <c r="BM2" s="1025" t="s">
        <v>1313</v>
      </c>
      <c r="BN2" s="1025" t="s">
        <v>1314</v>
      </c>
      <c r="BO2" s="1025" t="s">
        <v>1315</v>
      </c>
      <c r="BP2" s="1025" t="s">
        <v>1316</v>
      </c>
      <c r="BQ2" s="1025" t="s">
        <v>1317</v>
      </c>
      <c r="BR2" s="1025" t="s">
        <v>200</v>
      </c>
      <c r="BS2" s="1025" t="s">
        <v>1318</v>
      </c>
      <c r="BT2" s="1025" t="s">
        <v>1319</v>
      </c>
      <c r="BU2" s="1025" t="s">
        <v>1320</v>
      </c>
      <c r="BV2" s="1025" t="s">
        <v>1321</v>
      </c>
      <c r="BW2" s="1025" t="s">
        <v>1322</v>
      </c>
    </row>
    <row r="3" spans="1:75" customFormat="1" ht="15" x14ac:dyDescent="0.25">
      <c r="A3" s="1052" t="s">
        <v>2541</v>
      </c>
      <c r="B3" t="s">
        <v>2542</v>
      </c>
      <c r="C3" t="s">
        <v>2543</v>
      </c>
      <c r="E3" t="s">
        <v>2505</v>
      </c>
      <c r="F3" t="s">
        <v>2544</v>
      </c>
      <c r="G3" t="s">
        <v>2545</v>
      </c>
      <c r="H3" t="s">
        <v>1341</v>
      </c>
      <c r="I3">
        <v>427.23960699999998</v>
      </c>
      <c r="J3" t="s">
        <v>18</v>
      </c>
      <c r="K3">
        <v>427.23960699999998</v>
      </c>
      <c r="L3" t="s">
        <v>18</v>
      </c>
      <c r="M3">
        <v>427.23960699999998</v>
      </c>
      <c r="N3" t="s">
        <v>18</v>
      </c>
      <c r="O3">
        <v>-242.060393</v>
      </c>
      <c r="P3">
        <v>-242.060393</v>
      </c>
      <c r="Q3">
        <v>-36.166199999999996</v>
      </c>
      <c r="R3">
        <v>-36.166199999999996</v>
      </c>
      <c r="U3" s="494">
        <v>46022</v>
      </c>
      <c r="V3">
        <v>62.22</v>
      </c>
      <c r="W3">
        <v>6.866638</v>
      </c>
      <c r="X3">
        <v>97.47</v>
      </c>
      <c r="Y3">
        <v>0</v>
      </c>
      <c r="AP3" t="s">
        <v>2546</v>
      </c>
      <c r="AQ3">
        <v>0</v>
      </c>
      <c r="AT3" t="s">
        <v>2547</v>
      </c>
      <c r="AZ3" s="494">
        <v>43666</v>
      </c>
      <c r="BA3">
        <v>0</v>
      </c>
      <c r="BG3">
        <v>-242.060393</v>
      </c>
      <c r="BH3">
        <v>-36.166199999999996</v>
      </c>
      <c r="BI3">
        <v>-242.060393</v>
      </c>
      <c r="BJ3">
        <v>-36.166199999999996</v>
      </c>
      <c r="BK3">
        <v>427.23960699999998</v>
      </c>
      <c r="BL3">
        <v>427.23960699999998</v>
      </c>
      <c r="BM3">
        <v>427.23960699999998</v>
      </c>
      <c r="BO3" t="s">
        <v>342</v>
      </c>
      <c r="BP3" t="s">
        <v>342</v>
      </c>
      <c r="BQ3" t="s">
        <v>342</v>
      </c>
      <c r="BR3" t="s">
        <v>342</v>
      </c>
      <c r="BS3" t="s">
        <v>342</v>
      </c>
      <c r="BV3">
        <v>-242.060393</v>
      </c>
    </row>
    <row r="4" spans="1:75" customFormat="1" ht="15" x14ac:dyDescent="0.25">
      <c r="A4" s="1052" t="s">
        <v>2548</v>
      </c>
      <c r="B4" t="s">
        <v>2549</v>
      </c>
      <c r="C4" t="s">
        <v>2206</v>
      </c>
      <c r="E4" t="s">
        <v>2505</v>
      </c>
      <c r="F4" t="s">
        <v>2550</v>
      </c>
      <c r="G4" t="s">
        <v>395</v>
      </c>
      <c r="H4" t="s">
        <v>1341</v>
      </c>
      <c r="I4">
        <v>1713260</v>
      </c>
      <c r="J4" t="s">
        <v>18</v>
      </c>
      <c r="K4">
        <v>1713260</v>
      </c>
      <c r="L4" t="s">
        <v>18</v>
      </c>
      <c r="M4">
        <v>1713260</v>
      </c>
      <c r="N4" t="s">
        <v>18</v>
      </c>
      <c r="U4" s="494">
        <v>46052</v>
      </c>
      <c r="V4">
        <v>0.86</v>
      </c>
      <c r="W4">
        <v>2000000</v>
      </c>
      <c r="Y4">
        <v>9.18</v>
      </c>
      <c r="AL4">
        <v>2000000</v>
      </c>
      <c r="AM4">
        <v>2000000</v>
      </c>
      <c r="AN4">
        <v>0</v>
      </c>
      <c r="AO4">
        <v>1713260</v>
      </c>
      <c r="AP4" t="s">
        <v>2206</v>
      </c>
      <c r="AQ4">
        <v>0</v>
      </c>
      <c r="AS4" t="s">
        <v>2551</v>
      </c>
      <c r="AZ4" s="494">
        <v>44987</v>
      </c>
      <c r="BA4">
        <v>0</v>
      </c>
      <c r="BK4">
        <v>1713260</v>
      </c>
      <c r="BL4">
        <v>1713260</v>
      </c>
      <c r="BM4">
        <v>1713260</v>
      </c>
      <c r="BN4">
        <v>0</v>
      </c>
      <c r="BO4" t="s">
        <v>342</v>
      </c>
      <c r="BP4" t="s">
        <v>342</v>
      </c>
      <c r="BQ4" t="s">
        <v>342</v>
      </c>
      <c r="BR4" t="s">
        <v>342</v>
      </c>
      <c r="BS4" t="s">
        <v>342</v>
      </c>
    </row>
    <row r="5" spans="1:75" customFormat="1" ht="15" x14ac:dyDescent="0.25">
      <c r="A5" s="1052" t="s">
        <v>2548</v>
      </c>
      <c r="B5" t="s">
        <v>2552</v>
      </c>
      <c r="C5" t="s">
        <v>2207</v>
      </c>
      <c r="D5" t="s">
        <v>2208</v>
      </c>
      <c r="E5" t="s">
        <v>2505</v>
      </c>
      <c r="F5" t="s">
        <v>2544</v>
      </c>
      <c r="G5" t="s">
        <v>2545</v>
      </c>
      <c r="H5" t="s">
        <v>1341</v>
      </c>
      <c r="I5">
        <v>642610.74488000001</v>
      </c>
      <c r="J5" t="s">
        <v>18</v>
      </c>
      <c r="K5">
        <v>642610.74488000001</v>
      </c>
      <c r="L5" t="s">
        <v>18</v>
      </c>
      <c r="M5">
        <v>642610.74488000001</v>
      </c>
      <c r="N5" t="s">
        <v>18</v>
      </c>
      <c r="O5">
        <v>-17579.505120000002</v>
      </c>
      <c r="P5">
        <v>-17579.505120000002</v>
      </c>
      <c r="Q5">
        <v>-2.6627999999999998</v>
      </c>
      <c r="R5">
        <v>-2.6627999999999998</v>
      </c>
      <c r="U5" s="494">
        <v>46022</v>
      </c>
      <c r="V5">
        <v>25.22</v>
      </c>
      <c r="W5">
        <v>25480.204000000002</v>
      </c>
      <c r="X5">
        <v>25.91</v>
      </c>
      <c r="Y5">
        <v>3.44</v>
      </c>
      <c r="AO5">
        <v>642610.74488000001</v>
      </c>
      <c r="AP5" t="s">
        <v>2207</v>
      </c>
      <c r="AQ5">
        <v>0</v>
      </c>
      <c r="AT5" t="s">
        <v>2553</v>
      </c>
      <c r="AZ5" s="494">
        <v>45534</v>
      </c>
      <c r="BA5">
        <v>0</v>
      </c>
      <c r="BG5">
        <v>-17579.505120000002</v>
      </c>
      <c r="BH5">
        <v>-2.6627999999999998</v>
      </c>
      <c r="BI5">
        <v>-17579.505120000002</v>
      </c>
      <c r="BJ5">
        <v>-2.6627999999999998</v>
      </c>
      <c r="BK5">
        <v>642610.74488000001</v>
      </c>
      <c r="BL5">
        <v>642610.74488000001</v>
      </c>
      <c r="BM5">
        <v>642610.74488000001</v>
      </c>
      <c r="BO5" t="s">
        <v>342</v>
      </c>
      <c r="BP5" t="s">
        <v>342</v>
      </c>
      <c r="BQ5" t="s">
        <v>342</v>
      </c>
      <c r="BR5" t="s">
        <v>342</v>
      </c>
      <c r="BS5" t="s">
        <v>342</v>
      </c>
      <c r="BV5">
        <v>-17579.505120000002</v>
      </c>
    </row>
    <row r="6" spans="1:75" customFormat="1" ht="15" x14ac:dyDescent="0.25">
      <c r="A6" s="1052" t="s">
        <v>2548</v>
      </c>
      <c r="B6" t="s">
        <v>2554</v>
      </c>
      <c r="C6" t="s">
        <v>2209</v>
      </c>
      <c r="E6" t="s">
        <v>2505</v>
      </c>
      <c r="F6" t="s">
        <v>2550</v>
      </c>
      <c r="G6" t="s">
        <v>395</v>
      </c>
      <c r="H6" t="s">
        <v>1341</v>
      </c>
      <c r="I6">
        <v>756230.62817399995</v>
      </c>
      <c r="J6" t="s">
        <v>18</v>
      </c>
      <c r="K6">
        <v>756230.62817399995</v>
      </c>
      <c r="L6" t="s">
        <v>18</v>
      </c>
      <c r="M6">
        <v>756230.62817399995</v>
      </c>
      <c r="N6" t="s">
        <v>18</v>
      </c>
      <c r="U6" s="494">
        <v>46052</v>
      </c>
      <c r="V6">
        <v>0.91</v>
      </c>
      <c r="W6">
        <v>832358.1</v>
      </c>
      <c r="Y6">
        <v>4.05</v>
      </c>
      <c r="AL6">
        <v>1000000</v>
      </c>
      <c r="AM6">
        <v>832358.1</v>
      </c>
      <c r="AN6">
        <v>579750.27</v>
      </c>
      <c r="AO6">
        <v>756230.62817399995</v>
      </c>
      <c r="AP6" t="s">
        <v>2209</v>
      </c>
      <c r="AQ6">
        <v>0</v>
      </c>
      <c r="AS6" t="s">
        <v>2555</v>
      </c>
      <c r="AZ6" s="494">
        <v>44733</v>
      </c>
      <c r="BA6">
        <v>0</v>
      </c>
      <c r="BK6">
        <v>756230.62817399995</v>
      </c>
      <c r="BL6">
        <v>756230.62817399995</v>
      </c>
      <c r="BM6">
        <v>756230.62817399995</v>
      </c>
      <c r="BN6">
        <v>579750.27</v>
      </c>
      <c r="BO6" t="s">
        <v>342</v>
      </c>
      <c r="BP6" t="s">
        <v>342</v>
      </c>
      <c r="BQ6" t="s">
        <v>342</v>
      </c>
      <c r="BR6" t="s">
        <v>342</v>
      </c>
      <c r="BS6" t="s">
        <v>342</v>
      </c>
    </row>
    <row r="7" spans="1:75" customFormat="1" ht="15.75" thickBot="1" x14ac:dyDescent="0.3">
      <c r="A7" s="1052" t="s">
        <v>2548</v>
      </c>
      <c r="B7" t="s">
        <v>2556</v>
      </c>
      <c r="C7" t="s">
        <v>2210</v>
      </c>
      <c r="E7" t="s">
        <v>2505</v>
      </c>
      <c r="F7" t="s">
        <v>2550</v>
      </c>
      <c r="G7" t="s">
        <v>395</v>
      </c>
      <c r="H7" t="s">
        <v>1341</v>
      </c>
      <c r="I7">
        <v>147440</v>
      </c>
      <c r="J7" t="s">
        <v>18</v>
      </c>
      <c r="K7">
        <v>147440</v>
      </c>
      <c r="L7" t="s">
        <v>18</v>
      </c>
      <c r="M7">
        <v>147440</v>
      </c>
      <c r="N7" t="s">
        <v>18</v>
      </c>
      <c r="U7" s="494">
        <v>46052</v>
      </c>
      <c r="V7">
        <v>0.15</v>
      </c>
      <c r="W7">
        <v>1000000</v>
      </c>
      <c r="Y7">
        <v>0.79</v>
      </c>
      <c r="AL7">
        <v>1000000</v>
      </c>
      <c r="AM7">
        <v>1000000</v>
      </c>
      <c r="AN7">
        <v>5.9117155615240335E-12</v>
      </c>
      <c r="AO7">
        <v>147440</v>
      </c>
      <c r="AP7" t="s">
        <v>2210</v>
      </c>
      <c r="AQ7">
        <v>0</v>
      </c>
      <c r="AS7" t="s">
        <v>2557</v>
      </c>
      <c r="AT7" t="s">
        <v>2558</v>
      </c>
      <c r="AZ7" s="494">
        <v>43666</v>
      </c>
      <c r="BA7">
        <v>0</v>
      </c>
      <c r="BK7">
        <v>147440</v>
      </c>
      <c r="BL7">
        <v>147440</v>
      </c>
      <c r="BM7">
        <v>147440</v>
      </c>
      <c r="BN7">
        <v>5.9117155615240335E-12</v>
      </c>
      <c r="BO7" t="s">
        <v>342</v>
      </c>
      <c r="BP7" t="s">
        <v>342</v>
      </c>
      <c r="BQ7" t="s">
        <v>342</v>
      </c>
      <c r="BR7" t="s">
        <v>342</v>
      </c>
      <c r="BS7" t="s">
        <v>342</v>
      </c>
    </row>
    <row r="8" spans="1:75" customFormat="1" ht="15.75" thickBot="1" x14ac:dyDescent="0.3">
      <c r="A8" s="1054"/>
      <c r="B8" s="654"/>
      <c r="C8" s="654" t="s">
        <v>913</v>
      </c>
      <c r="D8" s="654"/>
      <c r="E8" s="654"/>
      <c r="F8" s="654"/>
      <c r="G8" s="654"/>
      <c r="H8" s="654"/>
      <c r="I8" s="654">
        <v>3259968.6126609999</v>
      </c>
      <c r="J8" s="654"/>
      <c r="K8" s="654"/>
      <c r="L8" s="654"/>
      <c r="M8" s="654">
        <v>3259968.6126609999</v>
      </c>
      <c r="N8" s="654"/>
      <c r="O8" s="654"/>
      <c r="P8" s="654"/>
      <c r="Q8" s="654"/>
      <c r="R8" s="654"/>
      <c r="S8" s="654"/>
      <c r="T8" s="654"/>
      <c r="U8" s="654"/>
      <c r="V8" s="654"/>
      <c r="W8" s="654"/>
      <c r="X8" s="654"/>
      <c r="Y8" s="654">
        <v>17.46</v>
      </c>
      <c r="Z8" s="654"/>
      <c r="AA8" s="654"/>
      <c r="AB8" s="654"/>
      <c r="AC8" s="654"/>
      <c r="AD8" s="654"/>
      <c r="AE8" s="654"/>
      <c r="AF8" s="654"/>
      <c r="AG8" s="654"/>
      <c r="AH8" s="654"/>
      <c r="AI8" s="654"/>
      <c r="AJ8" s="654"/>
      <c r="AK8" s="654"/>
      <c r="AL8" s="654"/>
      <c r="AM8" s="654"/>
      <c r="AN8" s="654"/>
      <c r="AO8" s="654"/>
      <c r="AP8" s="654"/>
      <c r="AQ8" s="654"/>
      <c r="AR8" s="654"/>
      <c r="AS8" s="654"/>
      <c r="AT8" s="654"/>
      <c r="AU8" s="654"/>
      <c r="AV8" s="654"/>
      <c r="AW8" s="654"/>
      <c r="AX8" s="654"/>
      <c r="AY8" s="654"/>
      <c r="AZ8" s="654"/>
      <c r="BA8" s="654"/>
      <c r="BB8" s="654"/>
      <c r="BC8" s="654"/>
      <c r="BD8" s="654">
        <v>0</v>
      </c>
      <c r="BE8" s="654"/>
      <c r="BF8" s="654"/>
      <c r="BG8" s="654"/>
      <c r="BH8" s="654"/>
      <c r="BI8" s="654"/>
      <c r="BJ8" s="654"/>
      <c r="BK8" s="654"/>
      <c r="BL8" s="654"/>
      <c r="BM8" s="654"/>
      <c r="BN8" s="654"/>
      <c r="BO8" s="654"/>
      <c r="BP8" s="654"/>
      <c r="BQ8" s="654"/>
      <c r="BR8" s="654"/>
      <c r="BS8" s="654"/>
      <c r="BT8" s="654"/>
      <c r="BU8" s="654"/>
      <c r="BV8" s="654"/>
      <c r="BW8" s="654"/>
    </row>
    <row r="9" spans="1:75" customFormat="1" ht="15" x14ac:dyDescent="0.25">
      <c r="A9" s="1052" t="s">
        <v>2585</v>
      </c>
    </row>
    <row r="10" spans="1:75" customFormat="1" ht="25.5" customHeight="1" x14ac:dyDescent="0.25">
      <c r="A10" s="1053" t="s">
        <v>1108</v>
      </c>
      <c r="B10" s="1025" t="s">
        <v>1260</v>
      </c>
      <c r="C10" s="1025" t="s">
        <v>228</v>
      </c>
      <c r="D10" s="1025" t="s">
        <v>48</v>
      </c>
      <c r="E10" s="1025" t="s">
        <v>1261</v>
      </c>
      <c r="F10" s="1025" t="s">
        <v>1262</v>
      </c>
      <c r="G10" s="1025" t="s">
        <v>1263</v>
      </c>
      <c r="H10" s="1025" t="s">
        <v>1264</v>
      </c>
      <c r="I10" s="1025" t="s">
        <v>1265</v>
      </c>
      <c r="J10" s="1025" t="s">
        <v>1266</v>
      </c>
      <c r="K10" s="1025" t="s">
        <v>1247</v>
      </c>
      <c r="L10" s="1025" t="s">
        <v>1248</v>
      </c>
      <c r="M10" s="1025" t="s">
        <v>1249</v>
      </c>
      <c r="N10" s="1025" t="s">
        <v>1250</v>
      </c>
      <c r="O10" s="1025" t="s">
        <v>1267</v>
      </c>
      <c r="P10" s="1025" t="s">
        <v>1268</v>
      </c>
      <c r="Q10" s="1025" t="s">
        <v>1269</v>
      </c>
      <c r="R10" s="1025" t="s">
        <v>1270</v>
      </c>
      <c r="S10" s="1025" t="s">
        <v>1271</v>
      </c>
      <c r="T10" s="1025" t="s">
        <v>1272</v>
      </c>
      <c r="U10" s="1025" t="s">
        <v>1273</v>
      </c>
      <c r="V10" s="1025" t="s">
        <v>379</v>
      </c>
      <c r="W10" s="1025" t="s">
        <v>232</v>
      </c>
      <c r="X10" s="1025" t="s">
        <v>1274</v>
      </c>
      <c r="Y10" s="1025" t="s">
        <v>1275</v>
      </c>
      <c r="Z10" s="1025" t="s">
        <v>1276</v>
      </c>
      <c r="AA10" s="1025" t="s">
        <v>1277</v>
      </c>
      <c r="AB10" s="1025" t="s">
        <v>1278</v>
      </c>
      <c r="AC10" s="1025" t="s">
        <v>1279</v>
      </c>
      <c r="AD10" s="1025" t="s">
        <v>1280</v>
      </c>
      <c r="AE10" s="1025" t="s">
        <v>1281</v>
      </c>
      <c r="AF10" s="1025" t="s">
        <v>1118</v>
      </c>
      <c r="AG10" s="1025" t="s">
        <v>1282</v>
      </c>
      <c r="AH10" s="1025" t="s">
        <v>1283</v>
      </c>
      <c r="AI10" s="1025" t="s">
        <v>1284</v>
      </c>
      <c r="AJ10" s="1025" t="s">
        <v>1285</v>
      </c>
      <c r="AK10" s="1025" t="s">
        <v>1286</v>
      </c>
      <c r="AL10" s="1025" t="s">
        <v>1287</v>
      </c>
      <c r="AM10" s="1025" t="s">
        <v>1288</v>
      </c>
      <c r="AN10" s="1025" t="s">
        <v>1289</v>
      </c>
      <c r="AO10" s="1025" t="s">
        <v>1290</v>
      </c>
      <c r="AP10" s="1025" t="s">
        <v>1291</v>
      </c>
      <c r="AQ10" s="1025" t="s">
        <v>1120</v>
      </c>
      <c r="AR10" s="1025" t="s">
        <v>1292</v>
      </c>
      <c r="AS10" s="1025" t="s">
        <v>1293</v>
      </c>
      <c r="AT10" s="1025" t="s">
        <v>1294</v>
      </c>
      <c r="AU10" s="1025" t="s">
        <v>1295</v>
      </c>
      <c r="AV10" s="1025" t="s">
        <v>1296</v>
      </c>
      <c r="AW10" s="1025" t="s">
        <v>1297</v>
      </c>
      <c r="AX10" s="1025" t="s">
        <v>1298</v>
      </c>
      <c r="AY10" s="1025" t="s">
        <v>1299</v>
      </c>
      <c r="AZ10" s="1025" t="s">
        <v>1300</v>
      </c>
      <c r="BA10" s="1025" t="s">
        <v>1301</v>
      </c>
      <c r="BB10" s="1025" t="s">
        <v>1302</v>
      </c>
      <c r="BC10" s="1025" t="s">
        <v>1303</v>
      </c>
      <c r="BD10" s="1025" t="s">
        <v>1304</v>
      </c>
      <c r="BE10" s="1025" t="s">
        <v>1305</v>
      </c>
      <c r="BF10" s="1025" t="s">
        <v>1306</v>
      </c>
      <c r="BG10" s="1025" t="s">
        <v>1307</v>
      </c>
      <c r="BH10" s="1025" t="s">
        <v>1308</v>
      </c>
      <c r="BI10" s="1025" t="s">
        <v>1309</v>
      </c>
      <c r="BJ10" s="1025" t="s">
        <v>1310</v>
      </c>
      <c r="BK10" s="1025" t="s">
        <v>1311</v>
      </c>
      <c r="BL10" s="1025" t="s">
        <v>1312</v>
      </c>
      <c r="BM10" s="1025" t="s">
        <v>1313</v>
      </c>
      <c r="BN10" s="1025" t="s">
        <v>1314</v>
      </c>
      <c r="BO10" s="1025" t="s">
        <v>1315</v>
      </c>
      <c r="BP10" s="1025" t="s">
        <v>1316</v>
      </c>
      <c r="BQ10" s="1025" t="s">
        <v>1317</v>
      </c>
      <c r="BR10" s="1025" t="s">
        <v>200</v>
      </c>
      <c r="BS10" s="1025" t="s">
        <v>1318</v>
      </c>
      <c r="BT10" s="1025" t="s">
        <v>1319</v>
      </c>
      <c r="BU10" s="1025" t="s">
        <v>1320</v>
      </c>
      <c r="BV10" s="1025" t="s">
        <v>1321</v>
      </c>
      <c r="BW10" s="1025" t="s">
        <v>1322</v>
      </c>
    </row>
    <row r="11" spans="1:75" customFormat="1" ht="15" x14ac:dyDescent="0.25">
      <c r="A11" s="1052" t="s">
        <v>2586</v>
      </c>
      <c r="B11" t="s">
        <v>1346</v>
      </c>
      <c r="C11" t="s">
        <v>1347</v>
      </c>
      <c r="D11" t="s">
        <v>1348</v>
      </c>
      <c r="E11" t="s">
        <v>195</v>
      </c>
      <c r="F11" t="s">
        <v>195</v>
      </c>
      <c r="G11" t="s">
        <v>1254</v>
      </c>
      <c r="H11" t="s">
        <v>1341</v>
      </c>
      <c r="I11">
        <v>77130.2</v>
      </c>
      <c r="J11" t="s">
        <v>18</v>
      </c>
      <c r="K11">
        <v>77130.2</v>
      </c>
      <c r="L11" t="s">
        <v>18</v>
      </c>
      <c r="M11">
        <v>77130.2</v>
      </c>
      <c r="N11" t="s">
        <v>18</v>
      </c>
      <c r="O11">
        <v>-9033.9199999999983</v>
      </c>
      <c r="P11">
        <v>-9033.9199999999983</v>
      </c>
      <c r="Q11">
        <v>-10.484549717446193</v>
      </c>
      <c r="R11">
        <v>-10.484549717446193</v>
      </c>
      <c r="T11" t="s">
        <v>1349</v>
      </c>
      <c r="U11" s="494">
        <v>46087</v>
      </c>
      <c r="V11">
        <v>148.9</v>
      </c>
      <c r="W11">
        <v>518</v>
      </c>
      <c r="X11">
        <v>166.34</v>
      </c>
      <c r="Y11">
        <v>0.35</v>
      </c>
      <c r="AP11" t="s">
        <v>1350</v>
      </c>
      <c r="AQ11">
        <v>0</v>
      </c>
      <c r="AS11" t="s">
        <v>1351</v>
      </c>
      <c r="AT11" t="s">
        <v>1352</v>
      </c>
      <c r="AZ11" s="494">
        <v>46077</v>
      </c>
      <c r="BA11">
        <v>70</v>
      </c>
      <c r="BO11" t="s">
        <v>1353</v>
      </c>
      <c r="BP11" t="s">
        <v>1354</v>
      </c>
      <c r="BQ11" t="s">
        <v>1355</v>
      </c>
      <c r="BR11" t="s">
        <v>1355</v>
      </c>
      <c r="BS11" t="s">
        <v>1355</v>
      </c>
      <c r="BV11">
        <v>-6697.74</v>
      </c>
    </row>
    <row r="12" spans="1:75" customFormat="1" ht="15" x14ac:dyDescent="0.25">
      <c r="A12" s="1052" t="s">
        <v>2587</v>
      </c>
      <c r="B12" t="s">
        <v>1346</v>
      </c>
      <c r="C12" t="s">
        <v>1347</v>
      </c>
      <c r="D12" t="s">
        <v>1348</v>
      </c>
      <c r="E12" t="s">
        <v>195</v>
      </c>
      <c r="F12" t="s">
        <v>195</v>
      </c>
      <c r="G12" t="s">
        <v>1254</v>
      </c>
      <c r="H12" t="s">
        <v>1341</v>
      </c>
      <c r="I12">
        <v>27248.7</v>
      </c>
      <c r="J12" t="s">
        <v>18</v>
      </c>
      <c r="K12">
        <v>27248.7</v>
      </c>
      <c r="L12" t="s">
        <v>18</v>
      </c>
      <c r="M12">
        <v>27248.7</v>
      </c>
      <c r="N12" t="s">
        <v>18</v>
      </c>
      <c r="O12">
        <v>-3045.119999999999</v>
      </c>
      <c r="P12">
        <v>-3045.119999999999</v>
      </c>
      <c r="Q12">
        <v>-10.051951190044699</v>
      </c>
      <c r="R12">
        <v>-10.051951190044699</v>
      </c>
      <c r="T12" t="s">
        <v>1349</v>
      </c>
      <c r="U12" s="494">
        <v>46087</v>
      </c>
      <c r="V12">
        <v>148.9</v>
      </c>
      <c r="W12">
        <v>183</v>
      </c>
      <c r="X12">
        <v>165.54</v>
      </c>
      <c r="Y12">
        <v>0.12</v>
      </c>
      <c r="AP12" t="s">
        <v>1350</v>
      </c>
      <c r="AQ12">
        <v>0</v>
      </c>
      <c r="AS12" t="s">
        <v>1351</v>
      </c>
      <c r="AT12" t="s">
        <v>1352</v>
      </c>
      <c r="AZ12" s="494">
        <v>46079</v>
      </c>
      <c r="BA12">
        <v>70</v>
      </c>
      <c r="BO12" t="s">
        <v>1353</v>
      </c>
      <c r="BP12" t="s">
        <v>1354</v>
      </c>
      <c r="BQ12" t="s">
        <v>1355</v>
      </c>
      <c r="BR12" t="s">
        <v>1355</v>
      </c>
      <c r="BS12" t="s">
        <v>1355</v>
      </c>
      <c r="BV12">
        <v>-2219.79</v>
      </c>
    </row>
    <row r="13" spans="1:75" customFormat="1" ht="15" x14ac:dyDescent="0.25">
      <c r="A13" s="1052" t="s">
        <v>2587</v>
      </c>
      <c r="B13" t="s">
        <v>1356</v>
      </c>
      <c r="C13" t="s">
        <v>1357</v>
      </c>
      <c r="D13" t="s">
        <v>1358</v>
      </c>
      <c r="E13" t="s">
        <v>195</v>
      </c>
      <c r="F13" t="s">
        <v>195</v>
      </c>
      <c r="G13" t="s">
        <v>1254</v>
      </c>
      <c r="H13" t="s">
        <v>1341</v>
      </c>
      <c r="I13">
        <v>19942.2</v>
      </c>
      <c r="J13" t="s">
        <v>18</v>
      </c>
      <c r="K13">
        <v>19942.2</v>
      </c>
      <c r="L13" t="s">
        <v>18</v>
      </c>
      <c r="M13">
        <v>19942.2</v>
      </c>
      <c r="N13" t="s">
        <v>18</v>
      </c>
      <c r="O13">
        <v>-714.59999999999854</v>
      </c>
      <c r="P13">
        <v>-714.59999999999854</v>
      </c>
      <c r="Q13">
        <v>-3.459393516904838</v>
      </c>
      <c r="R13">
        <v>-3.459393516904838</v>
      </c>
      <c r="T13" t="s">
        <v>1359</v>
      </c>
      <c r="U13" s="494">
        <v>46087</v>
      </c>
      <c r="V13">
        <v>110.79</v>
      </c>
      <c r="W13">
        <v>180</v>
      </c>
      <c r="X13">
        <v>114.76</v>
      </c>
      <c r="Y13">
        <v>0.09</v>
      </c>
      <c r="AP13" t="s">
        <v>1350</v>
      </c>
      <c r="AQ13">
        <v>0</v>
      </c>
      <c r="AS13" t="s">
        <v>1360</v>
      </c>
      <c r="AT13" t="s">
        <v>1361</v>
      </c>
      <c r="AZ13" s="494">
        <v>46079</v>
      </c>
      <c r="BA13">
        <v>70</v>
      </c>
      <c r="BO13" t="s">
        <v>1362</v>
      </c>
      <c r="BP13" t="s">
        <v>1363</v>
      </c>
      <c r="BQ13" t="s">
        <v>1355</v>
      </c>
      <c r="BR13" t="s">
        <v>1355</v>
      </c>
      <c r="BS13" t="s">
        <v>1355</v>
      </c>
      <c r="BV13">
        <v>-936</v>
      </c>
    </row>
    <row r="14" spans="1:75" customFormat="1" ht="15" x14ac:dyDescent="0.25">
      <c r="A14" s="1052" t="s">
        <v>2586</v>
      </c>
      <c r="B14" t="s">
        <v>1364</v>
      </c>
      <c r="C14" t="s">
        <v>1365</v>
      </c>
      <c r="D14" t="s">
        <v>1366</v>
      </c>
      <c r="E14" t="s">
        <v>195</v>
      </c>
      <c r="F14" t="s">
        <v>195</v>
      </c>
      <c r="G14" t="s">
        <v>1254</v>
      </c>
      <c r="H14" t="s">
        <v>1341</v>
      </c>
      <c r="I14">
        <v>110085</v>
      </c>
      <c r="J14" t="s">
        <v>18</v>
      </c>
      <c r="K14">
        <v>110085</v>
      </c>
      <c r="L14" t="s">
        <v>18</v>
      </c>
      <c r="M14">
        <v>110085</v>
      </c>
      <c r="N14" t="s">
        <v>18</v>
      </c>
      <c r="O14">
        <v>-2819.1600000000035</v>
      </c>
      <c r="P14">
        <v>-2819.1600000000035</v>
      </c>
      <c r="Q14">
        <v>-2.4969496252396755</v>
      </c>
      <c r="R14">
        <v>-2.4969496252396755</v>
      </c>
      <c r="T14" t="s">
        <v>1367</v>
      </c>
      <c r="U14" s="494">
        <v>46087</v>
      </c>
      <c r="V14">
        <v>223.75</v>
      </c>
      <c r="W14">
        <v>492</v>
      </c>
      <c r="X14">
        <v>229.48</v>
      </c>
      <c r="Y14">
        <v>0.49</v>
      </c>
      <c r="AP14" t="s">
        <v>1350</v>
      </c>
      <c r="AQ14">
        <v>0</v>
      </c>
      <c r="AS14" t="s">
        <v>1368</v>
      </c>
      <c r="AT14" t="s">
        <v>1369</v>
      </c>
      <c r="AZ14" s="494">
        <v>46077</v>
      </c>
      <c r="BA14">
        <v>70</v>
      </c>
      <c r="BO14" t="s">
        <v>1362</v>
      </c>
      <c r="BP14" t="s">
        <v>1370</v>
      </c>
      <c r="BQ14" t="s">
        <v>1355</v>
      </c>
      <c r="BR14" t="s">
        <v>1355</v>
      </c>
      <c r="BS14" t="s">
        <v>1355</v>
      </c>
      <c r="BV14">
        <v>309.95999999999998</v>
      </c>
    </row>
    <row r="15" spans="1:75" customFormat="1" ht="15" x14ac:dyDescent="0.25">
      <c r="A15" s="1052" t="s">
        <v>2587</v>
      </c>
      <c r="B15" t="s">
        <v>1364</v>
      </c>
      <c r="C15" t="s">
        <v>1365</v>
      </c>
      <c r="D15" t="s">
        <v>1366</v>
      </c>
      <c r="E15" t="s">
        <v>195</v>
      </c>
      <c r="F15" t="s">
        <v>195</v>
      </c>
      <c r="G15" t="s">
        <v>1254</v>
      </c>
      <c r="H15" t="s">
        <v>1341</v>
      </c>
      <c r="I15">
        <v>30653.75</v>
      </c>
      <c r="J15" t="s">
        <v>18</v>
      </c>
      <c r="K15">
        <v>30653.75</v>
      </c>
      <c r="L15" t="s">
        <v>18</v>
      </c>
      <c r="M15">
        <v>30653.75</v>
      </c>
      <c r="N15" t="s">
        <v>18</v>
      </c>
      <c r="O15">
        <v>-434.29000000000087</v>
      </c>
      <c r="P15">
        <v>-434.29000000000087</v>
      </c>
      <c r="Q15">
        <v>-1.3969680944826397</v>
      </c>
      <c r="R15">
        <v>-1.3969680944826397</v>
      </c>
      <c r="T15" t="s">
        <v>1367</v>
      </c>
      <c r="U15" s="494">
        <v>46087</v>
      </c>
      <c r="V15">
        <v>223.75</v>
      </c>
      <c r="W15">
        <v>137</v>
      </c>
      <c r="X15">
        <v>226.92</v>
      </c>
      <c r="Y15">
        <v>0.14000000000000001</v>
      </c>
      <c r="AP15" t="s">
        <v>1350</v>
      </c>
      <c r="AQ15">
        <v>0</v>
      </c>
      <c r="AS15" t="s">
        <v>1368</v>
      </c>
      <c r="AT15" t="s">
        <v>1369</v>
      </c>
      <c r="AZ15" s="494">
        <v>46079</v>
      </c>
      <c r="BA15">
        <v>70</v>
      </c>
      <c r="BO15" t="s">
        <v>1362</v>
      </c>
      <c r="BP15" t="s">
        <v>1370</v>
      </c>
      <c r="BQ15" t="s">
        <v>1355</v>
      </c>
      <c r="BR15" t="s">
        <v>1355</v>
      </c>
      <c r="BS15" t="s">
        <v>1355</v>
      </c>
      <c r="BV15">
        <v>437.03</v>
      </c>
    </row>
    <row r="16" spans="1:75" customFormat="1" ht="15" x14ac:dyDescent="0.25">
      <c r="A16" s="1052" t="s">
        <v>2587</v>
      </c>
      <c r="B16" t="s">
        <v>1371</v>
      </c>
      <c r="C16" t="s">
        <v>1372</v>
      </c>
      <c r="D16" t="s">
        <v>1373</v>
      </c>
      <c r="E16" t="s">
        <v>195</v>
      </c>
      <c r="F16" t="s">
        <v>195</v>
      </c>
      <c r="G16" t="s">
        <v>1254</v>
      </c>
      <c r="H16" t="s">
        <v>1341</v>
      </c>
      <c r="I16">
        <v>8817.06</v>
      </c>
      <c r="J16" t="s">
        <v>18</v>
      </c>
      <c r="K16">
        <v>8817.06</v>
      </c>
      <c r="L16" t="s">
        <v>18</v>
      </c>
      <c r="M16">
        <v>8817.06</v>
      </c>
      <c r="N16" t="s">
        <v>18</v>
      </c>
      <c r="O16">
        <v>774.05999999999949</v>
      </c>
      <c r="P16">
        <v>774.05999999999949</v>
      </c>
      <c r="Q16">
        <v>9.6240208877284523</v>
      </c>
      <c r="R16">
        <v>9.6240208877284523</v>
      </c>
      <c r="T16" t="s">
        <v>1374</v>
      </c>
      <c r="U16" s="494">
        <v>46087</v>
      </c>
      <c r="V16">
        <v>209.93</v>
      </c>
      <c r="W16">
        <v>42</v>
      </c>
      <c r="X16">
        <v>191.5</v>
      </c>
      <c r="Y16">
        <v>0.04</v>
      </c>
      <c r="AP16" t="s">
        <v>1350</v>
      </c>
      <c r="AQ16">
        <v>0</v>
      </c>
      <c r="AS16" t="s">
        <v>1375</v>
      </c>
      <c r="AT16" t="s">
        <v>1376</v>
      </c>
      <c r="AZ16" s="494">
        <v>46079</v>
      </c>
      <c r="BA16">
        <v>70</v>
      </c>
      <c r="BO16" t="s">
        <v>1377</v>
      </c>
      <c r="BP16" t="s">
        <v>1378</v>
      </c>
      <c r="BQ16" t="s">
        <v>1355</v>
      </c>
      <c r="BR16" t="s">
        <v>1355</v>
      </c>
      <c r="BS16" t="s">
        <v>1355</v>
      </c>
      <c r="BV16">
        <v>987</v>
      </c>
    </row>
    <row r="17" spans="1:75" customFormat="1" ht="15" x14ac:dyDescent="0.25">
      <c r="A17" s="1052" t="s">
        <v>2586</v>
      </c>
      <c r="B17" t="s">
        <v>1379</v>
      </c>
      <c r="C17" t="s">
        <v>1380</v>
      </c>
      <c r="D17" t="s">
        <v>1381</v>
      </c>
      <c r="E17" t="s">
        <v>195</v>
      </c>
      <c r="F17" t="s">
        <v>195</v>
      </c>
      <c r="G17" t="s">
        <v>1254</v>
      </c>
      <c r="H17" t="s">
        <v>1341</v>
      </c>
      <c r="I17">
        <v>66172.226714999997</v>
      </c>
      <c r="J17" t="s">
        <v>18</v>
      </c>
      <c r="K17">
        <v>57170.7</v>
      </c>
      <c r="L17" t="s">
        <v>21</v>
      </c>
      <c r="M17">
        <v>66172.226714999997</v>
      </c>
      <c r="N17" t="s">
        <v>18</v>
      </c>
      <c r="O17">
        <v>-11789.123285000009</v>
      </c>
      <c r="P17">
        <v>-8965.5</v>
      </c>
      <c r="Q17">
        <v>-15.121753644594415</v>
      </c>
      <c r="R17">
        <v>-13.556116015132408</v>
      </c>
      <c r="T17" t="s">
        <v>1382</v>
      </c>
      <c r="U17" s="494">
        <v>46087</v>
      </c>
      <c r="V17">
        <v>137.1</v>
      </c>
      <c r="W17">
        <v>417</v>
      </c>
      <c r="X17">
        <v>158.6</v>
      </c>
      <c r="Y17">
        <v>0.3</v>
      </c>
      <c r="AP17" t="s">
        <v>1350</v>
      </c>
      <c r="AQ17">
        <v>0</v>
      </c>
      <c r="AT17" t="s">
        <v>1383</v>
      </c>
      <c r="AZ17" s="494">
        <v>46077</v>
      </c>
      <c r="BA17">
        <v>70</v>
      </c>
      <c r="BO17" t="s">
        <v>1384</v>
      </c>
      <c r="BP17" t="s">
        <v>1385</v>
      </c>
      <c r="BQ17" t="s">
        <v>1386</v>
      </c>
      <c r="BR17" t="s">
        <v>209</v>
      </c>
      <c r="BS17" t="s">
        <v>297</v>
      </c>
      <c r="BV17">
        <v>-7815.7973830000001</v>
      </c>
      <c r="BW17">
        <v>-1261.5227769999999</v>
      </c>
    </row>
    <row r="18" spans="1:75" customFormat="1" ht="15" x14ac:dyDescent="0.25">
      <c r="A18" s="1052" t="s">
        <v>2588</v>
      </c>
      <c r="B18" t="s">
        <v>1387</v>
      </c>
      <c r="C18" t="s">
        <v>1388</v>
      </c>
      <c r="D18" t="s">
        <v>1389</v>
      </c>
      <c r="E18" t="s">
        <v>195</v>
      </c>
      <c r="F18" t="s">
        <v>195</v>
      </c>
      <c r="G18" t="s">
        <v>1254</v>
      </c>
      <c r="H18" t="s">
        <v>1341</v>
      </c>
      <c r="I18">
        <v>90042.27</v>
      </c>
      <c r="J18" t="s">
        <v>18</v>
      </c>
      <c r="K18">
        <v>90042.27</v>
      </c>
      <c r="L18" t="s">
        <v>18</v>
      </c>
      <c r="M18">
        <v>90042.27</v>
      </c>
      <c r="N18" t="s">
        <v>18</v>
      </c>
      <c r="O18">
        <v>-5076.2899999999936</v>
      </c>
      <c r="P18">
        <v>-5076.2899999999936</v>
      </c>
      <c r="Q18">
        <v>-5.3368028279654292</v>
      </c>
      <c r="R18">
        <v>-5.3368028279654292</v>
      </c>
      <c r="T18" t="s">
        <v>1390</v>
      </c>
      <c r="U18" s="494">
        <v>46087</v>
      </c>
      <c r="V18">
        <v>192.81</v>
      </c>
      <c r="W18">
        <v>467</v>
      </c>
      <c r="X18">
        <v>203.68</v>
      </c>
      <c r="Y18">
        <v>0.41</v>
      </c>
      <c r="AP18" t="s">
        <v>1350</v>
      </c>
      <c r="AQ18">
        <v>0</v>
      </c>
      <c r="AS18" t="s">
        <v>1391</v>
      </c>
      <c r="AT18" t="s">
        <v>1392</v>
      </c>
      <c r="AZ18" s="494">
        <v>46080</v>
      </c>
      <c r="BA18">
        <v>60</v>
      </c>
      <c r="BO18" t="s">
        <v>1377</v>
      </c>
      <c r="BP18" t="s">
        <v>1393</v>
      </c>
      <c r="BQ18" t="s">
        <v>1355</v>
      </c>
      <c r="BR18" t="s">
        <v>1355</v>
      </c>
      <c r="BS18" t="s">
        <v>1355</v>
      </c>
      <c r="BV18">
        <v>-5253.7546700000003</v>
      </c>
    </row>
    <row r="19" spans="1:75" customFormat="1" ht="15" x14ac:dyDescent="0.25">
      <c r="A19" s="1052" t="s">
        <v>2587</v>
      </c>
      <c r="B19" t="s">
        <v>1394</v>
      </c>
      <c r="C19" t="s">
        <v>1395</v>
      </c>
      <c r="D19" t="s">
        <v>1396</v>
      </c>
      <c r="E19" t="s">
        <v>195</v>
      </c>
      <c r="F19" t="s">
        <v>195</v>
      </c>
      <c r="G19" t="s">
        <v>1254</v>
      </c>
      <c r="H19" t="s">
        <v>1341</v>
      </c>
      <c r="I19">
        <v>42273</v>
      </c>
      <c r="J19" t="s">
        <v>18</v>
      </c>
      <c r="K19">
        <v>42273</v>
      </c>
      <c r="L19" t="s">
        <v>18</v>
      </c>
      <c r="M19">
        <v>42273</v>
      </c>
      <c r="N19" t="s">
        <v>18</v>
      </c>
      <c r="O19">
        <v>-893.19999999998981</v>
      </c>
      <c r="P19">
        <v>-893.19999999998981</v>
      </c>
      <c r="Q19">
        <v>-2.0692115590438585</v>
      </c>
      <c r="R19">
        <v>-2.0692115590438585</v>
      </c>
      <c r="T19" t="s">
        <v>1397</v>
      </c>
      <c r="U19" s="494">
        <v>46087</v>
      </c>
      <c r="V19">
        <v>274.5</v>
      </c>
      <c r="W19">
        <v>154</v>
      </c>
      <c r="X19">
        <v>280.3</v>
      </c>
      <c r="Y19">
        <v>0.19</v>
      </c>
      <c r="AP19" t="s">
        <v>1350</v>
      </c>
      <c r="AQ19">
        <v>0</v>
      </c>
      <c r="AS19" t="s">
        <v>1398</v>
      </c>
      <c r="AT19" t="s">
        <v>1399</v>
      </c>
      <c r="AZ19" s="494">
        <v>46079</v>
      </c>
      <c r="BA19">
        <v>70</v>
      </c>
      <c r="BO19" t="s">
        <v>1400</v>
      </c>
      <c r="BP19" t="s">
        <v>1400</v>
      </c>
      <c r="BQ19" t="s">
        <v>1355</v>
      </c>
      <c r="BR19" t="s">
        <v>1355</v>
      </c>
      <c r="BS19" t="s">
        <v>1355</v>
      </c>
      <c r="BV19">
        <v>-1250.48154</v>
      </c>
    </row>
    <row r="20" spans="1:75" customFormat="1" ht="15" x14ac:dyDescent="0.25">
      <c r="A20" s="1052" t="s">
        <v>2586</v>
      </c>
      <c r="B20" t="s">
        <v>2445</v>
      </c>
      <c r="C20" t="s">
        <v>2446</v>
      </c>
      <c r="D20" t="s">
        <v>2447</v>
      </c>
      <c r="E20" t="s">
        <v>195</v>
      </c>
      <c r="F20" t="s">
        <v>195</v>
      </c>
      <c r="G20" t="s">
        <v>1254</v>
      </c>
      <c r="H20" t="s">
        <v>1341</v>
      </c>
      <c r="I20">
        <v>45392.74</v>
      </c>
      <c r="J20" t="s">
        <v>18</v>
      </c>
      <c r="K20">
        <v>45392.74</v>
      </c>
      <c r="L20" t="s">
        <v>18</v>
      </c>
      <c r="M20">
        <v>45392.74</v>
      </c>
      <c r="N20" t="s">
        <v>18</v>
      </c>
      <c r="O20">
        <v>-4490.3800000000047</v>
      </c>
      <c r="P20">
        <v>-4490.3800000000047</v>
      </c>
      <c r="Q20">
        <v>-9.0018026137900033</v>
      </c>
      <c r="R20">
        <v>-9.0018026137900033</v>
      </c>
      <c r="T20" t="s">
        <v>2448</v>
      </c>
      <c r="U20" s="494">
        <v>46087</v>
      </c>
      <c r="V20">
        <v>161.54</v>
      </c>
      <c r="W20">
        <v>281</v>
      </c>
      <c r="X20">
        <v>177.52</v>
      </c>
      <c r="Y20">
        <v>0.2</v>
      </c>
      <c r="AP20" t="s">
        <v>1350</v>
      </c>
      <c r="AQ20">
        <v>0</v>
      </c>
      <c r="AS20" t="s">
        <v>2449</v>
      </c>
      <c r="AT20" t="s">
        <v>2450</v>
      </c>
      <c r="AZ20" s="494">
        <v>46077</v>
      </c>
      <c r="BA20">
        <v>70</v>
      </c>
      <c r="BO20" t="s">
        <v>1400</v>
      </c>
      <c r="BP20" t="s">
        <v>1400</v>
      </c>
      <c r="BQ20" t="s">
        <v>1355</v>
      </c>
      <c r="BR20" t="s">
        <v>1355</v>
      </c>
      <c r="BS20" t="s">
        <v>1355</v>
      </c>
      <c r="BV20">
        <v>-4279.6328100000001</v>
      </c>
    </row>
    <row r="21" spans="1:75" customFormat="1" ht="15" x14ac:dyDescent="0.25">
      <c r="A21" s="1052" t="s">
        <v>2586</v>
      </c>
      <c r="B21" t="s">
        <v>1401</v>
      </c>
      <c r="C21" t="s">
        <v>1402</v>
      </c>
      <c r="D21" t="s">
        <v>1403</v>
      </c>
      <c r="E21" t="s">
        <v>195</v>
      </c>
      <c r="F21" t="s">
        <v>195</v>
      </c>
      <c r="G21" t="s">
        <v>1254</v>
      </c>
      <c r="H21" t="s">
        <v>1341</v>
      </c>
      <c r="I21">
        <v>286762.39999999997</v>
      </c>
      <c r="J21" t="s">
        <v>18</v>
      </c>
      <c r="K21">
        <v>286762.39999999997</v>
      </c>
      <c r="L21" t="s">
        <v>18</v>
      </c>
      <c r="M21">
        <v>286762.39999999997</v>
      </c>
      <c r="N21" t="s">
        <v>18</v>
      </c>
      <c r="O21">
        <v>-12579.48000000004</v>
      </c>
      <c r="P21">
        <v>-12579.48000000004</v>
      </c>
      <c r="Q21">
        <v>-4.2023788986693207</v>
      </c>
      <c r="R21">
        <v>-4.2023788986693207</v>
      </c>
      <c r="T21" t="s">
        <v>1404</v>
      </c>
      <c r="U21" s="494">
        <v>46087</v>
      </c>
      <c r="V21">
        <v>298.39999999999998</v>
      </c>
      <c r="W21">
        <v>961</v>
      </c>
      <c r="X21">
        <v>311.49</v>
      </c>
      <c r="Y21">
        <v>1.3</v>
      </c>
      <c r="AP21" t="s">
        <v>1350</v>
      </c>
      <c r="AQ21">
        <v>0</v>
      </c>
      <c r="AS21" t="s">
        <v>1405</v>
      </c>
      <c r="AT21" t="s">
        <v>1406</v>
      </c>
      <c r="AZ21" s="494">
        <v>46077</v>
      </c>
      <c r="BA21">
        <v>70</v>
      </c>
      <c r="BO21" t="s">
        <v>308</v>
      </c>
      <c r="BP21" t="s">
        <v>1407</v>
      </c>
      <c r="BQ21" t="s">
        <v>1355</v>
      </c>
      <c r="BR21" t="s">
        <v>1355</v>
      </c>
      <c r="BS21" t="s">
        <v>1355</v>
      </c>
      <c r="BV21">
        <v>-12464.169610000001</v>
      </c>
    </row>
    <row r="22" spans="1:75" customFormat="1" ht="15" x14ac:dyDescent="0.25">
      <c r="A22" s="1052" t="s">
        <v>2588</v>
      </c>
      <c r="B22" t="s">
        <v>1401</v>
      </c>
      <c r="C22" t="s">
        <v>1402</v>
      </c>
      <c r="D22" t="s">
        <v>1403</v>
      </c>
      <c r="E22" t="s">
        <v>195</v>
      </c>
      <c r="F22" t="s">
        <v>195</v>
      </c>
      <c r="G22" t="s">
        <v>1254</v>
      </c>
      <c r="H22" t="s">
        <v>1341</v>
      </c>
      <c r="I22">
        <v>275423.19999999995</v>
      </c>
      <c r="J22" t="s">
        <v>18</v>
      </c>
      <c r="K22">
        <v>275423.19999999995</v>
      </c>
      <c r="L22" t="s">
        <v>18</v>
      </c>
      <c r="M22">
        <v>275423.19999999995</v>
      </c>
      <c r="N22" t="s">
        <v>18</v>
      </c>
      <c r="O22">
        <v>-8288.5400000000373</v>
      </c>
      <c r="P22">
        <v>-8288.5400000000373</v>
      </c>
      <c r="Q22">
        <v>-2.9214652872665887</v>
      </c>
      <c r="R22">
        <v>-2.9214652872665887</v>
      </c>
      <c r="T22" t="s">
        <v>1404</v>
      </c>
      <c r="U22" s="494">
        <v>46087</v>
      </c>
      <c r="V22">
        <v>298.39999999999998</v>
      </c>
      <c r="W22">
        <v>923</v>
      </c>
      <c r="X22">
        <v>307.38</v>
      </c>
      <c r="Y22">
        <v>1.24</v>
      </c>
      <c r="AP22" t="s">
        <v>1350</v>
      </c>
      <c r="AQ22">
        <v>0</v>
      </c>
      <c r="AS22" t="s">
        <v>1405</v>
      </c>
      <c r="AT22" t="s">
        <v>1406</v>
      </c>
      <c r="AZ22" s="494">
        <v>46080</v>
      </c>
      <c r="BA22">
        <v>70</v>
      </c>
      <c r="BO22" t="s">
        <v>308</v>
      </c>
      <c r="BP22" t="s">
        <v>1407</v>
      </c>
      <c r="BQ22" t="s">
        <v>1355</v>
      </c>
      <c r="BR22" t="s">
        <v>1355</v>
      </c>
      <c r="BS22" t="s">
        <v>1355</v>
      </c>
      <c r="BV22">
        <v>-8177.7892300000003</v>
      </c>
    </row>
    <row r="23" spans="1:75" customFormat="1" ht="15" x14ac:dyDescent="0.25">
      <c r="A23" s="1052" t="s">
        <v>2587</v>
      </c>
      <c r="B23" t="s">
        <v>1408</v>
      </c>
      <c r="C23" t="s">
        <v>1409</v>
      </c>
      <c r="D23" t="s">
        <v>1410</v>
      </c>
      <c r="E23" t="s">
        <v>195</v>
      </c>
      <c r="F23" t="s">
        <v>195</v>
      </c>
      <c r="G23" t="s">
        <v>1254</v>
      </c>
      <c r="H23" t="s">
        <v>1341</v>
      </c>
      <c r="I23">
        <v>58722.823799999998</v>
      </c>
      <c r="J23" t="s">
        <v>18</v>
      </c>
      <c r="K23">
        <v>58722.823799999998</v>
      </c>
      <c r="L23" t="s">
        <v>18</v>
      </c>
      <c r="M23">
        <v>58722.823799999998</v>
      </c>
      <c r="N23" t="s">
        <v>18</v>
      </c>
      <c r="O23">
        <v>-2944.0862000000052</v>
      </c>
      <c r="P23">
        <v>-2944.0862000000052</v>
      </c>
      <c r="Q23">
        <v>-4.774174999201362</v>
      </c>
      <c r="R23">
        <v>-4.774174999201362</v>
      </c>
      <c r="T23" t="s">
        <v>1411</v>
      </c>
      <c r="U23" s="494">
        <v>46087</v>
      </c>
      <c r="V23">
        <v>298.08539999999999</v>
      </c>
      <c r="W23">
        <v>197</v>
      </c>
      <c r="X23">
        <v>313.02999999999997</v>
      </c>
      <c r="Y23">
        <v>0.26</v>
      </c>
      <c r="AP23" t="s">
        <v>1350</v>
      </c>
      <c r="AQ23">
        <v>0</v>
      </c>
      <c r="AS23" t="s">
        <v>1412</v>
      </c>
      <c r="AT23" t="s">
        <v>1413</v>
      </c>
      <c r="AZ23" s="494">
        <v>46079</v>
      </c>
      <c r="BA23">
        <v>70</v>
      </c>
      <c r="BO23" t="s">
        <v>308</v>
      </c>
      <c r="BP23" t="s">
        <v>1407</v>
      </c>
      <c r="BQ23" t="s">
        <v>1355</v>
      </c>
      <c r="BR23" t="s">
        <v>1355</v>
      </c>
      <c r="BS23" t="s">
        <v>1355</v>
      </c>
      <c r="BV23">
        <v>-2901.8119700000002</v>
      </c>
    </row>
    <row r="24" spans="1:75" customFormat="1" ht="15" x14ac:dyDescent="0.25">
      <c r="A24" s="1052" t="s">
        <v>2586</v>
      </c>
      <c r="B24" t="s">
        <v>1414</v>
      </c>
      <c r="C24" t="s">
        <v>1415</v>
      </c>
      <c r="D24" t="s">
        <v>1416</v>
      </c>
      <c r="E24" t="s">
        <v>195</v>
      </c>
      <c r="F24" t="s">
        <v>195</v>
      </c>
      <c r="G24" t="s">
        <v>1254</v>
      </c>
      <c r="H24" t="s">
        <v>1341</v>
      </c>
      <c r="I24">
        <v>282719</v>
      </c>
      <c r="J24" t="s">
        <v>18</v>
      </c>
      <c r="K24">
        <v>282719</v>
      </c>
      <c r="L24" t="s">
        <v>18</v>
      </c>
      <c r="M24">
        <v>282719</v>
      </c>
      <c r="N24" t="s">
        <v>18</v>
      </c>
      <c r="O24">
        <v>6630.8499999999767</v>
      </c>
      <c r="P24">
        <v>6630.8499999999767</v>
      </c>
      <c r="Q24">
        <v>2.4017148146343756</v>
      </c>
      <c r="R24">
        <v>2.4017148146343756</v>
      </c>
      <c r="T24" t="s">
        <v>1417</v>
      </c>
      <c r="U24" s="494">
        <v>46087</v>
      </c>
      <c r="V24">
        <v>210.2</v>
      </c>
      <c r="W24">
        <v>1345</v>
      </c>
      <c r="X24">
        <v>205.27</v>
      </c>
      <c r="Y24">
        <v>1.27</v>
      </c>
      <c r="AP24" t="s">
        <v>1350</v>
      </c>
      <c r="AQ24">
        <v>0</v>
      </c>
      <c r="AS24" t="s">
        <v>1418</v>
      </c>
      <c r="AT24" t="s">
        <v>1419</v>
      </c>
      <c r="AZ24" s="494">
        <v>46077</v>
      </c>
      <c r="BA24">
        <v>70</v>
      </c>
      <c r="BO24" t="s">
        <v>1384</v>
      </c>
      <c r="BP24" t="s">
        <v>1420</v>
      </c>
      <c r="BQ24" t="s">
        <v>1355</v>
      </c>
      <c r="BR24" t="s">
        <v>1355</v>
      </c>
      <c r="BS24" t="s">
        <v>1355</v>
      </c>
      <c r="BV24">
        <v>10679.31345</v>
      </c>
    </row>
    <row r="25" spans="1:75" customFormat="1" ht="15" x14ac:dyDescent="0.25">
      <c r="A25" s="1052" t="s">
        <v>2588</v>
      </c>
      <c r="B25" t="s">
        <v>1414</v>
      </c>
      <c r="C25" t="s">
        <v>1415</v>
      </c>
      <c r="D25" t="s">
        <v>1416</v>
      </c>
      <c r="E25" t="s">
        <v>195</v>
      </c>
      <c r="F25" t="s">
        <v>195</v>
      </c>
      <c r="G25" t="s">
        <v>1254</v>
      </c>
      <c r="H25" t="s">
        <v>1341</v>
      </c>
      <c r="I25">
        <v>41199.199999999997</v>
      </c>
      <c r="J25" t="s">
        <v>18</v>
      </c>
      <c r="K25">
        <v>41199.199999999997</v>
      </c>
      <c r="L25" t="s">
        <v>18</v>
      </c>
      <c r="M25">
        <v>41199.199999999997</v>
      </c>
      <c r="N25" t="s">
        <v>18</v>
      </c>
      <c r="O25">
        <v>446.87999999999738</v>
      </c>
      <c r="P25">
        <v>446.87999999999738</v>
      </c>
      <c r="Q25">
        <v>1.0965756060023022</v>
      </c>
      <c r="R25">
        <v>1.0965756060023022</v>
      </c>
      <c r="T25" t="s">
        <v>1417</v>
      </c>
      <c r="U25" s="494">
        <v>46087</v>
      </c>
      <c r="V25">
        <v>210.2</v>
      </c>
      <c r="W25">
        <v>196</v>
      </c>
      <c r="X25">
        <v>207.92</v>
      </c>
      <c r="Y25">
        <v>0.19</v>
      </c>
      <c r="AP25" t="s">
        <v>1350</v>
      </c>
      <c r="AQ25">
        <v>0</v>
      </c>
      <c r="AS25" t="s">
        <v>1418</v>
      </c>
      <c r="AT25" t="s">
        <v>1419</v>
      </c>
      <c r="AZ25" s="494">
        <v>46080</v>
      </c>
      <c r="BA25">
        <v>70</v>
      </c>
      <c r="BO25" t="s">
        <v>1384</v>
      </c>
      <c r="BP25" t="s">
        <v>1420</v>
      </c>
      <c r="BQ25" t="s">
        <v>1355</v>
      </c>
      <c r="BR25" t="s">
        <v>1355</v>
      </c>
      <c r="BS25" t="s">
        <v>1355</v>
      </c>
      <c r="BV25">
        <v>1036.84196</v>
      </c>
    </row>
    <row r="26" spans="1:75" customFormat="1" ht="15" x14ac:dyDescent="0.25">
      <c r="A26" s="1052" t="s">
        <v>2586</v>
      </c>
      <c r="B26" t="s">
        <v>1421</v>
      </c>
      <c r="C26" t="s">
        <v>1422</v>
      </c>
      <c r="D26" t="s">
        <v>1423</v>
      </c>
      <c r="E26" t="s">
        <v>195</v>
      </c>
      <c r="F26" t="s">
        <v>195</v>
      </c>
      <c r="G26" t="s">
        <v>1254</v>
      </c>
      <c r="H26" t="s">
        <v>1341</v>
      </c>
      <c r="I26">
        <v>98259.974999999991</v>
      </c>
      <c r="J26" t="s">
        <v>18</v>
      </c>
      <c r="K26">
        <v>98259.974999999991</v>
      </c>
      <c r="L26" t="s">
        <v>18</v>
      </c>
      <c r="M26">
        <v>98259.974999999991</v>
      </c>
      <c r="N26" t="s">
        <v>18</v>
      </c>
      <c r="O26">
        <v>-8712.945000000007</v>
      </c>
      <c r="P26">
        <v>-8712.945000000007</v>
      </c>
      <c r="Q26">
        <v>-8.1450006225874798</v>
      </c>
      <c r="R26">
        <v>-8.1450006225874798</v>
      </c>
      <c r="T26" t="s">
        <v>1424</v>
      </c>
      <c r="U26" s="494">
        <v>46087</v>
      </c>
      <c r="V26">
        <v>295.07499999999999</v>
      </c>
      <c r="W26">
        <v>333</v>
      </c>
      <c r="X26">
        <v>321.24</v>
      </c>
      <c r="Y26">
        <v>0.44</v>
      </c>
      <c r="AP26" t="s">
        <v>1350</v>
      </c>
      <c r="AQ26">
        <v>0</v>
      </c>
      <c r="AS26" t="s">
        <v>1425</v>
      </c>
      <c r="AT26" t="s">
        <v>1426</v>
      </c>
      <c r="AZ26" s="494">
        <v>46077</v>
      </c>
      <c r="BA26">
        <v>70</v>
      </c>
      <c r="BO26" t="s">
        <v>1427</v>
      </c>
      <c r="BP26" t="s">
        <v>1428</v>
      </c>
      <c r="BQ26" t="s">
        <v>1355</v>
      </c>
      <c r="BR26" t="s">
        <v>1355</v>
      </c>
      <c r="BS26" t="s">
        <v>1355</v>
      </c>
      <c r="BV26">
        <v>-6739.92</v>
      </c>
    </row>
    <row r="27" spans="1:75" customFormat="1" ht="15" x14ac:dyDescent="0.25">
      <c r="A27" s="1052" t="s">
        <v>2587</v>
      </c>
      <c r="B27" t="s">
        <v>1421</v>
      </c>
      <c r="C27" t="s">
        <v>1422</v>
      </c>
      <c r="D27" t="s">
        <v>1423</v>
      </c>
      <c r="E27" t="s">
        <v>195</v>
      </c>
      <c r="F27" t="s">
        <v>195</v>
      </c>
      <c r="G27" t="s">
        <v>1254</v>
      </c>
      <c r="H27" t="s">
        <v>1341</v>
      </c>
      <c r="I27">
        <v>30392.724999999999</v>
      </c>
      <c r="J27" t="s">
        <v>18</v>
      </c>
      <c r="K27">
        <v>30392.724999999999</v>
      </c>
      <c r="L27" t="s">
        <v>18</v>
      </c>
      <c r="M27">
        <v>30392.724999999999</v>
      </c>
      <c r="N27" t="s">
        <v>18</v>
      </c>
      <c r="O27">
        <v>-3297.5449999999983</v>
      </c>
      <c r="P27">
        <v>-3297.5449999999983</v>
      </c>
      <c r="Q27">
        <v>-9.787825980616951</v>
      </c>
      <c r="R27">
        <v>-9.787825980616951</v>
      </c>
      <c r="T27" t="s">
        <v>1424</v>
      </c>
      <c r="U27" s="494">
        <v>46087</v>
      </c>
      <c r="V27">
        <v>295.07499999999999</v>
      </c>
      <c r="W27">
        <v>103</v>
      </c>
      <c r="X27">
        <v>327.08999999999997</v>
      </c>
      <c r="Y27">
        <v>0.14000000000000001</v>
      </c>
      <c r="AP27" t="s">
        <v>1350</v>
      </c>
      <c r="AQ27">
        <v>0</v>
      </c>
      <c r="AS27" t="s">
        <v>1425</v>
      </c>
      <c r="AT27" t="s">
        <v>1426</v>
      </c>
      <c r="AZ27" s="494">
        <v>46079</v>
      </c>
      <c r="BA27">
        <v>70</v>
      </c>
      <c r="BO27" t="s">
        <v>1427</v>
      </c>
      <c r="BP27" t="s">
        <v>1428</v>
      </c>
      <c r="BQ27" t="s">
        <v>1355</v>
      </c>
      <c r="BR27" t="s">
        <v>1355</v>
      </c>
      <c r="BS27" t="s">
        <v>1355</v>
      </c>
      <c r="BV27">
        <v>-2687.27</v>
      </c>
    </row>
    <row r="28" spans="1:75" customFormat="1" ht="15" x14ac:dyDescent="0.25">
      <c r="A28" s="1052" t="s">
        <v>2587</v>
      </c>
      <c r="B28" t="s">
        <v>1429</v>
      </c>
      <c r="C28" t="s">
        <v>1430</v>
      </c>
      <c r="D28" t="s">
        <v>1431</v>
      </c>
      <c r="E28" t="s">
        <v>195</v>
      </c>
      <c r="F28" t="s">
        <v>195</v>
      </c>
      <c r="G28" t="s">
        <v>1254</v>
      </c>
      <c r="H28" t="s">
        <v>1341</v>
      </c>
      <c r="I28">
        <v>10991.7</v>
      </c>
      <c r="J28" t="s">
        <v>18</v>
      </c>
      <c r="K28">
        <v>10991.7</v>
      </c>
      <c r="L28" t="s">
        <v>18</v>
      </c>
      <c r="M28">
        <v>10991.7</v>
      </c>
      <c r="N28" t="s">
        <v>18</v>
      </c>
      <c r="O28">
        <v>225.38000000000102</v>
      </c>
      <c r="P28">
        <v>225.38000000000102</v>
      </c>
      <c r="Q28">
        <v>2.0933800964489357</v>
      </c>
      <c r="R28">
        <v>2.0933800964489357</v>
      </c>
      <c r="T28" t="s">
        <v>1432</v>
      </c>
      <c r="U28" s="494">
        <v>46087</v>
      </c>
      <c r="V28">
        <v>186.3</v>
      </c>
      <c r="W28">
        <v>59</v>
      </c>
      <c r="X28">
        <v>182.48</v>
      </c>
      <c r="Y28">
        <v>0.05</v>
      </c>
      <c r="AP28" t="s">
        <v>1350</v>
      </c>
      <c r="AQ28">
        <v>0</v>
      </c>
      <c r="AS28" t="s">
        <v>1433</v>
      </c>
      <c r="AT28" t="s">
        <v>1434</v>
      </c>
      <c r="AZ28" s="494">
        <v>46079</v>
      </c>
      <c r="BA28">
        <v>70</v>
      </c>
      <c r="BO28" t="s">
        <v>1162</v>
      </c>
      <c r="BP28" t="s">
        <v>1435</v>
      </c>
      <c r="BQ28" t="s">
        <v>1355</v>
      </c>
      <c r="BR28" t="s">
        <v>1355</v>
      </c>
      <c r="BS28" t="s">
        <v>1355</v>
      </c>
      <c r="BV28">
        <v>360.49</v>
      </c>
    </row>
    <row r="29" spans="1:75" customFormat="1" ht="15" x14ac:dyDescent="0.25">
      <c r="A29" s="1052" t="s">
        <v>2586</v>
      </c>
      <c r="B29" t="s">
        <v>2299</v>
      </c>
      <c r="C29" t="s">
        <v>2300</v>
      </c>
      <c r="D29" t="s">
        <v>2301</v>
      </c>
      <c r="E29" t="s">
        <v>195</v>
      </c>
      <c r="F29" t="s">
        <v>195</v>
      </c>
      <c r="G29" t="s">
        <v>1254</v>
      </c>
      <c r="H29" t="s">
        <v>1341</v>
      </c>
      <c r="I29">
        <v>32744.999999999996</v>
      </c>
      <c r="J29" t="s">
        <v>18</v>
      </c>
      <c r="K29">
        <v>32744.999999999996</v>
      </c>
      <c r="L29" t="s">
        <v>18</v>
      </c>
      <c r="M29">
        <v>32744.999999999996</v>
      </c>
      <c r="N29" t="s">
        <v>18</v>
      </c>
      <c r="O29">
        <v>-4678.2100000000028</v>
      </c>
      <c r="P29">
        <v>-4678.2100000000028</v>
      </c>
      <c r="Q29">
        <v>-12.500825022759948</v>
      </c>
      <c r="R29">
        <v>-12.500825022759948</v>
      </c>
      <c r="T29" t="s">
        <v>2302</v>
      </c>
      <c r="U29" s="494">
        <v>46087</v>
      </c>
      <c r="V29">
        <v>130.97999999999999</v>
      </c>
      <c r="W29">
        <v>250</v>
      </c>
      <c r="X29">
        <v>149.69</v>
      </c>
      <c r="Y29">
        <v>0.15</v>
      </c>
      <c r="AP29" t="s">
        <v>1350</v>
      </c>
      <c r="AQ29">
        <v>0</v>
      </c>
      <c r="AS29" t="s">
        <v>2303</v>
      </c>
      <c r="AT29" t="s">
        <v>2304</v>
      </c>
      <c r="AZ29" s="494">
        <v>46079</v>
      </c>
      <c r="BA29">
        <v>70</v>
      </c>
      <c r="BO29" t="s">
        <v>1377</v>
      </c>
      <c r="BP29" t="s">
        <v>1448</v>
      </c>
      <c r="BQ29" t="s">
        <v>1355</v>
      </c>
      <c r="BR29" t="s">
        <v>1355</v>
      </c>
      <c r="BS29" t="s">
        <v>1355</v>
      </c>
      <c r="BV29">
        <v>-4455.71</v>
      </c>
    </row>
    <row r="30" spans="1:75" customFormat="1" ht="15" x14ac:dyDescent="0.25">
      <c r="A30" s="1052" t="s">
        <v>2588</v>
      </c>
      <c r="B30" t="s">
        <v>2299</v>
      </c>
      <c r="C30" t="s">
        <v>2300</v>
      </c>
      <c r="D30" t="s">
        <v>2301</v>
      </c>
      <c r="E30" t="s">
        <v>195</v>
      </c>
      <c r="F30" t="s">
        <v>195</v>
      </c>
      <c r="G30" t="s">
        <v>1254</v>
      </c>
      <c r="H30" t="s">
        <v>1341</v>
      </c>
      <c r="I30">
        <v>82517.399999999994</v>
      </c>
      <c r="J30" t="s">
        <v>18</v>
      </c>
      <c r="K30">
        <v>82517.399999999994</v>
      </c>
      <c r="L30" t="s">
        <v>18</v>
      </c>
      <c r="M30">
        <v>82517.399999999994</v>
      </c>
      <c r="N30" t="s">
        <v>18</v>
      </c>
      <c r="O30">
        <v>-11018.700000000012</v>
      </c>
      <c r="P30">
        <v>-11018.700000000012</v>
      </c>
      <c r="Q30">
        <v>-11.780157607597506</v>
      </c>
      <c r="R30">
        <v>-11.780157607597506</v>
      </c>
      <c r="T30" t="s">
        <v>2302</v>
      </c>
      <c r="U30" s="494">
        <v>46087</v>
      </c>
      <c r="V30">
        <v>130.97999999999999</v>
      </c>
      <c r="W30">
        <v>630</v>
      </c>
      <c r="X30">
        <v>148.47</v>
      </c>
      <c r="Y30">
        <v>0.37</v>
      </c>
      <c r="AP30" t="s">
        <v>1350</v>
      </c>
      <c r="AQ30">
        <v>0</v>
      </c>
      <c r="AS30" t="s">
        <v>2303</v>
      </c>
      <c r="AT30" t="s">
        <v>2304</v>
      </c>
      <c r="AZ30" s="494">
        <v>46080</v>
      </c>
      <c r="BA30">
        <v>70</v>
      </c>
      <c r="BO30" t="s">
        <v>1377</v>
      </c>
      <c r="BP30" t="s">
        <v>1448</v>
      </c>
      <c r="BQ30" t="s">
        <v>1355</v>
      </c>
      <c r="BR30" t="s">
        <v>1355</v>
      </c>
      <c r="BS30" t="s">
        <v>1355</v>
      </c>
      <c r="BV30">
        <v>-10458</v>
      </c>
    </row>
    <row r="31" spans="1:75" customFormat="1" ht="15" x14ac:dyDescent="0.25">
      <c r="A31" s="1052" t="s">
        <v>2586</v>
      </c>
      <c r="B31" t="s">
        <v>1436</v>
      </c>
      <c r="C31" t="s">
        <v>1437</v>
      </c>
      <c r="D31" t="s">
        <v>1438</v>
      </c>
      <c r="E31" t="s">
        <v>195</v>
      </c>
      <c r="F31" t="s">
        <v>195</v>
      </c>
      <c r="G31" t="s">
        <v>1254</v>
      </c>
      <c r="H31" t="s">
        <v>1341</v>
      </c>
      <c r="I31">
        <v>160590.54</v>
      </c>
      <c r="J31" t="s">
        <v>18</v>
      </c>
      <c r="K31">
        <v>160590.54</v>
      </c>
      <c r="L31" t="s">
        <v>18</v>
      </c>
      <c r="M31">
        <v>160590.54</v>
      </c>
      <c r="N31" t="s">
        <v>18</v>
      </c>
      <c r="O31">
        <v>-23022</v>
      </c>
      <c r="P31">
        <v>-23022</v>
      </c>
      <c r="Q31">
        <v>-12.538359308138759</v>
      </c>
      <c r="R31">
        <v>-12.538359308138759</v>
      </c>
      <c r="T31" t="s">
        <v>1439</v>
      </c>
      <c r="U31" s="494">
        <v>46087</v>
      </c>
      <c r="V31">
        <v>310.62</v>
      </c>
      <c r="W31">
        <v>517</v>
      </c>
      <c r="X31">
        <v>355.15</v>
      </c>
      <c r="Y31">
        <v>0.72</v>
      </c>
      <c r="AP31" t="s">
        <v>1350</v>
      </c>
      <c r="AQ31">
        <v>0</v>
      </c>
      <c r="AS31" t="s">
        <v>1440</v>
      </c>
      <c r="AT31" t="s">
        <v>1441</v>
      </c>
      <c r="AZ31" s="494">
        <v>46077</v>
      </c>
      <c r="BA31">
        <v>70</v>
      </c>
      <c r="BO31" t="s">
        <v>1377</v>
      </c>
      <c r="BP31" t="s">
        <v>1393</v>
      </c>
      <c r="BQ31" t="s">
        <v>1355</v>
      </c>
      <c r="BR31" t="s">
        <v>1355</v>
      </c>
      <c r="BS31" t="s">
        <v>1355</v>
      </c>
      <c r="BV31">
        <v>-20338.77</v>
      </c>
    </row>
    <row r="32" spans="1:75" customFormat="1" ht="15" x14ac:dyDescent="0.25">
      <c r="A32" s="1052" t="s">
        <v>2587</v>
      </c>
      <c r="B32" t="s">
        <v>1436</v>
      </c>
      <c r="C32" t="s">
        <v>1437</v>
      </c>
      <c r="D32" t="s">
        <v>1438</v>
      </c>
      <c r="E32" t="s">
        <v>195</v>
      </c>
      <c r="F32" t="s">
        <v>195</v>
      </c>
      <c r="G32" t="s">
        <v>1254</v>
      </c>
      <c r="H32" t="s">
        <v>1341</v>
      </c>
      <c r="I32">
        <v>37274.400000000001</v>
      </c>
      <c r="J32" t="s">
        <v>18</v>
      </c>
      <c r="K32">
        <v>37274.400000000001</v>
      </c>
      <c r="L32" t="s">
        <v>18</v>
      </c>
      <c r="M32">
        <v>37274.400000000001</v>
      </c>
      <c r="N32" t="s">
        <v>18</v>
      </c>
      <c r="O32">
        <v>-6021.5999999999985</v>
      </c>
      <c r="P32">
        <v>-6021.5999999999985</v>
      </c>
      <c r="Q32">
        <v>-13.907982261640795</v>
      </c>
      <c r="R32">
        <v>-13.907982261640795</v>
      </c>
      <c r="T32" t="s">
        <v>1439</v>
      </c>
      <c r="U32" s="494">
        <v>46087</v>
      </c>
      <c r="V32">
        <v>310.62</v>
      </c>
      <c r="W32">
        <v>120</v>
      </c>
      <c r="X32">
        <v>360.8</v>
      </c>
      <c r="Y32">
        <v>0.17</v>
      </c>
      <c r="AP32" t="s">
        <v>1350</v>
      </c>
      <c r="AQ32">
        <v>0</v>
      </c>
      <c r="AS32" t="s">
        <v>1440</v>
      </c>
      <c r="AT32" t="s">
        <v>1441</v>
      </c>
      <c r="AZ32" s="494">
        <v>46079</v>
      </c>
      <c r="BA32">
        <v>70</v>
      </c>
      <c r="BO32" t="s">
        <v>1377</v>
      </c>
      <c r="BP32" t="s">
        <v>1393</v>
      </c>
      <c r="BQ32" t="s">
        <v>1355</v>
      </c>
      <c r="BR32" t="s">
        <v>1355</v>
      </c>
      <c r="BS32" t="s">
        <v>1355</v>
      </c>
      <c r="BV32">
        <v>-5398.8</v>
      </c>
    </row>
    <row r="33" spans="1:75" customFormat="1" ht="15" x14ac:dyDescent="0.25">
      <c r="A33" s="1052" t="s">
        <v>2586</v>
      </c>
      <c r="B33" t="s">
        <v>1442</v>
      </c>
      <c r="C33" t="s">
        <v>1443</v>
      </c>
      <c r="D33" t="s">
        <v>1444</v>
      </c>
      <c r="E33" t="s">
        <v>195</v>
      </c>
      <c r="F33" t="s">
        <v>195</v>
      </c>
      <c r="G33" t="s">
        <v>1254</v>
      </c>
      <c r="H33" t="s">
        <v>1341</v>
      </c>
      <c r="I33">
        <v>172921.44</v>
      </c>
      <c r="J33" t="s">
        <v>18</v>
      </c>
      <c r="K33">
        <v>172921.44</v>
      </c>
      <c r="L33" t="s">
        <v>18</v>
      </c>
      <c r="M33">
        <v>172921.44</v>
      </c>
      <c r="N33" t="s">
        <v>18</v>
      </c>
      <c r="O33">
        <v>-6483.8699999999662</v>
      </c>
      <c r="P33">
        <v>-6483.8699999999662</v>
      </c>
      <c r="Q33">
        <v>-3.614090352175177</v>
      </c>
      <c r="R33">
        <v>-3.614090352175177</v>
      </c>
      <c r="T33" t="s">
        <v>1445</v>
      </c>
      <c r="U33" s="494">
        <v>46087</v>
      </c>
      <c r="V33">
        <v>256.56</v>
      </c>
      <c r="W33">
        <v>674</v>
      </c>
      <c r="X33">
        <v>266.18</v>
      </c>
      <c r="Y33">
        <v>0.78</v>
      </c>
      <c r="AP33" t="s">
        <v>1350</v>
      </c>
      <c r="AQ33">
        <v>0</v>
      </c>
      <c r="AS33" t="s">
        <v>1446</v>
      </c>
      <c r="AT33" t="s">
        <v>1447</v>
      </c>
      <c r="AZ33" s="494">
        <v>46077</v>
      </c>
      <c r="BA33">
        <v>70</v>
      </c>
      <c r="BO33" t="s">
        <v>1377</v>
      </c>
      <c r="BP33" t="s">
        <v>1448</v>
      </c>
      <c r="BQ33" t="s">
        <v>1355</v>
      </c>
      <c r="BR33" t="s">
        <v>1355</v>
      </c>
      <c r="BS33" t="s">
        <v>1355</v>
      </c>
      <c r="BV33">
        <v>-5877.2767400000002</v>
      </c>
    </row>
    <row r="34" spans="1:75" customFormat="1" ht="15" x14ac:dyDescent="0.25">
      <c r="A34" s="1052" t="s">
        <v>2588</v>
      </c>
      <c r="B34" t="s">
        <v>1442</v>
      </c>
      <c r="C34" t="s">
        <v>1443</v>
      </c>
      <c r="D34" t="s">
        <v>1444</v>
      </c>
      <c r="E34" t="s">
        <v>195</v>
      </c>
      <c r="F34" t="s">
        <v>195</v>
      </c>
      <c r="G34" t="s">
        <v>1254</v>
      </c>
      <c r="H34" t="s">
        <v>1341</v>
      </c>
      <c r="I34">
        <v>196781.52</v>
      </c>
      <c r="J34" t="s">
        <v>18</v>
      </c>
      <c r="K34">
        <v>196781.52</v>
      </c>
      <c r="L34" t="s">
        <v>18</v>
      </c>
      <c r="M34">
        <v>196781.52</v>
      </c>
      <c r="N34" t="s">
        <v>18</v>
      </c>
      <c r="O34">
        <v>-12571.140000000014</v>
      </c>
      <c r="P34">
        <v>-12571.140000000014</v>
      </c>
      <c r="Q34">
        <v>-6.004767266869222</v>
      </c>
      <c r="R34">
        <v>-6.004767266869222</v>
      </c>
      <c r="T34" t="s">
        <v>1445</v>
      </c>
      <c r="U34" s="494">
        <v>46087</v>
      </c>
      <c r="V34">
        <v>256.56</v>
      </c>
      <c r="W34">
        <v>767</v>
      </c>
      <c r="X34">
        <v>272.95</v>
      </c>
      <c r="Y34">
        <v>0.89</v>
      </c>
      <c r="AP34" t="s">
        <v>1350</v>
      </c>
      <c r="AQ34">
        <v>0</v>
      </c>
      <c r="AS34" t="s">
        <v>1446</v>
      </c>
      <c r="AT34" t="s">
        <v>1447</v>
      </c>
      <c r="AZ34" s="494">
        <v>46080</v>
      </c>
      <c r="BA34">
        <v>70</v>
      </c>
      <c r="BO34" t="s">
        <v>1377</v>
      </c>
      <c r="BP34" t="s">
        <v>1448</v>
      </c>
      <c r="BQ34" t="s">
        <v>1355</v>
      </c>
      <c r="BR34" t="s">
        <v>1355</v>
      </c>
      <c r="BS34" t="s">
        <v>1355</v>
      </c>
      <c r="BV34">
        <v>-11880.847669999999</v>
      </c>
    </row>
    <row r="35" spans="1:75" customFormat="1" ht="15" x14ac:dyDescent="0.25">
      <c r="A35" s="1052" t="s">
        <v>2588</v>
      </c>
      <c r="B35" t="s">
        <v>1449</v>
      </c>
      <c r="C35" t="s">
        <v>1450</v>
      </c>
      <c r="D35" t="s">
        <v>1451</v>
      </c>
      <c r="E35" t="s">
        <v>195</v>
      </c>
      <c r="F35" t="s">
        <v>195</v>
      </c>
      <c r="G35" t="s">
        <v>1254</v>
      </c>
      <c r="H35" t="s">
        <v>1341</v>
      </c>
      <c r="I35">
        <v>119862.68</v>
      </c>
      <c r="J35" t="s">
        <v>18</v>
      </c>
      <c r="K35">
        <v>119862.68</v>
      </c>
      <c r="L35" t="s">
        <v>18</v>
      </c>
      <c r="M35">
        <v>119862.68</v>
      </c>
      <c r="N35" t="s">
        <v>18</v>
      </c>
      <c r="O35">
        <v>-19529.440000000002</v>
      </c>
      <c r="P35">
        <v>-19529.440000000002</v>
      </c>
      <c r="Q35">
        <v>-14.010433301394656</v>
      </c>
      <c r="R35">
        <v>-14.010433301394656</v>
      </c>
      <c r="T35" t="s">
        <v>1452</v>
      </c>
      <c r="U35" s="494">
        <v>46087</v>
      </c>
      <c r="V35">
        <v>323.08</v>
      </c>
      <c r="W35">
        <v>371</v>
      </c>
      <c r="X35">
        <v>375.72</v>
      </c>
      <c r="Y35">
        <v>0.54</v>
      </c>
      <c r="AP35" t="s">
        <v>1350</v>
      </c>
      <c r="AQ35">
        <v>0</v>
      </c>
      <c r="AS35" t="s">
        <v>1453</v>
      </c>
      <c r="AT35" t="s">
        <v>1454</v>
      </c>
      <c r="AZ35" s="494">
        <v>46080</v>
      </c>
      <c r="BA35">
        <v>70</v>
      </c>
      <c r="BO35" t="s">
        <v>1377</v>
      </c>
      <c r="BP35" t="s">
        <v>1393</v>
      </c>
      <c r="BQ35" t="s">
        <v>1355</v>
      </c>
      <c r="BR35" t="s">
        <v>1355</v>
      </c>
      <c r="BS35" t="s">
        <v>1355</v>
      </c>
      <c r="BV35">
        <v>-18913.583709999999</v>
      </c>
    </row>
    <row r="36" spans="1:75" customFormat="1" ht="15" x14ac:dyDescent="0.25">
      <c r="A36" s="1052" t="s">
        <v>2588</v>
      </c>
      <c r="B36" t="s">
        <v>1455</v>
      </c>
      <c r="C36" t="s">
        <v>1456</v>
      </c>
      <c r="D36" t="s">
        <v>1457</v>
      </c>
      <c r="E36" t="s">
        <v>195</v>
      </c>
      <c r="F36" t="s">
        <v>195</v>
      </c>
      <c r="G36" t="s">
        <v>1254</v>
      </c>
      <c r="H36" t="s">
        <v>1341</v>
      </c>
      <c r="I36">
        <v>94844.53</v>
      </c>
      <c r="J36" t="s">
        <v>18</v>
      </c>
      <c r="K36">
        <v>94844.53</v>
      </c>
      <c r="L36" t="s">
        <v>18</v>
      </c>
      <c r="M36">
        <v>94844.53</v>
      </c>
      <c r="N36" t="s">
        <v>18</v>
      </c>
      <c r="O36">
        <v>11642.619999999995</v>
      </c>
      <c r="P36">
        <v>11642.619999999995</v>
      </c>
      <c r="Q36">
        <v>13.99321241543613</v>
      </c>
      <c r="R36">
        <v>13.99321241543613</v>
      </c>
      <c r="T36" t="s">
        <v>1458</v>
      </c>
      <c r="U36" s="494">
        <v>46087</v>
      </c>
      <c r="V36">
        <v>507.19</v>
      </c>
      <c r="W36">
        <v>187</v>
      </c>
      <c r="X36">
        <v>444.93</v>
      </c>
      <c r="Y36">
        <v>0.43</v>
      </c>
      <c r="AP36" t="s">
        <v>1350</v>
      </c>
      <c r="AQ36">
        <v>0</v>
      </c>
      <c r="AS36" t="s">
        <v>1459</v>
      </c>
      <c r="AT36" t="s">
        <v>1460</v>
      </c>
      <c r="AZ36" s="494">
        <v>46080</v>
      </c>
      <c r="BA36">
        <v>60</v>
      </c>
      <c r="BO36" t="s">
        <v>1377</v>
      </c>
      <c r="BP36" t="s">
        <v>1378</v>
      </c>
      <c r="BQ36" t="s">
        <v>1355</v>
      </c>
      <c r="BR36" t="s">
        <v>1355</v>
      </c>
      <c r="BS36" t="s">
        <v>1355</v>
      </c>
      <c r="BV36">
        <v>10698.27187</v>
      </c>
    </row>
    <row r="37" spans="1:75" customFormat="1" ht="15" x14ac:dyDescent="0.25">
      <c r="A37" s="1052" t="s">
        <v>2587</v>
      </c>
      <c r="B37" t="s">
        <v>1461</v>
      </c>
      <c r="C37" t="s">
        <v>1462</v>
      </c>
      <c r="D37" t="s">
        <v>1463</v>
      </c>
      <c r="E37" t="s">
        <v>195</v>
      </c>
      <c r="F37" t="s">
        <v>195</v>
      </c>
      <c r="G37" t="s">
        <v>1254</v>
      </c>
      <c r="H37" t="s">
        <v>1341</v>
      </c>
      <c r="I37">
        <v>7293.68</v>
      </c>
      <c r="J37" t="s">
        <v>18</v>
      </c>
      <c r="K37">
        <v>7293.68</v>
      </c>
      <c r="L37" t="s">
        <v>18</v>
      </c>
      <c r="M37">
        <v>7293.68</v>
      </c>
      <c r="N37" t="s">
        <v>18</v>
      </c>
      <c r="O37">
        <v>-810.55999999999949</v>
      </c>
      <c r="P37">
        <v>-810.55999999999949</v>
      </c>
      <c r="Q37">
        <v>-10.00167813391508</v>
      </c>
      <c r="R37">
        <v>-10.00167813391508</v>
      </c>
      <c r="T37" t="s">
        <v>1464</v>
      </c>
      <c r="U37" s="494">
        <v>46087</v>
      </c>
      <c r="V37">
        <v>107.26</v>
      </c>
      <c r="W37">
        <v>68</v>
      </c>
      <c r="X37">
        <v>119.18</v>
      </c>
      <c r="Y37">
        <v>0.03</v>
      </c>
      <c r="AP37" t="s">
        <v>1350</v>
      </c>
      <c r="AQ37">
        <v>0</v>
      </c>
      <c r="AS37" t="s">
        <v>1465</v>
      </c>
      <c r="AT37" t="s">
        <v>1466</v>
      </c>
      <c r="AZ37" s="494">
        <v>46079</v>
      </c>
      <c r="BA37">
        <v>70</v>
      </c>
      <c r="BO37" t="s">
        <v>1427</v>
      </c>
      <c r="BP37" t="s">
        <v>1428</v>
      </c>
      <c r="BQ37" t="s">
        <v>1355</v>
      </c>
      <c r="BR37" t="s">
        <v>1355</v>
      </c>
      <c r="BS37" t="s">
        <v>1355</v>
      </c>
      <c r="BV37">
        <v>-623.55999999999995</v>
      </c>
    </row>
    <row r="38" spans="1:75" customFormat="1" ht="15" x14ac:dyDescent="0.25">
      <c r="A38" s="1052" t="s">
        <v>2588</v>
      </c>
      <c r="B38" t="s">
        <v>1467</v>
      </c>
      <c r="C38" t="s">
        <v>1468</v>
      </c>
      <c r="D38" t="s">
        <v>1469</v>
      </c>
      <c r="E38" t="s">
        <v>195</v>
      </c>
      <c r="F38" t="s">
        <v>195</v>
      </c>
      <c r="G38" t="s">
        <v>1254</v>
      </c>
      <c r="H38" t="s">
        <v>1341</v>
      </c>
      <c r="I38">
        <v>80937.48</v>
      </c>
      <c r="J38" t="s">
        <v>18</v>
      </c>
      <c r="K38">
        <v>80937.48</v>
      </c>
      <c r="L38" t="s">
        <v>18</v>
      </c>
      <c r="M38">
        <v>80937.48</v>
      </c>
      <c r="N38" t="s">
        <v>18</v>
      </c>
      <c r="O38">
        <v>963.97999999999593</v>
      </c>
      <c r="P38">
        <v>963.97999999999593</v>
      </c>
      <c r="Q38">
        <v>1.2053742802303213</v>
      </c>
      <c r="R38">
        <v>1.2053742802303213</v>
      </c>
      <c r="T38" t="s">
        <v>1470</v>
      </c>
      <c r="U38" s="494">
        <v>46087</v>
      </c>
      <c r="V38">
        <v>131.82</v>
      </c>
      <c r="W38">
        <v>614</v>
      </c>
      <c r="X38">
        <v>130.25</v>
      </c>
      <c r="Y38">
        <v>0.37</v>
      </c>
      <c r="AP38" t="s">
        <v>1350</v>
      </c>
      <c r="AQ38">
        <v>0</v>
      </c>
      <c r="AS38" t="s">
        <v>1471</v>
      </c>
      <c r="AT38" t="s">
        <v>1472</v>
      </c>
      <c r="AZ38" s="494">
        <v>46080</v>
      </c>
      <c r="BA38">
        <v>70</v>
      </c>
      <c r="BO38" t="s">
        <v>1377</v>
      </c>
      <c r="BP38" t="s">
        <v>1448</v>
      </c>
      <c r="BQ38" t="s">
        <v>1355</v>
      </c>
      <c r="BR38" t="s">
        <v>1355</v>
      </c>
      <c r="BS38" t="s">
        <v>1355</v>
      </c>
      <c r="BV38">
        <v>1620.96</v>
      </c>
    </row>
    <row r="39" spans="1:75" customFormat="1" ht="15" x14ac:dyDescent="0.25">
      <c r="A39" s="1052" t="s">
        <v>2587</v>
      </c>
      <c r="B39" t="s">
        <v>1473</v>
      </c>
      <c r="C39" t="s">
        <v>1474</v>
      </c>
      <c r="D39" t="s">
        <v>1475</v>
      </c>
      <c r="E39" t="s">
        <v>195</v>
      </c>
      <c r="F39" t="s">
        <v>195</v>
      </c>
      <c r="G39" t="s">
        <v>1254</v>
      </c>
      <c r="H39" t="s">
        <v>1341</v>
      </c>
      <c r="I39">
        <v>20518.59</v>
      </c>
      <c r="J39" t="s">
        <v>18</v>
      </c>
      <c r="K39">
        <v>20518.59</v>
      </c>
      <c r="L39" t="s">
        <v>18</v>
      </c>
      <c r="M39">
        <v>20518.59</v>
      </c>
      <c r="N39" t="s">
        <v>18</v>
      </c>
      <c r="O39">
        <v>232.5</v>
      </c>
      <c r="P39">
        <v>232.5</v>
      </c>
      <c r="Q39">
        <v>1.1461055333975152</v>
      </c>
      <c r="R39">
        <v>1.1461055333975152</v>
      </c>
      <c r="T39" t="s">
        <v>1476</v>
      </c>
      <c r="U39" s="494">
        <v>46087</v>
      </c>
      <c r="V39">
        <v>220.63</v>
      </c>
      <c r="W39">
        <v>93</v>
      </c>
      <c r="X39">
        <v>218.13</v>
      </c>
      <c r="Y39">
        <v>0.09</v>
      </c>
      <c r="AP39" t="s">
        <v>1350</v>
      </c>
      <c r="AQ39">
        <v>0</v>
      </c>
      <c r="AS39" t="s">
        <v>1477</v>
      </c>
      <c r="AT39" t="s">
        <v>1478</v>
      </c>
      <c r="AZ39" s="494">
        <v>46079</v>
      </c>
      <c r="BA39">
        <v>70</v>
      </c>
      <c r="BO39" t="s">
        <v>1427</v>
      </c>
      <c r="BP39" t="s">
        <v>1479</v>
      </c>
      <c r="BQ39" t="s">
        <v>1355</v>
      </c>
      <c r="BR39" t="s">
        <v>1355</v>
      </c>
      <c r="BS39" t="s">
        <v>1355</v>
      </c>
      <c r="BV39">
        <v>930</v>
      </c>
    </row>
    <row r="40" spans="1:75" customFormat="1" ht="15" x14ac:dyDescent="0.25">
      <c r="A40" s="1052" t="s">
        <v>2586</v>
      </c>
      <c r="B40" t="s">
        <v>1480</v>
      </c>
      <c r="C40" t="s">
        <v>1481</v>
      </c>
      <c r="D40" t="s">
        <v>1482</v>
      </c>
      <c r="E40" t="s">
        <v>195</v>
      </c>
      <c r="F40" t="s">
        <v>195</v>
      </c>
      <c r="G40" t="s">
        <v>1254</v>
      </c>
      <c r="H40" t="s">
        <v>1341</v>
      </c>
      <c r="I40">
        <v>131351.59281999999</v>
      </c>
      <c r="J40" t="s">
        <v>18</v>
      </c>
      <c r="K40">
        <v>113483.59999999999</v>
      </c>
      <c r="L40" t="s">
        <v>21</v>
      </c>
      <c r="M40">
        <v>131351.59281999999</v>
      </c>
      <c r="N40" t="s">
        <v>18</v>
      </c>
      <c r="O40">
        <v>-17376.64718</v>
      </c>
      <c r="P40">
        <v>-12685.590000000011</v>
      </c>
      <c r="Q40">
        <v>-11.683488744303034</v>
      </c>
      <c r="R40">
        <v>-10.054427709332217</v>
      </c>
      <c r="T40" t="s">
        <v>1483</v>
      </c>
      <c r="U40" s="494">
        <v>46087</v>
      </c>
      <c r="V40">
        <v>1123.5999999999999</v>
      </c>
      <c r="W40">
        <v>101</v>
      </c>
      <c r="X40">
        <v>1249.2</v>
      </c>
      <c r="Y40">
        <v>0.59</v>
      </c>
      <c r="AP40" t="s">
        <v>1350</v>
      </c>
      <c r="AQ40">
        <v>0</v>
      </c>
      <c r="AT40" t="s">
        <v>1484</v>
      </c>
      <c r="AZ40" s="494">
        <v>46077</v>
      </c>
      <c r="BA40">
        <v>70</v>
      </c>
      <c r="BO40" t="s">
        <v>1377</v>
      </c>
      <c r="BP40" t="s">
        <v>1393</v>
      </c>
      <c r="BQ40" t="s">
        <v>1386</v>
      </c>
      <c r="BR40" t="s">
        <v>209</v>
      </c>
      <c r="BS40" t="s">
        <v>1485</v>
      </c>
      <c r="BV40">
        <v>-12167.797476</v>
      </c>
      <c r="BW40">
        <v>-2455.955324</v>
      </c>
    </row>
    <row r="41" spans="1:75" customFormat="1" ht="15" x14ac:dyDescent="0.25">
      <c r="A41" s="1052" t="s">
        <v>2588</v>
      </c>
      <c r="B41" t="s">
        <v>1486</v>
      </c>
      <c r="C41" t="s">
        <v>1487</v>
      </c>
      <c r="D41" t="s">
        <v>1488</v>
      </c>
      <c r="E41" t="s">
        <v>195</v>
      </c>
      <c r="F41" t="s">
        <v>195</v>
      </c>
      <c r="G41" t="s">
        <v>1254</v>
      </c>
      <c r="H41" t="s">
        <v>1341</v>
      </c>
      <c r="I41">
        <v>35528.630000000005</v>
      </c>
      <c r="J41" t="s">
        <v>18</v>
      </c>
      <c r="K41">
        <v>35528.630000000005</v>
      </c>
      <c r="L41" t="s">
        <v>18</v>
      </c>
      <c r="M41">
        <v>35528.630000000005</v>
      </c>
      <c r="N41" t="s">
        <v>18</v>
      </c>
      <c r="O41">
        <v>-3493.0799999999945</v>
      </c>
      <c r="P41">
        <v>-3493.0799999999945</v>
      </c>
      <c r="Q41">
        <v>-8.951632309296528</v>
      </c>
      <c r="R41">
        <v>-8.951632309296528</v>
      </c>
      <c r="T41" t="s">
        <v>1489</v>
      </c>
      <c r="U41" s="494">
        <v>46087</v>
      </c>
      <c r="V41">
        <v>113.51</v>
      </c>
      <c r="W41">
        <v>313</v>
      </c>
      <c r="X41">
        <v>124.67</v>
      </c>
      <c r="Y41">
        <v>0.16</v>
      </c>
      <c r="AP41" t="s">
        <v>1350</v>
      </c>
      <c r="AQ41">
        <v>0</v>
      </c>
      <c r="AS41" t="s">
        <v>1490</v>
      </c>
      <c r="AT41" t="s">
        <v>1491</v>
      </c>
      <c r="AZ41" s="494">
        <v>46080</v>
      </c>
      <c r="BA41">
        <v>50</v>
      </c>
      <c r="BO41" t="s">
        <v>1377</v>
      </c>
      <c r="BP41" t="s">
        <v>1393</v>
      </c>
      <c r="BQ41" t="s">
        <v>1355</v>
      </c>
      <c r="BR41" t="s">
        <v>1355</v>
      </c>
      <c r="BS41" t="s">
        <v>1355</v>
      </c>
      <c r="BV41">
        <v>-1712.11</v>
      </c>
    </row>
    <row r="42" spans="1:75" customFormat="1" ht="15" x14ac:dyDescent="0.25">
      <c r="A42" s="1052" t="s">
        <v>2587</v>
      </c>
      <c r="B42" t="s">
        <v>1492</v>
      </c>
      <c r="C42" t="s">
        <v>1493</v>
      </c>
      <c r="D42" t="s">
        <v>1494</v>
      </c>
      <c r="E42" t="s">
        <v>195</v>
      </c>
      <c r="F42" t="s">
        <v>195</v>
      </c>
      <c r="G42" t="s">
        <v>1254</v>
      </c>
      <c r="H42" t="s">
        <v>1341</v>
      </c>
      <c r="I42">
        <v>7971.8</v>
      </c>
      <c r="J42" t="s">
        <v>18</v>
      </c>
      <c r="K42">
        <v>7971.8</v>
      </c>
      <c r="L42" t="s">
        <v>18</v>
      </c>
      <c r="M42">
        <v>7971.8</v>
      </c>
      <c r="N42" t="s">
        <v>18</v>
      </c>
      <c r="O42">
        <v>-228.61999999999989</v>
      </c>
      <c r="P42">
        <v>-228.61999999999989</v>
      </c>
      <c r="Q42">
        <v>-2.7879059853031904</v>
      </c>
      <c r="R42">
        <v>-2.7879059853031904</v>
      </c>
      <c r="T42" t="s">
        <v>1495</v>
      </c>
      <c r="U42" s="494">
        <v>46087</v>
      </c>
      <c r="V42">
        <v>173.3</v>
      </c>
      <c r="W42">
        <v>46</v>
      </c>
      <c r="X42">
        <v>178.27</v>
      </c>
      <c r="Y42">
        <v>0.04</v>
      </c>
      <c r="AP42" t="s">
        <v>1350</v>
      </c>
      <c r="AQ42">
        <v>0</v>
      </c>
      <c r="AS42" t="s">
        <v>1496</v>
      </c>
      <c r="AT42" t="s">
        <v>1497</v>
      </c>
      <c r="AZ42" s="494">
        <v>46079</v>
      </c>
      <c r="BA42">
        <v>70</v>
      </c>
      <c r="BO42" t="s">
        <v>1162</v>
      </c>
      <c r="BP42" t="s">
        <v>1435</v>
      </c>
      <c r="BQ42" t="s">
        <v>1355</v>
      </c>
      <c r="BR42" t="s">
        <v>1355</v>
      </c>
      <c r="BS42" t="s">
        <v>1355</v>
      </c>
      <c r="BV42">
        <v>-17.48</v>
      </c>
    </row>
    <row r="43" spans="1:75" customFormat="1" ht="15" x14ac:dyDescent="0.25">
      <c r="A43" s="1052" t="s">
        <v>2586</v>
      </c>
      <c r="B43" t="s">
        <v>1498</v>
      </c>
      <c r="C43" t="s">
        <v>1499</v>
      </c>
      <c r="D43" t="s">
        <v>1500</v>
      </c>
      <c r="E43" t="s">
        <v>195</v>
      </c>
      <c r="F43" t="s">
        <v>195</v>
      </c>
      <c r="G43" t="s">
        <v>1254</v>
      </c>
      <c r="H43" t="s">
        <v>1341</v>
      </c>
      <c r="I43">
        <v>130023.28</v>
      </c>
      <c r="J43" t="s">
        <v>18</v>
      </c>
      <c r="K43">
        <v>130023.28</v>
      </c>
      <c r="L43" t="s">
        <v>18</v>
      </c>
      <c r="M43">
        <v>130023.28</v>
      </c>
      <c r="N43" t="s">
        <v>18</v>
      </c>
      <c r="O43">
        <v>-9159.3399999999965</v>
      </c>
      <c r="P43">
        <v>-9159.3399999999965</v>
      </c>
      <c r="Q43">
        <v>-6.5808072875765653</v>
      </c>
      <c r="R43">
        <v>-6.5808072875765653</v>
      </c>
      <c r="T43" t="s">
        <v>1501</v>
      </c>
      <c r="U43" s="494">
        <v>46087</v>
      </c>
      <c r="V43">
        <v>59.48</v>
      </c>
      <c r="W43">
        <v>2186</v>
      </c>
      <c r="X43">
        <v>63.67</v>
      </c>
      <c r="Y43">
        <v>0.59</v>
      </c>
      <c r="AP43" t="s">
        <v>1350</v>
      </c>
      <c r="AQ43">
        <v>0</v>
      </c>
      <c r="AS43" t="s">
        <v>1502</v>
      </c>
      <c r="AT43" t="s">
        <v>1503</v>
      </c>
      <c r="AZ43" s="494">
        <v>46077</v>
      </c>
      <c r="BA43">
        <v>70</v>
      </c>
      <c r="BO43" t="s">
        <v>1504</v>
      </c>
      <c r="BP43" t="s">
        <v>1504</v>
      </c>
      <c r="BQ43" t="s">
        <v>1355</v>
      </c>
      <c r="BR43" t="s">
        <v>1355</v>
      </c>
      <c r="BS43" t="s">
        <v>1355</v>
      </c>
      <c r="BV43">
        <v>-8437.9599999999991</v>
      </c>
    </row>
    <row r="44" spans="1:75" customFormat="1" ht="15" x14ac:dyDescent="0.25">
      <c r="A44" s="1052" t="s">
        <v>2586</v>
      </c>
      <c r="B44" t="s">
        <v>1505</v>
      </c>
      <c r="C44" t="s">
        <v>1506</v>
      </c>
      <c r="D44" t="s">
        <v>1507</v>
      </c>
      <c r="E44" t="s">
        <v>195</v>
      </c>
      <c r="F44" t="s">
        <v>195</v>
      </c>
      <c r="G44" t="s">
        <v>1254</v>
      </c>
      <c r="H44" t="s">
        <v>1341</v>
      </c>
      <c r="I44">
        <v>60597.75</v>
      </c>
      <c r="J44" t="s">
        <v>18</v>
      </c>
      <c r="K44">
        <v>60597.75</v>
      </c>
      <c r="L44" t="s">
        <v>18</v>
      </c>
      <c r="M44">
        <v>60597.75</v>
      </c>
      <c r="N44" t="s">
        <v>18</v>
      </c>
      <c r="O44">
        <v>-5282.5500000000029</v>
      </c>
      <c r="P44">
        <v>-5282.5500000000029</v>
      </c>
      <c r="Q44">
        <v>-8.018406109261802</v>
      </c>
      <c r="R44">
        <v>-8.018406109261802</v>
      </c>
      <c r="T44" t="s">
        <v>1508</v>
      </c>
      <c r="U44" s="494">
        <v>46087</v>
      </c>
      <c r="V44">
        <v>46.975000000000001</v>
      </c>
      <c r="W44">
        <v>1290</v>
      </c>
      <c r="X44">
        <v>51.07</v>
      </c>
      <c r="Y44">
        <v>0.27</v>
      </c>
      <c r="AP44" t="s">
        <v>1350</v>
      </c>
      <c r="AQ44">
        <v>0</v>
      </c>
      <c r="AS44" t="s">
        <v>1509</v>
      </c>
      <c r="AT44" t="s">
        <v>1510</v>
      </c>
      <c r="AZ44" s="494">
        <v>46077</v>
      </c>
      <c r="BA44">
        <v>70</v>
      </c>
      <c r="BO44" t="s">
        <v>1427</v>
      </c>
      <c r="BP44" t="s">
        <v>312</v>
      </c>
      <c r="BQ44" t="s">
        <v>1355</v>
      </c>
      <c r="BR44" t="s">
        <v>1355</v>
      </c>
      <c r="BS44" t="s">
        <v>1355</v>
      </c>
      <c r="BV44">
        <v>-3134.7</v>
      </c>
    </row>
    <row r="45" spans="1:75" customFormat="1" ht="15" x14ac:dyDescent="0.25">
      <c r="A45" s="1052" t="s">
        <v>2587</v>
      </c>
      <c r="B45" t="s">
        <v>1505</v>
      </c>
      <c r="C45" t="s">
        <v>1506</v>
      </c>
      <c r="D45" t="s">
        <v>1507</v>
      </c>
      <c r="E45" t="s">
        <v>195</v>
      </c>
      <c r="F45" t="s">
        <v>195</v>
      </c>
      <c r="G45" t="s">
        <v>1254</v>
      </c>
      <c r="H45" t="s">
        <v>1341</v>
      </c>
      <c r="I45">
        <v>48337.275000000001</v>
      </c>
      <c r="J45" t="s">
        <v>18</v>
      </c>
      <c r="K45">
        <v>48337.275000000001</v>
      </c>
      <c r="L45" t="s">
        <v>18</v>
      </c>
      <c r="M45">
        <v>48337.275000000001</v>
      </c>
      <c r="N45" t="s">
        <v>18</v>
      </c>
      <c r="O45">
        <v>-4851.7350000000006</v>
      </c>
      <c r="P45">
        <v>-4851.7350000000006</v>
      </c>
      <c r="Q45">
        <v>-9.1216869800735161</v>
      </c>
      <c r="R45">
        <v>-9.1216869800735161</v>
      </c>
      <c r="T45" t="s">
        <v>1508</v>
      </c>
      <c r="U45" s="494">
        <v>46087</v>
      </c>
      <c r="V45">
        <v>46.975000000000001</v>
      </c>
      <c r="W45">
        <v>1029</v>
      </c>
      <c r="X45">
        <v>51.69</v>
      </c>
      <c r="Y45">
        <v>0.22</v>
      </c>
      <c r="AP45" t="s">
        <v>1350</v>
      </c>
      <c r="AQ45">
        <v>0</v>
      </c>
      <c r="AS45" t="s">
        <v>1509</v>
      </c>
      <c r="AT45" t="s">
        <v>1510</v>
      </c>
      <c r="AZ45" s="494">
        <v>46079</v>
      </c>
      <c r="BA45">
        <v>70</v>
      </c>
      <c r="BO45" t="s">
        <v>1427</v>
      </c>
      <c r="BP45" t="s">
        <v>312</v>
      </c>
      <c r="BQ45" t="s">
        <v>1355</v>
      </c>
      <c r="BR45" t="s">
        <v>1355</v>
      </c>
      <c r="BS45" t="s">
        <v>1355</v>
      </c>
      <c r="BV45">
        <v>-3138.45</v>
      </c>
    </row>
    <row r="46" spans="1:75" customFormat="1" ht="15" x14ac:dyDescent="0.25">
      <c r="A46" s="1052" t="s">
        <v>2587</v>
      </c>
      <c r="B46" t="s">
        <v>1511</v>
      </c>
      <c r="C46" t="s">
        <v>1512</v>
      </c>
      <c r="D46" t="s">
        <v>1513</v>
      </c>
      <c r="E46" t="s">
        <v>195</v>
      </c>
      <c r="F46" t="s">
        <v>195</v>
      </c>
      <c r="G46" t="s">
        <v>1254</v>
      </c>
      <c r="H46" t="s">
        <v>1341</v>
      </c>
      <c r="I46">
        <v>40026.25</v>
      </c>
      <c r="J46" t="s">
        <v>18</v>
      </c>
      <c r="K46">
        <v>40026.25</v>
      </c>
      <c r="L46" t="s">
        <v>18</v>
      </c>
      <c r="M46">
        <v>40026.25</v>
      </c>
      <c r="N46" t="s">
        <v>18</v>
      </c>
      <c r="O46">
        <v>-2683.8000000000029</v>
      </c>
      <c r="P46">
        <v>-2683.8000000000029</v>
      </c>
      <c r="Q46">
        <v>-6.2837669354168462</v>
      </c>
      <c r="R46">
        <v>-6.2837669354168462</v>
      </c>
      <c r="T46" t="s">
        <v>1514</v>
      </c>
      <c r="U46" s="494">
        <v>46087</v>
      </c>
      <c r="V46">
        <v>112.75</v>
      </c>
      <c r="W46">
        <v>355</v>
      </c>
      <c r="X46">
        <v>120.31</v>
      </c>
      <c r="Y46">
        <v>0.18</v>
      </c>
      <c r="AP46" t="s">
        <v>1350</v>
      </c>
      <c r="AQ46">
        <v>0</v>
      </c>
      <c r="AS46" t="s">
        <v>1515</v>
      </c>
      <c r="AT46" t="s">
        <v>1516</v>
      </c>
      <c r="AZ46" s="494">
        <v>46079</v>
      </c>
      <c r="BA46">
        <v>70</v>
      </c>
      <c r="BO46" t="s">
        <v>1427</v>
      </c>
      <c r="BP46" t="s">
        <v>1428</v>
      </c>
      <c r="BQ46" t="s">
        <v>1355</v>
      </c>
      <c r="BR46" t="s">
        <v>1355</v>
      </c>
      <c r="BS46" t="s">
        <v>1355</v>
      </c>
      <c r="BV46">
        <v>-1803.4</v>
      </c>
    </row>
    <row r="47" spans="1:75" customFormat="1" ht="15" x14ac:dyDescent="0.25">
      <c r="A47" s="1052" t="s">
        <v>2587</v>
      </c>
      <c r="B47" t="s">
        <v>1517</v>
      </c>
      <c r="C47" t="s">
        <v>1518</v>
      </c>
      <c r="D47" t="s">
        <v>1519</v>
      </c>
      <c r="E47" t="s">
        <v>195</v>
      </c>
      <c r="F47" t="s">
        <v>195</v>
      </c>
      <c r="G47" t="s">
        <v>1254</v>
      </c>
      <c r="H47" t="s">
        <v>1341</v>
      </c>
      <c r="I47">
        <v>12158.250000000002</v>
      </c>
      <c r="J47" t="s">
        <v>18</v>
      </c>
      <c r="K47">
        <v>12158.250000000002</v>
      </c>
      <c r="L47" t="s">
        <v>18</v>
      </c>
      <c r="M47">
        <v>12158.250000000002</v>
      </c>
      <c r="N47" t="s">
        <v>18</v>
      </c>
      <c r="O47">
        <v>-1413.7499999999982</v>
      </c>
      <c r="P47">
        <v>-1413.7499999999982</v>
      </c>
      <c r="Q47">
        <v>-10.416666666666654</v>
      </c>
      <c r="R47">
        <v>-10.416666666666654</v>
      </c>
      <c r="T47" t="s">
        <v>1520</v>
      </c>
      <c r="U47" s="494">
        <v>46087</v>
      </c>
      <c r="V47">
        <v>162.11000000000001</v>
      </c>
      <c r="W47">
        <v>75</v>
      </c>
      <c r="X47">
        <v>180.96</v>
      </c>
      <c r="Y47">
        <v>0.05</v>
      </c>
      <c r="AP47" t="s">
        <v>1350</v>
      </c>
      <c r="AQ47">
        <v>0</v>
      </c>
      <c r="AS47" t="s">
        <v>1521</v>
      </c>
      <c r="AT47" t="s">
        <v>1522</v>
      </c>
      <c r="AZ47" s="494">
        <v>46079</v>
      </c>
      <c r="BA47">
        <v>70</v>
      </c>
      <c r="BO47" t="s">
        <v>1362</v>
      </c>
      <c r="BP47" t="s">
        <v>1363</v>
      </c>
      <c r="BQ47" t="s">
        <v>1355</v>
      </c>
      <c r="BR47" t="s">
        <v>1355</v>
      </c>
      <c r="BS47" t="s">
        <v>1355</v>
      </c>
      <c r="BV47">
        <v>-1038</v>
      </c>
    </row>
    <row r="48" spans="1:75" customFormat="1" ht="15" x14ac:dyDescent="0.25">
      <c r="A48" s="1052" t="s">
        <v>2586</v>
      </c>
      <c r="B48" t="s">
        <v>1523</v>
      </c>
      <c r="C48" t="s">
        <v>1524</v>
      </c>
      <c r="D48" t="s">
        <v>1525</v>
      </c>
      <c r="E48" t="s">
        <v>195</v>
      </c>
      <c r="F48" t="s">
        <v>195</v>
      </c>
      <c r="G48" t="s">
        <v>1254</v>
      </c>
      <c r="H48" t="s">
        <v>1341</v>
      </c>
      <c r="I48">
        <v>66972.510000000009</v>
      </c>
      <c r="J48" t="s">
        <v>18</v>
      </c>
      <c r="K48">
        <v>66972.510000000009</v>
      </c>
      <c r="L48" t="s">
        <v>18</v>
      </c>
      <c r="M48">
        <v>66972.510000000009</v>
      </c>
      <c r="N48" t="s">
        <v>18</v>
      </c>
      <c r="O48">
        <v>-4887.929999999993</v>
      </c>
      <c r="P48">
        <v>-4887.929999999993</v>
      </c>
      <c r="Q48">
        <v>-6.8019761637974838</v>
      </c>
      <c r="R48">
        <v>-6.8019761637974838</v>
      </c>
      <c r="T48" t="s">
        <v>1526</v>
      </c>
      <c r="U48" s="494">
        <v>46087</v>
      </c>
      <c r="V48">
        <v>182.98500000000001</v>
      </c>
      <c r="W48">
        <v>366</v>
      </c>
      <c r="X48">
        <v>196.34</v>
      </c>
      <c r="Y48">
        <v>0.3</v>
      </c>
      <c r="AP48" t="s">
        <v>1350</v>
      </c>
      <c r="AQ48">
        <v>0</v>
      </c>
      <c r="AS48" t="s">
        <v>1527</v>
      </c>
      <c r="AT48" t="s">
        <v>1528</v>
      </c>
      <c r="AZ48" s="494">
        <v>46077</v>
      </c>
      <c r="BA48">
        <v>70</v>
      </c>
      <c r="BO48" t="s">
        <v>1362</v>
      </c>
      <c r="BP48" t="s">
        <v>1370</v>
      </c>
      <c r="BQ48" t="s">
        <v>1355</v>
      </c>
      <c r="BR48" t="s">
        <v>1355</v>
      </c>
      <c r="BS48" t="s">
        <v>1355</v>
      </c>
      <c r="BV48">
        <v>-4198.0200000000004</v>
      </c>
    </row>
    <row r="49" spans="1:75" customFormat="1" ht="15" x14ac:dyDescent="0.25">
      <c r="A49" s="1052" t="s">
        <v>2587</v>
      </c>
      <c r="B49" t="s">
        <v>1529</v>
      </c>
      <c r="C49" t="s">
        <v>1530</v>
      </c>
      <c r="D49" t="s">
        <v>1531</v>
      </c>
      <c r="E49" t="s">
        <v>195</v>
      </c>
      <c r="F49" t="s">
        <v>195</v>
      </c>
      <c r="G49" t="s">
        <v>1254</v>
      </c>
      <c r="H49" t="s">
        <v>1341</v>
      </c>
      <c r="I49">
        <v>10187.43</v>
      </c>
      <c r="J49" t="s">
        <v>18</v>
      </c>
      <c r="K49">
        <v>10187.43</v>
      </c>
      <c r="L49" t="s">
        <v>18</v>
      </c>
      <c r="M49">
        <v>10187.43</v>
      </c>
      <c r="N49" t="s">
        <v>18</v>
      </c>
      <c r="O49">
        <v>-1844.1499999999996</v>
      </c>
      <c r="P49">
        <v>-1844.1499999999996</v>
      </c>
      <c r="Q49">
        <v>-15.327579586388485</v>
      </c>
      <c r="R49">
        <v>-15.327579586388485</v>
      </c>
      <c r="T49" t="s">
        <v>1532</v>
      </c>
      <c r="U49" s="494">
        <v>46087</v>
      </c>
      <c r="V49">
        <v>926.13</v>
      </c>
      <c r="W49">
        <v>11</v>
      </c>
      <c r="X49">
        <v>1093.78</v>
      </c>
      <c r="Y49">
        <v>0.05</v>
      </c>
      <c r="AP49" t="s">
        <v>1350</v>
      </c>
      <c r="AQ49">
        <v>0</v>
      </c>
      <c r="AS49" t="s">
        <v>1533</v>
      </c>
      <c r="AT49" t="s">
        <v>1534</v>
      </c>
      <c r="AZ49" s="494">
        <v>46079</v>
      </c>
      <c r="BA49">
        <v>70</v>
      </c>
      <c r="BO49" t="s">
        <v>1427</v>
      </c>
      <c r="BP49" t="s">
        <v>1428</v>
      </c>
      <c r="BQ49" t="s">
        <v>1355</v>
      </c>
      <c r="BR49" t="s">
        <v>1355</v>
      </c>
      <c r="BS49" t="s">
        <v>1355</v>
      </c>
      <c r="BV49">
        <v>-1521.6298899999999</v>
      </c>
    </row>
    <row r="50" spans="1:75" customFormat="1" ht="15" x14ac:dyDescent="0.25">
      <c r="A50" s="1052" t="s">
        <v>2587</v>
      </c>
      <c r="B50" t="s">
        <v>1535</v>
      </c>
      <c r="C50" t="s">
        <v>1536</v>
      </c>
      <c r="D50" t="s">
        <v>1537</v>
      </c>
      <c r="E50" t="s">
        <v>195</v>
      </c>
      <c r="F50" t="s">
        <v>195</v>
      </c>
      <c r="G50" t="s">
        <v>1254</v>
      </c>
      <c r="H50" t="s">
        <v>1341</v>
      </c>
      <c r="I50">
        <v>8263.64</v>
      </c>
      <c r="J50" t="s">
        <v>18</v>
      </c>
      <c r="K50">
        <v>8263.64</v>
      </c>
      <c r="L50" t="s">
        <v>18</v>
      </c>
      <c r="M50">
        <v>8263.64</v>
      </c>
      <c r="N50" t="s">
        <v>18</v>
      </c>
      <c r="O50">
        <v>-839.30000000000109</v>
      </c>
      <c r="P50">
        <v>-839.30000000000109</v>
      </c>
      <c r="Q50">
        <v>-9.2200981221451652</v>
      </c>
      <c r="R50">
        <v>-9.2200981221451652</v>
      </c>
      <c r="T50" t="s">
        <v>1538</v>
      </c>
      <c r="U50" s="494">
        <v>46087</v>
      </c>
      <c r="V50">
        <v>107.32</v>
      </c>
      <c r="W50">
        <v>77</v>
      </c>
      <c r="X50">
        <v>118.22</v>
      </c>
      <c r="Y50">
        <v>0.04</v>
      </c>
      <c r="AP50" t="s">
        <v>1350</v>
      </c>
      <c r="AQ50">
        <v>0</v>
      </c>
      <c r="AS50" t="s">
        <v>1539</v>
      </c>
      <c r="AT50" t="s">
        <v>1540</v>
      </c>
      <c r="AZ50" s="494">
        <v>46079</v>
      </c>
      <c r="BA50">
        <v>70</v>
      </c>
      <c r="BO50" t="s">
        <v>1427</v>
      </c>
      <c r="BP50" t="s">
        <v>1428</v>
      </c>
      <c r="BQ50" t="s">
        <v>1355</v>
      </c>
      <c r="BR50" t="s">
        <v>1355</v>
      </c>
      <c r="BS50" t="s">
        <v>1355</v>
      </c>
      <c r="BV50">
        <v>-602.14</v>
      </c>
    </row>
    <row r="51" spans="1:75" customFormat="1" ht="15" x14ac:dyDescent="0.25">
      <c r="A51" s="1052" t="s">
        <v>2586</v>
      </c>
      <c r="B51" t="s">
        <v>1541</v>
      </c>
      <c r="C51" t="s">
        <v>1542</v>
      </c>
      <c r="D51" t="s">
        <v>1543</v>
      </c>
      <c r="E51" t="s">
        <v>195</v>
      </c>
      <c r="F51" t="s">
        <v>195</v>
      </c>
      <c r="G51" t="s">
        <v>1254</v>
      </c>
      <c r="H51" t="s">
        <v>1341</v>
      </c>
      <c r="I51">
        <v>91473.076686999993</v>
      </c>
      <c r="J51" t="s">
        <v>18</v>
      </c>
      <c r="K51">
        <v>844561.78659000003</v>
      </c>
      <c r="L51" t="s">
        <v>1338</v>
      </c>
      <c r="M51">
        <v>91473.076686999993</v>
      </c>
      <c r="N51" t="s">
        <v>18</v>
      </c>
      <c r="O51">
        <v>-8354.8533129999996</v>
      </c>
      <c r="P51">
        <v>-57663.003409999998</v>
      </c>
      <c r="Q51">
        <v>-8.3693000000000008</v>
      </c>
      <c r="R51">
        <v>-6.3911999999999995</v>
      </c>
      <c r="T51" t="s">
        <v>1544</v>
      </c>
      <c r="U51" s="494">
        <v>46087</v>
      </c>
      <c r="V51">
        <v>629.79999999999995</v>
      </c>
      <c r="W51">
        <v>1341</v>
      </c>
      <c r="X51">
        <v>672.8</v>
      </c>
      <c r="Y51">
        <v>0.41</v>
      </c>
      <c r="AP51" t="s">
        <v>1350</v>
      </c>
      <c r="AQ51">
        <v>0</v>
      </c>
      <c r="AS51" t="s">
        <v>1545</v>
      </c>
      <c r="AT51" t="s">
        <v>1546</v>
      </c>
      <c r="AZ51" s="494">
        <v>46077</v>
      </c>
      <c r="BA51">
        <v>70</v>
      </c>
      <c r="BO51" t="s">
        <v>1400</v>
      </c>
      <c r="BP51" t="s">
        <v>1400</v>
      </c>
      <c r="BQ51" t="s">
        <v>1386</v>
      </c>
      <c r="BR51" t="s">
        <v>209</v>
      </c>
      <c r="BS51" t="s">
        <v>1485</v>
      </c>
      <c r="BV51">
        <v>-6380.20406</v>
      </c>
      <c r="BW51">
        <v>-1974.649253</v>
      </c>
    </row>
    <row r="52" spans="1:75" customFormat="1" ht="15" x14ac:dyDescent="0.25">
      <c r="A52" s="1052" t="s">
        <v>2586</v>
      </c>
      <c r="B52" t="s">
        <v>1547</v>
      </c>
      <c r="C52" t="s">
        <v>1548</v>
      </c>
      <c r="D52" t="s">
        <v>1084</v>
      </c>
      <c r="E52" t="s">
        <v>195</v>
      </c>
      <c r="F52" t="s">
        <v>195</v>
      </c>
      <c r="G52" t="s">
        <v>1254</v>
      </c>
      <c r="H52" t="s">
        <v>1341</v>
      </c>
      <c r="I52">
        <v>118718.59999999999</v>
      </c>
      <c r="J52" t="s">
        <v>18</v>
      </c>
      <c r="K52">
        <v>118718.59999999999</v>
      </c>
      <c r="L52" t="s">
        <v>18</v>
      </c>
      <c r="M52">
        <v>118718.59999999999</v>
      </c>
      <c r="N52" t="s">
        <v>18</v>
      </c>
      <c r="O52">
        <v>-3903.9000000000087</v>
      </c>
      <c r="P52">
        <v>-3903.9000000000087</v>
      </c>
      <c r="Q52">
        <v>-3.1836734693877622</v>
      </c>
      <c r="R52">
        <v>-3.1836734693877622</v>
      </c>
      <c r="T52" t="s">
        <v>1549</v>
      </c>
      <c r="U52" s="494">
        <v>46087</v>
      </c>
      <c r="V52">
        <v>59.3</v>
      </c>
      <c r="W52">
        <v>2002</v>
      </c>
      <c r="X52">
        <v>61.25</v>
      </c>
      <c r="Y52">
        <v>0.53</v>
      </c>
      <c r="AP52" t="s">
        <v>1350</v>
      </c>
      <c r="AQ52">
        <v>0</v>
      </c>
      <c r="AS52" t="s">
        <v>1550</v>
      </c>
      <c r="AT52" t="s">
        <v>1551</v>
      </c>
      <c r="AZ52" s="494">
        <v>46077</v>
      </c>
      <c r="BA52">
        <v>70</v>
      </c>
      <c r="BO52" t="s">
        <v>1362</v>
      </c>
      <c r="BP52" t="s">
        <v>1370</v>
      </c>
      <c r="BQ52" t="s">
        <v>1355</v>
      </c>
      <c r="BR52" t="s">
        <v>1355</v>
      </c>
      <c r="BS52" t="s">
        <v>1355</v>
      </c>
      <c r="BV52">
        <v>-1921.92</v>
      </c>
    </row>
    <row r="53" spans="1:75" customFormat="1" ht="15" x14ac:dyDescent="0.25">
      <c r="A53" s="1052" t="s">
        <v>2587</v>
      </c>
      <c r="B53" t="s">
        <v>1547</v>
      </c>
      <c r="C53" t="s">
        <v>1548</v>
      </c>
      <c r="D53" t="s">
        <v>1084</v>
      </c>
      <c r="E53" t="s">
        <v>195</v>
      </c>
      <c r="F53" t="s">
        <v>195</v>
      </c>
      <c r="G53" t="s">
        <v>1254</v>
      </c>
      <c r="H53" t="s">
        <v>1341</v>
      </c>
      <c r="I53">
        <v>18916.7</v>
      </c>
      <c r="J53" t="s">
        <v>18</v>
      </c>
      <c r="K53">
        <v>18916.7</v>
      </c>
      <c r="L53" t="s">
        <v>18</v>
      </c>
      <c r="M53">
        <v>18916.7</v>
      </c>
      <c r="N53" t="s">
        <v>18</v>
      </c>
      <c r="O53">
        <v>-638</v>
      </c>
      <c r="P53">
        <v>-638</v>
      </c>
      <c r="Q53">
        <v>-3.2626427406199019</v>
      </c>
      <c r="R53">
        <v>-3.2626427406199019</v>
      </c>
      <c r="T53" t="s">
        <v>1549</v>
      </c>
      <c r="U53" s="494">
        <v>46087</v>
      </c>
      <c r="V53">
        <v>59.3</v>
      </c>
      <c r="W53">
        <v>319</v>
      </c>
      <c r="X53">
        <v>61.3</v>
      </c>
      <c r="Y53">
        <v>0.09</v>
      </c>
      <c r="AP53" t="s">
        <v>1350</v>
      </c>
      <c r="AQ53">
        <v>0</v>
      </c>
      <c r="AS53" t="s">
        <v>1550</v>
      </c>
      <c r="AT53" t="s">
        <v>1551</v>
      </c>
      <c r="AZ53" s="494">
        <v>46079</v>
      </c>
      <c r="BA53">
        <v>70</v>
      </c>
      <c r="BO53" t="s">
        <v>1362</v>
      </c>
      <c r="BP53" t="s">
        <v>1370</v>
      </c>
      <c r="BQ53" t="s">
        <v>1355</v>
      </c>
      <c r="BR53" t="s">
        <v>1355</v>
      </c>
      <c r="BS53" t="s">
        <v>1355</v>
      </c>
      <c r="BV53">
        <v>-322.19</v>
      </c>
    </row>
    <row r="54" spans="1:75" customFormat="1" ht="15" x14ac:dyDescent="0.25">
      <c r="A54" s="1052" t="s">
        <v>2586</v>
      </c>
      <c r="B54" t="s">
        <v>1552</v>
      </c>
      <c r="C54" t="s">
        <v>1553</v>
      </c>
      <c r="D54" t="s">
        <v>1554</v>
      </c>
      <c r="E54" t="s">
        <v>195</v>
      </c>
      <c r="F54" t="s">
        <v>195</v>
      </c>
      <c r="G54" t="s">
        <v>1254</v>
      </c>
      <c r="H54" t="s">
        <v>1341</v>
      </c>
      <c r="I54">
        <v>180115.19999999998</v>
      </c>
      <c r="J54" t="s">
        <v>18</v>
      </c>
      <c r="K54">
        <v>180115.19999999998</v>
      </c>
      <c r="L54" t="s">
        <v>18</v>
      </c>
      <c r="M54">
        <v>180115.19999999998</v>
      </c>
      <c r="N54" t="s">
        <v>18</v>
      </c>
      <c r="O54">
        <v>4704.6599999999744</v>
      </c>
      <c r="P54">
        <v>4704.6599999999744</v>
      </c>
      <c r="Q54">
        <v>2.6820851244172523</v>
      </c>
      <c r="R54">
        <v>2.6820851244172523</v>
      </c>
      <c r="T54" t="s">
        <v>1555</v>
      </c>
      <c r="U54" s="494">
        <v>46087</v>
      </c>
      <c r="V54">
        <v>339.2</v>
      </c>
      <c r="W54">
        <v>531</v>
      </c>
      <c r="X54">
        <v>330.34</v>
      </c>
      <c r="Y54">
        <v>0.81</v>
      </c>
      <c r="AP54" t="s">
        <v>1350</v>
      </c>
      <c r="AQ54">
        <v>0</v>
      </c>
      <c r="AS54" t="s">
        <v>1556</v>
      </c>
      <c r="AT54" t="s">
        <v>1557</v>
      </c>
      <c r="AZ54" s="494">
        <v>46077</v>
      </c>
      <c r="BA54">
        <v>70</v>
      </c>
      <c r="BO54" t="s">
        <v>1377</v>
      </c>
      <c r="BP54" t="s">
        <v>1393</v>
      </c>
      <c r="BQ54" t="s">
        <v>1355</v>
      </c>
      <c r="BR54" t="s">
        <v>1355</v>
      </c>
      <c r="BS54" t="s">
        <v>1355</v>
      </c>
      <c r="BV54">
        <v>74.345309999999998</v>
      </c>
    </row>
    <row r="55" spans="1:75" customFormat="1" ht="15" x14ac:dyDescent="0.25">
      <c r="A55" s="1052" t="s">
        <v>2588</v>
      </c>
      <c r="B55" t="s">
        <v>1552</v>
      </c>
      <c r="C55" t="s">
        <v>1553</v>
      </c>
      <c r="D55" t="s">
        <v>1554</v>
      </c>
      <c r="E55" t="s">
        <v>195</v>
      </c>
      <c r="F55" t="s">
        <v>195</v>
      </c>
      <c r="G55" t="s">
        <v>1254</v>
      </c>
      <c r="H55" t="s">
        <v>1341</v>
      </c>
      <c r="I55">
        <v>313081.59999999998</v>
      </c>
      <c r="J55" t="s">
        <v>18</v>
      </c>
      <c r="K55">
        <v>313081.59999999998</v>
      </c>
      <c r="L55" t="s">
        <v>18</v>
      </c>
      <c r="M55">
        <v>313081.59999999998</v>
      </c>
      <c r="N55" t="s">
        <v>18</v>
      </c>
      <c r="O55">
        <v>16152.489999999991</v>
      </c>
      <c r="P55">
        <v>16152.489999999991</v>
      </c>
      <c r="Q55">
        <v>5.4398472416530641</v>
      </c>
      <c r="R55">
        <v>5.4398472416530641</v>
      </c>
      <c r="T55" t="s">
        <v>1555</v>
      </c>
      <c r="U55" s="494">
        <v>46087</v>
      </c>
      <c r="V55">
        <v>339.2</v>
      </c>
      <c r="W55">
        <v>923</v>
      </c>
      <c r="X55">
        <v>321.7</v>
      </c>
      <c r="Y55">
        <v>1.42</v>
      </c>
      <c r="AP55" t="s">
        <v>1350</v>
      </c>
      <c r="AQ55">
        <v>0</v>
      </c>
      <c r="AS55" t="s">
        <v>1556</v>
      </c>
      <c r="AT55" t="s">
        <v>1557</v>
      </c>
      <c r="AZ55" s="494">
        <v>46080</v>
      </c>
      <c r="BA55">
        <v>70</v>
      </c>
      <c r="BO55" t="s">
        <v>1377</v>
      </c>
      <c r="BP55" t="s">
        <v>1393</v>
      </c>
      <c r="BQ55" t="s">
        <v>1355</v>
      </c>
      <c r="BR55" t="s">
        <v>1355</v>
      </c>
      <c r="BS55" t="s">
        <v>1355</v>
      </c>
      <c r="BV55">
        <v>8103.93923</v>
      </c>
    </row>
    <row r="56" spans="1:75" customFormat="1" ht="15" x14ac:dyDescent="0.25">
      <c r="A56" s="1052" t="s">
        <v>2586</v>
      </c>
      <c r="B56" t="s">
        <v>1558</v>
      </c>
      <c r="C56" t="s">
        <v>1559</v>
      </c>
      <c r="D56" t="s">
        <v>1560</v>
      </c>
      <c r="E56" t="s">
        <v>195</v>
      </c>
      <c r="F56" t="s">
        <v>195</v>
      </c>
      <c r="G56" t="s">
        <v>1254</v>
      </c>
      <c r="H56" t="s">
        <v>1341</v>
      </c>
      <c r="I56">
        <v>58242.764999999999</v>
      </c>
      <c r="J56" t="s">
        <v>18</v>
      </c>
      <c r="K56">
        <v>58242.764999999999</v>
      </c>
      <c r="L56" t="s">
        <v>18</v>
      </c>
      <c r="M56">
        <v>58242.764999999999</v>
      </c>
      <c r="N56" t="s">
        <v>18</v>
      </c>
      <c r="O56">
        <v>-4344.614999999998</v>
      </c>
      <c r="P56">
        <v>-4344.614999999998</v>
      </c>
      <c r="Q56">
        <v>-6.9416789774551972</v>
      </c>
      <c r="R56">
        <v>-6.9416789774551972</v>
      </c>
      <c r="T56" t="s">
        <v>1561</v>
      </c>
      <c r="U56" s="494">
        <v>46087</v>
      </c>
      <c r="V56">
        <v>289.76499999999999</v>
      </c>
      <c r="W56">
        <v>201</v>
      </c>
      <c r="X56">
        <v>311.38</v>
      </c>
      <c r="Y56">
        <v>0.26</v>
      </c>
      <c r="AP56" t="s">
        <v>1350</v>
      </c>
      <c r="AQ56">
        <v>0</v>
      </c>
      <c r="AS56" t="s">
        <v>1562</v>
      </c>
      <c r="AT56" t="s">
        <v>1563</v>
      </c>
      <c r="AZ56" s="494">
        <v>46077</v>
      </c>
      <c r="BA56">
        <v>70</v>
      </c>
      <c r="BO56" t="s">
        <v>1384</v>
      </c>
      <c r="BP56" t="s">
        <v>1420</v>
      </c>
      <c r="BQ56" t="s">
        <v>1355</v>
      </c>
      <c r="BR56" t="s">
        <v>1355</v>
      </c>
      <c r="BS56" t="s">
        <v>1355</v>
      </c>
      <c r="BV56">
        <v>-1153.7379900000001</v>
      </c>
    </row>
    <row r="57" spans="1:75" customFormat="1" ht="15" x14ac:dyDescent="0.25">
      <c r="A57" s="1052" t="s">
        <v>2586</v>
      </c>
      <c r="B57" t="s">
        <v>2269</v>
      </c>
      <c r="C57" t="s">
        <v>2270</v>
      </c>
      <c r="D57" t="s">
        <v>2271</v>
      </c>
      <c r="E57" t="s">
        <v>195</v>
      </c>
      <c r="F57" t="s">
        <v>195</v>
      </c>
      <c r="G57" t="s">
        <v>1254</v>
      </c>
      <c r="H57" t="s">
        <v>1341</v>
      </c>
      <c r="I57">
        <v>70006.974310000005</v>
      </c>
      <c r="J57" t="s">
        <v>18</v>
      </c>
      <c r="K57">
        <v>60483.8</v>
      </c>
      <c r="L57" t="s">
        <v>21</v>
      </c>
      <c r="M57">
        <v>70006.974310000005</v>
      </c>
      <c r="N57" t="s">
        <v>18</v>
      </c>
      <c r="O57">
        <v>2860.0543100000068</v>
      </c>
      <c r="P57">
        <v>3521.7000000000044</v>
      </c>
      <c r="Q57">
        <v>4.2593976164506238</v>
      </c>
      <c r="R57">
        <v>6.1825318940137466</v>
      </c>
      <c r="T57" t="s">
        <v>2272</v>
      </c>
      <c r="U57" s="494">
        <v>46087</v>
      </c>
      <c r="V57">
        <v>108.2</v>
      </c>
      <c r="W57">
        <v>559</v>
      </c>
      <c r="X57">
        <v>101.9</v>
      </c>
      <c r="Y57">
        <v>0.32</v>
      </c>
      <c r="AP57" t="s">
        <v>1350</v>
      </c>
      <c r="AQ57">
        <v>0</v>
      </c>
      <c r="AS57" t="s">
        <v>2273</v>
      </c>
      <c r="AT57" t="s">
        <v>2274</v>
      </c>
      <c r="AZ57" s="494">
        <v>46077</v>
      </c>
      <c r="BA57">
        <v>70</v>
      </c>
      <c r="BO57" t="s">
        <v>1377</v>
      </c>
      <c r="BP57" t="s">
        <v>1378</v>
      </c>
      <c r="BQ57" t="s">
        <v>1386</v>
      </c>
      <c r="BR57" t="s">
        <v>209</v>
      </c>
      <c r="BS57" t="s">
        <v>302</v>
      </c>
      <c r="BV57">
        <v>5172.7509520000003</v>
      </c>
      <c r="BW57">
        <v>-1300.6215520000001</v>
      </c>
    </row>
    <row r="58" spans="1:75" customFormat="1" ht="15" x14ac:dyDescent="0.25">
      <c r="A58" s="1052" t="s">
        <v>2587</v>
      </c>
      <c r="B58" t="s">
        <v>1564</v>
      </c>
      <c r="C58" t="s">
        <v>1565</v>
      </c>
      <c r="D58" t="s">
        <v>1566</v>
      </c>
      <c r="E58" t="s">
        <v>195</v>
      </c>
      <c r="F58" t="s">
        <v>195</v>
      </c>
      <c r="G58" t="s">
        <v>1254</v>
      </c>
      <c r="H58" t="s">
        <v>1341</v>
      </c>
      <c r="I58">
        <v>32585.43</v>
      </c>
      <c r="J58" t="s">
        <v>18</v>
      </c>
      <c r="K58">
        <v>32585.43</v>
      </c>
      <c r="L58" t="s">
        <v>18</v>
      </c>
      <c r="M58">
        <v>32585.43</v>
      </c>
      <c r="N58" t="s">
        <v>18</v>
      </c>
      <c r="O58">
        <v>-4662.5599999999977</v>
      </c>
      <c r="P58">
        <v>-4662.5599999999977</v>
      </c>
      <c r="Q58">
        <v>-12.517615044462795</v>
      </c>
      <c r="R58">
        <v>-12.517615044462795</v>
      </c>
      <c r="T58" t="s">
        <v>1567</v>
      </c>
      <c r="U58" s="494">
        <v>46087</v>
      </c>
      <c r="V58">
        <v>180.03</v>
      </c>
      <c r="W58">
        <v>181</v>
      </c>
      <c r="X58">
        <v>205.79</v>
      </c>
      <c r="Y58">
        <v>0.15</v>
      </c>
      <c r="AP58" t="s">
        <v>1350</v>
      </c>
      <c r="AQ58">
        <v>0</v>
      </c>
      <c r="AS58" t="s">
        <v>1568</v>
      </c>
      <c r="AT58" t="s">
        <v>1569</v>
      </c>
      <c r="AZ58" s="494">
        <v>46079</v>
      </c>
      <c r="BA58">
        <v>70</v>
      </c>
      <c r="BO58" t="s">
        <v>1427</v>
      </c>
      <c r="BP58" t="s">
        <v>1428</v>
      </c>
      <c r="BQ58" t="s">
        <v>1355</v>
      </c>
      <c r="BR58" t="s">
        <v>1355</v>
      </c>
      <c r="BS58" t="s">
        <v>1355</v>
      </c>
      <c r="BV58">
        <v>-3272.4781899999998</v>
      </c>
    </row>
    <row r="59" spans="1:75" customFormat="1" ht="15" x14ac:dyDescent="0.25">
      <c r="A59" s="1052" t="s">
        <v>2586</v>
      </c>
      <c r="B59" t="s">
        <v>1570</v>
      </c>
      <c r="C59" t="s">
        <v>1571</v>
      </c>
      <c r="D59" t="s">
        <v>1572</v>
      </c>
      <c r="E59" t="s">
        <v>195</v>
      </c>
      <c r="F59" t="s">
        <v>195</v>
      </c>
      <c r="G59" t="s">
        <v>1254</v>
      </c>
      <c r="H59" t="s">
        <v>1341</v>
      </c>
      <c r="I59">
        <v>86863.435903999998</v>
      </c>
      <c r="J59" t="s">
        <v>18</v>
      </c>
      <c r="K59">
        <v>560633.98770000006</v>
      </c>
      <c r="L59" t="s">
        <v>1328</v>
      </c>
      <c r="M59">
        <v>86863.435903999998</v>
      </c>
      <c r="N59" t="s">
        <v>18</v>
      </c>
      <c r="O59">
        <v>-10174.154096</v>
      </c>
      <c r="P59">
        <v>-54366.012300000002</v>
      </c>
      <c r="Q59">
        <v>-10.4848</v>
      </c>
      <c r="R59">
        <v>-8.84</v>
      </c>
      <c r="T59" t="s">
        <v>1573</v>
      </c>
      <c r="U59" s="494">
        <v>46087</v>
      </c>
      <c r="V59">
        <v>911.6</v>
      </c>
      <c r="W59">
        <v>615</v>
      </c>
      <c r="X59">
        <v>1000</v>
      </c>
      <c r="Y59">
        <v>0.39</v>
      </c>
      <c r="AP59" t="s">
        <v>1350</v>
      </c>
      <c r="AQ59">
        <v>0</v>
      </c>
      <c r="AT59" t="s">
        <v>1574</v>
      </c>
      <c r="AZ59" s="494">
        <v>46077</v>
      </c>
      <c r="BA59">
        <v>70</v>
      </c>
      <c r="BO59" t="s">
        <v>1575</v>
      </c>
      <c r="BP59" t="s">
        <v>1576</v>
      </c>
      <c r="BQ59" t="s">
        <v>1386</v>
      </c>
      <c r="BR59" t="s">
        <v>209</v>
      </c>
      <c r="BS59" t="s">
        <v>1485</v>
      </c>
      <c r="BV59">
        <v>-8578.1248969999997</v>
      </c>
      <c r="BW59">
        <v>-1596.0291990000001</v>
      </c>
    </row>
    <row r="60" spans="1:75" customFormat="1" ht="15" x14ac:dyDescent="0.25">
      <c r="A60" s="1052" t="s">
        <v>2587</v>
      </c>
      <c r="B60" t="s">
        <v>1577</v>
      </c>
      <c r="C60" t="s">
        <v>1578</v>
      </c>
      <c r="D60" t="s">
        <v>1579</v>
      </c>
      <c r="E60" t="s">
        <v>195</v>
      </c>
      <c r="F60" t="s">
        <v>195</v>
      </c>
      <c r="G60" t="s">
        <v>1254</v>
      </c>
      <c r="H60" t="s">
        <v>1341</v>
      </c>
      <c r="I60">
        <v>20867.62</v>
      </c>
      <c r="J60" t="s">
        <v>18</v>
      </c>
      <c r="K60">
        <v>20867.62</v>
      </c>
      <c r="L60" t="s">
        <v>18</v>
      </c>
      <c r="M60">
        <v>20867.62</v>
      </c>
      <c r="N60" t="s">
        <v>18</v>
      </c>
      <c r="O60">
        <v>-1702.880000000001</v>
      </c>
      <c r="P60">
        <v>-1702.880000000001</v>
      </c>
      <c r="Q60">
        <v>-7.5447154471544762</v>
      </c>
      <c r="R60">
        <v>-7.5447154471544762</v>
      </c>
      <c r="T60" t="s">
        <v>1580</v>
      </c>
      <c r="U60" s="494">
        <v>46087</v>
      </c>
      <c r="V60">
        <v>56.86</v>
      </c>
      <c r="W60">
        <v>367</v>
      </c>
      <c r="X60">
        <v>61.5</v>
      </c>
      <c r="Y60">
        <v>0.09</v>
      </c>
      <c r="AP60" t="s">
        <v>1350</v>
      </c>
      <c r="AQ60">
        <v>0</v>
      </c>
      <c r="AS60" t="s">
        <v>1581</v>
      </c>
      <c r="AT60" t="s">
        <v>1582</v>
      </c>
      <c r="AZ60" s="494">
        <v>46079</v>
      </c>
      <c r="BA60">
        <v>70</v>
      </c>
      <c r="BO60" t="s">
        <v>1353</v>
      </c>
      <c r="BP60" t="s">
        <v>1354</v>
      </c>
      <c r="BQ60" t="s">
        <v>1355</v>
      </c>
      <c r="BR60" t="s">
        <v>1355</v>
      </c>
      <c r="BS60" t="s">
        <v>1355</v>
      </c>
      <c r="BV60">
        <v>-1156.05</v>
      </c>
    </row>
    <row r="61" spans="1:75" customFormat="1" ht="15" x14ac:dyDescent="0.25">
      <c r="A61" s="1052" t="s">
        <v>2588</v>
      </c>
      <c r="B61" t="s">
        <v>1583</v>
      </c>
      <c r="C61" t="s">
        <v>1584</v>
      </c>
      <c r="D61" t="s">
        <v>1585</v>
      </c>
      <c r="E61" t="s">
        <v>195</v>
      </c>
      <c r="F61" t="s">
        <v>195</v>
      </c>
      <c r="G61" t="s">
        <v>1254</v>
      </c>
      <c r="H61" t="s">
        <v>1341</v>
      </c>
      <c r="I61">
        <v>49041.26</v>
      </c>
      <c r="J61" t="s">
        <v>18</v>
      </c>
      <c r="K61">
        <v>49041.26</v>
      </c>
      <c r="L61" t="s">
        <v>18</v>
      </c>
      <c r="M61">
        <v>49041.26</v>
      </c>
      <c r="N61" t="s">
        <v>18</v>
      </c>
      <c r="O61">
        <v>-5115.7800000000061</v>
      </c>
      <c r="P61">
        <v>-5115.7800000000061</v>
      </c>
      <c r="Q61">
        <v>-9.446195730047295</v>
      </c>
      <c r="R61">
        <v>-9.446195730047295</v>
      </c>
      <c r="T61" t="s">
        <v>1586</v>
      </c>
      <c r="U61" s="494">
        <v>46087</v>
      </c>
      <c r="V61">
        <v>252.79</v>
      </c>
      <c r="W61">
        <v>194</v>
      </c>
      <c r="X61">
        <v>279.16000000000003</v>
      </c>
      <c r="Y61">
        <v>0.22</v>
      </c>
      <c r="AP61" t="s">
        <v>1350</v>
      </c>
      <c r="AQ61">
        <v>0</v>
      </c>
      <c r="AS61" t="s">
        <v>1587</v>
      </c>
      <c r="AT61" t="s">
        <v>1588</v>
      </c>
      <c r="AZ61" s="494">
        <v>46080</v>
      </c>
      <c r="BA61">
        <v>60</v>
      </c>
      <c r="BO61" t="s">
        <v>1377</v>
      </c>
      <c r="BP61" t="s">
        <v>1448</v>
      </c>
      <c r="BQ61" t="s">
        <v>1386</v>
      </c>
      <c r="BR61" t="s">
        <v>306</v>
      </c>
      <c r="BS61" t="s">
        <v>306</v>
      </c>
      <c r="BV61">
        <v>-5750.16</v>
      </c>
    </row>
    <row r="62" spans="1:75" customFormat="1" ht="15" x14ac:dyDescent="0.25">
      <c r="A62" s="1052" t="s">
        <v>2587</v>
      </c>
      <c r="B62" t="s">
        <v>1589</v>
      </c>
      <c r="C62" t="s">
        <v>1590</v>
      </c>
      <c r="D62" t="s">
        <v>1591</v>
      </c>
      <c r="E62" t="s">
        <v>195</v>
      </c>
      <c r="F62" t="s">
        <v>195</v>
      </c>
      <c r="G62" t="s">
        <v>1254</v>
      </c>
      <c r="H62" t="s">
        <v>1341</v>
      </c>
      <c r="I62">
        <v>18105.764999999999</v>
      </c>
      <c r="J62" t="s">
        <v>18</v>
      </c>
      <c r="K62">
        <v>18105.764999999999</v>
      </c>
      <c r="L62" t="s">
        <v>18</v>
      </c>
      <c r="M62">
        <v>18105.764999999999</v>
      </c>
      <c r="N62" t="s">
        <v>18</v>
      </c>
      <c r="O62">
        <v>-408.76499999999942</v>
      </c>
      <c r="P62">
        <v>-408.76499999999942</v>
      </c>
      <c r="Q62">
        <v>-2.2078065173677075</v>
      </c>
      <c r="R62">
        <v>-2.2078065173677075</v>
      </c>
      <c r="T62" t="s">
        <v>1592</v>
      </c>
      <c r="U62" s="494">
        <v>46087</v>
      </c>
      <c r="V62">
        <v>355.01499999999999</v>
      </c>
      <c r="W62">
        <v>51</v>
      </c>
      <c r="X62">
        <v>363.03</v>
      </c>
      <c r="Y62">
        <v>0.08</v>
      </c>
      <c r="AP62" t="s">
        <v>1350</v>
      </c>
      <c r="AQ62">
        <v>0</v>
      </c>
      <c r="AS62" t="s">
        <v>1593</v>
      </c>
      <c r="AT62" t="s">
        <v>1594</v>
      </c>
      <c r="AZ62" s="494">
        <v>46079</v>
      </c>
      <c r="BA62">
        <v>70</v>
      </c>
      <c r="BO62" t="s">
        <v>1362</v>
      </c>
      <c r="BP62" t="s">
        <v>1363</v>
      </c>
      <c r="BQ62" t="s">
        <v>1355</v>
      </c>
      <c r="BR62" t="s">
        <v>1355</v>
      </c>
      <c r="BS62" t="s">
        <v>1355</v>
      </c>
      <c r="BV62">
        <v>-233.07051000000001</v>
      </c>
    </row>
    <row r="63" spans="1:75" customFormat="1" ht="15" x14ac:dyDescent="0.25">
      <c r="A63" s="1052" t="s">
        <v>2586</v>
      </c>
      <c r="B63" t="s">
        <v>1595</v>
      </c>
      <c r="C63" t="s">
        <v>1596</v>
      </c>
      <c r="D63" t="s">
        <v>1597</v>
      </c>
      <c r="E63" t="s">
        <v>195</v>
      </c>
      <c r="F63" t="s">
        <v>195</v>
      </c>
      <c r="G63" t="s">
        <v>1254</v>
      </c>
      <c r="H63" t="s">
        <v>1341</v>
      </c>
      <c r="I63">
        <v>116614.6</v>
      </c>
      <c r="J63" t="s">
        <v>18</v>
      </c>
      <c r="K63">
        <v>116614.6</v>
      </c>
      <c r="L63" t="s">
        <v>18</v>
      </c>
      <c r="M63">
        <v>116614.6</v>
      </c>
      <c r="N63" t="s">
        <v>18</v>
      </c>
      <c r="O63">
        <v>213.35000000000582</v>
      </c>
      <c r="P63">
        <v>213.35000000000582</v>
      </c>
      <c r="Q63">
        <v>0.18328840970350904</v>
      </c>
      <c r="R63">
        <v>0.18328840970350904</v>
      </c>
      <c r="T63" t="s">
        <v>1598</v>
      </c>
      <c r="U63" s="494">
        <v>46087</v>
      </c>
      <c r="V63">
        <v>92.92</v>
      </c>
      <c r="W63">
        <v>1255</v>
      </c>
      <c r="X63">
        <v>92.75</v>
      </c>
      <c r="Y63">
        <v>0.53</v>
      </c>
      <c r="AP63" t="s">
        <v>1350</v>
      </c>
      <c r="AQ63">
        <v>0</v>
      </c>
      <c r="AS63" t="s">
        <v>1599</v>
      </c>
      <c r="AT63" t="s">
        <v>1600</v>
      </c>
      <c r="AZ63" s="494">
        <v>46077</v>
      </c>
      <c r="BA63">
        <v>70</v>
      </c>
      <c r="BO63" t="s">
        <v>1427</v>
      </c>
      <c r="BP63" t="s">
        <v>1428</v>
      </c>
      <c r="BQ63" t="s">
        <v>1355</v>
      </c>
      <c r="BR63" t="s">
        <v>1355</v>
      </c>
      <c r="BS63" t="s">
        <v>1355</v>
      </c>
      <c r="BV63">
        <v>3112.4</v>
      </c>
    </row>
    <row r="64" spans="1:75" customFormat="1" ht="15" x14ac:dyDescent="0.25">
      <c r="A64" s="1052" t="s">
        <v>2587</v>
      </c>
      <c r="B64" t="s">
        <v>1595</v>
      </c>
      <c r="C64" t="s">
        <v>1596</v>
      </c>
      <c r="D64" t="s">
        <v>1597</v>
      </c>
      <c r="E64" t="s">
        <v>195</v>
      </c>
      <c r="F64" t="s">
        <v>195</v>
      </c>
      <c r="G64" t="s">
        <v>1254</v>
      </c>
      <c r="H64" t="s">
        <v>1341</v>
      </c>
      <c r="I64">
        <v>42464.44</v>
      </c>
      <c r="J64" t="s">
        <v>18</v>
      </c>
      <c r="K64">
        <v>42464.44</v>
      </c>
      <c r="L64" t="s">
        <v>18</v>
      </c>
      <c r="M64">
        <v>42464.44</v>
      </c>
      <c r="N64" t="s">
        <v>18</v>
      </c>
      <c r="O64">
        <v>-1110.5099999999948</v>
      </c>
      <c r="P64">
        <v>-1110.5099999999948</v>
      </c>
      <c r="Q64">
        <v>-2.5485055060304025</v>
      </c>
      <c r="R64">
        <v>-2.5485055060304025</v>
      </c>
      <c r="T64" t="s">
        <v>1598</v>
      </c>
      <c r="U64" s="494">
        <v>46087</v>
      </c>
      <c r="V64">
        <v>92.92</v>
      </c>
      <c r="W64">
        <v>457</v>
      </c>
      <c r="X64">
        <v>95.35</v>
      </c>
      <c r="Y64">
        <v>0.19</v>
      </c>
      <c r="AP64" t="s">
        <v>1350</v>
      </c>
      <c r="AQ64">
        <v>0</v>
      </c>
      <c r="AS64" t="s">
        <v>1599</v>
      </c>
      <c r="AT64" t="s">
        <v>1600</v>
      </c>
      <c r="AZ64" s="494">
        <v>46079</v>
      </c>
      <c r="BA64">
        <v>70</v>
      </c>
      <c r="BO64" t="s">
        <v>1427</v>
      </c>
      <c r="BP64" t="s">
        <v>1428</v>
      </c>
      <c r="BQ64" t="s">
        <v>1355</v>
      </c>
      <c r="BR64" t="s">
        <v>1355</v>
      </c>
      <c r="BS64" t="s">
        <v>1355</v>
      </c>
      <c r="BV64">
        <v>-54.84</v>
      </c>
    </row>
    <row r="65" spans="1:74" customFormat="1" ht="15" x14ac:dyDescent="0.25">
      <c r="A65" s="1052" t="s">
        <v>2586</v>
      </c>
      <c r="B65" t="s">
        <v>1601</v>
      </c>
      <c r="C65" t="s">
        <v>1602</v>
      </c>
      <c r="D65" t="s">
        <v>1603</v>
      </c>
      <c r="E65" t="s">
        <v>195</v>
      </c>
      <c r="F65" t="s">
        <v>195</v>
      </c>
      <c r="G65" t="s">
        <v>1254</v>
      </c>
      <c r="H65" t="s">
        <v>1341</v>
      </c>
      <c r="I65">
        <v>81476.759999999995</v>
      </c>
      <c r="J65" t="s">
        <v>18</v>
      </c>
      <c r="K65">
        <v>81476.759999999995</v>
      </c>
      <c r="L65" t="s">
        <v>18</v>
      </c>
      <c r="M65">
        <v>81476.759999999995</v>
      </c>
      <c r="N65" t="s">
        <v>18</v>
      </c>
      <c r="O65">
        <v>2705.0999999999913</v>
      </c>
      <c r="P65">
        <v>2705.0999999999913</v>
      </c>
      <c r="Q65">
        <v>3.4341030771726668</v>
      </c>
      <c r="R65">
        <v>3.4341030771726668</v>
      </c>
      <c r="T65" t="s">
        <v>1604</v>
      </c>
      <c r="U65" s="494">
        <v>46087</v>
      </c>
      <c r="V65">
        <v>191.26</v>
      </c>
      <c r="W65">
        <v>426</v>
      </c>
      <c r="X65">
        <v>184.91</v>
      </c>
      <c r="Y65">
        <v>0.36</v>
      </c>
      <c r="AP65" t="s">
        <v>1350</v>
      </c>
      <c r="AQ65">
        <v>0</v>
      </c>
      <c r="AS65" t="s">
        <v>1605</v>
      </c>
      <c r="AT65" t="s">
        <v>1606</v>
      </c>
      <c r="AZ65" s="494">
        <v>46077</v>
      </c>
      <c r="BA65">
        <v>70</v>
      </c>
      <c r="BO65" t="s">
        <v>1504</v>
      </c>
      <c r="BP65" t="s">
        <v>1504</v>
      </c>
      <c r="BQ65" t="s">
        <v>1355</v>
      </c>
      <c r="BR65" t="s">
        <v>1355</v>
      </c>
      <c r="BS65" t="s">
        <v>1355</v>
      </c>
      <c r="BV65">
        <v>2142.7800000000002</v>
      </c>
    </row>
    <row r="66" spans="1:74" customFormat="1" ht="15" x14ac:dyDescent="0.25">
      <c r="A66" s="1052" t="s">
        <v>2587</v>
      </c>
      <c r="B66" t="s">
        <v>1601</v>
      </c>
      <c r="C66" t="s">
        <v>1602</v>
      </c>
      <c r="D66" t="s">
        <v>1603</v>
      </c>
      <c r="E66" t="s">
        <v>195</v>
      </c>
      <c r="F66" t="s">
        <v>195</v>
      </c>
      <c r="G66" t="s">
        <v>1254</v>
      </c>
      <c r="H66" t="s">
        <v>1341</v>
      </c>
      <c r="I66">
        <v>52596.5</v>
      </c>
      <c r="J66" t="s">
        <v>18</v>
      </c>
      <c r="K66">
        <v>52596.5</v>
      </c>
      <c r="L66" t="s">
        <v>18</v>
      </c>
      <c r="M66">
        <v>52596.5</v>
      </c>
      <c r="N66" t="s">
        <v>18</v>
      </c>
      <c r="O66">
        <v>1936</v>
      </c>
      <c r="P66">
        <v>1936</v>
      </c>
      <c r="Q66">
        <v>3.8215177505156879</v>
      </c>
      <c r="R66">
        <v>3.8215177505156879</v>
      </c>
      <c r="T66" t="s">
        <v>1604</v>
      </c>
      <c r="U66" s="494">
        <v>46087</v>
      </c>
      <c r="V66">
        <v>191.26</v>
      </c>
      <c r="W66">
        <v>275</v>
      </c>
      <c r="X66">
        <v>184.22</v>
      </c>
      <c r="Y66">
        <v>0.24</v>
      </c>
      <c r="AP66" t="s">
        <v>1350</v>
      </c>
      <c r="AQ66">
        <v>0</v>
      </c>
      <c r="AS66" t="s">
        <v>1605</v>
      </c>
      <c r="AT66" t="s">
        <v>1606</v>
      </c>
      <c r="AZ66" s="494">
        <v>46079</v>
      </c>
      <c r="BA66">
        <v>70</v>
      </c>
      <c r="BO66" t="s">
        <v>1504</v>
      </c>
      <c r="BP66" t="s">
        <v>1504</v>
      </c>
      <c r="BQ66" t="s">
        <v>1355</v>
      </c>
      <c r="BR66" t="s">
        <v>1355</v>
      </c>
      <c r="BS66" t="s">
        <v>1355</v>
      </c>
      <c r="BV66">
        <v>1573</v>
      </c>
    </row>
    <row r="67" spans="1:74" customFormat="1" ht="15" x14ac:dyDescent="0.25">
      <c r="A67" s="1052" t="s">
        <v>2586</v>
      </c>
      <c r="B67" t="s">
        <v>1607</v>
      </c>
      <c r="C67" t="s">
        <v>1608</v>
      </c>
      <c r="D67" t="s">
        <v>1609</v>
      </c>
      <c r="E67" t="s">
        <v>195</v>
      </c>
      <c r="F67" t="s">
        <v>195</v>
      </c>
      <c r="G67" t="s">
        <v>1254</v>
      </c>
      <c r="H67" t="s">
        <v>1341</v>
      </c>
      <c r="I67">
        <v>47093.85</v>
      </c>
      <c r="J67" t="s">
        <v>18</v>
      </c>
      <c r="K67">
        <v>47093.85</v>
      </c>
      <c r="L67" t="s">
        <v>18</v>
      </c>
      <c r="M67">
        <v>47093.85</v>
      </c>
      <c r="N67" t="s">
        <v>18</v>
      </c>
      <c r="O67">
        <v>-3208.2900000000009</v>
      </c>
      <c r="P67">
        <v>-3208.2900000000009</v>
      </c>
      <c r="Q67">
        <v>-6.3780387872166093</v>
      </c>
      <c r="R67">
        <v>-6.3780387872166093</v>
      </c>
      <c r="T67" t="s">
        <v>1610</v>
      </c>
      <c r="U67" s="494">
        <v>46087</v>
      </c>
      <c r="V67">
        <v>34.274999999999999</v>
      </c>
      <c r="W67">
        <v>1374</v>
      </c>
      <c r="X67">
        <v>36.61</v>
      </c>
      <c r="Y67">
        <v>0.21</v>
      </c>
      <c r="AP67" t="s">
        <v>1350</v>
      </c>
      <c r="AQ67">
        <v>0</v>
      </c>
      <c r="AS67" t="s">
        <v>1611</v>
      </c>
      <c r="AT67" t="s">
        <v>1612</v>
      </c>
      <c r="AZ67" s="494">
        <v>46077</v>
      </c>
      <c r="BA67">
        <v>70</v>
      </c>
      <c r="BO67" t="s">
        <v>1384</v>
      </c>
      <c r="BP67" t="s">
        <v>1613</v>
      </c>
      <c r="BQ67" t="s">
        <v>1355</v>
      </c>
      <c r="BR67" t="s">
        <v>1355</v>
      </c>
      <c r="BS67" t="s">
        <v>1355</v>
      </c>
      <c r="BV67">
        <v>-1703.76</v>
      </c>
    </row>
    <row r="68" spans="1:74" customFormat="1" ht="15" x14ac:dyDescent="0.25">
      <c r="A68" s="1052" t="s">
        <v>2587</v>
      </c>
      <c r="B68" t="s">
        <v>1614</v>
      </c>
      <c r="C68" t="s">
        <v>1615</v>
      </c>
      <c r="D68" t="s">
        <v>1616</v>
      </c>
      <c r="E68" t="s">
        <v>195</v>
      </c>
      <c r="F68" t="s">
        <v>195</v>
      </c>
      <c r="G68" t="s">
        <v>1254</v>
      </c>
      <c r="H68" t="s">
        <v>1341</v>
      </c>
      <c r="I68">
        <v>13596.66</v>
      </c>
      <c r="J68" t="s">
        <v>18</v>
      </c>
      <c r="K68">
        <v>13596.66</v>
      </c>
      <c r="L68" t="s">
        <v>18</v>
      </c>
      <c r="M68">
        <v>13596.66</v>
      </c>
      <c r="N68" t="s">
        <v>18</v>
      </c>
      <c r="O68">
        <v>-454.02000000000044</v>
      </c>
      <c r="P68">
        <v>-454.02000000000044</v>
      </c>
      <c r="Q68">
        <v>-3.2313026842828987</v>
      </c>
      <c r="R68">
        <v>-3.2313026842828987</v>
      </c>
      <c r="T68" t="s">
        <v>1617</v>
      </c>
      <c r="U68" s="494">
        <v>46087</v>
      </c>
      <c r="V68">
        <v>323.73</v>
      </c>
      <c r="W68">
        <v>42</v>
      </c>
      <c r="X68">
        <v>334.54</v>
      </c>
      <c r="Y68">
        <v>0.06</v>
      </c>
      <c r="AP68" t="s">
        <v>1350</v>
      </c>
      <c r="AQ68">
        <v>0</v>
      </c>
      <c r="AS68" t="s">
        <v>1618</v>
      </c>
      <c r="AT68" t="s">
        <v>1619</v>
      </c>
      <c r="AZ68" s="494">
        <v>46079</v>
      </c>
      <c r="BA68">
        <v>70</v>
      </c>
      <c r="BO68" t="s">
        <v>1427</v>
      </c>
      <c r="BP68" t="s">
        <v>1479</v>
      </c>
      <c r="BQ68" t="s">
        <v>1355</v>
      </c>
      <c r="BR68" t="s">
        <v>1355</v>
      </c>
      <c r="BS68" t="s">
        <v>1355</v>
      </c>
      <c r="BV68">
        <v>-274.68</v>
      </c>
    </row>
    <row r="69" spans="1:74" customFormat="1" ht="15" x14ac:dyDescent="0.25">
      <c r="A69" s="1052" t="s">
        <v>2588</v>
      </c>
      <c r="B69" t="s">
        <v>1620</v>
      </c>
      <c r="C69" t="s">
        <v>1621</v>
      </c>
      <c r="D69" t="s">
        <v>1622</v>
      </c>
      <c r="E69" t="s">
        <v>195</v>
      </c>
      <c r="F69" t="s">
        <v>195</v>
      </c>
      <c r="G69" t="s">
        <v>1254</v>
      </c>
      <c r="H69" t="s">
        <v>1341</v>
      </c>
      <c r="I69">
        <v>37974.160000000003</v>
      </c>
      <c r="J69" t="s">
        <v>18</v>
      </c>
      <c r="K69">
        <v>37974.160000000003</v>
      </c>
      <c r="L69" t="s">
        <v>18</v>
      </c>
      <c r="M69">
        <v>37974.160000000003</v>
      </c>
      <c r="N69" t="s">
        <v>18</v>
      </c>
      <c r="O69">
        <v>7973.9200000000019</v>
      </c>
      <c r="P69">
        <v>7973.9200000000019</v>
      </c>
      <c r="Q69">
        <v>26.579520697167762</v>
      </c>
      <c r="R69">
        <v>26.579520697167762</v>
      </c>
      <c r="T69" t="s">
        <v>1623</v>
      </c>
      <c r="U69" s="494">
        <v>46087</v>
      </c>
      <c r="V69">
        <v>110.39</v>
      </c>
      <c r="W69">
        <v>344</v>
      </c>
      <c r="X69">
        <v>87.21</v>
      </c>
      <c r="Y69">
        <v>0.17</v>
      </c>
      <c r="AP69" t="s">
        <v>1350</v>
      </c>
      <c r="AQ69">
        <v>0</v>
      </c>
      <c r="AS69" t="s">
        <v>1624</v>
      </c>
      <c r="AT69" t="s">
        <v>1625</v>
      </c>
      <c r="AZ69" s="494">
        <v>46080</v>
      </c>
      <c r="BA69">
        <v>50</v>
      </c>
      <c r="BO69" t="s">
        <v>1377</v>
      </c>
      <c r="BP69" t="s">
        <v>1378</v>
      </c>
      <c r="BQ69" t="s">
        <v>1355</v>
      </c>
      <c r="BR69" t="s">
        <v>1355</v>
      </c>
      <c r="BS69" t="s">
        <v>1355</v>
      </c>
      <c r="BV69">
        <v>5056.8</v>
      </c>
    </row>
    <row r="70" spans="1:74" customFormat="1" ht="15" x14ac:dyDescent="0.25">
      <c r="A70" s="1052" t="s">
        <v>2587</v>
      </c>
      <c r="B70" t="s">
        <v>1626</v>
      </c>
      <c r="C70" t="s">
        <v>1627</v>
      </c>
      <c r="D70" t="s">
        <v>1628</v>
      </c>
      <c r="E70" t="s">
        <v>195</v>
      </c>
      <c r="F70" t="s">
        <v>195</v>
      </c>
      <c r="G70" t="s">
        <v>1254</v>
      </c>
      <c r="H70" t="s">
        <v>1341</v>
      </c>
      <c r="I70">
        <v>32196.744999999999</v>
      </c>
      <c r="J70" t="s">
        <v>18</v>
      </c>
      <c r="K70">
        <v>32196.744999999999</v>
      </c>
      <c r="L70" t="s">
        <v>18</v>
      </c>
      <c r="M70">
        <v>32196.744999999999</v>
      </c>
      <c r="N70" t="s">
        <v>18</v>
      </c>
      <c r="O70">
        <v>-3591.6749999999993</v>
      </c>
      <c r="P70">
        <v>-3591.6749999999993</v>
      </c>
      <c r="Q70">
        <v>-10.035857967465454</v>
      </c>
      <c r="R70">
        <v>-10.035857967465454</v>
      </c>
      <c r="T70" t="s">
        <v>1629</v>
      </c>
      <c r="U70" s="494">
        <v>46087</v>
      </c>
      <c r="V70">
        <v>102.86499999999999</v>
      </c>
      <c r="W70">
        <v>313</v>
      </c>
      <c r="X70">
        <v>114.34</v>
      </c>
      <c r="Y70">
        <v>0.15</v>
      </c>
      <c r="AP70" t="s">
        <v>1350</v>
      </c>
      <c r="AQ70">
        <v>0</v>
      </c>
      <c r="AS70" t="s">
        <v>1630</v>
      </c>
      <c r="AT70" t="s">
        <v>1631</v>
      </c>
      <c r="AZ70" s="494">
        <v>46079</v>
      </c>
      <c r="BA70">
        <v>70</v>
      </c>
      <c r="BO70" t="s">
        <v>1427</v>
      </c>
      <c r="BP70" t="s">
        <v>312</v>
      </c>
      <c r="BQ70" t="s">
        <v>1355</v>
      </c>
      <c r="BR70" t="s">
        <v>1355</v>
      </c>
      <c r="BS70" t="s">
        <v>1355</v>
      </c>
      <c r="BV70">
        <v>-2444.5300000000002</v>
      </c>
    </row>
    <row r="71" spans="1:74" customFormat="1" ht="15" x14ac:dyDescent="0.25">
      <c r="A71" s="1052" t="s">
        <v>2587</v>
      </c>
      <c r="B71" t="s">
        <v>1632</v>
      </c>
      <c r="C71" t="s">
        <v>1633</v>
      </c>
      <c r="D71" t="s">
        <v>1634</v>
      </c>
      <c r="E71" t="s">
        <v>195</v>
      </c>
      <c r="F71" t="s">
        <v>195</v>
      </c>
      <c r="G71" t="s">
        <v>1254</v>
      </c>
      <c r="H71" t="s">
        <v>1341</v>
      </c>
      <c r="I71">
        <v>34723.700000000004</v>
      </c>
      <c r="J71" t="s">
        <v>18</v>
      </c>
      <c r="K71">
        <v>34723.700000000004</v>
      </c>
      <c r="L71" t="s">
        <v>18</v>
      </c>
      <c r="M71">
        <v>34723.700000000004</v>
      </c>
      <c r="N71" t="s">
        <v>18</v>
      </c>
      <c r="O71">
        <v>914.10000000000582</v>
      </c>
      <c r="P71">
        <v>914.10000000000582</v>
      </c>
      <c r="Q71">
        <v>2.7036699635606629</v>
      </c>
      <c r="R71">
        <v>2.7036699635606629</v>
      </c>
      <c r="T71" t="s">
        <v>1635</v>
      </c>
      <c r="U71" s="494">
        <v>46087</v>
      </c>
      <c r="V71">
        <v>315.67</v>
      </c>
      <c r="W71">
        <v>110</v>
      </c>
      <c r="X71">
        <v>307.36</v>
      </c>
      <c r="Y71">
        <v>0.16</v>
      </c>
      <c r="AP71" t="s">
        <v>1350</v>
      </c>
      <c r="AQ71">
        <v>0</v>
      </c>
      <c r="AS71" t="s">
        <v>1636</v>
      </c>
      <c r="AT71" t="s">
        <v>1637</v>
      </c>
      <c r="AZ71" s="494">
        <v>46079</v>
      </c>
      <c r="BA71">
        <v>70</v>
      </c>
      <c r="BO71" t="s">
        <v>1427</v>
      </c>
      <c r="BP71" t="s">
        <v>1428</v>
      </c>
      <c r="BQ71" t="s">
        <v>1355</v>
      </c>
      <c r="BR71" t="s">
        <v>1355</v>
      </c>
      <c r="BS71" t="s">
        <v>1355</v>
      </c>
      <c r="BV71">
        <v>1071.4011</v>
      </c>
    </row>
    <row r="72" spans="1:74" customFormat="1" ht="15" x14ac:dyDescent="0.25">
      <c r="A72" s="1052" t="s">
        <v>2587</v>
      </c>
      <c r="B72" t="s">
        <v>1638</v>
      </c>
      <c r="C72" t="s">
        <v>1639</v>
      </c>
      <c r="D72" t="s">
        <v>1640</v>
      </c>
      <c r="E72" t="s">
        <v>195</v>
      </c>
      <c r="F72" t="s">
        <v>195</v>
      </c>
      <c r="G72" t="s">
        <v>1254</v>
      </c>
      <c r="H72" t="s">
        <v>1341</v>
      </c>
      <c r="I72">
        <v>19108.259999999998</v>
      </c>
      <c r="J72" t="s">
        <v>18</v>
      </c>
      <c r="K72">
        <v>19108.259999999998</v>
      </c>
      <c r="L72" t="s">
        <v>18</v>
      </c>
      <c r="M72">
        <v>19108.259999999998</v>
      </c>
      <c r="N72" t="s">
        <v>18</v>
      </c>
      <c r="O72">
        <v>37.349999999998545</v>
      </c>
      <c r="P72">
        <v>37.349999999998545</v>
      </c>
      <c r="Q72">
        <v>0.19584802193497083</v>
      </c>
      <c r="R72">
        <v>0.19584802193497083</v>
      </c>
      <c r="T72" t="s">
        <v>1641</v>
      </c>
      <c r="U72" s="494">
        <v>46087</v>
      </c>
      <c r="V72">
        <v>76.739999999999995</v>
      </c>
      <c r="W72">
        <v>249</v>
      </c>
      <c r="X72">
        <v>76.59</v>
      </c>
      <c r="Y72">
        <v>0.09</v>
      </c>
      <c r="AP72" t="s">
        <v>1350</v>
      </c>
      <c r="AQ72">
        <v>0</v>
      </c>
      <c r="AS72" t="s">
        <v>1642</v>
      </c>
      <c r="AT72" t="s">
        <v>1643</v>
      </c>
      <c r="AZ72" s="494">
        <v>46079</v>
      </c>
      <c r="BA72">
        <v>70</v>
      </c>
      <c r="BO72" t="s">
        <v>1644</v>
      </c>
      <c r="BP72" t="s">
        <v>1644</v>
      </c>
      <c r="BQ72" t="s">
        <v>1355</v>
      </c>
      <c r="BR72" t="s">
        <v>1355</v>
      </c>
      <c r="BS72" t="s">
        <v>1355</v>
      </c>
      <c r="BV72">
        <v>141.93</v>
      </c>
    </row>
    <row r="73" spans="1:74" customFormat="1" ht="15" x14ac:dyDescent="0.25">
      <c r="A73" s="1052" t="s">
        <v>2588</v>
      </c>
      <c r="B73" t="s">
        <v>1645</v>
      </c>
      <c r="C73" t="s">
        <v>1646</v>
      </c>
      <c r="D73" t="s">
        <v>1647</v>
      </c>
      <c r="E73" t="s">
        <v>195</v>
      </c>
      <c r="F73" t="s">
        <v>195</v>
      </c>
      <c r="G73" t="s">
        <v>1254</v>
      </c>
      <c r="H73" t="s">
        <v>1341</v>
      </c>
      <c r="I73">
        <v>63132.6</v>
      </c>
      <c r="J73" t="s">
        <v>18</v>
      </c>
      <c r="K73">
        <v>63132.6</v>
      </c>
      <c r="L73" t="s">
        <v>18</v>
      </c>
      <c r="M73">
        <v>63132.6</v>
      </c>
      <c r="N73" t="s">
        <v>18</v>
      </c>
      <c r="O73">
        <v>-1403.5200000000041</v>
      </c>
      <c r="P73">
        <v>-1403.5200000000041</v>
      </c>
      <c r="Q73">
        <v>-2.1747821220116799</v>
      </c>
      <c r="R73">
        <v>-2.1747821220116799</v>
      </c>
      <c r="T73" t="s">
        <v>1648</v>
      </c>
      <c r="U73" s="494">
        <v>46087</v>
      </c>
      <c r="V73">
        <v>244.7</v>
      </c>
      <c r="W73">
        <v>258</v>
      </c>
      <c r="X73">
        <v>250.14</v>
      </c>
      <c r="Y73">
        <v>0.28000000000000003</v>
      </c>
      <c r="AP73" t="s">
        <v>1350</v>
      </c>
      <c r="AQ73">
        <v>0</v>
      </c>
      <c r="AS73" t="s">
        <v>1649</v>
      </c>
      <c r="AT73" t="s">
        <v>1650</v>
      </c>
      <c r="AZ73" s="494">
        <v>46080</v>
      </c>
      <c r="BA73">
        <v>60</v>
      </c>
      <c r="BO73" t="s">
        <v>1377</v>
      </c>
      <c r="BP73" t="s">
        <v>1448</v>
      </c>
      <c r="BQ73" t="s">
        <v>1355</v>
      </c>
      <c r="BR73" t="s">
        <v>1355</v>
      </c>
      <c r="BS73" t="s">
        <v>1355</v>
      </c>
      <c r="BV73">
        <v>-3720.36</v>
      </c>
    </row>
    <row r="74" spans="1:74" customFormat="1" ht="15" x14ac:dyDescent="0.25">
      <c r="A74" s="1052" t="s">
        <v>2587</v>
      </c>
      <c r="B74" t="s">
        <v>1651</v>
      </c>
      <c r="C74" t="s">
        <v>1652</v>
      </c>
      <c r="D74" t="s">
        <v>1653</v>
      </c>
      <c r="E74" t="s">
        <v>195</v>
      </c>
      <c r="F74" t="s">
        <v>195</v>
      </c>
      <c r="G74" t="s">
        <v>1254</v>
      </c>
      <c r="H74" t="s">
        <v>1341</v>
      </c>
      <c r="I74">
        <v>19022.64</v>
      </c>
      <c r="J74" t="s">
        <v>18</v>
      </c>
      <c r="K74">
        <v>19022.64</v>
      </c>
      <c r="L74" t="s">
        <v>18</v>
      </c>
      <c r="M74">
        <v>19022.64</v>
      </c>
      <c r="N74" t="s">
        <v>18</v>
      </c>
      <c r="O74">
        <v>-190.31999999999971</v>
      </c>
      <c r="P74">
        <v>-190.31999999999971</v>
      </c>
      <c r="Q74">
        <v>-0.99058135758362964</v>
      </c>
      <c r="R74">
        <v>-0.99058135758362964</v>
      </c>
      <c r="T74" t="s">
        <v>1654</v>
      </c>
      <c r="U74" s="494">
        <v>46087</v>
      </c>
      <c r="V74">
        <v>30.484999999999999</v>
      </c>
      <c r="W74">
        <v>624</v>
      </c>
      <c r="X74">
        <v>30.79</v>
      </c>
      <c r="Y74">
        <v>0.09</v>
      </c>
      <c r="AP74" t="s">
        <v>1350</v>
      </c>
      <c r="AQ74">
        <v>0</v>
      </c>
      <c r="AS74" t="s">
        <v>1655</v>
      </c>
      <c r="AT74" t="s">
        <v>1656</v>
      </c>
      <c r="AZ74" s="494">
        <v>46079</v>
      </c>
      <c r="BA74">
        <v>70</v>
      </c>
      <c r="BO74" t="s">
        <v>308</v>
      </c>
      <c r="BP74" t="s">
        <v>2157</v>
      </c>
      <c r="BQ74" t="s">
        <v>1355</v>
      </c>
      <c r="BR74" t="s">
        <v>1355</v>
      </c>
      <c r="BS74" t="s">
        <v>1355</v>
      </c>
      <c r="BV74">
        <v>698.88</v>
      </c>
    </row>
    <row r="75" spans="1:74" customFormat="1" ht="15" x14ac:dyDescent="0.25">
      <c r="A75" s="1052" t="s">
        <v>2587</v>
      </c>
      <c r="B75" t="s">
        <v>1657</v>
      </c>
      <c r="C75" t="s">
        <v>1658</v>
      </c>
      <c r="D75" t="s">
        <v>1659</v>
      </c>
      <c r="E75" t="s">
        <v>195</v>
      </c>
      <c r="F75" t="s">
        <v>195</v>
      </c>
      <c r="G75" t="s">
        <v>1254</v>
      </c>
      <c r="H75" t="s">
        <v>1341</v>
      </c>
      <c r="I75">
        <v>60582.61</v>
      </c>
      <c r="J75" t="s">
        <v>18</v>
      </c>
      <c r="K75">
        <v>60582.61</v>
      </c>
      <c r="L75" t="s">
        <v>18</v>
      </c>
      <c r="M75">
        <v>60582.61</v>
      </c>
      <c r="N75" t="s">
        <v>18</v>
      </c>
      <c r="O75">
        <v>4037.4700000000012</v>
      </c>
      <c r="P75">
        <v>4037.4700000000012</v>
      </c>
      <c r="Q75">
        <v>7.1402599763657868</v>
      </c>
      <c r="R75">
        <v>7.1402599763657868</v>
      </c>
      <c r="T75" t="s">
        <v>1660</v>
      </c>
      <c r="U75" s="494">
        <v>46087</v>
      </c>
      <c r="V75">
        <v>117.86499999999999</v>
      </c>
      <c r="W75">
        <v>514</v>
      </c>
      <c r="X75">
        <v>110.01</v>
      </c>
      <c r="Y75">
        <v>0.27</v>
      </c>
      <c r="AP75" t="s">
        <v>1350</v>
      </c>
      <c r="AQ75">
        <v>0</v>
      </c>
      <c r="AS75" t="s">
        <v>1661</v>
      </c>
      <c r="AT75" t="s">
        <v>1662</v>
      </c>
      <c r="AZ75" s="494">
        <v>46079</v>
      </c>
      <c r="BA75">
        <v>70</v>
      </c>
      <c r="BO75" t="s">
        <v>1504</v>
      </c>
      <c r="BP75" t="s">
        <v>1504</v>
      </c>
      <c r="BQ75" t="s">
        <v>1355</v>
      </c>
      <c r="BR75" t="s">
        <v>1355</v>
      </c>
      <c r="BS75" t="s">
        <v>1355</v>
      </c>
      <c r="BV75">
        <v>3628.84</v>
      </c>
    </row>
    <row r="76" spans="1:74" customFormat="1" ht="15" x14ac:dyDescent="0.25">
      <c r="A76" s="1052" t="s">
        <v>2588</v>
      </c>
      <c r="B76" t="s">
        <v>2305</v>
      </c>
      <c r="C76" t="s">
        <v>2306</v>
      </c>
      <c r="D76" t="s">
        <v>2307</v>
      </c>
      <c r="E76" t="s">
        <v>195</v>
      </c>
      <c r="F76" t="s">
        <v>195</v>
      </c>
      <c r="G76" t="s">
        <v>1254</v>
      </c>
      <c r="H76" t="s">
        <v>1341</v>
      </c>
      <c r="I76">
        <v>34233.675000000003</v>
      </c>
      <c r="J76" t="s">
        <v>18</v>
      </c>
      <c r="K76">
        <v>34233.675000000003</v>
      </c>
      <c r="L76" t="s">
        <v>18</v>
      </c>
      <c r="M76">
        <v>34233.675000000003</v>
      </c>
      <c r="N76" t="s">
        <v>18</v>
      </c>
      <c r="O76">
        <v>-7425.9850000000006</v>
      </c>
      <c r="P76">
        <v>-7425.9850000000006</v>
      </c>
      <c r="Q76">
        <v>-17.825361512791989</v>
      </c>
      <c r="R76">
        <v>-17.825361512791989</v>
      </c>
      <c r="T76" t="s">
        <v>2308</v>
      </c>
      <c r="U76" s="494">
        <v>46087</v>
      </c>
      <c r="V76">
        <v>14.775</v>
      </c>
      <c r="W76">
        <v>2317</v>
      </c>
      <c r="X76">
        <v>17.98</v>
      </c>
      <c r="Y76">
        <v>0.15</v>
      </c>
      <c r="AP76" t="s">
        <v>1350</v>
      </c>
      <c r="AQ76">
        <v>0</v>
      </c>
      <c r="AS76" t="s">
        <v>2309</v>
      </c>
      <c r="AT76" t="s">
        <v>2310</v>
      </c>
      <c r="AZ76" s="494">
        <v>46080</v>
      </c>
      <c r="BA76">
        <v>70</v>
      </c>
      <c r="BO76" t="s">
        <v>1377</v>
      </c>
      <c r="BP76" t="s">
        <v>1378</v>
      </c>
      <c r="BQ76" t="s">
        <v>1355</v>
      </c>
      <c r="BR76" t="s">
        <v>1355</v>
      </c>
      <c r="BS76" t="s">
        <v>1355</v>
      </c>
      <c r="BV76">
        <v>-7229.04</v>
      </c>
    </row>
    <row r="77" spans="1:74" customFormat="1" ht="15" x14ac:dyDescent="0.25">
      <c r="A77" s="1052" t="s">
        <v>2587</v>
      </c>
      <c r="B77" t="s">
        <v>1663</v>
      </c>
      <c r="C77" t="s">
        <v>1664</v>
      </c>
      <c r="D77" t="s">
        <v>1665</v>
      </c>
      <c r="E77" t="s">
        <v>195</v>
      </c>
      <c r="F77" t="s">
        <v>195</v>
      </c>
      <c r="G77" t="s">
        <v>1254</v>
      </c>
      <c r="H77" t="s">
        <v>1341</v>
      </c>
      <c r="I77">
        <v>36557.4</v>
      </c>
      <c r="J77" t="s">
        <v>18</v>
      </c>
      <c r="K77">
        <v>36557.4</v>
      </c>
      <c r="L77" t="s">
        <v>18</v>
      </c>
      <c r="M77">
        <v>36557.4</v>
      </c>
      <c r="N77" t="s">
        <v>18</v>
      </c>
      <c r="O77">
        <v>-9967.2999999999956</v>
      </c>
      <c r="P77">
        <v>-9967.2999999999956</v>
      </c>
      <c r="Q77">
        <v>-21.423673876457013</v>
      </c>
      <c r="R77">
        <v>-21.423673876457013</v>
      </c>
      <c r="T77" t="s">
        <v>1666</v>
      </c>
      <c r="U77" s="494">
        <v>46087</v>
      </c>
      <c r="V77">
        <v>126.06</v>
      </c>
      <c r="W77">
        <v>290</v>
      </c>
      <c r="X77">
        <v>160.43</v>
      </c>
      <c r="Y77">
        <v>0.16</v>
      </c>
      <c r="AP77" t="s">
        <v>1350</v>
      </c>
      <c r="AQ77">
        <v>0</v>
      </c>
      <c r="AS77" t="s">
        <v>1667</v>
      </c>
      <c r="AT77" t="s">
        <v>1668</v>
      </c>
      <c r="AZ77" s="494">
        <v>46079</v>
      </c>
      <c r="BA77">
        <v>70</v>
      </c>
      <c r="BO77" t="s">
        <v>1377</v>
      </c>
      <c r="BP77" t="s">
        <v>1448</v>
      </c>
      <c r="BQ77" t="s">
        <v>1355</v>
      </c>
      <c r="BR77" t="s">
        <v>1355</v>
      </c>
      <c r="BS77" t="s">
        <v>1355</v>
      </c>
      <c r="BV77">
        <v>-10770.6</v>
      </c>
    </row>
    <row r="78" spans="1:74" customFormat="1" ht="15" x14ac:dyDescent="0.25">
      <c r="A78" s="1052" t="s">
        <v>2588</v>
      </c>
      <c r="B78" t="s">
        <v>1669</v>
      </c>
      <c r="C78" t="s">
        <v>1670</v>
      </c>
      <c r="D78" t="s">
        <v>1671</v>
      </c>
      <c r="E78" t="s">
        <v>195</v>
      </c>
      <c r="F78" t="s">
        <v>195</v>
      </c>
      <c r="G78" t="s">
        <v>1254</v>
      </c>
      <c r="H78" t="s">
        <v>1341</v>
      </c>
      <c r="I78">
        <v>41472.959999999999</v>
      </c>
      <c r="J78" t="s">
        <v>18</v>
      </c>
      <c r="K78">
        <v>41472.959999999999</v>
      </c>
      <c r="L78" t="s">
        <v>18</v>
      </c>
      <c r="M78">
        <v>41472.959999999999</v>
      </c>
      <c r="N78" t="s">
        <v>18</v>
      </c>
      <c r="O78">
        <v>4887.3600000000006</v>
      </c>
      <c r="P78">
        <v>4887.3600000000006</v>
      </c>
      <c r="Q78">
        <v>13.358698504329574</v>
      </c>
      <c r="R78">
        <v>13.358698504329574</v>
      </c>
      <c r="T78" t="s">
        <v>1672</v>
      </c>
      <c r="U78" s="494">
        <v>46087</v>
      </c>
      <c r="V78">
        <v>432.01</v>
      </c>
      <c r="W78">
        <v>96</v>
      </c>
      <c r="X78">
        <v>381.1</v>
      </c>
      <c r="Y78">
        <v>0.19</v>
      </c>
      <c r="AP78" t="s">
        <v>1350</v>
      </c>
      <c r="AQ78">
        <v>0</v>
      </c>
      <c r="AS78" t="s">
        <v>1673</v>
      </c>
      <c r="AT78" t="s">
        <v>1674</v>
      </c>
      <c r="AZ78" s="494">
        <v>46080</v>
      </c>
      <c r="BA78">
        <v>70</v>
      </c>
      <c r="BO78" t="s">
        <v>1377</v>
      </c>
      <c r="BP78" t="s">
        <v>1378</v>
      </c>
      <c r="BQ78" t="s">
        <v>1355</v>
      </c>
      <c r="BR78" t="s">
        <v>1355</v>
      </c>
      <c r="BS78" t="s">
        <v>1355</v>
      </c>
      <c r="BV78">
        <v>4597.4390400000002</v>
      </c>
    </row>
    <row r="79" spans="1:74" customFormat="1" ht="15" x14ac:dyDescent="0.25">
      <c r="A79" s="1052" t="s">
        <v>2587</v>
      </c>
      <c r="B79" t="s">
        <v>1675</v>
      </c>
      <c r="C79" t="s">
        <v>1676</v>
      </c>
      <c r="D79" t="s">
        <v>1677</v>
      </c>
      <c r="E79" t="s">
        <v>195</v>
      </c>
      <c r="F79" t="s">
        <v>195</v>
      </c>
      <c r="G79" t="s">
        <v>1254</v>
      </c>
      <c r="H79" t="s">
        <v>1341</v>
      </c>
      <c r="I79">
        <v>24570.945</v>
      </c>
      <c r="J79" t="s">
        <v>18</v>
      </c>
      <c r="K79">
        <v>24570.945</v>
      </c>
      <c r="L79" t="s">
        <v>18</v>
      </c>
      <c r="M79">
        <v>24570.945</v>
      </c>
      <c r="N79" t="s">
        <v>18</v>
      </c>
      <c r="O79">
        <v>113.95499999999447</v>
      </c>
      <c r="P79">
        <v>113.95499999999447</v>
      </c>
      <c r="Q79">
        <v>0.46594041212755311</v>
      </c>
      <c r="R79">
        <v>0.46594041212755311</v>
      </c>
      <c r="T79" t="s">
        <v>1678</v>
      </c>
      <c r="U79" s="494">
        <v>46087</v>
      </c>
      <c r="V79">
        <v>76.545000000000002</v>
      </c>
      <c r="W79">
        <v>321</v>
      </c>
      <c r="X79">
        <v>76.19</v>
      </c>
      <c r="Y79">
        <v>0.11</v>
      </c>
      <c r="AP79" t="s">
        <v>1350</v>
      </c>
      <c r="AQ79">
        <v>0</v>
      </c>
      <c r="AS79" t="s">
        <v>1679</v>
      </c>
      <c r="AT79" t="s">
        <v>1680</v>
      </c>
      <c r="AZ79" s="494">
        <v>46079</v>
      </c>
      <c r="BA79">
        <v>70</v>
      </c>
      <c r="BO79" t="s">
        <v>1362</v>
      </c>
      <c r="BP79" t="s">
        <v>1363</v>
      </c>
      <c r="BQ79" t="s">
        <v>1355</v>
      </c>
      <c r="BR79" t="s">
        <v>1355</v>
      </c>
      <c r="BS79" t="s">
        <v>1355</v>
      </c>
      <c r="BV79">
        <v>555.33000000000004</v>
      </c>
    </row>
    <row r="80" spans="1:74" customFormat="1" ht="15" x14ac:dyDescent="0.25">
      <c r="A80" s="1052" t="s">
        <v>2586</v>
      </c>
      <c r="B80" t="s">
        <v>1681</v>
      </c>
      <c r="C80" t="s">
        <v>1682</v>
      </c>
      <c r="D80" t="s">
        <v>1683</v>
      </c>
      <c r="E80" t="s">
        <v>195</v>
      </c>
      <c r="F80" t="s">
        <v>195</v>
      </c>
      <c r="G80" t="s">
        <v>1254</v>
      </c>
      <c r="H80" t="s">
        <v>1341</v>
      </c>
      <c r="I80">
        <v>90883.98</v>
      </c>
      <c r="J80" t="s">
        <v>18</v>
      </c>
      <c r="K80">
        <v>90883.98</v>
      </c>
      <c r="L80" t="s">
        <v>18</v>
      </c>
      <c r="M80">
        <v>90883.98</v>
      </c>
      <c r="N80" t="s">
        <v>18</v>
      </c>
      <c r="O80">
        <v>-7404.7400000000052</v>
      </c>
      <c r="P80">
        <v>-7404.7400000000052</v>
      </c>
      <c r="Q80">
        <v>-7.5336620519628346</v>
      </c>
      <c r="R80">
        <v>-7.5336620519628346</v>
      </c>
      <c r="T80" t="s">
        <v>1684</v>
      </c>
      <c r="U80" s="494">
        <v>46087</v>
      </c>
      <c r="V80">
        <v>195.03</v>
      </c>
      <c r="W80">
        <v>466</v>
      </c>
      <c r="X80">
        <v>210.92</v>
      </c>
      <c r="Y80">
        <v>0.41</v>
      </c>
      <c r="AP80" t="s">
        <v>1350</v>
      </c>
      <c r="AQ80">
        <v>0</v>
      </c>
      <c r="AS80" t="s">
        <v>1685</v>
      </c>
      <c r="AT80" t="s">
        <v>1686</v>
      </c>
      <c r="AZ80" s="494">
        <v>46077</v>
      </c>
      <c r="BA80">
        <v>70</v>
      </c>
      <c r="BO80" t="s">
        <v>1362</v>
      </c>
      <c r="BP80" t="s">
        <v>1370</v>
      </c>
      <c r="BQ80" t="s">
        <v>1355</v>
      </c>
      <c r="BR80" t="s">
        <v>1355</v>
      </c>
      <c r="BS80" t="s">
        <v>1355</v>
      </c>
      <c r="BV80">
        <v>-7185.72</v>
      </c>
    </row>
    <row r="81" spans="1:74" customFormat="1" ht="15" x14ac:dyDescent="0.25">
      <c r="A81" s="1052" t="s">
        <v>2587</v>
      </c>
      <c r="B81" t="s">
        <v>1681</v>
      </c>
      <c r="C81" t="s">
        <v>1682</v>
      </c>
      <c r="D81" t="s">
        <v>1683</v>
      </c>
      <c r="E81" t="s">
        <v>195</v>
      </c>
      <c r="F81" t="s">
        <v>195</v>
      </c>
      <c r="G81" t="s">
        <v>1254</v>
      </c>
      <c r="H81" t="s">
        <v>1341</v>
      </c>
      <c r="I81">
        <v>18527.849999999999</v>
      </c>
      <c r="J81" t="s">
        <v>18</v>
      </c>
      <c r="K81">
        <v>18527.849999999999</v>
      </c>
      <c r="L81" t="s">
        <v>18</v>
      </c>
      <c r="M81">
        <v>18527.849999999999</v>
      </c>
      <c r="N81" t="s">
        <v>18</v>
      </c>
      <c r="O81">
        <v>-1376.5500000000029</v>
      </c>
      <c r="P81">
        <v>-1376.5500000000029</v>
      </c>
      <c r="Q81">
        <v>-6.9158075601374716</v>
      </c>
      <c r="R81">
        <v>-6.9158075601374716</v>
      </c>
      <c r="T81" t="s">
        <v>1684</v>
      </c>
      <c r="U81" s="494">
        <v>46087</v>
      </c>
      <c r="V81">
        <v>195.03</v>
      </c>
      <c r="W81">
        <v>95</v>
      </c>
      <c r="X81">
        <v>209.52</v>
      </c>
      <c r="Y81">
        <v>0.08</v>
      </c>
      <c r="AP81" t="s">
        <v>1350</v>
      </c>
      <c r="AQ81">
        <v>0</v>
      </c>
      <c r="AS81" t="s">
        <v>1685</v>
      </c>
      <c r="AT81" t="s">
        <v>1686</v>
      </c>
      <c r="AZ81" s="494">
        <v>46079</v>
      </c>
      <c r="BA81">
        <v>70</v>
      </c>
      <c r="BO81" t="s">
        <v>1362</v>
      </c>
      <c r="BP81" t="s">
        <v>1370</v>
      </c>
      <c r="BQ81" t="s">
        <v>1355</v>
      </c>
      <c r="BR81" t="s">
        <v>1355</v>
      </c>
      <c r="BS81" t="s">
        <v>1355</v>
      </c>
      <c r="BV81">
        <v>-1331.9</v>
      </c>
    </row>
    <row r="82" spans="1:74" customFormat="1" ht="15" x14ac:dyDescent="0.25">
      <c r="A82" s="1052" t="s">
        <v>2589</v>
      </c>
      <c r="B82" t="s">
        <v>2590</v>
      </c>
      <c r="C82" t="s">
        <v>1687</v>
      </c>
      <c r="D82" t="s">
        <v>1688</v>
      </c>
      <c r="E82" t="s">
        <v>195</v>
      </c>
      <c r="F82" t="s">
        <v>1255</v>
      </c>
      <c r="G82" t="s">
        <v>1255</v>
      </c>
      <c r="H82" t="s">
        <v>1341</v>
      </c>
      <c r="I82">
        <v>616451.22</v>
      </c>
      <c r="J82" t="s">
        <v>18</v>
      </c>
      <c r="K82">
        <v>616451.22</v>
      </c>
      <c r="L82" t="s">
        <v>18</v>
      </c>
      <c r="M82">
        <v>616451.22</v>
      </c>
      <c r="N82" t="s">
        <v>18</v>
      </c>
      <c r="O82">
        <v>-23743.439999999999</v>
      </c>
      <c r="P82">
        <v>-23743.439999999999</v>
      </c>
      <c r="Q82">
        <v>-3.7088000000000001</v>
      </c>
      <c r="R82">
        <v>-3.7088000000000001</v>
      </c>
      <c r="T82" t="s">
        <v>2591</v>
      </c>
      <c r="U82" s="494">
        <v>46087</v>
      </c>
      <c r="V82">
        <v>60.83</v>
      </c>
      <c r="W82">
        <v>10134</v>
      </c>
      <c r="X82">
        <v>63.17</v>
      </c>
      <c r="Y82">
        <v>2.78</v>
      </c>
      <c r="AP82" t="s">
        <v>2592</v>
      </c>
      <c r="AQ82">
        <v>0</v>
      </c>
      <c r="AT82" t="s">
        <v>2593</v>
      </c>
      <c r="AZ82" s="494">
        <v>46015</v>
      </c>
      <c r="BA82">
        <v>75</v>
      </c>
      <c r="BO82" t="s">
        <v>1362</v>
      </c>
      <c r="BP82" t="s">
        <v>2594</v>
      </c>
      <c r="BQ82" t="s">
        <v>1355</v>
      </c>
      <c r="BR82" t="s">
        <v>1355</v>
      </c>
      <c r="BS82" t="s">
        <v>1355</v>
      </c>
      <c r="BV82">
        <v>-23743.439999999999</v>
      </c>
    </row>
    <row r="83" spans="1:74" customFormat="1" ht="15" x14ac:dyDescent="0.25">
      <c r="A83" s="1052" t="s">
        <v>2587</v>
      </c>
      <c r="B83" t="s">
        <v>1689</v>
      </c>
      <c r="C83" t="s">
        <v>1690</v>
      </c>
      <c r="D83" t="s">
        <v>1691</v>
      </c>
      <c r="E83" t="s">
        <v>195</v>
      </c>
      <c r="F83" t="s">
        <v>195</v>
      </c>
      <c r="G83" t="s">
        <v>1254</v>
      </c>
      <c r="H83" t="s">
        <v>1341</v>
      </c>
      <c r="I83">
        <v>42093.36</v>
      </c>
      <c r="J83" t="s">
        <v>18</v>
      </c>
      <c r="K83">
        <v>42093.36</v>
      </c>
      <c r="L83" t="s">
        <v>18</v>
      </c>
      <c r="M83">
        <v>42093.36</v>
      </c>
      <c r="N83" t="s">
        <v>18</v>
      </c>
      <c r="O83">
        <v>-2806.5599999999977</v>
      </c>
      <c r="P83">
        <v>-2806.5599999999977</v>
      </c>
      <c r="Q83">
        <v>-6.250701560270036</v>
      </c>
      <c r="R83">
        <v>-6.250701560270036</v>
      </c>
      <c r="T83" t="s">
        <v>1692</v>
      </c>
      <c r="U83" s="494">
        <v>46087</v>
      </c>
      <c r="V83">
        <v>584.63</v>
      </c>
      <c r="W83">
        <v>72</v>
      </c>
      <c r="X83">
        <v>623.61</v>
      </c>
      <c r="Y83">
        <v>0.19</v>
      </c>
      <c r="AP83" t="s">
        <v>1350</v>
      </c>
      <c r="AQ83">
        <v>0</v>
      </c>
      <c r="AS83" t="s">
        <v>1693</v>
      </c>
      <c r="AT83" t="s">
        <v>1694</v>
      </c>
      <c r="AZ83" s="494">
        <v>46079</v>
      </c>
      <c r="BA83">
        <v>70</v>
      </c>
      <c r="BO83" t="s">
        <v>1353</v>
      </c>
      <c r="BP83" t="s">
        <v>1354</v>
      </c>
      <c r="BQ83" t="s">
        <v>1355</v>
      </c>
      <c r="BR83" t="s">
        <v>1355</v>
      </c>
      <c r="BS83" t="s">
        <v>1355</v>
      </c>
      <c r="BV83">
        <v>-2436.47856</v>
      </c>
    </row>
    <row r="84" spans="1:74" customFormat="1" ht="15" x14ac:dyDescent="0.25">
      <c r="A84" s="1052" t="s">
        <v>2587</v>
      </c>
      <c r="B84" t="s">
        <v>1695</v>
      </c>
      <c r="C84" t="s">
        <v>1696</v>
      </c>
      <c r="D84" t="s">
        <v>1697</v>
      </c>
      <c r="E84" t="s">
        <v>195</v>
      </c>
      <c r="F84" t="s">
        <v>195</v>
      </c>
      <c r="G84" t="s">
        <v>1254</v>
      </c>
      <c r="H84" t="s">
        <v>1341</v>
      </c>
      <c r="I84">
        <v>32510.399999999998</v>
      </c>
      <c r="J84" t="s">
        <v>18</v>
      </c>
      <c r="K84">
        <v>32510.399999999998</v>
      </c>
      <c r="L84" t="s">
        <v>18</v>
      </c>
      <c r="M84">
        <v>32510.399999999998</v>
      </c>
      <c r="N84" t="s">
        <v>18</v>
      </c>
      <c r="O84">
        <v>-609.57000000000335</v>
      </c>
      <c r="P84">
        <v>-609.57000000000335</v>
      </c>
      <c r="Q84">
        <v>-1.8404907975460225</v>
      </c>
      <c r="R84">
        <v>-1.8404907975460225</v>
      </c>
      <c r="T84" t="s">
        <v>1698</v>
      </c>
      <c r="U84" s="494">
        <v>46087</v>
      </c>
      <c r="V84">
        <v>62.4</v>
      </c>
      <c r="W84">
        <v>521</v>
      </c>
      <c r="X84">
        <v>63.57</v>
      </c>
      <c r="Y84">
        <v>0.15</v>
      </c>
      <c r="AP84" t="s">
        <v>1350</v>
      </c>
      <c r="AQ84">
        <v>0</v>
      </c>
      <c r="AS84" t="s">
        <v>1699</v>
      </c>
      <c r="AT84" t="s">
        <v>1700</v>
      </c>
      <c r="AZ84" s="494">
        <v>46079</v>
      </c>
      <c r="BA84">
        <v>70</v>
      </c>
      <c r="BO84" t="s">
        <v>1644</v>
      </c>
      <c r="BP84" t="s">
        <v>1644</v>
      </c>
      <c r="BQ84" t="s">
        <v>1355</v>
      </c>
      <c r="BR84" t="s">
        <v>1355</v>
      </c>
      <c r="BS84" t="s">
        <v>1355</v>
      </c>
      <c r="BV84">
        <v>-171.93</v>
      </c>
    </row>
    <row r="85" spans="1:74" customFormat="1" ht="15" x14ac:dyDescent="0.25">
      <c r="A85" s="1052" t="s">
        <v>2587</v>
      </c>
      <c r="B85" t="s">
        <v>1701</v>
      </c>
      <c r="C85" t="s">
        <v>1702</v>
      </c>
      <c r="D85" t="s">
        <v>1703</v>
      </c>
      <c r="E85" t="s">
        <v>195</v>
      </c>
      <c r="F85" t="s">
        <v>195</v>
      </c>
      <c r="G85" t="s">
        <v>1254</v>
      </c>
      <c r="H85" t="s">
        <v>1341</v>
      </c>
      <c r="I85">
        <v>36867.89</v>
      </c>
      <c r="J85" t="s">
        <v>18</v>
      </c>
      <c r="K85">
        <v>36867.89</v>
      </c>
      <c r="L85" t="s">
        <v>18</v>
      </c>
      <c r="M85">
        <v>36867.89</v>
      </c>
      <c r="N85" t="s">
        <v>18</v>
      </c>
      <c r="O85">
        <v>-4170.239999999998</v>
      </c>
      <c r="P85">
        <v>-4170.239999999998</v>
      </c>
      <c r="Q85">
        <v>-10.161866537291047</v>
      </c>
      <c r="R85">
        <v>-10.161866537291047</v>
      </c>
      <c r="T85" t="s">
        <v>1704</v>
      </c>
      <c r="U85" s="494">
        <v>46087</v>
      </c>
      <c r="V85">
        <v>203.69</v>
      </c>
      <c r="W85">
        <v>181</v>
      </c>
      <c r="X85">
        <v>226.73</v>
      </c>
      <c r="Y85">
        <v>0.17</v>
      </c>
      <c r="AP85" t="s">
        <v>1350</v>
      </c>
      <c r="AQ85">
        <v>0</v>
      </c>
      <c r="AS85" t="s">
        <v>1705</v>
      </c>
      <c r="AT85" t="s">
        <v>1706</v>
      </c>
      <c r="AZ85" s="494">
        <v>46079</v>
      </c>
      <c r="BA85">
        <v>70</v>
      </c>
      <c r="BO85" t="s">
        <v>1353</v>
      </c>
      <c r="BP85" t="s">
        <v>1354</v>
      </c>
      <c r="BQ85" t="s">
        <v>1355</v>
      </c>
      <c r="BR85" t="s">
        <v>1355</v>
      </c>
      <c r="BS85" t="s">
        <v>1355</v>
      </c>
      <c r="BV85">
        <v>-3314.11</v>
      </c>
    </row>
    <row r="86" spans="1:74" customFormat="1" ht="15" x14ac:dyDescent="0.25">
      <c r="A86" s="1052" t="s">
        <v>2588</v>
      </c>
      <c r="B86" t="s">
        <v>1707</v>
      </c>
      <c r="C86" t="s">
        <v>1708</v>
      </c>
      <c r="D86" t="s">
        <v>1709</v>
      </c>
      <c r="E86" t="s">
        <v>195</v>
      </c>
      <c r="F86" t="s">
        <v>195</v>
      </c>
      <c r="G86" t="s">
        <v>1254</v>
      </c>
      <c r="H86" t="s">
        <v>1341</v>
      </c>
      <c r="I86">
        <v>45960.69</v>
      </c>
      <c r="J86" t="s">
        <v>18</v>
      </c>
      <c r="K86">
        <v>45960.69</v>
      </c>
      <c r="L86" t="s">
        <v>18</v>
      </c>
      <c r="M86">
        <v>45960.69</v>
      </c>
      <c r="N86" t="s">
        <v>18</v>
      </c>
      <c r="O86">
        <v>2667.8400000000038</v>
      </c>
      <c r="P86">
        <v>2667.8400000000038</v>
      </c>
      <c r="Q86">
        <v>6.1623108665749742</v>
      </c>
      <c r="R86">
        <v>6.1623108665749742</v>
      </c>
      <c r="T86" t="s">
        <v>1710</v>
      </c>
      <c r="U86" s="494">
        <v>46087</v>
      </c>
      <c r="V86">
        <v>38.590000000000003</v>
      </c>
      <c r="W86">
        <v>1191</v>
      </c>
      <c r="X86">
        <v>36.35</v>
      </c>
      <c r="Y86">
        <v>0.21</v>
      </c>
      <c r="AP86" t="s">
        <v>1350</v>
      </c>
      <c r="AQ86">
        <v>0</v>
      </c>
      <c r="AS86" t="s">
        <v>1711</v>
      </c>
      <c r="AT86" t="s">
        <v>1712</v>
      </c>
      <c r="AZ86" s="494">
        <v>46080</v>
      </c>
      <c r="BA86">
        <v>70</v>
      </c>
      <c r="BO86" t="s">
        <v>1377</v>
      </c>
      <c r="BP86" t="s">
        <v>1378</v>
      </c>
      <c r="BQ86" t="s">
        <v>1355</v>
      </c>
      <c r="BR86" t="s">
        <v>1355</v>
      </c>
      <c r="BS86" t="s">
        <v>1355</v>
      </c>
      <c r="BV86">
        <v>3489.63</v>
      </c>
    </row>
    <row r="87" spans="1:74" customFormat="1" ht="15" x14ac:dyDescent="0.25">
      <c r="A87" s="1052" t="s">
        <v>2587</v>
      </c>
      <c r="B87" t="s">
        <v>1713</v>
      </c>
      <c r="C87" t="s">
        <v>1714</v>
      </c>
      <c r="D87" t="s">
        <v>1715</v>
      </c>
      <c r="E87" t="s">
        <v>195</v>
      </c>
      <c r="F87" t="s">
        <v>195</v>
      </c>
      <c r="G87" t="s">
        <v>1254</v>
      </c>
      <c r="H87" t="s">
        <v>1341</v>
      </c>
      <c r="I87">
        <v>43580.049999999996</v>
      </c>
      <c r="J87" t="s">
        <v>18</v>
      </c>
      <c r="K87">
        <v>43580.049999999996</v>
      </c>
      <c r="L87" t="s">
        <v>18</v>
      </c>
      <c r="M87">
        <v>43580.049999999996</v>
      </c>
      <c r="N87" t="s">
        <v>18</v>
      </c>
      <c r="O87">
        <v>-3858.260000000002</v>
      </c>
      <c r="P87">
        <v>-3858.260000000002</v>
      </c>
      <c r="Q87">
        <v>-8.1332155382432525</v>
      </c>
      <c r="R87">
        <v>-8.1332155382432525</v>
      </c>
      <c r="T87" t="s">
        <v>1716</v>
      </c>
      <c r="U87" s="494">
        <v>46087</v>
      </c>
      <c r="V87">
        <v>343.15</v>
      </c>
      <c r="W87">
        <v>127</v>
      </c>
      <c r="X87">
        <v>373.53</v>
      </c>
      <c r="Y87">
        <v>0.2</v>
      </c>
      <c r="AP87" t="s">
        <v>1350</v>
      </c>
      <c r="AQ87">
        <v>0</v>
      </c>
      <c r="AS87" t="s">
        <v>1717</v>
      </c>
      <c r="AT87" t="s">
        <v>1718</v>
      </c>
      <c r="AZ87" s="494">
        <v>46079</v>
      </c>
      <c r="BA87">
        <v>70</v>
      </c>
      <c r="BO87" t="s">
        <v>1353</v>
      </c>
      <c r="BP87" t="s">
        <v>1354</v>
      </c>
      <c r="BQ87" t="s">
        <v>1355</v>
      </c>
      <c r="BR87" t="s">
        <v>1355</v>
      </c>
      <c r="BS87" t="s">
        <v>1355</v>
      </c>
      <c r="BV87">
        <v>-3274.06</v>
      </c>
    </row>
    <row r="88" spans="1:74" customFormat="1" ht="15" x14ac:dyDescent="0.25">
      <c r="A88" s="1052" t="s">
        <v>2586</v>
      </c>
      <c r="B88" t="s">
        <v>1719</v>
      </c>
      <c r="C88" t="s">
        <v>1720</v>
      </c>
      <c r="D88" t="s">
        <v>1721</v>
      </c>
      <c r="E88" t="s">
        <v>195</v>
      </c>
      <c r="F88" t="s">
        <v>195</v>
      </c>
      <c r="G88" t="s">
        <v>1254</v>
      </c>
      <c r="H88" t="s">
        <v>1341</v>
      </c>
      <c r="I88">
        <v>73934.5</v>
      </c>
      <c r="J88" t="s">
        <v>18</v>
      </c>
      <c r="K88">
        <v>73934.5</v>
      </c>
      <c r="L88" t="s">
        <v>18</v>
      </c>
      <c r="M88">
        <v>73934.5</v>
      </c>
      <c r="N88" t="s">
        <v>18</v>
      </c>
      <c r="O88">
        <v>-7985.0599999999977</v>
      </c>
      <c r="P88">
        <v>-7985.0599999999977</v>
      </c>
      <c r="Q88">
        <v>-9.7474400497268263</v>
      </c>
      <c r="R88">
        <v>-9.7474400497268263</v>
      </c>
      <c r="T88" t="s">
        <v>1722</v>
      </c>
      <c r="U88" s="494">
        <v>46087</v>
      </c>
      <c r="V88">
        <v>275.875</v>
      </c>
      <c r="W88">
        <v>268</v>
      </c>
      <c r="X88">
        <v>305.67</v>
      </c>
      <c r="Y88">
        <v>0.33</v>
      </c>
      <c r="AP88" t="s">
        <v>1350</v>
      </c>
      <c r="AQ88">
        <v>0</v>
      </c>
      <c r="AS88" t="s">
        <v>1723</v>
      </c>
      <c r="AT88" t="s">
        <v>1724</v>
      </c>
      <c r="AZ88" s="494">
        <v>46077</v>
      </c>
      <c r="BA88">
        <v>70</v>
      </c>
      <c r="BO88" t="s">
        <v>1400</v>
      </c>
      <c r="BP88" t="s">
        <v>1400</v>
      </c>
      <c r="BQ88" t="s">
        <v>1355</v>
      </c>
      <c r="BR88" t="s">
        <v>1355</v>
      </c>
      <c r="BS88" t="s">
        <v>1355</v>
      </c>
      <c r="BV88">
        <v>-6158.64</v>
      </c>
    </row>
    <row r="89" spans="1:74" customFormat="1" ht="15" x14ac:dyDescent="0.25">
      <c r="A89" s="1052" t="s">
        <v>2587</v>
      </c>
      <c r="B89" t="s">
        <v>1725</v>
      </c>
      <c r="C89" t="s">
        <v>1726</v>
      </c>
      <c r="D89" t="s">
        <v>1727</v>
      </c>
      <c r="E89" t="s">
        <v>195</v>
      </c>
      <c r="F89" t="s">
        <v>195</v>
      </c>
      <c r="G89" t="s">
        <v>1254</v>
      </c>
      <c r="H89" t="s">
        <v>1341</v>
      </c>
      <c r="I89">
        <v>11849.039999999999</v>
      </c>
      <c r="J89" t="s">
        <v>18</v>
      </c>
      <c r="K89">
        <v>11849.039999999999</v>
      </c>
      <c r="L89" t="s">
        <v>18</v>
      </c>
      <c r="M89">
        <v>11849.039999999999</v>
      </c>
      <c r="N89" t="s">
        <v>18</v>
      </c>
      <c r="O89">
        <v>-496.92000000000007</v>
      </c>
      <c r="P89">
        <v>-496.92000000000007</v>
      </c>
      <c r="Q89">
        <v>-4.0249603919014811</v>
      </c>
      <c r="R89">
        <v>-4.0249603919014811</v>
      </c>
      <c r="T89" t="s">
        <v>1728</v>
      </c>
      <c r="U89" s="494">
        <v>46087</v>
      </c>
      <c r="V89">
        <v>987.42</v>
      </c>
      <c r="W89">
        <v>12</v>
      </c>
      <c r="X89">
        <v>1028.83</v>
      </c>
      <c r="Y89">
        <v>0.05</v>
      </c>
      <c r="AP89" t="s">
        <v>1350</v>
      </c>
      <c r="AQ89">
        <v>0</v>
      </c>
      <c r="AS89" t="s">
        <v>1729</v>
      </c>
      <c r="AT89" t="s">
        <v>1730</v>
      </c>
      <c r="AZ89" s="494">
        <v>46079</v>
      </c>
      <c r="BA89">
        <v>70</v>
      </c>
      <c r="BO89" t="s">
        <v>1362</v>
      </c>
      <c r="BP89" t="s">
        <v>1370</v>
      </c>
      <c r="BQ89" t="s">
        <v>1355</v>
      </c>
      <c r="BR89" t="s">
        <v>1355</v>
      </c>
      <c r="BS89" t="s">
        <v>1355</v>
      </c>
      <c r="BV89">
        <v>-461.99975999999998</v>
      </c>
    </row>
    <row r="90" spans="1:74" customFormat="1" ht="15" x14ac:dyDescent="0.25">
      <c r="A90" s="1052" t="s">
        <v>2587</v>
      </c>
      <c r="B90" t="s">
        <v>1731</v>
      </c>
      <c r="C90" t="s">
        <v>1732</v>
      </c>
      <c r="D90" t="s">
        <v>1733</v>
      </c>
      <c r="E90" t="s">
        <v>195</v>
      </c>
      <c r="F90" t="s">
        <v>195</v>
      </c>
      <c r="G90" t="s">
        <v>1254</v>
      </c>
      <c r="H90" t="s">
        <v>1341</v>
      </c>
      <c r="I90">
        <v>35624.475000000006</v>
      </c>
      <c r="J90" t="s">
        <v>18</v>
      </c>
      <c r="K90">
        <v>35624.475000000006</v>
      </c>
      <c r="L90" t="s">
        <v>18</v>
      </c>
      <c r="M90">
        <v>35624.475000000006</v>
      </c>
      <c r="N90" t="s">
        <v>18</v>
      </c>
      <c r="O90">
        <v>2916.9750000000058</v>
      </c>
      <c r="P90">
        <v>2916.9750000000058</v>
      </c>
      <c r="Q90">
        <v>8.9183673469387941</v>
      </c>
      <c r="R90">
        <v>8.9183673469387941</v>
      </c>
      <c r="T90" t="s">
        <v>1734</v>
      </c>
      <c r="U90" s="494">
        <v>46087</v>
      </c>
      <c r="V90">
        <v>133.42500000000001</v>
      </c>
      <c r="W90">
        <v>267</v>
      </c>
      <c r="X90">
        <v>122.5</v>
      </c>
      <c r="Y90">
        <v>0.16</v>
      </c>
      <c r="AP90" t="s">
        <v>1350</v>
      </c>
      <c r="AQ90">
        <v>0</v>
      </c>
      <c r="AS90" t="s">
        <v>1735</v>
      </c>
      <c r="AT90" t="s">
        <v>1736</v>
      </c>
      <c r="AZ90" s="494">
        <v>46079</v>
      </c>
      <c r="BA90">
        <v>70</v>
      </c>
      <c r="BO90" t="s">
        <v>1504</v>
      </c>
      <c r="BP90" t="s">
        <v>1504</v>
      </c>
      <c r="BQ90" t="s">
        <v>1355</v>
      </c>
      <c r="BR90" t="s">
        <v>1355</v>
      </c>
      <c r="BS90" t="s">
        <v>1355</v>
      </c>
      <c r="BV90">
        <v>2378.9699999999998</v>
      </c>
    </row>
    <row r="91" spans="1:74" customFormat="1" ht="15" x14ac:dyDescent="0.25">
      <c r="A91" s="1052" t="s">
        <v>2586</v>
      </c>
      <c r="B91" t="s">
        <v>1737</v>
      </c>
      <c r="C91" t="s">
        <v>1738</v>
      </c>
      <c r="D91" t="s">
        <v>1739</v>
      </c>
      <c r="E91" t="s">
        <v>195</v>
      </c>
      <c r="F91" t="s">
        <v>195</v>
      </c>
      <c r="G91" t="s">
        <v>1254</v>
      </c>
      <c r="H91" t="s">
        <v>1341</v>
      </c>
      <c r="I91">
        <v>81631.680000000008</v>
      </c>
      <c r="J91" t="s">
        <v>18</v>
      </c>
      <c r="K91">
        <v>81631.680000000008</v>
      </c>
      <c r="L91" t="s">
        <v>18</v>
      </c>
      <c r="M91">
        <v>81631.680000000008</v>
      </c>
      <c r="N91" t="s">
        <v>18</v>
      </c>
      <c r="O91">
        <v>5126.1600000000035</v>
      </c>
      <c r="P91">
        <v>5126.1600000000035</v>
      </c>
      <c r="Q91">
        <v>6.7003792667509527</v>
      </c>
      <c r="R91">
        <v>6.7003792667509527</v>
      </c>
      <c r="T91" t="s">
        <v>1740</v>
      </c>
      <c r="U91" s="494">
        <v>46087</v>
      </c>
      <c r="V91">
        <v>50.64</v>
      </c>
      <c r="W91">
        <v>1612</v>
      </c>
      <c r="X91">
        <v>47.46</v>
      </c>
      <c r="Y91">
        <v>0.37</v>
      </c>
      <c r="AP91" t="s">
        <v>1350</v>
      </c>
      <c r="AQ91">
        <v>0</v>
      </c>
      <c r="AS91" t="s">
        <v>1741</v>
      </c>
      <c r="AT91" t="s">
        <v>1742</v>
      </c>
      <c r="AZ91" s="494">
        <v>46077</v>
      </c>
      <c r="BA91">
        <v>70</v>
      </c>
      <c r="BO91" t="s">
        <v>1427</v>
      </c>
      <c r="BP91" t="s">
        <v>1428</v>
      </c>
      <c r="BQ91" t="s">
        <v>1355</v>
      </c>
      <c r="BR91" t="s">
        <v>1355</v>
      </c>
      <c r="BS91" t="s">
        <v>1355</v>
      </c>
      <c r="BV91">
        <v>6496.36</v>
      </c>
    </row>
    <row r="92" spans="1:74" customFormat="1" ht="15" x14ac:dyDescent="0.25">
      <c r="A92" s="1052" t="s">
        <v>2587</v>
      </c>
      <c r="B92" t="s">
        <v>1737</v>
      </c>
      <c r="C92" t="s">
        <v>1738</v>
      </c>
      <c r="D92" t="s">
        <v>1739</v>
      </c>
      <c r="E92" t="s">
        <v>195</v>
      </c>
      <c r="F92" t="s">
        <v>195</v>
      </c>
      <c r="G92" t="s">
        <v>1254</v>
      </c>
      <c r="H92" t="s">
        <v>1341</v>
      </c>
      <c r="I92">
        <v>13672.8</v>
      </c>
      <c r="J92" t="s">
        <v>18</v>
      </c>
      <c r="K92">
        <v>13672.8</v>
      </c>
      <c r="L92" t="s">
        <v>18</v>
      </c>
      <c r="M92">
        <v>13672.8</v>
      </c>
      <c r="N92" t="s">
        <v>18</v>
      </c>
      <c r="O92">
        <v>423.89999999999964</v>
      </c>
      <c r="P92">
        <v>423.89999999999964</v>
      </c>
      <c r="Q92">
        <v>3.1995109027919271</v>
      </c>
      <c r="R92">
        <v>3.1995109027919271</v>
      </c>
      <c r="T92" t="s">
        <v>1740</v>
      </c>
      <c r="U92" s="494">
        <v>46087</v>
      </c>
      <c r="V92">
        <v>50.64</v>
      </c>
      <c r="W92">
        <v>270</v>
      </c>
      <c r="X92">
        <v>49.07</v>
      </c>
      <c r="Y92">
        <v>0.06</v>
      </c>
      <c r="AP92" t="s">
        <v>1350</v>
      </c>
      <c r="AQ92">
        <v>0</v>
      </c>
      <c r="AS92" t="s">
        <v>1741</v>
      </c>
      <c r="AT92" t="s">
        <v>1742</v>
      </c>
      <c r="AZ92" s="494">
        <v>46079</v>
      </c>
      <c r="BA92">
        <v>70</v>
      </c>
      <c r="BO92" t="s">
        <v>1427</v>
      </c>
      <c r="BP92" t="s">
        <v>1428</v>
      </c>
      <c r="BQ92" t="s">
        <v>1355</v>
      </c>
      <c r="BR92" t="s">
        <v>1355</v>
      </c>
      <c r="BS92" t="s">
        <v>1355</v>
      </c>
      <c r="BV92">
        <v>653.4</v>
      </c>
    </row>
    <row r="93" spans="1:74" customFormat="1" ht="15" x14ac:dyDescent="0.25">
      <c r="A93" s="1052" t="s">
        <v>2586</v>
      </c>
      <c r="B93" t="s">
        <v>1743</v>
      </c>
      <c r="C93" t="s">
        <v>1744</v>
      </c>
      <c r="D93" t="s">
        <v>1745</v>
      </c>
      <c r="E93" t="s">
        <v>195</v>
      </c>
      <c r="F93" t="s">
        <v>195</v>
      </c>
      <c r="G93" t="s">
        <v>1254</v>
      </c>
      <c r="H93" t="s">
        <v>1341</v>
      </c>
      <c r="I93">
        <v>71884.58</v>
      </c>
      <c r="J93" t="s">
        <v>18</v>
      </c>
      <c r="K93">
        <v>71884.58</v>
      </c>
      <c r="L93" t="s">
        <v>18</v>
      </c>
      <c r="M93">
        <v>71884.58</v>
      </c>
      <c r="N93" t="s">
        <v>18</v>
      </c>
      <c r="O93">
        <v>-7932.9599999999919</v>
      </c>
      <c r="P93">
        <v>-7932.9599999999919</v>
      </c>
      <c r="Q93">
        <v>-9.9388680733583019</v>
      </c>
      <c r="R93">
        <v>-9.9388680733583019</v>
      </c>
      <c r="T93" t="s">
        <v>1746</v>
      </c>
      <c r="U93" s="494">
        <v>46087</v>
      </c>
      <c r="V93">
        <v>45.67</v>
      </c>
      <c r="W93">
        <v>1574</v>
      </c>
      <c r="X93">
        <v>50.71</v>
      </c>
      <c r="Y93">
        <v>0.32</v>
      </c>
      <c r="AP93" t="s">
        <v>1350</v>
      </c>
      <c r="AQ93">
        <v>0</v>
      </c>
      <c r="AS93" t="s">
        <v>1747</v>
      </c>
      <c r="AT93" t="s">
        <v>1748</v>
      </c>
      <c r="AZ93" s="494">
        <v>46077</v>
      </c>
      <c r="BA93">
        <v>70</v>
      </c>
      <c r="BO93" t="s">
        <v>1427</v>
      </c>
      <c r="BP93" t="s">
        <v>312</v>
      </c>
      <c r="BQ93" t="s">
        <v>1355</v>
      </c>
      <c r="BR93" t="s">
        <v>1355</v>
      </c>
      <c r="BS93" t="s">
        <v>1355</v>
      </c>
      <c r="BV93">
        <v>-5367.34</v>
      </c>
    </row>
    <row r="94" spans="1:74" customFormat="1" ht="15" x14ac:dyDescent="0.25">
      <c r="A94" s="1052" t="s">
        <v>2587</v>
      </c>
      <c r="B94" t="s">
        <v>1749</v>
      </c>
      <c r="C94" t="s">
        <v>1750</v>
      </c>
      <c r="D94" t="s">
        <v>1751</v>
      </c>
      <c r="E94" t="s">
        <v>195</v>
      </c>
      <c r="F94" t="s">
        <v>195</v>
      </c>
      <c r="G94" t="s">
        <v>1254</v>
      </c>
      <c r="H94" t="s">
        <v>1341</v>
      </c>
      <c r="I94">
        <v>28140</v>
      </c>
      <c r="J94" t="s">
        <v>18</v>
      </c>
      <c r="K94">
        <v>28140</v>
      </c>
      <c r="L94" t="s">
        <v>18</v>
      </c>
      <c r="M94">
        <v>28140</v>
      </c>
      <c r="N94" t="s">
        <v>18</v>
      </c>
      <c r="O94">
        <v>-4108.2999999999993</v>
      </c>
      <c r="P94">
        <v>-4108.2999999999993</v>
      </c>
      <c r="Q94">
        <v>-12.739586272764763</v>
      </c>
      <c r="R94">
        <v>-12.739586272764763</v>
      </c>
      <c r="T94" t="s">
        <v>1752</v>
      </c>
      <c r="U94" s="494">
        <v>46087</v>
      </c>
      <c r="V94">
        <v>804</v>
      </c>
      <c r="W94">
        <v>35</v>
      </c>
      <c r="X94">
        <v>921.38</v>
      </c>
      <c r="Y94">
        <v>0.13</v>
      </c>
      <c r="AP94" t="s">
        <v>1350</v>
      </c>
      <c r="AQ94">
        <v>0</v>
      </c>
      <c r="AS94" t="s">
        <v>1753</v>
      </c>
      <c r="AT94" t="s">
        <v>1754</v>
      </c>
      <c r="AZ94" s="494">
        <v>46079</v>
      </c>
      <c r="BA94">
        <v>70</v>
      </c>
      <c r="BO94" t="s">
        <v>1427</v>
      </c>
      <c r="BP94" t="s">
        <v>1428</v>
      </c>
      <c r="BQ94" t="s">
        <v>1355</v>
      </c>
      <c r="BR94" t="s">
        <v>1355</v>
      </c>
      <c r="BS94" t="s">
        <v>1355</v>
      </c>
      <c r="BV94">
        <v>-3498.6007</v>
      </c>
    </row>
    <row r="95" spans="1:74" customFormat="1" ht="15" x14ac:dyDescent="0.25">
      <c r="A95" s="1052" t="s">
        <v>2588</v>
      </c>
      <c r="B95" t="s">
        <v>1755</v>
      </c>
      <c r="C95" t="s">
        <v>1756</v>
      </c>
      <c r="D95" t="s">
        <v>1757</v>
      </c>
      <c r="E95" t="s">
        <v>195</v>
      </c>
      <c r="F95" t="s">
        <v>195</v>
      </c>
      <c r="G95" t="s">
        <v>1254</v>
      </c>
      <c r="H95" t="s">
        <v>1341</v>
      </c>
      <c r="I95">
        <v>58456.03</v>
      </c>
      <c r="J95" t="s">
        <v>18</v>
      </c>
      <c r="K95">
        <v>58456.03</v>
      </c>
      <c r="L95" t="s">
        <v>18</v>
      </c>
      <c r="M95">
        <v>58456.03</v>
      </c>
      <c r="N95" t="s">
        <v>18</v>
      </c>
      <c r="O95">
        <v>6875.3899999999921</v>
      </c>
      <c r="P95">
        <v>6875.3899999999921</v>
      </c>
      <c r="Q95">
        <v>13.329400333148234</v>
      </c>
      <c r="R95">
        <v>13.329400333148234</v>
      </c>
      <c r="T95" t="s">
        <v>1758</v>
      </c>
      <c r="U95" s="494">
        <v>46087</v>
      </c>
      <c r="V95">
        <v>163.285</v>
      </c>
      <c r="W95">
        <v>358</v>
      </c>
      <c r="X95">
        <v>144.08000000000001</v>
      </c>
      <c r="Y95">
        <v>0.26</v>
      </c>
      <c r="AP95" t="s">
        <v>1350</v>
      </c>
      <c r="AQ95">
        <v>0</v>
      </c>
      <c r="AS95" t="s">
        <v>1759</v>
      </c>
      <c r="AT95" t="s">
        <v>1760</v>
      </c>
      <c r="AZ95" s="494">
        <v>46080</v>
      </c>
      <c r="BA95">
        <v>70</v>
      </c>
      <c r="BO95" t="s">
        <v>1377</v>
      </c>
      <c r="BP95" t="s">
        <v>1378</v>
      </c>
      <c r="BQ95" t="s">
        <v>1355</v>
      </c>
      <c r="BR95" t="s">
        <v>1355</v>
      </c>
      <c r="BS95" t="s">
        <v>1355</v>
      </c>
      <c r="BV95">
        <v>8874.82</v>
      </c>
    </row>
    <row r="96" spans="1:74" customFormat="1" ht="15" x14ac:dyDescent="0.25">
      <c r="A96" s="1052" t="s">
        <v>2587</v>
      </c>
      <c r="B96" t="s">
        <v>1761</v>
      </c>
      <c r="C96" t="s">
        <v>1762</v>
      </c>
      <c r="D96" t="s">
        <v>1763</v>
      </c>
      <c r="E96" t="s">
        <v>195</v>
      </c>
      <c r="F96" t="s">
        <v>195</v>
      </c>
      <c r="G96" t="s">
        <v>1254</v>
      </c>
      <c r="H96" t="s">
        <v>1341</v>
      </c>
      <c r="I96">
        <v>26872.435000000001</v>
      </c>
      <c r="J96" t="s">
        <v>18</v>
      </c>
      <c r="K96">
        <v>26872.435000000001</v>
      </c>
      <c r="L96" t="s">
        <v>18</v>
      </c>
      <c r="M96">
        <v>26872.435000000001</v>
      </c>
      <c r="N96" t="s">
        <v>18</v>
      </c>
      <c r="O96">
        <v>404.14500000000407</v>
      </c>
      <c r="P96">
        <v>404.14500000000407</v>
      </c>
      <c r="Q96">
        <v>1.5269025690741793</v>
      </c>
      <c r="R96">
        <v>1.5269025690741793</v>
      </c>
      <c r="T96" t="s">
        <v>1764</v>
      </c>
      <c r="U96" s="494">
        <v>46087</v>
      </c>
      <c r="V96">
        <v>20.945</v>
      </c>
      <c r="W96">
        <v>1283</v>
      </c>
      <c r="X96">
        <v>20.63</v>
      </c>
      <c r="Y96">
        <v>0.12</v>
      </c>
      <c r="AP96" t="s">
        <v>1350</v>
      </c>
      <c r="AQ96">
        <v>0</v>
      </c>
      <c r="AS96" t="s">
        <v>1765</v>
      </c>
      <c r="AT96" t="s">
        <v>1766</v>
      </c>
      <c r="AZ96" s="494">
        <v>46079</v>
      </c>
      <c r="BA96">
        <v>70</v>
      </c>
      <c r="BO96" t="s">
        <v>1377</v>
      </c>
      <c r="BP96" t="s">
        <v>1448</v>
      </c>
      <c r="BQ96" t="s">
        <v>1355</v>
      </c>
      <c r="BR96" t="s">
        <v>1355</v>
      </c>
      <c r="BS96" t="s">
        <v>1355</v>
      </c>
      <c r="BV96">
        <v>641.5</v>
      </c>
    </row>
    <row r="97" spans="1:75" customFormat="1" ht="15" x14ac:dyDescent="0.25">
      <c r="A97" s="1052" t="s">
        <v>2586</v>
      </c>
      <c r="B97" t="s">
        <v>2212</v>
      </c>
      <c r="C97" t="s">
        <v>2213</v>
      </c>
      <c r="D97" t="s">
        <v>2214</v>
      </c>
      <c r="E97" t="s">
        <v>195</v>
      </c>
      <c r="F97" t="s">
        <v>195</v>
      </c>
      <c r="G97" t="s">
        <v>1254</v>
      </c>
      <c r="H97" t="s">
        <v>1341</v>
      </c>
      <c r="I97">
        <v>53614.425000000003</v>
      </c>
      <c r="J97" t="s">
        <v>18</v>
      </c>
      <c r="K97">
        <v>53614.425000000003</v>
      </c>
      <c r="L97" t="s">
        <v>18</v>
      </c>
      <c r="M97">
        <v>53614.425000000003</v>
      </c>
      <c r="N97" t="s">
        <v>18</v>
      </c>
      <c r="O97">
        <v>-3444.9749999999985</v>
      </c>
      <c r="P97">
        <v>-3444.9749999999985</v>
      </c>
      <c r="Q97">
        <v>-6.0375240538806896</v>
      </c>
      <c r="R97">
        <v>-6.0375240538806896</v>
      </c>
      <c r="T97" t="s">
        <v>2215</v>
      </c>
      <c r="U97" s="494">
        <v>46087</v>
      </c>
      <c r="V97">
        <v>292.97500000000002</v>
      </c>
      <c r="W97">
        <v>183</v>
      </c>
      <c r="X97">
        <v>311.8</v>
      </c>
      <c r="Y97">
        <v>0.24</v>
      </c>
      <c r="AP97" t="s">
        <v>1350</v>
      </c>
      <c r="AQ97">
        <v>0</v>
      </c>
      <c r="AS97" t="s">
        <v>2216</v>
      </c>
      <c r="AT97" t="s">
        <v>2217</v>
      </c>
      <c r="AZ97" s="494">
        <v>46077</v>
      </c>
      <c r="BA97">
        <v>70</v>
      </c>
      <c r="BO97" t="s">
        <v>1384</v>
      </c>
      <c r="BP97" t="s">
        <v>1613</v>
      </c>
      <c r="BQ97" t="s">
        <v>1355</v>
      </c>
      <c r="BR97" t="s">
        <v>1355</v>
      </c>
      <c r="BS97" t="s">
        <v>1355</v>
      </c>
      <c r="BV97">
        <v>-2408.27817</v>
      </c>
    </row>
    <row r="98" spans="1:75" customFormat="1" ht="15" x14ac:dyDescent="0.25">
      <c r="A98" s="1052" t="s">
        <v>2587</v>
      </c>
      <c r="B98" t="s">
        <v>1767</v>
      </c>
      <c r="C98" t="s">
        <v>1768</v>
      </c>
      <c r="D98" t="s">
        <v>1769</v>
      </c>
      <c r="E98" t="s">
        <v>195</v>
      </c>
      <c r="F98" t="s">
        <v>195</v>
      </c>
      <c r="G98" t="s">
        <v>1254</v>
      </c>
      <c r="H98" t="s">
        <v>1341</v>
      </c>
      <c r="I98">
        <v>33086.6</v>
      </c>
      <c r="J98" t="s">
        <v>18</v>
      </c>
      <c r="K98">
        <v>33086.6</v>
      </c>
      <c r="L98" t="s">
        <v>18</v>
      </c>
      <c r="M98">
        <v>33086.6</v>
      </c>
      <c r="N98" t="s">
        <v>18</v>
      </c>
      <c r="O98">
        <v>-2592.5500000000029</v>
      </c>
      <c r="P98">
        <v>-2592.5500000000029</v>
      </c>
      <c r="Q98">
        <v>-7.2662885746997974</v>
      </c>
      <c r="R98">
        <v>-7.2662885746997974</v>
      </c>
      <c r="T98" t="s">
        <v>1770</v>
      </c>
      <c r="U98" s="494">
        <v>46087</v>
      </c>
      <c r="V98">
        <v>348.28</v>
      </c>
      <c r="W98">
        <v>95</v>
      </c>
      <c r="X98">
        <v>375.57</v>
      </c>
      <c r="Y98">
        <v>0.15</v>
      </c>
      <c r="AP98" t="s">
        <v>1350</v>
      </c>
      <c r="AQ98">
        <v>0</v>
      </c>
      <c r="AS98" t="s">
        <v>1771</v>
      </c>
      <c r="AT98" t="s">
        <v>1772</v>
      </c>
      <c r="AZ98" s="494">
        <v>46079</v>
      </c>
      <c r="BA98">
        <v>70</v>
      </c>
      <c r="BO98" t="s">
        <v>1384</v>
      </c>
      <c r="BP98" t="s">
        <v>1420</v>
      </c>
      <c r="BQ98" t="s">
        <v>1355</v>
      </c>
      <c r="BR98" t="s">
        <v>1355</v>
      </c>
      <c r="BS98" t="s">
        <v>1355</v>
      </c>
      <c r="BV98">
        <v>-1676.7490499999999</v>
      </c>
    </row>
    <row r="99" spans="1:75" customFormat="1" ht="15" x14ac:dyDescent="0.25">
      <c r="A99" s="1052" t="s">
        <v>2586</v>
      </c>
      <c r="B99" t="s">
        <v>1773</v>
      </c>
      <c r="C99" t="s">
        <v>1774</v>
      </c>
      <c r="D99" t="s">
        <v>1775</v>
      </c>
      <c r="E99" t="s">
        <v>195</v>
      </c>
      <c r="F99" t="s">
        <v>195</v>
      </c>
      <c r="G99" t="s">
        <v>1254</v>
      </c>
      <c r="H99" t="s">
        <v>1341</v>
      </c>
      <c r="I99">
        <v>87737.98000000001</v>
      </c>
      <c r="J99" t="s">
        <v>18</v>
      </c>
      <c r="K99">
        <v>87737.98000000001</v>
      </c>
      <c r="L99" t="s">
        <v>18</v>
      </c>
      <c r="M99">
        <v>87737.98000000001</v>
      </c>
      <c r="N99" t="s">
        <v>18</v>
      </c>
      <c r="O99">
        <v>-3768.2599999999948</v>
      </c>
      <c r="P99">
        <v>-3768.2599999999948</v>
      </c>
      <c r="Q99">
        <v>-4.1180361033302155</v>
      </c>
      <c r="R99">
        <v>-4.1180361033302155</v>
      </c>
      <c r="T99" t="s">
        <v>1776</v>
      </c>
      <c r="U99" s="494">
        <v>46087</v>
      </c>
      <c r="V99">
        <v>246.45500000000001</v>
      </c>
      <c r="W99">
        <v>356</v>
      </c>
      <c r="X99">
        <v>257.04000000000002</v>
      </c>
      <c r="Y99">
        <v>0.4</v>
      </c>
      <c r="AP99" t="s">
        <v>1350</v>
      </c>
      <c r="AQ99">
        <v>0</v>
      </c>
      <c r="AS99" t="s">
        <v>1777</v>
      </c>
      <c r="AT99" t="s">
        <v>1778</v>
      </c>
      <c r="AZ99" s="494">
        <v>46077</v>
      </c>
      <c r="BA99">
        <v>70</v>
      </c>
      <c r="BO99" t="s">
        <v>1353</v>
      </c>
      <c r="BP99" t="s">
        <v>1354</v>
      </c>
      <c r="BQ99" t="s">
        <v>1355</v>
      </c>
      <c r="BR99" t="s">
        <v>1355</v>
      </c>
      <c r="BS99" t="s">
        <v>1355</v>
      </c>
      <c r="BV99">
        <v>-2459.96</v>
      </c>
    </row>
    <row r="100" spans="1:75" customFormat="1" ht="15" x14ac:dyDescent="0.25">
      <c r="A100" s="1052" t="s">
        <v>2586</v>
      </c>
      <c r="B100" t="s">
        <v>2275</v>
      </c>
      <c r="C100" t="s">
        <v>2276</v>
      </c>
      <c r="D100" t="s">
        <v>2277</v>
      </c>
      <c r="E100" t="s">
        <v>195</v>
      </c>
      <c r="F100" t="s">
        <v>195</v>
      </c>
      <c r="G100" t="s">
        <v>1254</v>
      </c>
      <c r="H100" t="s">
        <v>1341</v>
      </c>
      <c r="I100">
        <v>50642.056499999999</v>
      </c>
      <c r="J100" t="s">
        <v>18</v>
      </c>
      <c r="K100">
        <v>8029500</v>
      </c>
      <c r="L100" t="s">
        <v>25</v>
      </c>
      <c r="M100">
        <v>50642.056499999999</v>
      </c>
      <c r="N100" t="s">
        <v>18</v>
      </c>
      <c r="O100">
        <v>-2443.0734999999986</v>
      </c>
      <c r="P100">
        <v>-234000</v>
      </c>
      <c r="Q100">
        <v>-4.6021804976271108</v>
      </c>
      <c r="R100">
        <v>-2.8317298965329458</v>
      </c>
      <c r="T100" t="s">
        <v>2278</v>
      </c>
      <c r="U100" s="494">
        <v>46087</v>
      </c>
      <c r="V100">
        <v>26765</v>
      </c>
      <c r="W100">
        <v>300</v>
      </c>
      <c r="X100">
        <v>27545</v>
      </c>
      <c r="Y100">
        <v>0.23</v>
      </c>
      <c r="AP100" t="s">
        <v>1350</v>
      </c>
      <c r="AQ100">
        <v>0</v>
      </c>
      <c r="AT100" t="s">
        <v>2279</v>
      </c>
      <c r="AZ100" s="494">
        <v>46077</v>
      </c>
      <c r="BA100">
        <v>70</v>
      </c>
      <c r="BO100" t="s">
        <v>1362</v>
      </c>
      <c r="BP100" t="s">
        <v>1363</v>
      </c>
      <c r="BQ100" t="s">
        <v>1386</v>
      </c>
      <c r="BR100" t="s">
        <v>287</v>
      </c>
      <c r="BS100" t="s">
        <v>287</v>
      </c>
      <c r="BV100">
        <v>1859.7622240000001</v>
      </c>
      <c r="BW100">
        <v>-923.11786400000005</v>
      </c>
    </row>
    <row r="101" spans="1:75" customFormat="1" ht="15" x14ac:dyDescent="0.25">
      <c r="A101" s="1052" t="s">
        <v>2588</v>
      </c>
      <c r="B101" t="s">
        <v>2311</v>
      </c>
      <c r="C101" t="s">
        <v>2312</v>
      </c>
      <c r="D101" t="s">
        <v>2313</v>
      </c>
      <c r="E101" t="s">
        <v>195</v>
      </c>
      <c r="F101" t="s">
        <v>195</v>
      </c>
      <c r="G101" t="s">
        <v>1254</v>
      </c>
      <c r="H101" t="s">
        <v>1341</v>
      </c>
      <c r="I101">
        <v>28215.739999999998</v>
      </c>
      <c r="J101" t="s">
        <v>18</v>
      </c>
      <c r="K101">
        <v>28215.739999999998</v>
      </c>
      <c r="L101" t="s">
        <v>18</v>
      </c>
      <c r="M101">
        <v>28215.739999999998</v>
      </c>
      <c r="N101" t="s">
        <v>18</v>
      </c>
      <c r="O101">
        <v>-4785.9000000000015</v>
      </c>
      <c r="P101">
        <v>-4785.9000000000015</v>
      </c>
      <c r="Q101">
        <v>-14.502006566946374</v>
      </c>
      <c r="R101">
        <v>-14.502006566946374</v>
      </c>
      <c r="T101" t="s">
        <v>2314</v>
      </c>
      <c r="U101" s="494">
        <v>46087</v>
      </c>
      <c r="V101">
        <v>46.87</v>
      </c>
      <c r="W101">
        <v>602</v>
      </c>
      <c r="X101">
        <v>54.82</v>
      </c>
      <c r="Y101">
        <v>0.13</v>
      </c>
      <c r="AP101" t="s">
        <v>1350</v>
      </c>
      <c r="AQ101">
        <v>0</v>
      </c>
      <c r="AS101" t="s">
        <v>2315</v>
      </c>
      <c r="AT101" t="s">
        <v>2316</v>
      </c>
      <c r="AZ101" s="494">
        <v>46080</v>
      </c>
      <c r="BA101">
        <v>15</v>
      </c>
      <c r="BO101" t="s">
        <v>1377</v>
      </c>
      <c r="BP101" t="s">
        <v>1378</v>
      </c>
      <c r="BQ101" t="s">
        <v>1386</v>
      </c>
      <c r="BR101" t="s">
        <v>306</v>
      </c>
      <c r="BS101" t="s">
        <v>306</v>
      </c>
      <c r="BV101">
        <v>-4665.5</v>
      </c>
    </row>
    <row r="102" spans="1:75" customFormat="1" ht="15" x14ac:dyDescent="0.25">
      <c r="A102" s="1052" t="s">
        <v>2586</v>
      </c>
      <c r="B102" t="s">
        <v>2317</v>
      </c>
      <c r="C102" t="s">
        <v>2318</v>
      </c>
      <c r="D102" t="s">
        <v>2319</v>
      </c>
      <c r="E102" t="s">
        <v>195</v>
      </c>
      <c r="F102" t="s">
        <v>195</v>
      </c>
      <c r="G102" t="s">
        <v>1254</v>
      </c>
      <c r="H102" t="s">
        <v>1341</v>
      </c>
      <c r="I102">
        <v>46427.342279999997</v>
      </c>
      <c r="J102" t="s">
        <v>18</v>
      </c>
      <c r="K102">
        <v>40106.550000000003</v>
      </c>
      <c r="L102" t="s">
        <v>21</v>
      </c>
      <c r="M102">
        <v>46427.342279999997</v>
      </c>
      <c r="N102" t="s">
        <v>18</v>
      </c>
      <c r="O102">
        <v>5143.2322800000002</v>
      </c>
      <c r="P102">
        <v>5084.3999999999996</v>
      </c>
      <c r="Q102">
        <v>12.4581</v>
      </c>
      <c r="R102">
        <v>14.5177</v>
      </c>
      <c r="T102" t="s">
        <v>2320</v>
      </c>
      <c r="U102" s="494">
        <v>46087</v>
      </c>
      <c r="V102">
        <v>59.95</v>
      </c>
      <c r="W102">
        <v>669</v>
      </c>
      <c r="X102">
        <v>52.35</v>
      </c>
      <c r="Y102">
        <v>0.21</v>
      </c>
      <c r="AP102" t="s">
        <v>1350</v>
      </c>
      <c r="AQ102">
        <v>0</v>
      </c>
      <c r="AT102" t="s">
        <v>2321</v>
      </c>
      <c r="AZ102" s="494">
        <v>46077</v>
      </c>
      <c r="BA102">
        <v>70</v>
      </c>
      <c r="BO102" t="s">
        <v>1377</v>
      </c>
      <c r="BP102" t="s">
        <v>1378</v>
      </c>
      <c r="BQ102" t="s">
        <v>1386</v>
      </c>
      <c r="BR102" t="s">
        <v>209</v>
      </c>
      <c r="BS102" t="s">
        <v>1485</v>
      </c>
      <c r="BV102">
        <v>5993.4906590000001</v>
      </c>
      <c r="BW102">
        <v>-850.25837899999999</v>
      </c>
    </row>
    <row r="103" spans="1:75" customFormat="1" ht="15" x14ac:dyDescent="0.25">
      <c r="A103" s="1052" t="s">
        <v>2586</v>
      </c>
      <c r="B103" t="s">
        <v>1779</v>
      </c>
      <c r="C103" t="s">
        <v>1780</v>
      </c>
      <c r="D103" t="s">
        <v>1781</v>
      </c>
      <c r="E103" t="s">
        <v>195</v>
      </c>
      <c r="F103" t="s">
        <v>195</v>
      </c>
      <c r="G103" t="s">
        <v>1254</v>
      </c>
      <c r="H103" t="s">
        <v>1341</v>
      </c>
      <c r="I103">
        <v>40324.805657500001</v>
      </c>
      <c r="J103" t="s">
        <v>18</v>
      </c>
      <c r="K103">
        <v>34839.35</v>
      </c>
      <c r="L103" t="s">
        <v>21</v>
      </c>
      <c r="M103">
        <v>40324.805657500001</v>
      </c>
      <c r="N103" t="s">
        <v>18</v>
      </c>
      <c r="O103">
        <v>-8901.7643424999987</v>
      </c>
      <c r="P103">
        <v>-6920.5500000000029</v>
      </c>
      <c r="Q103">
        <v>-18.083251265525913</v>
      </c>
      <c r="R103">
        <v>-16.572237960339951</v>
      </c>
      <c r="T103" t="s">
        <v>1782</v>
      </c>
      <c r="U103" s="494">
        <v>46087</v>
      </c>
      <c r="V103">
        <v>38.284999999999997</v>
      </c>
      <c r="W103">
        <v>910</v>
      </c>
      <c r="X103">
        <v>45.89</v>
      </c>
      <c r="Y103">
        <v>0.18</v>
      </c>
      <c r="AP103" t="s">
        <v>1350</v>
      </c>
      <c r="AQ103">
        <v>0</v>
      </c>
      <c r="AT103" t="s">
        <v>1783</v>
      </c>
      <c r="AZ103" s="494">
        <v>46077</v>
      </c>
      <c r="BA103">
        <v>70</v>
      </c>
      <c r="BO103" t="s">
        <v>1377</v>
      </c>
      <c r="BP103" t="s">
        <v>1393</v>
      </c>
      <c r="BQ103" t="s">
        <v>1386</v>
      </c>
      <c r="BR103" t="s">
        <v>209</v>
      </c>
      <c r="BS103" t="s">
        <v>297</v>
      </c>
      <c r="BV103">
        <v>-6940.4207429999997</v>
      </c>
      <c r="BW103">
        <v>-760.49053700000002</v>
      </c>
    </row>
    <row r="104" spans="1:75" customFormat="1" ht="15" x14ac:dyDescent="0.25">
      <c r="A104" s="1052" t="s">
        <v>2586</v>
      </c>
      <c r="B104" t="s">
        <v>2451</v>
      </c>
      <c r="C104" t="s">
        <v>2452</v>
      </c>
      <c r="D104" t="s">
        <v>2453</v>
      </c>
      <c r="E104" t="s">
        <v>195</v>
      </c>
      <c r="F104" t="s">
        <v>195</v>
      </c>
      <c r="G104" t="s">
        <v>1254</v>
      </c>
      <c r="H104" t="s">
        <v>1341</v>
      </c>
      <c r="I104">
        <v>40267.199999999997</v>
      </c>
      <c r="J104" t="s">
        <v>18</v>
      </c>
      <c r="K104">
        <v>40267.199999999997</v>
      </c>
      <c r="L104" t="s">
        <v>18</v>
      </c>
      <c r="M104">
        <v>40267.199999999997</v>
      </c>
      <c r="N104" t="s">
        <v>18</v>
      </c>
      <c r="O104">
        <v>-4824</v>
      </c>
      <c r="P104">
        <v>-4824</v>
      </c>
      <c r="Q104">
        <v>-10.698318075367256</v>
      </c>
      <c r="R104">
        <v>-10.698318075367256</v>
      </c>
      <c r="T104" t="s">
        <v>2454</v>
      </c>
      <c r="U104" s="494">
        <v>46087</v>
      </c>
      <c r="V104">
        <v>83.89</v>
      </c>
      <c r="W104">
        <v>480</v>
      </c>
      <c r="X104">
        <v>93.94</v>
      </c>
      <c r="Y104">
        <v>0.18</v>
      </c>
      <c r="AP104" t="s">
        <v>1350</v>
      </c>
      <c r="AQ104">
        <v>0</v>
      </c>
      <c r="AS104" t="s">
        <v>2455</v>
      </c>
      <c r="AT104" t="s">
        <v>2456</v>
      </c>
      <c r="AZ104" s="494">
        <v>46077</v>
      </c>
      <c r="BA104">
        <v>70</v>
      </c>
      <c r="BO104" t="s">
        <v>1353</v>
      </c>
      <c r="BP104" t="s">
        <v>1354</v>
      </c>
      <c r="BQ104" t="s">
        <v>1355</v>
      </c>
      <c r="BR104" t="s">
        <v>1355</v>
      </c>
      <c r="BS104" t="s">
        <v>1355</v>
      </c>
      <c r="BV104">
        <v>-3604.8</v>
      </c>
    </row>
    <row r="105" spans="1:75" customFormat="1" ht="15" x14ac:dyDescent="0.25">
      <c r="A105" s="1052" t="s">
        <v>2588</v>
      </c>
      <c r="B105" t="s">
        <v>2457</v>
      </c>
      <c r="C105" t="s">
        <v>2458</v>
      </c>
      <c r="D105" t="s">
        <v>2459</v>
      </c>
      <c r="E105" t="s">
        <v>195</v>
      </c>
      <c r="F105" t="s">
        <v>195</v>
      </c>
      <c r="G105" t="s">
        <v>1254</v>
      </c>
      <c r="H105" t="s">
        <v>1341</v>
      </c>
      <c r="I105">
        <v>24865.68</v>
      </c>
      <c r="J105" t="s">
        <v>18</v>
      </c>
      <c r="K105">
        <v>24865.68</v>
      </c>
      <c r="L105" t="s">
        <v>18</v>
      </c>
      <c r="M105">
        <v>24865.68</v>
      </c>
      <c r="N105" t="s">
        <v>18</v>
      </c>
      <c r="O105">
        <v>-1228.3600000000006</v>
      </c>
      <c r="P105">
        <v>-1228.3600000000006</v>
      </c>
      <c r="Q105">
        <v>-4.7074351077870675</v>
      </c>
      <c r="R105">
        <v>-4.7074351077870675</v>
      </c>
      <c r="T105" t="s">
        <v>2460</v>
      </c>
      <c r="U105" s="494">
        <v>46087</v>
      </c>
      <c r="V105">
        <v>43.32</v>
      </c>
      <c r="W105">
        <v>574</v>
      </c>
      <c r="X105">
        <v>45.46</v>
      </c>
      <c r="Y105">
        <v>0.11</v>
      </c>
      <c r="AP105" t="s">
        <v>1350</v>
      </c>
      <c r="AQ105">
        <v>0</v>
      </c>
      <c r="AS105" t="s">
        <v>2461</v>
      </c>
      <c r="AT105" t="s">
        <v>2462</v>
      </c>
      <c r="AZ105" s="494">
        <v>46080</v>
      </c>
      <c r="BA105">
        <v>60</v>
      </c>
      <c r="BO105" t="s">
        <v>1377</v>
      </c>
      <c r="BP105" t="s">
        <v>1393</v>
      </c>
      <c r="BQ105" t="s">
        <v>1355</v>
      </c>
      <c r="BR105" t="s">
        <v>1355</v>
      </c>
      <c r="BS105" t="s">
        <v>1355</v>
      </c>
      <c r="BV105">
        <v>-1170.96</v>
      </c>
    </row>
    <row r="106" spans="1:75" customFormat="1" ht="15" x14ac:dyDescent="0.25">
      <c r="A106" s="1052" t="s">
        <v>2587</v>
      </c>
      <c r="B106" t="s">
        <v>1784</v>
      </c>
      <c r="C106" t="s">
        <v>1785</v>
      </c>
      <c r="D106" t="s">
        <v>1786</v>
      </c>
      <c r="E106" t="s">
        <v>195</v>
      </c>
      <c r="F106" t="s">
        <v>195</v>
      </c>
      <c r="G106" t="s">
        <v>1254</v>
      </c>
      <c r="H106" t="s">
        <v>1341</v>
      </c>
      <c r="I106">
        <v>11157.960000000001</v>
      </c>
      <c r="J106" t="s">
        <v>18</v>
      </c>
      <c r="K106">
        <v>11157.960000000001</v>
      </c>
      <c r="L106" t="s">
        <v>18</v>
      </c>
      <c r="M106">
        <v>11157.960000000001</v>
      </c>
      <c r="N106" t="s">
        <v>18</v>
      </c>
      <c r="O106">
        <v>706.20000000000073</v>
      </c>
      <c r="P106">
        <v>706.20000000000073</v>
      </c>
      <c r="Q106">
        <v>6.7567567567567641</v>
      </c>
      <c r="R106">
        <v>6.7567567567567641</v>
      </c>
      <c r="T106" t="s">
        <v>1787</v>
      </c>
      <c r="U106" s="494">
        <v>46087</v>
      </c>
      <c r="V106">
        <v>253.59</v>
      </c>
      <c r="W106">
        <v>44</v>
      </c>
      <c r="X106">
        <v>237.54</v>
      </c>
      <c r="Y106">
        <v>0.05</v>
      </c>
      <c r="AP106" t="s">
        <v>1350</v>
      </c>
      <c r="AQ106">
        <v>0</v>
      </c>
      <c r="AS106" t="s">
        <v>1788</v>
      </c>
      <c r="AT106" t="s">
        <v>1789</v>
      </c>
      <c r="AZ106" s="494">
        <v>46079</v>
      </c>
      <c r="BA106">
        <v>70</v>
      </c>
      <c r="BO106" t="s">
        <v>1377</v>
      </c>
      <c r="BP106" t="s">
        <v>1378</v>
      </c>
      <c r="BQ106" t="s">
        <v>1355</v>
      </c>
      <c r="BR106" t="s">
        <v>1355</v>
      </c>
      <c r="BS106" t="s">
        <v>1355</v>
      </c>
      <c r="BV106">
        <v>937.64044000000001</v>
      </c>
    </row>
    <row r="107" spans="1:75" customFormat="1" ht="15" x14ac:dyDescent="0.25">
      <c r="A107" s="1052" t="s">
        <v>2586</v>
      </c>
      <c r="B107" t="s">
        <v>2595</v>
      </c>
      <c r="C107" t="s">
        <v>2596</v>
      </c>
      <c r="D107" t="s">
        <v>2597</v>
      </c>
      <c r="E107" t="s">
        <v>195</v>
      </c>
      <c r="F107" t="s">
        <v>195</v>
      </c>
      <c r="G107" t="s">
        <v>1254</v>
      </c>
      <c r="H107" t="s">
        <v>1341</v>
      </c>
      <c r="I107">
        <v>51001.919999999998</v>
      </c>
      <c r="J107" t="s">
        <v>18</v>
      </c>
      <c r="K107">
        <v>51001.919999999998</v>
      </c>
      <c r="L107" t="s">
        <v>18</v>
      </c>
      <c r="M107">
        <v>51001.919999999998</v>
      </c>
      <c r="N107" t="s">
        <v>18</v>
      </c>
      <c r="O107">
        <v>2243.2099999999991</v>
      </c>
      <c r="P107">
        <v>2243.2099999999991</v>
      </c>
      <c r="Q107">
        <v>4.6006344302382063</v>
      </c>
      <c r="R107">
        <v>4.6006344302382063</v>
      </c>
      <c r="T107" t="s">
        <v>2598</v>
      </c>
      <c r="U107" s="494">
        <v>46087</v>
      </c>
      <c r="V107">
        <v>472.24</v>
      </c>
      <c r="W107">
        <v>108</v>
      </c>
      <c r="X107">
        <v>451.47</v>
      </c>
      <c r="Y107">
        <v>0.23</v>
      </c>
      <c r="AP107" t="s">
        <v>1350</v>
      </c>
      <c r="AQ107">
        <v>0</v>
      </c>
      <c r="AS107" t="s">
        <v>2599</v>
      </c>
      <c r="AT107" t="s">
        <v>2600</v>
      </c>
      <c r="AZ107" s="494">
        <v>46085</v>
      </c>
      <c r="BA107">
        <v>70</v>
      </c>
      <c r="BO107" t="s">
        <v>1377</v>
      </c>
      <c r="BP107" t="s">
        <v>1378</v>
      </c>
      <c r="BQ107" t="s">
        <v>1355</v>
      </c>
      <c r="BR107" t="s">
        <v>1355</v>
      </c>
      <c r="BS107" t="s">
        <v>1355</v>
      </c>
      <c r="BV107">
        <v>3207.6510800000001</v>
      </c>
    </row>
    <row r="108" spans="1:75" customFormat="1" ht="15" x14ac:dyDescent="0.25">
      <c r="A108" s="1052" t="s">
        <v>2589</v>
      </c>
      <c r="B108" t="s">
        <v>2601</v>
      </c>
      <c r="C108" t="s">
        <v>1790</v>
      </c>
      <c r="D108" t="s">
        <v>1791</v>
      </c>
      <c r="E108" t="s">
        <v>195</v>
      </c>
      <c r="F108" t="s">
        <v>1255</v>
      </c>
      <c r="G108" t="s">
        <v>1255</v>
      </c>
      <c r="H108" t="s">
        <v>1341</v>
      </c>
      <c r="I108">
        <v>1808251.25</v>
      </c>
      <c r="J108" t="s">
        <v>18</v>
      </c>
      <c r="K108">
        <v>1808251.25</v>
      </c>
      <c r="L108" t="s">
        <v>18</v>
      </c>
      <c r="M108">
        <v>1808251.25</v>
      </c>
      <c r="N108" t="s">
        <v>18</v>
      </c>
      <c r="O108">
        <v>-34480.92</v>
      </c>
      <c r="P108">
        <v>-34480.92</v>
      </c>
      <c r="Q108">
        <v>-1.8712</v>
      </c>
      <c r="R108">
        <v>-1.8712</v>
      </c>
      <c r="T108" t="s">
        <v>2602</v>
      </c>
      <c r="U108" s="494">
        <v>46087</v>
      </c>
      <c r="V108">
        <v>724.75</v>
      </c>
      <c r="W108">
        <v>2495</v>
      </c>
      <c r="X108">
        <v>738.57</v>
      </c>
      <c r="Y108">
        <v>8.16</v>
      </c>
      <c r="AP108" t="s">
        <v>2592</v>
      </c>
      <c r="AQ108">
        <v>0</v>
      </c>
      <c r="AS108" t="s">
        <v>2603</v>
      </c>
      <c r="AT108" t="s">
        <v>2604</v>
      </c>
      <c r="AZ108" s="494">
        <v>46015</v>
      </c>
      <c r="BA108">
        <v>75</v>
      </c>
      <c r="BO108" t="s">
        <v>2594</v>
      </c>
      <c r="BP108" t="s">
        <v>2594</v>
      </c>
      <c r="BQ108" t="s">
        <v>1355</v>
      </c>
      <c r="BR108" t="s">
        <v>1355</v>
      </c>
      <c r="BS108" t="s">
        <v>1355</v>
      </c>
      <c r="BV108">
        <v>-34480.92</v>
      </c>
    </row>
    <row r="109" spans="1:75" customFormat="1" ht="15" x14ac:dyDescent="0.25">
      <c r="A109" s="1052" t="s">
        <v>2586</v>
      </c>
      <c r="B109" t="s">
        <v>1792</v>
      </c>
      <c r="C109" t="s">
        <v>1793</v>
      </c>
      <c r="D109" t="s">
        <v>1794</v>
      </c>
      <c r="E109" t="s">
        <v>195</v>
      </c>
      <c r="F109" t="s">
        <v>195</v>
      </c>
      <c r="G109" t="s">
        <v>1254</v>
      </c>
      <c r="H109" t="s">
        <v>1341</v>
      </c>
      <c r="I109">
        <v>92284.869137999995</v>
      </c>
      <c r="J109" t="s">
        <v>18</v>
      </c>
      <c r="K109">
        <v>14632134</v>
      </c>
      <c r="L109" t="s">
        <v>25</v>
      </c>
      <c r="M109">
        <v>92284.869137999995</v>
      </c>
      <c r="N109" t="s">
        <v>18</v>
      </c>
      <c r="O109">
        <v>2175.8691379999946</v>
      </c>
      <c r="P109">
        <v>605313</v>
      </c>
      <c r="Q109">
        <v>2.4147078959926254</v>
      </c>
      <c r="R109">
        <v>4.3153969099627068</v>
      </c>
      <c r="T109" t="s">
        <v>1795</v>
      </c>
      <c r="U109" s="494">
        <v>46087</v>
      </c>
      <c r="V109">
        <v>1958</v>
      </c>
      <c r="W109">
        <v>7473</v>
      </c>
      <c r="X109">
        <v>1877</v>
      </c>
      <c r="Y109">
        <v>0.42</v>
      </c>
      <c r="AP109" t="s">
        <v>1350</v>
      </c>
      <c r="AQ109">
        <v>0</v>
      </c>
      <c r="AS109" t="s">
        <v>1796</v>
      </c>
      <c r="AT109" t="s">
        <v>1797</v>
      </c>
      <c r="AZ109" s="494">
        <v>46077</v>
      </c>
      <c r="BA109">
        <v>70</v>
      </c>
      <c r="BO109" t="s">
        <v>1427</v>
      </c>
      <c r="BP109" t="s">
        <v>1428</v>
      </c>
      <c r="BQ109" t="s">
        <v>1386</v>
      </c>
      <c r="BR109" t="s">
        <v>287</v>
      </c>
      <c r="BS109" t="s">
        <v>287</v>
      </c>
      <c r="BV109">
        <v>7921.1427809999996</v>
      </c>
      <c r="BW109">
        <v>-1646.9979410000001</v>
      </c>
    </row>
    <row r="110" spans="1:75" customFormat="1" ht="15" x14ac:dyDescent="0.25">
      <c r="A110" s="1052" t="s">
        <v>2587</v>
      </c>
      <c r="B110" t="s">
        <v>1798</v>
      </c>
      <c r="C110" t="s">
        <v>1799</v>
      </c>
      <c r="D110" t="s">
        <v>1800</v>
      </c>
      <c r="E110" t="s">
        <v>195</v>
      </c>
      <c r="F110" t="s">
        <v>195</v>
      </c>
      <c r="G110" t="s">
        <v>1254</v>
      </c>
      <c r="H110" t="s">
        <v>1341</v>
      </c>
      <c r="I110">
        <v>54620.172500000001</v>
      </c>
      <c r="J110" t="s">
        <v>18</v>
      </c>
      <c r="K110">
        <v>54620.172500000001</v>
      </c>
      <c r="L110" t="s">
        <v>18</v>
      </c>
      <c r="M110">
        <v>54620.172500000001</v>
      </c>
      <c r="N110" t="s">
        <v>18</v>
      </c>
      <c r="O110">
        <v>-1033.4174999999959</v>
      </c>
      <c r="P110">
        <v>-1033.4174999999959</v>
      </c>
      <c r="Q110">
        <v>-1.8568748215523851</v>
      </c>
      <c r="R110">
        <v>-1.8568748215523851</v>
      </c>
      <c r="T110" t="s">
        <v>1801</v>
      </c>
      <c r="U110" s="494">
        <v>46087</v>
      </c>
      <c r="V110">
        <v>240.61750000000001</v>
      </c>
      <c r="W110">
        <v>227</v>
      </c>
      <c r="X110">
        <v>245.17</v>
      </c>
      <c r="Y110">
        <v>0.25</v>
      </c>
      <c r="AP110" t="s">
        <v>1350</v>
      </c>
      <c r="AQ110">
        <v>0</v>
      </c>
      <c r="AS110" t="s">
        <v>1802</v>
      </c>
      <c r="AT110" t="s">
        <v>1803</v>
      </c>
      <c r="AZ110" s="494">
        <v>46079</v>
      </c>
      <c r="BA110">
        <v>70</v>
      </c>
      <c r="BO110" t="s">
        <v>1362</v>
      </c>
      <c r="BP110" t="s">
        <v>1370</v>
      </c>
      <c r="BQ110" t="s">
        <v>1355</v>
      </c>
      <c r="BR110" t="s">
        <v>1355</v>
      </c>
      <c r="BS110" t="s">
        <v>1355</v>
      </c>
      <c r="BV110">
        <v>-1082.7922699999999</v>
      </c>
    </row>
    <row r="111" spans="1:75" customFormat="1" ht="15" x14ac:dyDescent="0.25">
      <c r="A111" s="1052" t="s">
        <v>2586</v>
      </c>
      <c r="B111" t="s">
        <v>1804</v>
      </c>
      <c r="C111" t="s">
        <v>1805</v>
      </c>
      <c r="D111" t="s">
        <v>1806</v>
      </c>
      <c r="E111" t="s">
        <v>195</v>
      </c>
      <c r="F111" t="s">
        <v>195</v>
      </c>
      <c r="G111" t="s">
        <v>1254</v>
      </c>
      <c r="H111" t="s">
        <v>1341</v>
      </c>
      <c r="I111">
        <v>36498.609000000004</v>
      </c>
      <c r="J111" t="s">
        <v>18</v>
      </c>
      <c r="K111">
        <v>5787000</v>
      </c>
      <c r="L111" t="s">
        <v>25</v>
      </c>
      <c r="M111">
        <v>36498.609000000004</v>
      </c>
      <c r="N111" t="s">
        <v>18</v>
      </c>
      <c r="O111">
        <v>-2964.3209999999963</v>
      </c>
      <c r="P111">
        <v>-356000</v>
      </c>
      <c r="Q111">
        <v>-7.5116596765622727</v>
      </c>
      <c r="R111">
        <v>-5.7952140647891914</v>
      </c>
      <c r="T111" t="s">
        <v>1807</v>
      </c>
      <c r="U111" s="494">
        <v>46087</v>
      </c>
      <c r="V111">
        <v>57870</v>
      </c>
      <c r="W111">
        <v>100</v>
      </c>
      <c r="X111">
        <v>61430</v>
      </c>
      <c r="Y111">
        <v>0.16</v>
      </c>
      <c r="AP111" t="s">
        <v>1350</v>
      </c>
      <c r="AQ111">
        <v>0</v>
      </c>
      <c r="AT111" t="s">
        <v>1808</v>
      </c>
      <c r="AZ111" s="494">
        <v>46077</v>
      </c>
      <c r="BA111">
        <v>70</v>
      </c>
      <c r="BO111" t="s">
        <v>1377</v>
      </c>
      <c r="BP111" t="s">
        <v>1448</v>
      </c>
      <c r="BQ111" t="s">
        <v>1386</v>
      </c>
      <c r="BR111" t="s">
        <v>287</v>
      </c>
      <c r="BS111" t="s">
        <v>287</v>
      </c>
      <c r="BV111">
        <v>205.56955199999999</v>
      </c>
      <c r="BW111">
        <v>-666.45855200000005</v>
      </c>
    </row>
    <row r="112" spans="1:75" customFormat="1" ht="15" x14ac:dyDescent="0.25">
      <c r="A112" s="1052" t="s">
        <v>2586</v>
      </c>
      <c r="B112" t="s">
        <v>1809</v>
      </c>
      <c r="C112" t="s">
        <v>1810</v>
      </c>
      <c r="D112" t="s">
        <v>1811</v>
      </c>
      <c r="E112" t="s">
        <v>195</v>
      </c>
      <c r="F112" t="s">
        <v>195</v>
      </c>
      <c r="G112" t="s">
        <v>1254</v>
      </c>
      <c r="H112" t="s">
        <v>1341</v>
      </c>
      <c r="I112">
        <v>38151.403920000004</v>
      </c>
      <c r="J112" t="s">
        <v>18</v>
      </c>
      <c r="K112">
        <v>32961.599999999999</v>
      </c>
      <c r="L112" t="s">
        <v>21</v>
      </c>
      <c r="M112">
        <v>38151.403920000004</v>
      </c>
      <c r="N112" t="s">
        <v>18</v>
      </c>
      <c r="O112">
        <v>-4918.1660799999954</v>
      </c>
      <c r="P112">
        <v>-3575.2000000000044</v>
      </c>
      <c r="Q112">
        <v>-11.419120460222834</v>
      </c>
      <c r="R112">
        <v>-9.7852028639618247</v>
      </c>
      <c r="T112" t="s">
        <v>1812</v>
      </c>
      <c r="U112" s="494">
        <v>46087</v>
      </c>
      <c r="V112">
        <v>75.599999999999994</v>
      </c>
      <c r="W112">
        <v>436</v>
      </c>
      <c r="X112">
        <v>83.8</v>
      </c>
      <c r="Y112">
        <v>0.17</v>
      </c>
      <c r="AP112" t="s">
        <v>1350</v>
      </c>
      <c r="AQ112">
        <v>0</v>
      </c>
      <c r="AS112" t="s">
        <v>1813</v>
      </c>
      <c r="AT112" t="s">
        <v>1814</v>
      </c>
      <c r="AZ112" s="494">
        <v>46077</v>
      </c>
      <c r="BA112">
        <v>70</v>
      </c>
      <c r="BO112" t="s">
        <v>1353</v>
      </c>
      <c r="BP112" t="s">
        <v>1354</v>
      </c>
      <c r="BQ112" t="s">
        <v>1386</v>
      </c>
      <c r="BR112" t="s">
        <v>209</v>
      </c>
      <c r="BS112" t="s">
        <v>1485</v>
      </c>
      <c r="BV112">
        <v>-3443.5097730000002</v>
      </c>
      <c r="BW112">
        <v>-712.64166699999998</v>
      </c>
    </row>
    <row r="113" spans="1:75" customFormat="1" ht="15" x14ac:dyDescent="0.25">
      <c r="A113" s="1052" t="s">
        <v>2588</v>
      </c>
      <c r="B113" t="s">
        <v>1815</v>
      </c>
      <c r="C113" t="s">
        <v>1816</v>
      </c>
      <c r="D113" t="s">
        <v>1817</v>
      </c>
      <c r="E113" t="s">
        <v>195</v>
      </c>
      <c r="F113" t="s">
        <v>195</v>
      </c>
      <c r="G113" t="s">
        <v>1254</v>
      </c>
      <c r="H113" t="s">
        <v>1341</v>
      </c>
      <c r="I113">
        <v>46743.839999999997</v>
      </c>
      <c r="J113" t="s">
        <v>18</v>
      </c>
      <c r="K113">
        <v>46743.839999999997</v>
      </c>
      <c r="L113" t="s">
        <v>18</v>
      </c>
      <c r="M113">
        <v>46743.839999999997</v>
      </c>
      <c r="N113" t="s">
        <v>18</v>
      </c>
      <c r="O113">
        <v>4461.5999999999985</v>
      </c>
      <c r="P113">
        <v>4461.5999999999985</v>
      </c>
      <c r="Q113">
        <v>10.551948051948049</v>
      </c>
      <c r="R113">
        <v>10.551948051948049</v>
      </c>
      <c r="T113" t="s">
        <v>1818</v>
      </c>
      <c r="U113" s="494">
        <v>46087</v>
      </c>
      <c r="V113">
        <v>20.43</v>
      </c>
      <c r="W113">
        <v>2288</v>
      </c>
      <c r="X113">
        <v>18.48</v>
      </c>
      <c r="Y113">
        <v>0.21</v>
      </c>
      <c r="AP113" t="s">
        <v>1350</v>
      </c>
      <c r="AQ113">
        <v>0</v>
      </c>
      <c r="AS113" t="s">
        <v>1819</v>
      </c>
      <c r="AT113" t="s">
        <v>1820</v>
      </c>
      <c r="AZ113" s="494">
        <v>46080</v>
      </c>
      <c r="BA113">
        <v>70</v>
      </c>
      <c r="BO113" t="s">
        <v>1377</v>
      </c>
      <c r="BP113" t="s">
        <v>1378</v>
      </c>
      <c r="BQ113" t="s">
        <v>1355</v>
      </c>
      <c r="BR113" t="s">
        <v>1355</v>
      </c>
      <c r="BS113" t="s">
        <v>1355</v>
      </c>
      <c r="BV113">
        <v>5720</v>
      </c>
    </row>
    <row r="114" spans="1:75" customFormat="1" ht="15" x14ac:dyDescent="0.25">
      <c r="A114" s="1052" t="s">
        <v>2586</v>
      </c>
      <c r="B114" t="s">
        <v>1821</v>
      </c>
      <c r="C114" t="s">
        <v>1822</v>
      </c>
      <c r="D114" t="s">
        <v>1823</v>
      </c>
      <c r="E114" t="s">
        <v>195</v>
      </c>
      <c r="F114" t="s">
        <v>195</v>
      </c>
      <c r="G114" t="s">
        <v>1254</v>
      </c>
      <c r="H114" t="s">
        <v>1341</v>
      </c>
      <c r="I114">
        <v>61322.400000000001</v>
      </c>
      <c r="J114" t="s">
        <v>18</v>
      </c>
      <c r="K114">
        <v>61322.400000000001</v>
      </c>
      <c r="L114" t="s">
        <v>18</v>
      </c>
      <c r="M114">
        <v>61322.400000000001</v>
      </c>
      <c r="N114" t="s">
        <v>18</v>
      </c>
      <c r="O114">
        <v>-12812.219999999994</v>
      </c>
      <c r="P114">
        <v>-12812.219999999994</v>
      </c>
      <c r="Q114">
        <v>-17.28237090849052</v>
      </c>
      <c r="R114">
        <v>-17.28237090849052</v>
      </c>
      <c r="T114" t="s">
        <v>1824</v>
      </c>
      <c r="U114" s="494">
        <v>46087</v>
      </c>
      <c r="V114">
        <v>200.4</v>
      </c>
      <c r="W114">
        <v>306</v>
      </c>
      <c r="X114">
        <v>242.27</v>
      </c>
      <c r="Y114">
        <v>0.28000000000000003</v>
      </c>
      <c r="AP114" t="s">
        <v>1350</v>
      </c>
      <c r="AQ114">
        <v>0</v>
      </c>
      <c r="AS114" t="s">
        <v>1825</v>
      </c>
      <c r="AT114" t="s">
        <v>1826</v>
      </c>
      <c r="AZ114" s="494">
        <v>46077</v>
      </c>
      <c r="BA114">
        <v>70</v>
      </c>
      <c r="BO114" t="s">
        <v>1377</v>
      </c>
      <c r="BP114" t="s">
        <v>1393</v>
      </c>
      <c r="BQ114" t="s">
        <v>1355</v>
      </c>
      <c r="BR114" t="s">
        <v>1355</v>
      </c>
      <c r="BS114" t="s">
        <v>1355</v>
      </c>
      <c r="BV114">
        <v>-13139.64</v>
      </c>
    </row>
    <row r="115" spans="1:75" customFormat="1" ht="15" x14ac:dyDescent="0.25">
      <c r="A115" s="1052" t="s">
        <v>2587</v>
      </c>
      <c r="B115" t="s">
        <v>1821</v>
      </c>
      <c r="C115" t="s">
        <v>1822</v>
      </c>
      <c r="D115" t="s">
        <v>1823</v>
      </c>
      <c r="E115" t="s">
        <v>195</v>
      </c>
      <c r="F115" t="s">
        <v>195</v>
      </c>
      <c r="G115" t="s">
        <v>1254</v>
      </c>
      <c r="H115" t="s">
        <v>1341</v>
      </c>
      <c r="I115">
        <v>13426.800000000001</v>
      </c>
      <c r="J115" t="s">
        <v>18</v>
      </c>
      <c r="K115">
        <v>13426.800000000001</v>
      </c>
      <c r="L115" t="s">
        <v>18</v>
      </c>
      <c r="M115">
        <v>13426.800000000001</v>
      </c>
      <c r="N115" t="s">
        <v>18</v>
      </c>
      <c r="O115">
        <v>-3288.3599999999988</v>
      </c>
      <c r="P115">
        <v>-3288.3599999999988</v>
      </c>
      <c r="Q115">
        <v>-19.672919672919669</v>
      </c>
      <c r="R115">
        <v>-19.672919672919669</v>
      </c>
      <c r="T115" t="s">
        <v>1824</v>
      </c>
      <c r="U115" s="494">
        <v>46087</v>
      </c>
      <c r="V115">
        <v>200.4</v>
      </c>
      <c r="W115">
        <v>67</v>
      </c>
      <c r="X115">
        <v>249.48</v>
      </c>
      <c r="Y115">
        <v>0.06</v>
      </c>
      <c r="AP115" t="s">
        <v>1350</v>
      </c>
      <c r="AQ115">
        <v>0</v>
      </c>
      <c r="AS115" t="s">
        <v>1825</v>
      </c>
      <c r="AT115" t="s">
        <v>1826</v>
      </c>
      <c r="AZ115" s="494">
        <v>46079</v>
      </c>
      <c r="BA115">
        <v>70</v>
      </c>
      <c r="BO115" t="s">
        <v>1377</v>
      </c>
      <c r="BP115" t="s">
        <v>1393</v>
      </c>
      <c r="BQ115" t="s">
        <v>1355</v>
      </c>
      <c r="BR115" t="s">
        <v>1355</v>
      </c>
      <c r="BS115" t="s">
        <v>1355</v>
      </c>
      <c r="BV115">
        <v>-3360.05</v>
      </c>
    </row>
    <row r="116" spans="1:75" customFormat="1" ht="15" x14ac:dyDescent="0.25">
      <c r="A116" s="1052" t="s">
        <v>2586</v>
      </c>
      <c r="B116" t="s">
        <v>1827</v>
      </c>
      <c r="C116" t="s">
        <v>1828</v>
      </c>
      <c r="D116" t="s">
        <v>1829</v>
      </c>
      <c r="E116" t="s">
        <v>195</v>
      </c>
      <c r="F116" t="s">
        <v>195</v>
      </c>
      <c r="G116" t="s">
        <v>1254</v>
      </c>
      <c r="H116" t="s">
        <v>1341</v>
      </c>
      <c r="I116">
        <v>75039.566909999994</v>
      </c>
      <c r="J116" t="s">
        <v>18</v>
      </c>
      <c r="K116">
        <v>64831.799999999996</v>
      </c>
      <c r="L116" t="s">
        <v>21</v>
      </c>
      <c r="M116">
        <v>75039.566909999994</v>
      </c>
      <c r="N116" t="s">
        <v>18</v>
      </c>
      <c r="O116">
        <v>-12909.043090000006</v>
      </c>
      <c r="P116">
        <v>-9776.8000000000102</v>
      </c>
      <c r="Q116">
        <v>-14.67793873035629</v>
      </c>
      <c r="R116">
        <v>-13.10411936425561</v>
      </c>
      <c r="T116" t="s">
        <v>1830</v>
      </c>
      <c r="U116" s="494">
        <v>46087</v>
      </c>
      <c r="V116">
        <v>133.94999999999999</v>
      </c>
      <c r="W116">
        <v>484</v>
      </c>
      <c r="X116">
        <v>154.15</v>
      </c>
      <c r="Y116">
        <v>0.34</v>
      </c>
      <c r="AP116" t="s">
        <v>1350</v>
      </c>
      <c r="AQ116">
        <v>0</v>
      </c>
      <c r="AT116" t="s">
        <v>1831</v>
      </c>
      <c r="AZ116" s="494">
        <v>46077</v>
      </c>
      <c r="BA116">
        <v>70</v>
      </c>
      <c r="BO116" t="s">
        <v>1353</v>
      </c>
      <c r="BP116" t="s">
        <v>1354</v>
      </c>
      <c r="BQ116" t="s">
        <v>1386</v>
      </c>
      <c r="BR116" t="s">
        <v>209</v>
      </c>
      <c r="BS116" t="s">
        <v>302</v>
      </c>
      <c r="BV116">
        <v>-9470.9498930000009</v>
      </c>
      <c r="BW116">
        <v>-1411.3661870000001</v>
      </c>
    </row>
    <row r="117" spans="1:75" customFormat="1" ht="15" x14ac:dyDescent="0.25">
      <c r="A117" s="1052" t="s">
        <v>2586</v>
      </c>
      <c r="B117" t="s">
        <v>1832</v>
      </c>
      <c r="C117" t="s">
        <v>1833</v>
      </c>
      <c r="D117" t="s">
        <v>1834</v>
      </c>
      <c r="E117" t="s">
        <v>195</v>
      </c>
      <c r="F117" t="s">
        <v>195</v>
      </c>
      <c r="G117" t="s">
        <v>1254</v>
      </c>
      <c r="H117" t="s">
        <v>1341</v>
      </c>
      <c r="I117">
        <v>193112.76</v>
      </c>
      <c r="J117" t="s">
        <v>18</v>
      </c>
      <c r="K117">
        <v>193112.76</v>
      </c>
      <c r="L117" t="s">
        <v>18</v>
      </c>
      <c r="M117">
        <v>193112.76</v>
      </c>
      <c r="N117" t="s">
        <v>18</v>
      </c>
      <c r="O117">
        <v>-7159.6199999999953</v>
      </c>
      <c r="P117">
        <v>-7159.6199999999953</v>
      </c>
      <c r="Q117">
        <v>-3.574941287460605</v>
      </c>
      <c r="R117">
        <v>-3.574941287460605</v>
      </c>
      <c r="T117" t="s">
        <v>1835</v>
      </c>
      <c r="U117" s="494">
        <v>46087</v>
      </c>
      <c r="V117">
        <v>480.38</v>
      </c>
      <c r="W117">
        <v>402</v>
      </c>
      <c r="X117">
        <v>498.19</v>
      </c>
      <c r="Y117">
        <v>0.87</v>
      </c>
      <c r="AP117" t="s">
        <v>1350</v>
      </c>
      <c r="AQ117">
        <v>0</v>
      </c>
      <c r="AS117" t="s">
        <v>1836</v>
      </c>
      <c r="AT117" t="s">
        <v>1837</v>
      </c>
      <c r="AZ117" s="494">
        <v>46077</v>
      </c>
      <c r="BA117">
        <v>70</v>
      </c>
      <c r="BO117" t="s">
        <v>1400</v>
      </c>
      <c r="BP117" t="s">
        <v>1400</v>
      </c>
      <c r="BQ117" t="s">
        <v>1355</v>
      </c>
      <c r="BR117" t="s">
        <v>1355</v>
      </c>
      <c r="BS117" t="s">
        <v>1355</v>
      </c>
      <c r="BV117">
        <v>-5406.9040199999999</v>
      </c>
    </row>
    <row r="118" spans="1:75" customFormat="1" ht="15" x14ac:dyDescent="0.25">
      <c r="A118" s="1052" t="s">
        <v>2586</v>
      </c>
      <c r="B118" t="s">
        <v>1838</v>
      </c>
      <c r="C118" t="s">
        <v>1839</v>
      </c>
      <c r="D118" t="s">
        <v>1840</v>
      </c>
      <c r="E118" t="s">
        <v>195</v>
      </c>
      <c r="F118" t="s">
        <v>195</v>
      </c>
      <c r="G118" t="s">
        <v>1254</v>
      </c>
      <c r="H118" t="s">
        <v>1341</v>
      </c>
      <c r="I118">
        <v>109852.34</v>
      </c>
      <c r="J118" t="s">
        <v>18</v>
      </c>
      <c r="K118">
        <v>109852.34</v>
      </c>
      <c r="L118" t="s">
        <v>18</v>
      </c>
      <c r="M118">
        <v>109852.34</v>
      </c>
      <c r="N118" t="s">
        <v>18</v>
      </c>
      <c r="O118">
        <v>-13335.300000000003</v>
      </c>
      <c r="P118">
        <v>-13335.300000000003</v>
      </c>
      <c r="Q118">
        <v>-10.825193176847939</v>
      </c>
      <c r="R118">
        <v>-10.825193176847939</v>
      </c>
      <c r="T118" t="s">
        <v>1841</v>
      </c>
      <c r="U118" s="494">
        <v>46087</v>
      </c>
      <c r="V118">
        <v>244.66</v>
      </c>
      <c r="W118">
        <v>449</v>
      </c>
      <c r="X118">
        <v>274.36</v>
      </c>
      <c r="Y118">
        <v>0.5</v>
      </c>
      <c r="AP118" t="s">
        <v>1350</v>
      </c>
      <c r="AQ118">
        <v>0</v>
      </c>
      <c r="AS118" t="s">
        <v>1842</v>
      </c>
      <c r="AT118" t="s">
        <v>1843</v>
      </c>
      <c r="AZ118" s="494">
        <v>46077</v>
      </c>
      <c r="BA118">
        <v>70</v>
      </c>
      <c r="BO118" t="s">
        <v>1384</v>
      </c>
      <c r="BP118" t="s">
        <v>1420</v>
      </c>
      <c r="BQ118" t="s">
        <v>1355</v>
      </c>
      <c r="BR118" t="s">
        <v>1355</v>
      </c>
      <c r="BS118" t="s">
        <v>1355</v>
      </c>
      <c r="BV118">
        <v>-10089.030000000001</v>
      </c>
    </row>
    <row r="119" spans="1:75" customFormat="1" ht="15" x14ac:dyDescent="0.25">
      <c r="A119" s="1052" t="s">
        <v>2587</v>
      </c>
      <c r="B119" t="s">
        <v>1838</v>
      </c>
      <c r="C119" t="s">
        <v>1839</v>
      </c>
      <c r="D119" t="s">
        <v>1840</v>
      </c>
      <c r="E119" t="s">
        <v>195</v>
      </c>
      <c r="F119" t="s">
        <v>195</v>
      </c>
      <c r="G119" t="s">
        <v>1254</v>
      </c>
      <c r="H119" t="s">
        <v>1341</v>
      </c>
      <c r="I119">
        <v>37922.300000000003</v>
      </c>
      <c r="J119" t="s">
        <v>18</v>
      </c>
      <c r="K119">
        <v>37922.300000000003</v>
      </c>
      <c r="L119" t="s">
        <v>18</v>
      </c>
      <c r="M119">
        <v>37922.300000000003</v>
      </c>
      <c r="N119" t="s">
        <v>18</v>
      </c>
      <c r="O119">
        <v>-2845.7999999999956</v>
      </c>
      <c r="P119">
        <v>-2845.7999999999956</v>
      </c>
      <c r="Q119">
        <v>-6.9804577598661597</v>
      </c>
      <c r="R119">
        <v>-6.9804577598661597</v>
      </c>
      <c r="T119" t="s">
        <v>1841</v>
      </c>
      <c r="U119" s="494">
        <v>46087</v>
      </c>
      <c r="V119">
        <v>244.66</v>
      </c>
      <c r="W119">
        <v>155</v>
      </c>
      <c r="X119">
        <v>263.02</v>
      </c>
      <c r="Y119">
        <v>0.17</v>
      </c>
      <c r="AP119" t="s">
        <v>1350</v>
      </c>
      <c r="AQ119">
        <v>0</v>
      </c>
      <c r="AS119" t="s">
        <v>1842</v>
      </c>
      <c r="AT119" t="s">
        <v>1843</v>
      </c>
      <c r="AZ119" s="494">
        <v>46079</v>
      </c>
      <c r="BA119">
        <v>70</v>
      </c>
      <c r="BO119" t="s">
        <v>1384</v>
      </c>
      <c r="BP119" t="s">
        <v>1420</v>
      </c>
      <c r="BQ119" t="s">
        <v>1355</v>
      </c>
      <c r="BR119" t="s">
        <v>1355</v>
      </c>
      <c r="BS119" t="s">
        <v>1355</v>
      </c>
      <c r="BV119">
        <v>-1725.15</v>
      </c>
    </row>
    <row r="120" spans="1:75" customFormat="1" ht="15" x14ac:dyDescent="0.25">
      <c r="A120" s="1052" t="s">
        <v>2586</v>
      </c>
      <c r="B120" t="s">
        <v>1844</v>
      </c>
      <c r="C120" t="s">
        <v>1845</v>
      </c>
      <c r="D120" t="s">
        <v>1846</v>
      </c>
      <c r="E120" t="s">
        <v>195</v>
      </c>
      <c r="F120" t="s">
        <v>195</v>
      </c>
      <c r="G120" t="s">
        <v>1254</v>
      </c>
      <c r="H120" t="s">
        <v>1341</v>
      </c>
      <c r="I120">
        <v>133973.90999999997</v>
      </c>
      <c r="J120" t="s">
        <v>18</v>
      </c>
      <c r="K120">
        <v>133973.90999999997</v>
      </c>
      <c r="L120" t="s">
        <v>18</v>
      </c>
      <c r="M120">
        <v>133973.90999999997</v>
      </c>
      <c r="N120" t="s">
        <v>18</v>
      </c>
      <c r="O120">
        <v>4510.0799999999726</v>
      </c>
      <c r="P120">
        <v>4510.0799999999726</v>
      </c>
      <c r="Q120">
        <v>3.4836602624841029</v>
      </c>
      <c r="R120">
        <v>3.4836602624841029</v>
      </c>
      <c r="T120" t="s">
        <v>1847</v>
      </c>
      <c r="U120" s="494">
        <v>46087</v>
      </c>
      <c r="V120">
        <v>513.30999999999995</v>
      </c>
      <c r="W120">
        <v>261</v>
      </c>
      <c r="X120">
        <v>496.03</v>
      </c>
      <c r="Y120">
        <v>0.6</v>
      </c>
      <c r="AP120" t="s">
        <v>1350</v>
      </c>
      <c r="AQ120">
        <v>0</v>
      </c>
      <c r="AS120" t="s">
        <v>1848</v>
      </c>
      <c r="AT120" t="s">
        <v>1849</v>
      </c>
      <c r="AZ120" s="494">
        <v>46077</v>
      </c>
      <c r="BA120">
        <v>70</v>
      </c>
      <c r="BO120" t="s">
        <v>1427</v>
      </c>
      <c r="BP120" t="s">
        <v>1428</v>
      </c>
      <c r="BQ120" t="s">
        <v>1355</v>
      </c>
      <c r="BR120" t="s">
        <v>1355</v>
      </c>
      <c r="BS120" t="s">
        <v>1355</v>
      </c>
      <c r="BV120">
        <v>6866.9178300000003</v>
      </c>
    </row>
    <row r="121" spans="1:75" customFormat="1" ht="15" x14ac:dyDescent="0.25">
      <c r="A121" s="1052" t="s">
        <v>2586</v>
      </c>
      <c r="B121" t="s">
        <v>1850</v>
      </c>
      <c r="C121" t="s">
        <v>1851</v>
      </c>
      <c r="D121" t="s">
        <v>1852</v>
      </c>
      <c r="E121" t="s">
        <v>195</v>
      </c>
      <c r="F121" t="s">
        <v>195</v>
      </c>
      <c r="G121" t="s">
        <v>1254</v>
      </c>
      <c r="H121" t="s">
        <v>1341</v>
      </c>
      <c r="I121">
        <v>160220.16</v>
      </c>
      <c r="J121" t="s">
        <v>18</v>
      </c>
      <c r="K121">
        <v>160220.16</v>
      </c>
      <c r="L121" t="s">
        <v>18</v>
      </c>
      <c r="M121">
        <v>160220.16</v>
      </c>
      <c r="N121" t="s">
        <v>18</v>
      </c>
      <c r="O121">
        <v>-3045.1199999999953</v>
      </c>
      <c r="P121">
        <v>-3045.1199999999953</v>
      </c>
      <c r="Q121">
        <v>-1.865136298421805</v>
      </c>
      <c r="R121">
        <v>-1.865136298421805</v>
      </c>
      <c r="T121" t="s">
        <v>1853</v>
      </c>
      <c r="U121" s="494">
        <v>46087</v>
      </c>
      <c r="V121">
        <v>328.32</v>
      </c>
      <c r="W121">
        <v>488</v>
      </c>
      <c r="X121">
        <v>334.56</v>
      </c>
      <c r="Y121">
        <v>0.72</v>
      </c>
      <c r="AP121" t="s">
        <v>1350</v>
      </c>
      <c r="AQ121">
        <v>0</v>
      </c>
      <c r="AS121" t="s">
        <v>1854</v>
      </c>
      <c r="AT121" t="s">
        <v>1855</v>
      </c>
      <c r="AZ121" s="494">
        <v>46077</v>
      </c>
      <c r="BA121">
        <v>70</v>
      </c>
      <c r="BO121" t="s">
        <v>1384</v>
      </c>
      <c r="BP121" t="s">
        <v>1613</v>
      </c>
      <c r="BQ121" t="s">
        <v>1355</v>
      </c>
      <c r="BR121" t="s">
        <v>1355</v>
      </c>
      <c r="BS121" t="s">
        <v>1355</v>
      </c>
      <c r="BV121">
        <v>-3172</v>
      </c>
    </row>
    <row r="122" spans="1:75" customFormat="1" ht="15" x14ac:dyDescent="0.25">
      <c r="A122" s="1052" t="s">
        <v>2587</v>
      </c>
      <c r="B122" t="s">
        <v>1850</v>
      </c>
      <c r="C122" t="s">
        <v>1851</v>
      </c>
      <c r="D122" t="s">
        <v>1852</v>
      </c>
      <c r="E122" t="s">
        <v>195</v>
      </c>
      <c r="F122" t="s">
        <v>195</v>
      </c>
      <c r="G122" t="s">
        <v>1254</v>
      </c>
      <c r="H122" t="s">
        <v>1341</v>
      </c>
      <c r="I122">
        <v>39398.400000000001</v>
      </c>
      <c r="J122" t="s">
        <v>18</v>
      </c>
      <c r="K122">
        <v>39398.400000000001</v>
      </c>
      <c r="L122" t="s">
        <v>18</v>
      </c>
      <c r="M122">
        <v>39398.400000000001</v>
      </c>
      <c r="N122" t="s">
        <v>18</v>
      </c>
      <c r="O122">
        <v>-562.79999999999563</v>
      </c>
      <c r="P122">
        <v>-562.79999999999563</v>
      </c>
      <c r="Q122">
        <v>-1.4083661151316669</v>
      </c>
      <c r="R122">
        <v>-1.4083661151316669</v>
      </c>
      <c r="T122" t="s">
        <v>1853</v>
      </c>
      <c r="U122" s="494">
        <v>46087</v>
      </c>
      <c r="V122">
        <v>328.32</v>
      </c>
      <c r="W122">
        <v>120</v>
      </c>
      <c r="X122">
        <v>333.01</v>
      </c>
      <c r="Y122">
        <v>0.18</v>
      </c>
      <c r="AP122" t="s">
        <v>1350</v>
      </c>
      <c r="AQ122">
        <v>0</v>
      </c>
      <c r="AS122" t="s">
        <v>1854</v>
      </c>
      <c r="AT122" t="s">
        <v>1855</v>
      </c>
      <c r="AZ122" s="494">
        <v>46079</v>
      </c>
      <c r="BA122">
        <v>70</v>
      </c>
      <c r="BO122" t="s">
        <v>1384</v>
      </c>
      <c r="BP122" t="s">
        <v>1613</v>
      </c>
      <c r="BQ122" t="s">
        <v>1355</v>
      </c>
      <c r="BR122" t="s">
        <v>1355</v>
      </c>
      <c r="BS122" t="s">
        <v>1355</v>
      </c>
      <c r="BV122">
        <v>-594</v>
      </c>
    </row>
    <row r="123" spans="1:75" customFormat="1" ht="15" x14ac:dyDescent="0.25">
      <c r="A123" s="1052" t="s">
        <v>2587</v>
      </c>
      <c r="B123" t="s">
        <v>1856</v>
      </c>
      <c r="C123" t="s">
        <v>1857</v>
      </c>
      <c r="D123" t="s">
        <v>1858</v>
      </c>
      <c r="E123" t="s">
        <v>195</v>
      </c>
      <c r="F123" t="s">
        <v>195</v>
      </c>
      <c r="G123" t="s">
        <v>1254</v>
      </c>
      <c r="H123" t="s">
        <v>1341</v>
      </c>
      <c r="I123">
        <v>21770.734999999997</v>
      </c>
      <c r="J123" t="s">
        <v>18</v>
      </c>
      <c r="K123">
        <v>21770.734999999997</v>
      </c>
      <c r="L123" t="s">
        <v>18</v>
      </c>
      <c r="M123">
        <v>21770.734999999997</v>
      </c>
      <c r="N123" t="s">
        <v>18</v>
      </c>
      <c r="O123">
        <v>-1521.9150000000045</v>
      </c>
      <c r="P123">
        <v>-1521.9150000000045</v>
      </c>
      <c r="Q123">
        <v>-6.5338851526125383</v>
      </c>
      <c r="R123">
        <v>-6.5338851526125383</v>
      </c>
      <c r="T123" t="s">
        <v>1859</v>
      </c>
      <c r="U123" s="494">
        <v>46087</v>
      </c>
      <c r="V123">
        <v>90.334999999999994</v>
      </c>
      <c r="W123">
        <v>241</v>
      </c>
      <c r="X123">
        <v>96.65</v>
      </c>
      <c r="Y123">
        <v>0.1</v>
      </c>
      <c r="AP123" t="s">
        <v>1350</v>
      </c>
      <c r="AQ123">
        <v>0</v>
      </c>
      <c r="AS123" t="s">
        <v>1860</v>
      </c>
      <c r="AT123" t="s">
        <v>1861</v>
      </c>
      <c r="AZ123" s="494">
        <v>46079</v>
      </c>
      <c r="BA123">
        <v>70</v>
      </c>
      <c r="BO123" t="s">
        <v>1362</v>
      </c>
      <c r="BP123" t="s">
        <v>1363</v>
      </c>
      <c r="BQ123" t="s">
        <v>1355</v>
      </c>
      <c r="BR123" t="s">
        <v>1355</v>
      </c>
      <c r="BS123" t="s">
        <v>1355</v>
      </c>
      <c r="BV123">
        <v>-1385.75</v>
      </c>
    </row>
    <row r="124" spans="1:75" customFormat="1" ht="15" x14ac:dyDescent="0.25">
      <c r="A124" s="1052" t="s">
        <v>2587</v>
      </c>
      <c r="B124" t="s">
        <v>1862</v>
      </c>
      <c r="C124" t="s">
        <v>1863</v>
      </c>
      <c r="D124" t="s">
        <v>1086</v>
      </c>
      <c r="E124" t="s">
        <v>195</v>
      </c>
      <c r="F124" t="s">
        <v>195</v>
      </c>
      <c r="G124" t="s">
        <v>1254</v>
      </c>
      <c r="H124" t="s">
        <v>1341</v>
      </c>
      <c r="I124">
        <v>32822.79</v>
      </c>
      <c r="J124" t="s">
        <v>18</v>
      </c>
      <c r="K124">
        <v>32822.79</v>
      </c>
      <c r="L124" t="s">
        <v>18</v>
      </c>
      <c r="M124">
        <v>32822.79</v>
      </c>
      <c r="N124" t="s">
        <v>18</v>
      </c>
      <c r="O124">
        <v>-2200.7699999999968</v>
      </c>
      <c r="P124">
        <v>-2200.7699999999968</v>
      </c>
      <c r="Q124">
        <v>-6.2836844683978352</v>
      </c>
      <c r="R124">
        <v>-6.2836844683978352</v>
      </c>
      <c r="T124" t="s">
        <v>1864</v>
      </c>
      <c r="U124" s="494">
        <v>46087</v>
      </c>
      <c r="V124">
        <v>114.765</v>
      </c>
      <c r="W124">
        <v>286</v>
      </c>
      <c r="X124">
        <v>122.46</v>
      </c>
      <c r="Y124">
        <v>0.15</v>
      </c>
      <c r="AP124" t="s">
        <v>1350</v>
      </c>
      <c r="AQ124">
        <v>0</v>
      </c>
      <c r="AS124" t="s">
        <v>1865</v>
      </c>
      <c r="AT124" t="s">
        <v>1866</v>
      </c>
      <c r="AZ124" s="494">
        <v>46079</v>
      </c>
      <c r="BA124">
        <v>70</v>
      </c>
      <c r="BO124" t="s">
        <v>1362</v>
      </c>
      <c r="BP124" t="s">
        <v>1370</v>
      </c>
      <c r="BQ124" t="s">
        <v>1355</v>
      </c>
      <c r="BR124" t="s">
        <v>1355</v>
      </c>
      <c r="BS124" t="s">
        <v>1355</v>
      </c>
      <c r="BV124">
        <v>-1907.62</v>
      </c>
    </row>
    <row r="125" spans="1:75" customFormat="1" ht="15" x14ac:dyDescent="0.25">
      <c r="A125" s="1052" t="s">
        <v>2586</v>
      </c>
      <c r="B125" t="s">
        <v>1867</v>
      </c>
      <c r="C125" t="s">
        <v>1868</v>
      </c>
      <c r="D125" t="s">
        <v>1869</v>
      </c>
      <c r="E125" t="s">
        <v>195</v>
      </c>
      <c r="F125" t="s">
        <v>195</v>
      </c>
      <c r="G125" t="s">
        <v>1254</v>
      </c>
      <c r="H125" t="s">
        <v>1341</v>
      </c>
      <c r="I125">
        <v>126066.5</v>
      </c>
      <c r="J125" t="s">
        <v>18</v>
      </c>
      <c r="K125">
        <v>126066.5</v>
      </c>
      <c r="L125" t="s">
        <v>18</v>
      </c>
      <c r="M125">
        <v>126066.5</v>
      </c>
      <c r="N125" t="s">
        <v>18</v>
      </c>
      <c r="O125">
        <v>-746.25</v>
      </c>
      <c r="P125">
        <v>-746.25</v>
      </c>
      <c r="Q125">
        <v>-0.58846606512357791</v>
      </c>
      <c r="R125">
        <v>-0.58846606512357791</v>
      </c>
      <c r="T125" t="s">
        <v>1870</v>
      </c>
      <c r="U125" s="494">
        <v>46087</v>
      </c>
      <c r="V125">
        <v>633.5</v>
      </c>
      <c r="W125">
        <v>199</v>
      </c>
      <c r="X125">
        <v>637.25</v>
      </c>
      <c r="Y125">
        <v>0.56999999999999995</v>
      </c>
      <c r="AP125" t="s">
        <v>1350</v>
      </c>
      <c r="AQ125">
        <v>0</v>
      </c>
      <c r="AS125" t="s">
        <v>1871</v>
      </c>
      <c r="AT125" t="s">
        <v>1872</v>
      </c>
      <c r="AZ125" s="494">
        <v>46077</v>
      </c>
      <c r="BA125">
        <v>70</v>
      </c>
      <c r="BO125" t="s">
        <v>308</v>
      </c>
      <c r="BP125" t="s">
        <v>1407</v>
      </c>
      <c r="BQ125" t="s">
        <v>1355</v>
      </c>
      <c r="BR125" t="s">
        <v>1355</v>
      </c>
      <c r="BS125" t="s">
        <v>1355</v>
      </c>
      <c r="BV125">
        <v>1514.3880099999999</v>
      </c>
    </row>
    <row r="126" spans="1:75" customFormat="1" ht="15" x14ac:dyDescent="0.25">
      <c r="A126" s="1052" t="s">
        <v>2587</v>
      </c>
      <c r="B126" t="s">
        <v>1867</v>
      </c>
      <c r="C126" t="s">
        <v>1868</v>
      </c>
      <c r="D126" t="s">
        <v>1869</v>
      </c>
      <c r="E126" t="s">
        <v>195</v>
      </c>
      <c r="F126" t="s">
        <v>195</v>
      </c>
      <c r="G126" t="s">
        <v>1254</v>
      </c>
      <c r="H126" t="s">
        <v>1341</v>
      </c>
      <c r="I126">
        <v>27874</v>
      </c>
      <c r="J126" t="s">
        <v>18</v>
      </c>
      <c r="K126">
        <v>27874</v>
      </c>
      <c r="L126" t="s">
        <v>18</v>
      </c>
      <c r="M126">
        <v>27874</v>
      </c>
      <c r="N126" t="s">
        <v>18</v>
      </c>
      <c r="O126">
        <v>-888.36000000000058</v>
      </c>
      <c r="P126">
        <v>-888.36000000000058</v>
      </c>
      <c r="Q126">
        <v>-3.0886199880677405</v>
      </c>
      <c r="R126">
        <v>-3.0886199880677405</v>
      </c>
      <c r="T126" t="s">
        <v>1870</v>
      </c>
      <c r="U126" s="494">
        <v>46087</v>
      </c>
      <c r="V126">
        <v>633.5</v>
      </c>
      <c r="W126">
        <v>44</v>
      </c>
      <c r="X126">
        <v>653.69000000000005</v>
      </c>
      <c r="Y126">
        <v>0.13</v>
      </c>
      <c r="AP126" t="s">
        <v>1350</v>
      </c>
      <c r="AQ126">
        <v>0</v>
      </c>
      <c r="AS126" t="s">
        <v>1871</v>
      </c>
      <c r="AT126" t="s">
        <v>1872</v>
      </c>
      <c r="AZ126" s="494">
        <v>46079</v>
      </c>
      <c r="BA126">
        <v>70</v>
      </c>
      <c r="BO126" t="s">
        <v>308</v>
      </c>
      <c r="BP126" t="s">
        <v>1407</v>
      </c>
      <c r="BQ126" t="s">
        <v>1355</v>
      </c>
      <c r="BR126" t="s">
        <v>1355</v>
      </c>
      <c r="BS126" t="s">
        <v>1355</v>
      </c>
      <c r="BV126">
        <v>-388.52044000000001</v>
      </c>
    </row>
    <row r="127" spans="1:75" customFormat="1" ht="15" x14ac:dyDescent="0.25">
      <c r="A127" s="1052" t="s">
        <v>2588</v>
      </c>
      <c r="B127" t="s">
        <v>1867</v>
      </c>
      <c r="C127" t="s">
        <v>1868</v>
      </c>
      <c r="D127" t="s">
        <v>1869</v>
      </c>
      <c r="E127" t="s">
        <v>195</v>
      </c>
      <c r="F127" t="s">
        <v>195</v>
      </c>
      <c r="G127" t="s">
        <v>1254</v>
      </c>
      <c r="H127" t="s">
        <v>1341</v>
      </c>
      <c r="I127">
        <v>269871</v>
      </c>
      <c r="J127" t="s">
        <v>18</v>
      </c>
      <c r="K127">
        <v>269871</v>
      </c>
      <c r="L127" t="s">
        <v>18</v>
      </c>
      <c r="M127">
        <v>269871</v>
      </c>
      <c r="N127" t="s">
        <v>18</v>
      </c>
      <c r="O127">
        <v>-10015.260000000009</v>
      </c>
      <c r="P127">
        <v>-10015.260000000009</v>
      </c>
      <c r="Q127">
        <v>-3.5783321410633047</v>
      </c>
      <c r="R127">
        <v>-3.5783321410633047</v>
      </c>
      <c r="T127" t="s">
        <v>1870</v>
      </c>
      <c r="U127" s="494">
        <v>46087</v>
      </c>
      <c r="V127">
        <v>633.5</v>
      </c>
      <c r="W127">
        <v>426</v>
      </c>
      <c r="X127">
        <v>657.01</v>
      </c>
      <c r="Y127">
        <v>1.21</v>
      </c>
      <c r="AP127" t="s">
        <v>1350</v>
      </c>
      <c r="AQ127">
        <v>0</v>
      </c>
      <c r="AS127" t="s">
        <v>1871</v>
      </c>
      <c r="AT127" t="s">
        <v>1872</v>
      </c>
      <c r="AZ127" s="494">
        <v>46080</v>
      </c>
      <c r="BA127">
        <v>70</v>
      </c>
      <c r="BO127" t="s">
        <v>308</v>
      </c>
      <c r="BP127" t="s">
        <v>1407</v>
      </c>
      <c r="BQ127" t="s">
        <v>1355</v>
      </c>
      <c r="BR127" t="s">
        <v>1355</v>
      </c>
      <c r="BS127" t="s">
        <v>1355</v>
      </c>
      <c r="BV127">
        <v>-5175.9042600000002</v>
      </c>
    </row>
    <row r="128" spans="1:75" customFormat="1" ht="15" x14ac:dyDescent="0.25">
      <c r="A128" s="1052" t="s">
        <v>2588</v>
      </c>
      <c r="B128" t="s">
        <v>1873</v>
      </c>
      <c r="C128" t="s">
        <v>1874</v>
      </c>
      <c r="D128" t="s">
        <v>1875</v>
      </c>
      <c r="E128" t="s">
        <v>195</v>
      </c>
      <c r="F128" t="s">
        <v>195</v>
      </c>
      <c r="G128" t="s">
        <v>1254</v>
      </c>
      <c r="H128" t="s">
        <v>1341</v>
      </c>
      <c r="I128">
        <v>62029.760000000002</v>
      </c>
      <c r="J128" t="s">
        <v>18</v>
      </c>
      <c r="K128">
        <v>62029.760000000002</v>
      </c>
      <c r="L128" t="s">
        <v>18</v>
      </c>
      <c r="M128">
        <v>62029.760000000002</v>
      </c>
      <c r="N128" t="s">
        <v>18</v>
      </c>
      <c r="O128">
        <v>-12340.480000000003</v>
      </c>
      <c r="P128">
        <v>-12340.480000000003</v>
      </c>
      <c r="Q128">
        <v>-16.593303988261976</v>
      </c>
      <c r="R128">
        <v>-16.593303988261976</v>
      </c>
      <c r="T128" t="s">
        <v>1876</v>
      </c>
      <c r="U128" s="494">
        <v>46087</v>
      </c>
      <c r="V128">
        <v>62.53</v>
      </c>
      <c r="W128">
        <v>992</v>
      </c>
      <c r="X128">
        <v>74.97</v>
      </c>
      <c r="Y128">
        <v>0.28000000000000003</v>
      </c>
      <c r="AP128" t="s">
        <v>1350</v>
      </c>
      <c r="AQ128">
        <v>0</v>
      </c>
      <c r="AS128" t="s">
        <v>1877</v>
      </c>
      <c r="AT128" t="s">
        <v>1878</v>
      </c>
      <c r="AZ128" s="494">
        <v>46080</v>
      </c>
      <c r="BA128">
        <v>70</v>
      </c>
      <c r="BO128" t="s">
        <v>1377</v>
      </c>
      <c r="BP128" t="s">
        <v>1393</v>
      </c>
      <c r="BQ128" t="s">
        <v>1355</v>
      </c>
      <c r="BR128" t="s">
        <v>1355</v>
      </c>
      <c r="BS128" t="s">
        <v>1355</v>
      </c>
      <c r="BV128">
        <v>-10118.4</v>
      </c>
    </row>
    <row r="129" spans="1:75" customFormat="1" ht="15" x14ac:dyDescent="0.25">
      <c r="A129" s="1052" t="s">
        <v>2588</v>
      </c>
      <c r="B129" t="s">
        <v>1879</v>
      </c>
      <c r="C129" t="s">
        <v>1880</v>
      </c>
      <c r="D129" t="s">
        <v>1881</v>
      </c>
      <c r="E129" t="s">
        <v>195</v>
      </c>
      <c r="F129" t="s">
        <v>195</v>
      </c>
      <c r="G129" t="s">
        <v>1254</v>
      </c>
      <c r="H129" t="s">
        <v>1341</v>
      </c>
      <c r="I129">
        <v>204336.715</v>
      </c>
      <c r="J129" t="s">
        <v>18</v>
      </c>
      <c r="K129">
        <v>204336.715</v>
      </c>
      <c r="L129" t="s">
        <v>18</v>
      </c>
      <c r="M129">
        <v>204336.715</v>
      </c>
      <c r="N129" t="s">
        <v>18</v>
      </c>
      <c r="O129">
        <v>-24221.285000000003</v>
      </c>
      <c r="P129">
        <v>-24221.285000000003</v>
      </c>
      <c r="Q129">
        <v>-10.597434786793727</v>
      </c>
      <c r="R129">
        <v>-10.597434786793727</v>
      </c>
      <c r="T129" t="s">
        <v>1882</v>
      </c>
      <c r="U129" s="494">
        <v>46087</v>
      </c>
      <c r="V129">
        <v>371.5213</v>
      </c>
      <c r="W129">
        <v>550</v>
      </c>
      <c r="X129">
        <v>415.56</v>
      </c>
      <c r="Y129">
        <v>0.92</v>
      </c>
      <c r="AP129" t="s">
        <v>1350</v>
      </c>
      <c r="AQ129">
        <v>0</v>
      </c>
      <c r="AS129" t="s">
        <v>1883</v>
      </c>
      <c r="AT129" t="s">
        <v>1884</v>
      </c>
      <c r="AZ129" s="494">
        <v>46080</v>
      </c>
      <c r="BA129">
        <v>60</v>
      </c>
      <c r="BO129" t="s">
        <v>1377</v>
      </c>
      <c r="BP129" t="s">
        <v>1393</v>
      </c>
      <c r="BQ129" t="s">
        <v>1355</v>
      </c>
      <c r="BR129" t="s">
        <v>1355</v>
      </c>
      <c r="BS129" t="s">
        <v>1355</v>
      </c>
      <c r="BV129">
        <v>-24893.005499999999</v>
      </c>
    </row>
    <row r="130" spans="1:75" customFormat="1" ht="15" x14ac:dyDescent="0.25">
      <c r="A130" s="1052" t="s">
        <v>2586</v>
      </c>
      <c r="B130" t="s">
        <v>1885</v>
      </c>
      <c r="C130" t="s">
        <v>1886</v>
      </c>
      <c r="D130" t="s">
        <v>1887</v>
      </c>
      <c r="E130" t="s">
        <v>195</v>
      </c>
      <c r="F130" t="s">
        <v>195</v>
      </c>
      <c r="G130" t="s">
        <v>1254</v>
      </c>
      <c r="H130" t="s">
        <v>1341</v>
      </c>
      <c r="I130">
        <v>284886.41220000002</v>
      </c>
      <c r="J130" t="s">
        <v>18</v>
      </c>
      <c r="K130">
        <v>284886.41220000002</v>
      </c>
      <c r="L130" t="s">
        <v>18</v>
      </c>
      <c r="M130">
        <v>284886.41220000002</v>
      </c>
      <c r="N130" t="s">
        <v>18</v>
      </c>
      <c r="O130">
        <v>14988.472200000018</v>
      </c>
      <c r="P130">
        <v>14988.472200000018</v>
      </c>
      <c r="Q130">
        <v>5.5533851795978943</v>
      </c>
      <c r="R130">
        <v>5.5533851795978943</v>
      </c>
      <c r="T130" t="s">
        <v>1888</v>
      </c>
      <c r="U130" s="494">
        <v>46087</v>
      </c>
      <c r="V130">
        <v>405.8211</v>
      </c>
      <c r="W130">
        <v>702</v>
      </c>
      <c r="X130">
        <v>384.47</v>
      </c>
      <c r="Y130">
        <v>1.29</v>
      </c>
      <c r="AP130" t="s">
        <v>1350</v>
      </c>
      <c r="AQ130">
        <v>0</v>
      </c>
      <c r="AS130" t="s">
        <v>1889</v>
      </c>
      <c r="AT130" t="s">
        <v>1890</v>
      </c>
      <c r="AZ130" s="494">
        <v>46077</v>
      </c>
      <c r="BA130">
        <v>70</v>
      </c>
      <c r="BO130" t="s">
        <v>1377</v>
      </c>
      <c r="BP130" t="s">
        <v>1378</v>
      </c>
      <c r="BQ130" t="s">
        <v>1355</v>
      </c>
      <c r="BR130" t="s">
        <v>1355</v>
      </c>
      <c r="BS130" t="s">
        <v>1355</v>
      </c>
      <c r="BV130">
        <v>17191.972979999999</v>
      </c>
    </row>
    <row r="131" spans="1:75" customFormat="1" ht="15" x14ac:dyDescent="0.25">
      <c r="A131" s="1052" t="s">
        <v>2587</v>
      </c>
      <c r="B131" t="s">
        <v>1885</v>
      </c>
      <c r="C131" t="s">
        <v>1886</v>
      </c>
      <c r="D131" t="s">
        <v>1887</v>
      </c>
      <c r="E131" t="s">
        <v>195</v>
      </c>
      <c r="F131" t="s">
        <v>195</v>
      </c>
      <c r="G131" t="s">
        <v>1254</v>
      </c>
      <c r="H131" t="s">
        <v>1341</v>
      </c>
      <c r="I131">
        <v>40582.11</v>
      </c>
      <c r="J131" t="s">
        <v>18</v>
      </c>
      <c r="K131">
        <v>40582.11</v>
      </c>
      <c r="L131" t="s">
        <v>18</v>
      </c>
      <c r="M131">
        <v>40582.11</v>
      </c>
      <c r="N131" t="s">
        <v>18</v>
      </c>
      <c r="O131">
        <v>522.11000000000058</v>
      </c>
      <c r="P131">
        <v>522.11000000000058</v>
      </c>
      <c r="Q131">
        <v>1.3033200199700465</v>
      </c>
      <c r="R131">
        <v>1.3033200199700465</v>
      </c>
      <c r="T131" t="s">
        <v>1888</v>
      </c>
      <c r="U131" s="494">
        <v>46087</v>
      </c>
      <c r="V131">
        <v>405.8211</v>
      </c>
      <c r="W131">
        <v>100</v>
      </c>
      <c r="X131">
        <v>400.6</v>
      </c>
      <c r="Y131">
        <v>0.18</v>
      </c>
      <c r="AP131" t="s">
        <v>1350</v>
      </c>
      <c r="AQ131">
        <v>0</v>
      </c>
      <c r="AS131" t="s">
        <v>1889</v>
      </c>
      <c r="AT131" t="s">
        <v>1890</v>
      </c>
      <c r="AZ131" s="494">
        <v>46079</v>
      </c>
      <c r="BA131">
        <v>70</v>
      </c>
      <c r="BO131" t="s">
        <v>1377</v>
      </c>
      <c r="BP131" t="s">
        <v>1378</v>
      </c>
      <c r="BQ131" t="s">
        <v>1355</v>
      </c>
      <c r="BR131" t="s">
        <v>1355</v>
      </c>
      <c r="BS131" t="s">
        <v>1355</v>
      </c>
      <c r="BV131">
        <v>835.99900000000002</v>
      </c>
    </row>
    <row r="132" spans="1:75" customFormat="1" ht="15" x14ac:dyDescent="0.25">
      <c r="A132" s="1052" t="s">
        <v>2588</v>
      </c>
      <c r="B132" t="s">
        <v>1885</v>
      </c>
      <c r="C132" t="s">
        <v>1886</v>
      </c>
      <c r="D132" t="s">
        <v>1887</v>
      </c>
      <c r="E132" t="s">
        <v>195</v>
      </c>
      <c r="F132" t="s">
        <v>195</v>
      </c>
      <c r="G132" t="s">
        <v>1254</v>
      </c>
      <c r="H132" t="s">
        <v>1341</v>
      </c>
      <c r="I132">
        <v>285292.23330000002</v>
      </c>
      <c r="J132" t="s">
        <v>18</v>
      </c>
      <c r="K132">
        <v>285292.23330000002</v>
      </c>
      <c r="L132" t="s">
        <v>18</v>
      </c>
      <c r="M132">
        <v>285292.23330000002</v>
      </c>
      <c r="N132" t="s">
        <v>18</v>
      </c>
      <c r="O132">
        <v>2883.0733000000473</v>
      </c>
      <c r="P132">
        <v>2883.0733000000473</v>
      </c>
      <c r="Q132">
        <v>1.0208851936672476</v>
      </c>
      <c r="R132">
        <v>1.0208851936672476</v>
      </c>
      <c r="T132" t="s">
        <v>1888</v>
      </c>
      <c r="U132" s="494">
        <v>46087</v>
      </c>
      <c r="V132">
        <v>405.8211</v>
      </c>
      <c r="W132">
        <v>703</v>
      </c>
      <c r="X132">
        <v>401.72</v>
      </c>
      <c r="Y132">
        <v>1.29</v>
      </c>
      <c r="AP132" t="s">
        <v>1350</v>
      </c>
      <c r="AQ132">
        <v>0</v>
      </c>
      <c r="AS132" t="s">
        <v>1889</v>
      </c>
      <c r="AT132" t="s">
        <v>1890</v>
      </c>
      <c r="AZ132" s="494">
        <v>46080</v>
      </c>
      <c r="BA132">
        <v>70</v>
      </c>
      <c r="BO132" t="s">
        <v>1377</v>
      </c>
      <c r="BP132" t="s">
        <v>1378</v>
      </c>
      <c r="BQ132" t="s">
        <v>1355</v>
      </c>
      <c r="BR132" t="s">
        <v>1355</v>
      </c>
      <c r="BS132" t="s">
        <v>1355</v>
      </c>
      <c r="BV132">
        <v>5089.7129699999996</v>
      </c>
    </row>
    <row r="133" spans="1:75" customFormat="1" ht="15" x14ac:dyDescent="0.25">
      <c r="A133" s="1052" t="s">
        <v>2587</v>
      </c>
      <c r="B133" t="s">
        <v>1891</v>
      </c>
      <c r="C133" t="s">
        <v>1892</v>
      </c>
      <c r="D133" t="s">
        <v>1893</v>
      </c>
      <c r="E133" t="s">
        <v>195</v>
      </c>
      <c r="F133" t="s">
        <v>195</v>
      </c>
      <c r="G133" t="s">
        <v>1254</v>
      </c>
      <c r="H133" t="s">
        <v>1341</v>
      </c>
      <c r="I133">
        <v>20049.66</v>
      </c>
      <c r="J133" t="s">
        <v>18</v>
      </c>
      <c r="K133">
        <v>20049.66</v>
      </c>
      <c r="L133" t="s">
        <v>18</v>
      </c>
      <c r="M133">
        <v>20049.66</v>
      </c>
      <c r="N133" t="s">
        <v>18</v>
      </c>
      <c r="O133">
        <v>-811.97999999999956</v>
      </c>
      <c r="P133">
        <v>-811.97999999999956</v>
      </c>
      <c r="Q133">
        <v>-3.8922155688622735</v>
      </c>
      <c r="R133">
        <v>-3.8922155688622735</v>
      </c>
      <c r="T133" t="s">
        <v>1894</v>
      </c>
      <c r="U133" s="494">
        <v>46087</v>
      </c>
      <c r="V133">
        <v>57.78</v>
      </c>
      <c r="W133">
        <v>347</v>
      </c>
      <c r="X133">
        <v>60.12</v>
      </c>
      <c r="Y133">
        <v>0.09</v>
      </c>
      <c r="AP133" t="s">
        <v>1350</v>
      </c>
      <c r="AQ133">
        <v>0</v>
      </c>
      <c r="AS133" t="s">
        <v>1895</v>
      </c>
      <c r="AT133" t="s">
        <v>1896</v>
      </c>
      <c r="AZ133" s="494">
        <v>46079</v>
      </c>
      <c r="BA133">
        <v>70</v>
      </c>
      <c r="BO133" t="s">
        <v>1575</v>
      </c>
      <c r="BP133" t="s">
        <v>1576</v>
      </c>
      <c r="BQ133" t="s">
        <v>1355</v>
      </c>
      <c r="BR133" t="s">
        <v>1355</v>
      </c>
      <c r="BS133" t="s">
        <v>1355</v>
      </c>
      <c r="BV133">
        <v>-596.84</v>
      </c>
    </row>
    <row r="134" spans="1:75" customFormat="1" ht="15" x14ac:dyDescent="0.25">
      <c r="A134" s="1052" t="s">
        <v>2588</v>
      </c>
      <c r="B134" t="s">
        <v>1897</v>
      </c>
      <c r="C134" t="s">
        <v>1898</v>
      </c>
      <c r="D134" t="s">
        <v>1899</v>
      </c>
      <c r="E134" t="s">
        <v>195</v>
      </c>
      <c r="F134" t="s">
        <v>195</v>
      </c>
      <c r="G134" t="s">
        <v>1254</v>
      </c>
      <c r="H134" t="s">
        <v>1341</v>
      </c>
      <c r="I134">
        <v>55080.63</v>
      </c>
      <c r="J134" t="s">
        <v>18</v>
      </c>
      <c r="K134">
        <v>55080.63</v>
      </c>
      <c r="L134" t="s">
        <v>18</v>
      </c>
      <c r="M134">
        <v>55080.63</v>
      </c>
      <c r="N134" t="s">
        <v>18</v>
      </c>
      <c r="O134">
        <v>-14597.640000000007</v>
      </c>
      <c r="P134">
        <v>-14597.640000000007</v>
      </c>
      <c r="Q134">
        <v>-20.950060901339835</v>
      </c>
      <c r="R134">
        <v>-20.950060901339835</v>
      </c>
      <c r="T134" t="s">
        <v>1900</v>
      </c>
      <c r="U134" s="494">
        <v>46087</v>
      </c>
      <c r="V134">
        <v>266.08999999999997</v>
      </c>
      <c r="W134">
        <v>207</v>
      </c>
      <c r="X134">
        <v>336.61</v>
      </c>
      <c r="Y134">
        <v>0.25</v>
      </c>
      <c r="AP134" t="s">
        <v>1350</v>
      </c>
      <c r="AQ134">
        <v>0</v>
      </c>
      <c r="AS134" t="s">
        <v>1901</v>
      </c>
      <c r="AT134" t="s">
        <v>1902</v>
      </c>
      <c r="AZ134" s="494">
        <v>46080</v>
      </c>
      <c r="BA134">
        <v>50</v>
      </c>
      <c r="BO134" t="s">
        <v>1377</v>
      </c>
      <c r="BP134" t="s">
        <v>1378</v>
      </c>
      <c r="BQ134" t="s">
        <v>1355</v>
      </c>
      <c r="BR134" t="s">
        <v>1355</v>
      </c>
      <c r="BS134" t="s">
        <v>1355</v>
      </c>
      <c r="BV134">
        <v>-13690.98</v>
      </c>
    </row>
    <row r="135" spans="1:75" customFormat="1" ht="15" x14ac:dyDescent="0.25">
      <c r="A135" s="1052" t="s">
        <v>2586</v>
      </c>
      <c r="B135" t="s">
        <v>1903</v>
      </c>
      <c r="C135" t="s">
        <v>1904</v>
      </c>
      <c r="D135" t="s">
        <v>1905</v>
      </c>
      <c r="E135" t="s">
        <v>195</v>
      </c>
      <c r="F135" t="s">
        <v>195</v>
      </c>
      <c r="G135" t="s">
        <v>1254</v>
      </c>
      <c r="H135" t="s">
        <v>1341</v>
      </c>
      <c r="I135">
        <v>70461.884999999995</v>
      </c>
      <c r="J135" t="s">
        <v>18</v>
      </c>
      <c r="K135">
        <v>70461.884999999995</v>
      </c>
      <c r="L135" t="s">
        <v>18</v>
      </c>
      <c r="M135">
        <v>70461.884999999995</v>
      </c>
      <c r="N135" t="s">
        <v>18</v>
      </c>
      <c r="O135">
        <v>-5098.5149999999994</v>
      </c>
      <c r="P135">
        <v>-5098.5149999999994</v>
      </c>
      <c r="Q135">
        <v>-6.7476019184652278</v>
      </c>
      <c r="R135">
        <v>-6.7476019184652278</v>
      </c>
      <c r="T135" t="s">
        <v>1906</v>
      </c>
      <c r="U135" s="494">
        <v>46087</v>
      </c>
      <c r="V135">
        <v>155.54499999999999</v>
      </c>
      <c r="W135">
        <v>453</v>
      </c>
      <c r="X135">
        <v>166.8</v>
      </c>
      <c r="Y135">
        <v>0.32</v>
      </c>
      <c r="AP135" t="s">
        <v>1350</v>
      </c>
      <c r="AQ135">
        <v>0</v>
      </c>
      <c r="AS135" t="s">
        <v>1907</v>
      </c>
      <c r="AT135" t="s">
        <v>1908</v>
      </c>
      <c r="AZ135" s="494">
        <v>46077</v>
      </c>
      <c r="BA135">
        <v>70</v>
      </c>
      <c r="BO135" t="s">
        <v>1427</v>
      </c>
      <c r="BP135" t="s">
        <v>1428</v>
      </c>
      <c r="BQ135" t="s">
        <v>1355</v>
      </c>
      <c r="BR135" t="s">
        <v>1355</v>
      </c>
      <c r="BS135" t="s">
        <v>1355</v>
      </c>
      <c r="BV135">
        <v>-2958.09</v>
      </c>
    </row>
    <row r="136" spans="1:75" customFormat="1" ht="15" x14ac:dyDescent="0.25">
      <c r="A136" s="1052" t="s">
        <v>2587</v>
      </c>
      <c r="B136" t="s">
        <v>1903</v>
      </c>
      <c r="C136" t="s">
        <v>1904</v>
      </c>
      <c r="D136" t="s">
        <v>1905</v>
      </c>
      <c r="E136" t="s">
        <v>195</v>
      </c>
      <c r="F136" t="s">
        <v>195</v>
      </c>
      <c r="G136" t="s">
        <v>1254</v>
      </c>
      <c r="H136" t="s">
        <v>1341</v>
      </c>
      <c r="I136">
        <v>37175.254999999997</v>
      </c>
      <c r="J136" t="s">
        <v>18</v>
      </c>
      <c r="K136">
        <v>37175.254999999997</v>
      </c>
      <c r="L136" t="s">
        <v>18</v>
      </c>
      <c r="M136">
        <v>37175.254999999997</v>
      </c>
      <c r="N136" t="s">
        <v>18</v>
      </c>
      <c r="O136">
        <v>-4346.2150000000038</v>
      </c>
      <c r="P136">
        <v>-4346.2150000000038</v>
      </c>
      <c r="Q136">
        <v>-10.467391930006341</v>
      </c>
      <c r="R136">
        <v>-10.467391930006341</v>
      </c>
      <c r="T136" t="s">
        <v>1906</v>
      </c>
      <c r="U136" s="494">
        <v>46087</v>
      </c>
      <c r="V136">
        <v>155.54499999999999</v>
      </c>
      <c r="W136">
        <v>239</v>
      </c>
      <c r="X136">
        <v>173.73</v>
      </c>
      <c r="Y136">
        <v>0.17</v>
      </c>
      <c r="AP136" t="s">
        <v>1350</v>
      </c>
      <c r="AQ136">
        <v>0</v>
      </c>
      <c r="AS136" t="s">
        <v>1907</v>
      </c>
      <c r="AT136" t="s">
        <v>1908</v>
      </c>
      <c r="AZ136" s="494">
        <v>46079</v>
      </c>
      <c r="BA136">
        <v>70</v>
      </c>
      <c r="BO136" t="s">
        <v>1427</v>
      </c>
      <c r="BP136" t="s">
        <v>1428</v>
      </c>
      <c r="BQ136" t="s">
        <v>1355</v>
      </c>
      <c r="BR136" t="s">
        <v>1355</v>
      </c>
      <c r="BS136" t="s">
        <v>1355</v>
      </c>
      <c r="BV136">
        <v>-3216.94</v>
      </c>
    </row>
    <row r="137" spans="1:75" customFormat="1" ht="15" x14ac:dyDescent="0.25">
      <c r="A137" s="1052" t="s">
        <v>2586</v>
      </c>
      <c r="B137" t="s">
        <v>1909</v>
      </c>
      <c r="C137" t="s">
        <v>1910</v>
      </c>
      <c r="D137" t="s">
        <v>1911</v>
      </c>
      <c r="E137" t="s">
        <v>195</v>
      </c>
      <c r="F137" t="s">
        <v>195</v>
      </c>
      <c r="G137" t="s">
        <v>1254</v>
      </c>
      <c r="H137" t="s">
        <v>1341</v>
      </c>
      <c r="I137">
        <v>79627.930200000003</v>
      </c>
      <c r="J137" t="s">
        <v>18</v>
      </c>
      <c r="K137">
        <v>68796</v>
      </c>
      <c r="L137" t="s">
        <v>21</v>
      </c>
      <c r="M137">
        <v>79627.930200000003</v>
      </c>
      <c r="N137" t="s">
        <v>18</v>
      </c>
      <c r="O137">
        <v>-3552.909799999994</v>
      </c>
      <c r="P137">
        <v>-1768</v>
      </c>
      <c r="Q137">
        <v>-4.2713079117739063</v>
      </c>
      <c r="R137">
        <v>-2.5055268975681653</v>
      </c>
      <c r="T137" t="s">
        <v>1912</v>
      </c>
      <c r="U137" s="494">
        <v>46087</v>
      </c>
      <c r="V137">
        <v>529.20000000000005</v>
      </c>
      <c r="W137">
        <v>130</v>
      </c>
      <c r="X137">
        <v>542.79999999999995</v>
      </c>
      <c r="Y137">
        <v>0.36</v>
      </c>
      <c r="AP137" t="s">
        <v>1350</v>
      </c>
      <c r="AQ137">
        <v>0</v>
      </c>
      <c r="AT137" t="s">
        <v>1913</v>
      </c>
      <c r="AZ137" s="494">
        <v>46077</v>
      </c>
      <c r="BA137">
        <v>70</v>
      </c>
      <c r="BO137" t="s">
        <v>1427</v>
      </c>
      <c r="BP137" t="s">
        <v>1479</v>
      </c>
      <c r="BQ137" t="s">
        <v>1386</v>
      </c>
      <c r="BR137" t="s">
        <v>209</v>
      </c>
      <c r="BS137" t="s">
        <v>297</v>
      </c>
      <c r="BV137">
        <v>-2697.092764</v>
      </c>
      <c r="BW137">
        <v>-1447.4481310000001</v>
      </c>
    </row>
    <row r="138" spans="1:75" customFormat="1" ht="15" x14ac:dyDescent="0.25">
      <c r="A138" s="1052" t="s">
        <v>2586</v>
      </c>
      <c r="B138" t="s">
        <v>1914</v>
      </c>
      <c r="C138" t="s">
        <v>1915</v>
      </c>
      <c r="D138" t="s">
        <v>1916</v>
      </c>
      <c r="E138" t="s">
        <v>195</v>
      </c>
      <c r="F138" t="s">
        <v>195</v>
      </c>
      <c r="G138" t="s">
        <v>1254</v>
      </c>
      <c r="H138" t="s">
        <v>1341</v>
      </c>
      <c r="I138">
        <v>103808.18000000001</v>
      </c>
      <c r="J138" t="s">
        <v>18</v>
      </c>
      <c r="K138">
        <v>103808.18000000001</v>
      </c>
      <c r="L138" t="s">
        <v>18</v>
      </c>
      <c r="M138">
        <v>103808.18000000001</v>
      </c>
      <c r="N138" t="s">
        <v>18</v>
      </c>
      <c r="O138">
        <v>-3514.2799999999988</v>
      </c>
      <c r="P138">
        <v>-3514.2799999999988</v>
      </c>
      <c r="Q138">
        <v>-3.2745056347012533</v>
      </c>
      <c r="R138">
        <v>-3.2745056347012533</v>
      </c>
      <c r="T138" t="s">
        <v>1917</v>
      </c>
      <c r="U138" s="494">
        <v>46087</v>
      </c>
      <c r="V138">
        <v>90.98</v>
      </c>
      <c r="W138">
        <v>1141</v>
      </c>
      <c r="X138">
        <v>94.06</v>
      </c>
      <c r="Y138">
        <v>0.46</v>
      </c>
      <c r="AP138" t="s">
        <v>1350</v>
      </c>
      <c r="AQ138">
        <v>0</v>
      </c>
      <c r="AS138" t="s">
        <v>1918</v>
      </c>
      <c r="AT138" t="s">
        <v>1919</v>
      </c>
      <c r="AZ138" s="494">
        <v>46077</v>
      </c>
      <c r="BA138">
        <v>70</v>
      </c>
      <c r="BO138" t="s">
        <v>1644</v>
      </c>
      <c r="BP138" t="s">
        <v>1644</v>
      </c>
      <c r="BQ138" t="s">
        <v>1355</v>
      </c>
      <c r="BR138" t="s">
        <v>1355</v>
      </c>
      <c r="BS138" t="s">
        <v>1355</v>
      </c>
      <c r="BV138">
        <v>-3468.64</v>
      </c>
    </row>
    <row r="139" spans="1:75" customFormat="1" ht="15" x14ac:dyDescent="0.25">
      <c r="A139" s="1052" t="s">
        <v>2587</v>
      </c>
      <c r="B139" t="s">
        <v>1914</v>
      </c>
      <c r="C139" t="s">
        <v>1915</v>
      </c>
      <c r="D139" t="s">
        <v>1916</v>
      </c>
      <c r="E139" t="s">
        <v>195</v>
      </c>
      <c r="F139" t="s">
        <v>195</v>
      </c>
      <c r="G139" t="s">
        <v>1254</v>
      </c>
      <c r="H139" t="s">
        <v>1341</v>
      </c>
      <c r="I139">
        <v>32479.86</v>
      </c>
      <c r="J139" t="s">
        <v>18</v>
      </c>
      <c r="K139">
        <v>32479.86</v>
      </c>
      <c r="L139" t="s">
        <v>18</v>
      </c>
      <c r="M139">
        <v>32479.86</v>
      </c>
      <c r="N139" t="s">
        <v>18</v>
      </c>
      <c r="O139">
        <v>-1474.4099999999962</v>
      </c>
      <c r="P139">
        <v>-1474.4099999999962</v>
      </c>
      <c r="Q139">
        <v>-4.3423404479024184</v>
      </c>
      <c r="R139">
        <v>-4.3423404479024184</v>
      </c>
      <c r="T139" t="s">
        <v>1917</v>
      </c>
      <c r="U139" s="494">
        <v>46087</v>
      </c>
      <c r="V139">
        <v>90.98</v>
      </c>
      <c r="W139">
        <v>357</v>
      </c>
      <c r="X139">
        <v>95.11</v>
      </c>
      <c r="Y139">
        <v>0.15</v>
      </c>
      <c r="AP139" t="s">
        <v>1350</v>
      </c>
      <c r="AQ139">
        <v>0</v>
      </c>
      <c r="AS139" t="s">
        <v>1918</v>
      </c>
      <c r="AT139" t="s">
        <v>1919</v>
      </c>
      <c r="AZ139" s="494">
        <v>46079</v>
      </c>
      <c r="BA139">
        <v>70</v>
      </c>
      <c r="BO139" t="s">
        <v>1644</v>
      </c>
      <c r="BP139" t="s">
        <v>1644</v>
      </c>
      <c r="BQ139" t="s">
        <v>1355</v>
      </c>
      <c r="BR139" t="s">
        <v>1355</v>
      </c>
      <c r="BS139" t="s">
        <v>1355</v>
      </c>
      <c r="BV139">
        <v>-1460.13</v>
      </c>
    </row>
    <row r="140" spans="1:75" customFormat="1" ht="15" x14ac:dyDescent="0.25">
      <c r="A140" s="1052" t="s">
        <v>2587</v>
      </c>
      <c r="B140" t="s">
        <v>1920</v>
      </c>
      <c r="C140" t="s">
        <v>1921</v>
      </c>
      <c r="D140" t="s">
        <v>1922</v>
      </c>
      <c r="E140" t="s">
        <v>195</v>
      </c>
      <c r="F140" t="s">
        <v>195</v>
      </c>
      <c r="G140" t="s">
        <v>1254</v>
      </c>
      <c r="H140" t="s">
        <v>1341</v>
      </c>
      <c r="I140">
        <v>13114.52</v>
      </c>
      <c r="J140" t="s">
        <v>18</v>
      </c>
      <c r="K140">
        <v>13114.52</v>
      </c>
      <c r="L140" t="s">
        <v>18</v>
      </c>
      <c r="M140">
        <v>13114.52</v>
      </c>
      <c r="N140" t="s">
        <v>18</v>
      </c>
      <c r="O140">
        <v>-1847.8799999999992</v>
      </c>
      <c r="P140">
        <v>-1847.8799999999992</v>
      </c>
      <c r="Q140">
        <v>-12.35015772870662</v>
      </c>
      <c r="R140">
        <v>-12.35015772870662</v>
      </c>
      <c r="T140" t="s">
        <v>1923</v>
      </c>
      <c r="U140" s="494">
        <v>46087</v>
      </c>
      <c r="V140">
        <v>55.57</v>
      </c>
      <c r="W140">
        <v>236</v>
      </c>
      <c r="X140">
        <v>63.4</v>
      </c>
      <c r="Y140">
        <v>0.06</v>
      </c>
      <c r="AP140" t="s">
        <v>1350</v>
      </c>
      <c r="AQ140">
        <v>0</v>
      </c>
      <c r="AS140" t="s">
        <v>1924</v>
      </c>
      <c r="AT140" t="s">
        <v>1925</v>
      </c>
      <c r="AZ140" s="494">
        <v>46079</v>
      </c>
      <c r="BA140">
        <v>70</v>
      </c>
      <c r="BO140" t="s">
        <v>1384</v>
      </c>
      <c r="BP140" t="s">
        <v>1385</v>
      </c>
      <c r="BQ140" t="s">
        <v>1355</v>
      </c>
      <c r="BR140" t="s">
        <v>1355</v>
      </c>
      <c r="BS140" t="s">
        <v>1355</v>
      </c>
      <c r="BV140">
        <v>-1508.04</v>
      </c>
    </row>
    <row r="141" spans="1:75" customFormat="1" ht="15" x14ac:dyDescent="0.25">
      <c r="A141" s="1052" t="s">
        <v>2587</v>
      </c>
      <c r="B141" t="s">
        <v>1926</v>
      </c>
      <c r="C141" t="s">
        <v>1927</v>
      </c>
      <c r="D141" t="s">
        <v>1928</v>
      </c>
      <c r="E141" t="s">
        <v>195</v>
      </c>
      <c r="F141" t="s">
        <v>195</v>
      </c>
      <c r="G141" t="s">
        <v>1254</v>
      </c>
      <c r="H141" t="s">
        <v>1341</v>
      </c>
      <c r="I141">
        <v>8313.4800000000014</v>
      </c>
      <c r="J141" t="s">
        <v>18</v>
      </c>
      <c r="K141">
        <v>8313.4800000000014</v>
      </c>
      <c r="L141" t="s">
        <v>18</v>
      </c>
      <c r="M141">
        <v>8313.4800000000014</v>
      </c>
      <c r="N141" t="s">
        <v>18</v>
      </c>
      <c r="O141">
        <v>-418.31999999999789</v>
      </c>
      <c r="P141">
        <v>-418.31999999999789</v>
      </c>
      <c r="Q141">
        <v>-4.7907647907647668</v>
      </c>
      <c r="R141">
        <v>-4.7907647907647668</v>
      </c>
      <c r="T141" t="s">
        <v>1929</v>
      </c>
      <c r="U141" s="494">
        <v>46087</v>
      </c>
      <c r="V141">
        <v>296.91000000000003</v>
      </c>
      <c r="W141">
        <v>28</v>
      </c>
      <c r="X141">
        <v>311.85000000000002</v>
      </c>
      <c r="Y141">
        <v>0.04</v>
      </c>
      <c r="AP141" t="s">
        <v>1350</v>
      </c>
      <c r="AQ141">
        <v>0</v>
      </c>
      <c r="AS141" t="s">
        <v>1930</v>
      </c>
      <c r="AT141" t="s">
        <v>1931</v>
      </c>
      <c r="AZ141" s="494">
        <v>46079</v>
      </c>
      <c r="BA141">
        <v>70</v>
      </c>
      <c r="BO141" t="s">
        <v>1353</v>
      </c>
      <c r="BP141" t="s">
        <v>1932</v>
      </c>
      <c r="BQ141" t="s">
        <v>1355</v>
      </c>
      <c r="BR141" t="s">
        <v>1355</v>
      </c>
      <c r="BS141" t="s">
        <v>1355</v>
      </c>
      <c r="BV141">
        <v>-252.28</v>
      </c>
    </row>
    <row r="142" spans="1:75" customFormat="1" ht="15" x14ac:dyDescent="0.25">
      <c r="A142" s="1052" t="s">
        <v>2586</v>
      </c>
      <c r="B142" t="s">
        <v>1933</v>
      </c>
      <c r="C142" t="s">
        <v>1934</v>
      </c>
      <c r="D142" t="s">
        <v>1935</v>
      </c>
      <c r="E142" t="s">
        <v>195</v>
      </c>
      <c r="F142" t="s">
        <v>195</v>
      </c>
      <c r="G142" t="s">
        <v>1254</v>
      </c>
      <c r="H142" t="s">
        <v>1341</v>
      </c>
      <c r="I142">
        <v>443813.685</v>
      </c>
      <c r="J142" t="s">
        <v>18</v>
      </c>
      <c r="K142">
        <v>443813.685</v>
      </c>
      <c r="L142" t="s">
        <v>18</v>
      </c>
      <c r="M142">
        <v>443813.685</v>
      </c>
      <c r="N142" t="s">
        <v>18</v>
      </c>
      <c r="O142">
        <v>-31421.864999999932</v>
      </c>
      <c r="P142">
        <v>-31421.864999999932</v>
      </c>
      <c r="Q142">
        <v>-6.611850691725385</v>
      </c>
      <c r="R142">
        <v>-6.611850691725385</v>
      </c>
      <c r="T142" t="s">
        <v>1936</v>
      </c>
      <c r="U142" s="494">
        <v>46087</v>
      </c>
      <c r="V142">
        <v>178.88499999999999</v>
      </c>
      <c r="W142">
        <v>2481</v>
      </c>
      <c r="X142">
        <v>191.55</v>
      </c>
      <c r="Y142">
        <v>2</v>
      </c>
      <c r="AP142" t="s">
        <v>1350</v>
      </c>
      <c r="AQ142">
        <v>0</v>
      </c>
      <c r="AS142" t="s">
        <v>1937</v>
      </c>
      <c r="AT142" t="s">
        <v>1938</v>
      </c>
      <c r="AZ142" s="494">
        <v>46077</v>
      </c>
      <c r="BA142">
        <v>70</v>
      </c>
      <c r="BO142" t="s">
        <v>1377</v>
      </c>
      <c r="BP142" t="s">
        <v>1393</v>
      </c>
      <c r="BQ142" t="s">
        <v>1355</v>
      </c>
      <c r="BR142" t="s">
        <v>1355</v>
      </c>
      <c r="BS142" t="s">
        <v>1355</v>
      </c>
      <c r="BV142">
        <v>-34064.105190000002</v>
      </c>
    </row>
    <row r="143" spans="1:75" customFormat="1" ht="15" x14ac:dyDescent="0.25">
      <c r="A143" s="1052" t="s">
        <v>2588</v>
      </c>
      <c r="B143" t="s">
        <v>1933</v>
      </c>
      <c r="C143" t="s">
        <v>1934</v>
      </c>
      <c r="D143" t="s">
        <v>1935</v>
      </c>
      <c r="E143" t="s">
        <v>195</v>
      </c>
      <c r="F143" t="s">
        <v>195</v>
      </c>
      <c r="G143" t="s">
        <v>1254</v>
      </c>
      <c r="H143" t="s">
        <v>1341</v>
      </c>
      <c r="I143">
        <v>442740.375</v>
      </c>
      <c r="J143" t="s">
        <v>18</v>
      </c>
      <c r="K143">
        <v>442740.375</v>
      </c>
      <c r="L143" t="s">
        <v>18</v>
      </c>
      <c r="M143">
        <v>442740.375</v>
      </c>
      <c r="N143" t="s">
        <v>18</v>
      </c>
      <c r="O143">
        <v>-14862.374999999942</v>
      </c>
      <c r="P143">
        <v>-14862.374999999942</v>
      </c>
      <c r="Q143">
        <v>-3.2478771161230879</v>
      </c>
      <c r="R143">
        <v>-3.2478771161230879</v>
      </c>
      <c r="T143" t="s">
        <v>1936</v>
      </c>
      <c r="U143" s="494">
        <v>46087</v>
      </c>
      <c r="V143">
        <v>178.88499999999999</v>
      </c>
      <c r="W143">
        <v>2475</v>
      </c>
      <c r="X143">
        <v>184.89</v>
      </c>
      <c r="Y143">
        <v>2</v>
      </c>
      <c r="AP143" t="s">
        <v>1350</v>
      </c>
      <c r="AQ143">
        <v>0</v>
      </c>
      <c r="AS143" t="s">
        <v>1937</v>
      </c>
      <c r="AT143" t="s">
        <v>1938</v>
      </c>
      <c r="AZ143" s="494">
        <v>46080</v>
      </c>
      <c r="BA143">
        <v>70</v>
      </c>
      <c r="BO143" t="s">
        <v>1377</v>
      </c>
      <c r="BP143" t="s">
        <v>1393</v>
      </c>
      <c r="BQ143" t="s">
        <v>1355</v>
      </c>
      <c r="BR143" t="s">
        <v>1355</v>
      </c>
      <c r="BS143" t="s">
        <v>1355</v>
      </c>
      <c r="BV143">
        <v>-17498.22525</v>
      </c>
    </row>
    <row r="144" spans="1:75" customFormat="1" ht="15" x14ac:dyDescent="0.25">
      <c r="A144" s="1052" t="s">
        <v>2586</v>
      </c>
      <c r="B144" t="s">
        <v>1939</v>
      </c>
      <c r="C144" t="s">
        <v>1940</v>
      </c>
      <c r="D144" t="s">
        <v>1941</v>
      </c>
      <c r="E144" t="s">
        <v>195</v>
      </c>
      <c r="F144" t="s">
        <v>195</v>
      </c>
      <c r="G144" t="s">
        <v>1254</v>
      </c>
      <c r="H144" t="s">
        <v>1341</v>
      </c>
      <c r="I144">
        <v>81986.100000000006</v>
      </c>
      <c r="J144" t="s">
        <v>18</v>
      </c>
      <c r="K144">
        <v>81986.100000000006</v>
      </c>
      <c r="L144" t="s">
        <v>18</v>
      </c>
      <c r="M144">
        <v>81986.100000000006</v>
      </c>
      <c r="N144" t="s">
        <v>18</v>
      </c>
      <c r="O144">
        <v>-15101.099999999991</v>
      </c>
      <c r="P144">
        <v>-15101.099999999991</v>
      </c>
      <c r="Q144">
        <v>-15.554161619657373</v>
      </c>
      <c r="R144">
        <v>-15.554161619657373</v>
      </c>
      <c r="T144" t="s">
        <v>1942</v>
      </c>
      <c r="U144" s="494">
        <v>46087</v>
      </c>
      <c r="V144">
        <v>195.20500000000001</v>
      </c>
      <c r="W144">
        <v>420</v>
      </c>
      <c r="X144">
        <v>231.16</v>
      </c>
      <c r="Y144">
        <v>0.37</v>
      </c>
      <c r="AP144" t="s">
        <v>1350</v>
      </c>
      <c r="AQ144">
        <v>0</v>
      </c>
      <c r="AS144" t="s">
        <v>1943</v>
      </c>
      <c r="AT144" t="s">
        <v>1944</v>
      </c>
      <c r="AZ144" s="494">
        <v>46077</v>
      </c>
      <c r="BA144">
        <v>70</v>
      </c>
      <c r="BO144" t="s">
        <v>1377</v>
      </c>
      <c r="BP144" t="s">
        <v>1393</v>
      </c>
      <c r="BQ144" t="s">
        <v>1386</v>
      </c>
      <c r="BR144" t="s">
        <v>209</v>
      </c>
      <c r="BS144" t="s">
        <v>1485</v>
      </c>
      <c r="BV144">
        <v>-12356.3958</v>
      </c>
    </row>
    <row r="145" spans="1:74" customFormat="1" ht="15" x14ac:dyDescent="0.25">
      <c r="A145" s="1052" t="s">
        <v>2587</v>
      </c>
      <c r="B145" t="s">
        <v>1939</v>
      </c>
      <c r="C145" t="s">
        <v>1940</v>
      </c>
      <c r="D145" t="s">
        <v>1941</v>
      </c>
      <c r="E145" t="s">
        <v>195</v>
      </c>
      <c r="F145" t="s">
        <v>195</v>
      </c>
      <c r="G145" t="s">
        <v>1254</v>
      </c>
      <c r="H145" t="s">
        <v>1341</v>
      </c>
      <c r="I145">
        <v>23034.190000000002</v>
      </c>
      <c r="J145" t="s">
        <v>18</v>
      </c>
      <c r="K145">
        <v>23034.190000000002</v>
      </c>
      <c r="L145" t="s">
        <v>18</v>
      </c>
      <c r="M145">
        <v>23034.190000000002</v>
      </c>
      <c r="N145" t="s">
        <v>18</v>
      </c>
      <c r="O145">
        <v>-4704.0699999999961</v>
      </c>
      <c r="P145">
        <v>-4704.0699999999961</v>
      </c>
      <c r="Q145">
        <v>-16.958778236270035</v>
      </c>
      <c r="R145">
        <v>-16.958778236270035</v>
      </c>
      <c r="T145" t="s">
        <v>1942</v>
      </c>
      <c r="U145" s="494">
        <v>46087</v>
      </c>
      <c r="V145">
        <v>195.20500000000001</v>
      </c>
      <c r="W145">
        <v>118</v>
      </c>
      <c r="X145">
        <v>235.07</v>
      </c>
      <c r="Y145">
        <v>0.1</v>
      </c>
      <c r="AP145" t="s">
        <v>1350</v>
      </c>
      <c r="AQ145">
        <v>0</v>
      </c>
      <c r="AS145" t="s">
        <v>1943</v>
      </c>
      <c r="AT145" t="s">
        <v>1944</v>
      </c>
      <c r="AZ145" s="494">
        <v>46079</v>
      </c>
      <c r="BA145">
        <v>70</v>
      </c>
      <c r="BO145" t="s">
        <v>1377</v>
      </c>
      <c r="BP145" t="s">
        <v>1393</v>
      </c>
      <c r="BQ145" t="s">
        <v>1386</v>
      </c>
      <c r="BR145" t="s">
        <v>209</v>
      </c>
      <c r="BS145" t="s">
        <v>1485</v>
      </c>
      <c r="BV145">
        <v>-3932.9388199999999</v>
      </c>
    </row>
    <row r="146" spans="1:74" customFormat="1" ht="15" x14ac:dyDescent="0.25">
      <c r="A146" s="1052" t="s">
        <v>2586</v>
      </c>
      <c r="B146" t="s">
        <v>2463</v>
      </c>
      <c r="C146" t="s">
        <v>2464</v>
      </c>
      <c r="D146" t="s">
        <v>2465</v>
      </c>
      <c r="E146" t="s">
        <v>195</v>
      </c>
      <c r="F146" t="s">
        <v>195</v>
      </c>
      <c r="G146" t="s">
        <v>1254</v>
      </c>
      <c r="H146" t="s">
        <v>1341</v>
      </c>
      <c r="I146">
        <v>129104.98</v>
      </c>
      <c r="J146" t="s">
        <v>18</v>
      </c>
      <c r="K146">
        <v>129104.98</v>
      </c>
      <c r="L146" t="s">
        <v>18</v>
      </c>
      <c r="M146">
        <v>129104.98</v>
      </c>
      <c r="N146" t="s">
        <v>18</v>
      </c>
      <c r="O146">
        <v>4669.2299999999959</v>
      </c>
      <c r="P146">
        <v>4669.2299999999959</v>
      </c>
      <c r="Q146">
        <v>3.7523219814241457</v>
      </c>
      <c r="R146">
        <v>3.7523219814241457</v>
      </c>
      <c r="T146" t="s">
        <v>2466</v>
      </c>
      <c r="U146" s="494">
        <v>46087</v>
      </c>
      <c r="V146">
        <v>83.78</v>
      </c>
      <c r="W146">
        <v>1541</v>
      </c>
      <c r="X146">
        <v>80.75</v>
      </c>
      <c r="Y146">
        <v>0.57999999999999996</v>
      </c>
      <c r="AP146" t="s">
        <v>1350</v>
      </c>
      <c r="AQ146">
        <v>0</v>
      </c>
      <c r="AS146" t="s">
        <v>2467</v>
      </c>
      <c r="AT146" t="s">
        <v>2468</v>
      </c>
      <c r="AZ146" s="494">
        <v>46077</v>
      </c>
      <c r="BA146">
        <v>70</v>
      </c>
      <c r="BO146" t="s">
        <v>308</v>
      </c>
      <c r="BP146" t="s">
        <v>1407</v>
      </c>
      <c r="BQ146" t="s">
        <v>1355</v>
      </c>
      <c r="BR146" t="s">
        <v>1355</v>
      </c>
      <c r="BS146" t="s">
        <v>1355</v>
      </c>
      <c r="BV146">
        <v>6441.38</v>
      </c>
    </row>
    <row r="147" spans="1:74" customFormat="1" ht="15" x14ac:dyDescent="0.25">
      <c r="A147" s="1052" t="s">
        <v>2586</v>
      </c>
      <c r="B147" t="s">
        <v>1946</v>
      </c>
      <c r="C147" t="s">
        <v>1947</v>
      </c>
      <c r="D147" t="s">
        <v>1948</v>
      </c>
      <c r="E147" t="s">
        <v>195</v>
      </c>
      <c r="F147" t="s">
        <v>195</v>
      </c>
      <c r="G147" t="s">
        <v>1254</v>
      </c>
      <c r="H147" t="s">
        <v>1341</v>
      </c>
      <c r="I147">
        <v>46493.979999999996</v>
      </c>
      <c r="J147" t="s">
        <v>18</v>
      </c>
      <c r="K147">
        <v>46493.979999999996</v>
      </c>
      <c r="L147" t="s">
        <v>18</v>
      </c>
      <c r="M147">
        <v>46493.979999999996</v>
      </c>
      <c r="N147" t="s">
        <v>18</v>
      </c>
      <c r="O147">
        <v>2122.6399999999921</v>
      </c>
      <c r="P147">
        <v>2122.6399999999921</v>
      </c>
      <c r="Q147">
        <v>4.7838086476540758</v>
      </c>
      <c r="R147">
        <v>4.7838086476540758</v>
      </c>
      <c r="T147" t="s">
        <v>1949</v>
      </c>
      <c r="U147" s="494">
        <v>46087</v>
      </c>
      <c r="V147">
        <v>148.07</v>
      </c>
      <c r="W147">
        <v>314</v>
      </c>
      <c r="X147">
        <v>141.31</v>
      </c>
      <c r="Y147">
        <v>0.21</v>
      </c>
      <c r="AP147" t="s">
        <v>1350</v>
      </c>
      <c r="AQ147">
        <v>0</v>
      </c>
      <c r="AS147" t="s">
        <v>1950</v>
      </c>
      <c r="AT147" t="s">
        <v>1951</v>
      </c>
      <c r="AZ147" s="494">
        <v>46077</v>
      </c>
      <c r="BA147">
        <v>70</v>
      </c>
      <c r="BO147" t="s">
        <v>1377</v>
      </c>
      <c r="BP147" t="s">
        <v>1378</v>
      </c>
      <c r="BQ147" t="s">
        <v>1355</v>
      </c>
      <c r="BR147" t="s">
        <v>1355</v>
      </c>
      <c r="BS147" t="s">
        <v>1355</v>
      </c>
      <c r="BV147">
        <v>3658.1031400000002</v>
      </c>
    </row>
    <row r="148" spans="1:74" customFormat="1" ht="15" x14ac:dyDescent="0.25">
      <c r="A148" s="1052" t="s">
        <v>2587</v>
      </c>
      <c r="B148" t="s">
        <v>1952</v>
      </c>
      <c r="C148" t="s">
        <v>1953</v>
      </c>
      <c r="D148" t="s">
        <v>1954</v>
      </c>
      <c r="E148" t="s">
        <v>195</v>
      </c>
      <c r="F148" t="s">
        <v>195</v>
      </c>
      <c r="G148" t="s">
        <v>1254</v>
      </c>
      <c r="H148" t="s">
        <v>1341</v>
      </c>
      <c r="I148">
        <v>11675.61</v>
      </c>
      <c r="J148" t="s">
        <v>18</v>
      </c>
      <c r="K148">
        <v>11675.61</v>
      </c>
      <c r="L148" t="s">
        <v>18</v>
      </c>
      <c r="M148">
        <v>11675.61</v>
      </c>
      <c r="N148" t="s">
        <v>18</v>
      </c>
      <c r="O148">
        <v>-794.06999999999971</v>
      </c>
      <c r="P148">
        <v>-794.06999999999971</v>
      </c>
      <c r="Q148">
        <v>-6.3680062359258587</v>
      </c>
      <c r="R148">
        <v>-6.3680062359258587</v>
      </c>
      <c r="T148" t="s">
        <v>1955</v>
      </c>
      <c r="U148" s="494">
        <v>46087</v>
      </c>
      <c r="V148">
        <v>216.215</v>
      </c>
      <c r="W148">
        <v>54</v>
      </c>
      <c r="X148">
        <v>230.92</v>
      </c>
      <c r="Y148">
        <v>0.05</v>
      </c>
      <c r="AP148" t="s">
        <v>1350</v>
      </c>
      <c r="AQ148">
        <v>0</v>
      </c>
      <c r="AS148" t="s">
        <v>1956</v>
      </c>
      <c r="AT148" t="s">
        <v>1957</v>
      </c>
      <c r="AZ148" s="494">
        <v>46079</v>
      </c>
      <c r="BA148">
        <v>70</v>
      </c>
      <c r="BO148" t="s">
        <v>1400</v>
      </c>
      <c r="BP148" t="s">
        <v>1400</v>
      </c>
      <c r="BQ148" t="s">
        <v>1355</v>
      </c>
      <c r="BR148" t="s">
        <v>1355</v>
      </c>
      <c r="BS148" t="s">
        <v>1355</v>
      </c>
      <c r="BV148">
        <v>-453.6</v>
      </c>
    </row>
    <row r="149" spans="1:74" customFormat="1" ht="15" x14ac:dyDescent="0.25">
      <c r="A149" s="1052" t="s">
        <v>2588</v>
      </c>
      <c r="B149" t="s">
        <v>1958</v>
      </c>
      <c r="C149" t="s">
        <v>1959</v>
      </c>
      <c r="D149" t="s">
        <v>1960</v>
      </c>
      <c r="E149" t="s">
        <v>195</v>
      </c>
      <c r="F149" t="s">
        <v>195</v>
      </c>
      <c r="G149" t="s">
        <v>1254</v>
      </c>
      <c r="H149" t="s">
        <v>1341</v>
      </c>
      <c r="I149">
        <v>67290.365000000005</v>
      </c>
      <c r="J149" t="s">
        <v>18</v>
      </c>
      <c r="K149">
        <v>67290.365000000005</v>
      </c>
      <c r="L149" t="s">
        <v>18</v>
      </c>
      <c r="M149">
        <v>67290.365000000005</v>
      </c>
      <c r="N149" t="s">
        <v>18</v>
      </c>
      <c r="O149">
        <v>8428.3450000000084</v>
      </c>
      <c r="P149">
        <v>8428.3450000000084</v>
      </c>
      <c r="Q149">
        <v>14.31881712520231</v>
      </c>
      <c r="R149">
        <v>14.31881712520231</v>
      </c>
      <c r="T149" t="s">
        <v>1961</v>
      </c>
      <c r="U149" s="494">
        <v>46087</v>
      </c>
      <c r="V149">
        <v>155.405</v>
      </c>
      <c r="W149">
        <v>433</v>
      </c>
      <c r="X149">
        <v>135.94</v>
      </c>
      <c r="Y149">
        <v>0.3</v>
      </c>
      <c r="AP149" t="s">
        <v>1350</v>
      </c>
      <c r="AQ149">
        <v>0</v>
      </c>
      <c r="AS149" t="s">
        <v>1962</v>
      </c>
      <c r="AT149" t="s">
        <v>1963</v>
      </c>
      <c r="AZ149" s="494">
        <v>46080</v>
      </c>
      <c r="BA149">
        <v>70</v>
      </c>
      <c r="BO149" t="s">
        <v>1377</v>
      </c>
      <c r="BP149" t="s">
        <v>1378</v>
      </c>
      <c r="BQ149" t="s">
        <v>1355</v>
      </c>
      <c r="BR149" t="s">
        <v>1355</v>
      </c>
      <c r="BS149" t="s">
        <v>1355</v>
      </c>
      <c r="BV149">
        <v>9188.26</v>
      </c>
    </row>
    <row r="150" spans="1:74" customFormat="1" ht="15" x14ac:dyDescent="0.25">
      <c r="A150" s="1052" t="s">
        <v>2588</v>
      </c>
      <c r="B150" t="s">
        <v>2559</v>
      </c>
      <c r="C150" t="s">
        <v>2560</v>
      </c>
      <c r="D150" t="s">
        <v>2561</v>
      </c>
      <c r="E150" t="s">
        <v>195</v>
      </c>
      <c r="F150" t="s">
        <v>195</v>
      </c>
      <c r="G150" t="s">
        <v>1254</v>
      </c>
      <c r="H150" t="s">
        <v>1341</v>
      </c>
      <c r="I150">
        <v>44447.799999999996</v>
      </c>
      <c r="J150" t="s">
        <v>18</v>
      </c>
      <c r="K150">
        <v>44447.799999999996</v>
      </c>
      <c r="L150" t="s">
        <v>18</v>
      </c>
      <c r="M150">
        <v>44447.799999999996</v>
      </c>
      <c r="N150" t="s">
        <v>18</v>
      </c>
      <c r="O150">
        <v>4408.5999999999985</v>
      </c>
      <c r="P150">
        <v>4408.5999999999985</v>
      </c>
      <c r="Q150">
        <v>11.010709504685405</v>
      </c>
      <c r="R150">
        <v>11.010709504685405</v>
      </c>
      <c r="T150" t="s">
        <v>2562</v>
      </c>
      <c r="U150" s="494">
        <v>46087</v>
      </c>
      <c r="V150">
        <v>165.85</v>
      </c>
      <c r="W150">
        <v>268</v>
      </c>
      <c r="X150">
        <v>149.4</v>
      </c>
      <c r="Y150">
        <v>0.2</v>
      </c>
      <c r="AP150" t="s">
        <v>1350</v>
      </c>
      <c r="AQ150">
        <v>0</v>
      </c>
      <c r="AS150" t="s">
        <v>2563</v>
      </c>
      <c r="AT150" t="s">
        <v>2564</v>
      </c>
      <c r="AZ150" s="494">
        <v>46080</v>
      </c>
      <c r="BA150">
        <v>70</v>
      </c>
      <c r="BO150" t="s">
        <v>1377</v>
      </c>
      <c r="BP150" t="s">
        <v>1378</v>
      </c>
      <c r="BQ150" t="s">
        <v>1355</v>
      </c>
      <c r="BR150" t="s">
        <v>1355</v>
      </c>
      <c r="BS150" t="s">
        <v>1355</v>
      </c>
      <c r="BV150">
        <v>4194.2</v>
      </c>
    </row>
    <row r="151" spans="1:74" customFormat="1" ht="15" x14ac:dyDescent="0.25">
      <c r="A151" s="1052" t="s">
        <v>2587</v>
      </c>
      <c r="B151" t="s">
        <v>1964</v>
      </c>
      <c r="C151" t="s">
        <v>1965</v>
      </c>
      <c r="D151" t="s">
        <v>1966</v>
      </c>
      <c r="E151" t="s">
        <v>195</v>
      </c>
      <c r="F151" t="s">
        <v>195</v>
      </c>
      <c r="G151" t="s">
        <v>1254</v>
      </c>
      <c r="H151" t="s">
        <v>1341</v>
      </c>
      <c r="I151">
        <v>8105.6850000000004</v>
      </c>
      <c r="J151" t="s">
        <v>18</v>
      </c>
      <c r="K151">
        <v>8105.6850000000004</v>
      </c>
      <c r="L151" t="s">
        <v>18</v>
      </c>
      <c r="M151">
        <v>8105.6850000000004</v>
      </c>
      <c r="N151" t="s">
        <v>18</v>
      </c>
      <c r="O151">
        <v>-521.98499999999967</v>
      </c>
      <c r="P151">
        <v>-521.98499999999967</v>
      </c>
      <c r="Q151">
        <v>-6.0501270910917979</v>
      </c>
      <c r="R151">
        <v>-6.0501270910917979</v>
      </c>
      <c r="T151" t="s">
        <v>1967</v>
      </c>
      <c r="U151" s="494">
        <v>46087</v>
      </c>
      <c r="V151">
        <v>158.935</v>
      </c>
      <c r="W151">
        <v>51</v>
      </c>
      <c r="X151">
        <v>169.17</v>
      </c>
      <c r="Y151">
        <v>0.04</v>
      </c>
      <c r="AP151" t="s">
        <v>1350</v>
      </c>
      <c r="AQ151">
        <v>0</v>
      </c>
      <c r="AS151" t="s">
        <v>1968</v>
      </c>
      <c r="AT151" t="s">
        <v>1969</v>
      </c>
      <c r="AZ151" s="494">
        <v>46079</v>
      </c>
      <c r="BA151">
        <v>70</v>
      </c>
      <c r="BO151" t="s">
        <v>1575</v>
      </c>
      <c r="BP151" t="s">
        <v>1576</v>
      </c>
      <c r="BQ151" t="s">
        <v>1355</v>
      </c>
      <c r="BR151" t="s">
        <v>1355</v>
      </c>
      <c r="BS151" t="s">
        <v>1355</v>
      </c>
      <c r="BV151">
        <v>-496.74050999999997</v>
      </c>
    </row>
    <row r="152" spans="1:74" customFormat="1" ht="15" x14ac:dyDescent="0.25">
      <c r="A152" s="1052" t="s">
        <v>2587</v>
      </c>
      <c r="B152" t="s">
        <v>1970</v>
      </c>
      <c r="C152" t="s">
        <v>1971</v>
      </c>
      <c r="D152" t="s">
        <v>1972</v>
      </c>
      <c r="E152" t="s">
        <v>195</v>
      </c>
      <c r="F152" t="s">
        <v>195</v>
      </c>
      <c r="G152" t="s">
        <v>1254</v>
      </c>
      <c r="H152" t="s">
        <v>1341</v>
      </c>
      <c r="I152">
        <v>56152.799999999996</v>
      </c>
      <c r="J152" t="s">
        <v>18</v>
      </c>
      <c r="K152">
        <v>56152.799999999996</v>
      </c>
      <c r="L152" t="s">
        <v>18</v>
      </c>
      <c r="M152">
        <v>56152.799999999996</v>
      </c>
      <c r="N152" t="s">
        <v>18</v>
      </c>
      <c r="O152">
        <v>-6481.2000000000116</v>
      </c>
      <c r="P152">
        <v>-6481.2000000000116</v>
      </c>
      <c r="Q152">
        <v>-10.347734457323515</v>
      </c>
      <c r="R152">
        <v>-10.347734457323515</v>
      </c>
      <c r="T152" t="s">
        <v>1973</v>
      </c>
      <c r="U152" s="494">
        <v>46087</v>
      </c>
      <c r="V152">
        <v>170.16</v>
      </c>
      <c r="W152">
        <v>330</v>
      </c>
      <c r="X152">
        <v>189.8</v>
      </c>
      <c r="Y152">
        <v>0.25</v>
      </c>
      <c r="AP152" t="s">
        <v>1350</v>
      </c>
      <c r="AQ152">
        <v>0</v>
      </c>
      <c r="AS152" t="s">
        <v>1974</v>
      </c>
      <c r="AT152" t="s">
        <v>1975</v>
      </c>
      <c r="AZ152" s="494">
        <v>46079</v>
      </c>
      <c r="BA152">
        <v>70</v>
      </c>
      <c r="BO152" t="s">
        <v>1575</v>
      </c>
      <c r="BP152" t="s">
        <v>1576</v>
      </c>
      <c r="BQ152" t="s">
        <v>1355</v>
      </c>
      <c r="BR152" t="s">
        <v>1355</v>
      </c>
      <c r="BS152" t="s">
        <v>1355</v>
      </c>
      <c r="BV152">
        <v>-6540.6</v>
      </c>
    </row>
    <row r="153" spans="1:74" customFormat="1" ht="15" x14ac:dyDescent="0.25">
      <c r="A153" s="1052" t="s">
        <v>2587</v>
      </c>
      <c r="B153" t="s">
        <v>1976</v>
      </c>
      <c r="C153" t="s">
        <v>1977</v>
      </c>
      <c r="D153" t="s">
        <v>1978</v>
      </c>
      <c r="E153" t="s">
        <v>195</v>
      </c>
      <c r="F153" t="s">
        <v>195</v>
      </c>
      <c r="G153" t="s">
        <v>1254</v>
      </c>
      <c r="H153" t="s">
        <v>1341</v>
      </c>
      <c r="I153">
        <v>29318.9</v>
      </c>
      <c r="J153" t="s">
        <v>18</v>
      </c>
      <c r="K153">
        <v>29318.9</v>
      </c>
      <c r="L153" t="s">
        <v>18</v>
      </c>
      <c r="M153">
        <v>29318.9</v>
      </c>
      <c r="N153" t="s">
        <v>18</v>
      </c>
      <c r="O153">
        <v>-1725.1999999999971</v>
      </c>
      <c r="P153">
        <v>-1725.1999999999971</v>
      </c>
      <c r="Q153">
        <v>-5.5572556460003577</v>
      </c>
      <c r="R153">
        <v>-5.5572556460003577</v>
      </c>
      <c r="T153" t="s">
        <v>1979</v>
      </c>
      <c r="U153" s="494">
        <v>46087</v>
      </c>
      <c r="V153">
        <v>154.31</v>
      </c>
      <c r="W153">
        <v>190</v>
      </c>
      <c r="X153">
        <v>163.38999999999999</v>
      </c>
      <c r="Y153">
        <v>0.13</v>
      </c>
      <c r="AP153" t="s">
        <v>1350</v>
      </c>
      <c r="AQ153">
        <v>0</v>
      </c>
      <c r="AS153" t="s">
        <v>1980</v>
      </c>
      <c r="AT153" t="s">
        <v>1981</v>
      </c>
      <c r="AZ153" s="494">
        <v>46079</v>
      </c>
      <c r="BA153">
        <v>70</v>
      </c>
      <c r="BO153" t="s">
        <v>1575</v>
      </c>
      <c r="BP153" t="s">
        <v>1982</v>
      </c>
      <c r="BQ153" t="s">
        <v>1355</v>
      </c>
      <c r="BR153" t="s">
        <v>1355</v>
      </c>
      <c r="BS153" t="s">
        <v>1355</v>
      </c>
      <c r="BV153">
        <v>-1854.4</v>
      </c>
    </row>
    <row r="154" spans="1:74" customFormat="1" ht="15" x14ac:dyDescent="0.25">
      <c r="A154" s="1052" t="s">
        <v>2587</v>
      </c>
      <c r="B154" t="s">
        <v>1983</v>
      </c>
      <c r="C154" t="s">
        <v>1984</v>
      </c>
      <c r="D154" t="s">
        <v>1985</v>
      </c>
      <c r="E154" t="s">
        <v>195</v>
      </c>
      <c r="F154" t="s">
        <v>195</v>
      </c>
      <c r="G154" t="s">
        <v>1254</v>
      </c>
      <c r="H154" t="s">
        <v>1341</v>
      </c>
      <c r="I154">
        <v>17298.12</v>
      </c>
      <c r="J154" t="s">
        <v>18</v>
      </c>
      <c r="K154">
        <v>17298.12</v>
      </c>
      <c r="L154" t="s">
        <v>18</v>
      </c>
      <c r="M154">
        <v>17298.12</v>
      </c>
      <c r="N154" t="s">
        <v>18</v>
      </c>
      <c r="O154">
        <v>116.7599999999984</v>
      </c>
      <c r="P154">
        <v>116.7599999999984</v>
      </c>
      <c r="Q154">
        <v>0.67957367752028008</v>
      </c>
      <c r="R154">
        <v>0.67957367752028008</v>
      </c>
      <c r="T154" t="s">
        <v>1986</v>
      </c>
      <c r="U154" s="494">
        <v>46087</v>
      </c>
      <c r="V154">
        <v>205.93</v>
      </c>
      <c r="W154">
        <v>84</v>
      </c>
      <c r="X154">
        <v>204.54</v>
      </c>
      <c r="Y154">
        <v>0.08</v>
      </c>
      <c r="AP154" t="s">
        <v>1350</v>
      </c>
      <c r="AQ154">
        <v>0</v>
      </c>
      <c r="AS154" t="s">
        <v>1987</v>
      </c>
      <c r="AT154" t="s">
        <v>1988</v>
      </c>
      <c r="AZ154" s="494">
        <v>46079</v>
      </c>
      <c r="BA154">
        <v>70</v>
      </c>
      <c r="BO154" t="s">
        <v>1427</v>
      </c>
      <c r="BP154" t="s">
        <v>1479</v>
      </c>
      <c r="BQ154" t="s">
        <v>1355</v>
      </c>
      <c r="BR154" t="s">
        <v>1355</v>
      </c>
      <c r="BS154" t="s">
        <v>1355</v>
      </c>
      <c r="BV154">
        <v>509.04084</v>
      </c>
    </row>
    <row r="155" spans="1:74" customFormat="1" ht="15" x14ac:dyDescent="0.25">
      <c r="A155" s="1052" t="s">
        <v>2587</v>
      </c>
      <c r="B155" t="s">
        <v>1989</v>
      </c>
      <c r="C155" t="s">
        <v>1990</v>
      </c>
      <c r="D155" t="s">
        <v>1991</v>
      </c>
      <c r="E155" t="s">
        <v>195</v>
      </c>
      <c r="F155" t="s">
        <v>195</v>
      </c>
      <c r="G155" t="s">
        <v>1254</v>
      </c>
      <c r="H155" t="s">
        <v>1341</v>
      </c>
      <c r="I155">
        <v>18405.435000000001</v>
      </c>
      <c r="J155" t="s">
        <v>18</v>
      </c>
      <c r="K155">
        <v>18405.435000000001</v>
      </c>
      <c r="L155" t="s">
        <v>18</v>
      </c>
      <c r="M155">
        <v>18405.435000000001</v>
      </c>
      <c r="N155" t="s">
        <v>18</v>
      </c>
      <c r="O155">
        <v>-1338.7949999999983</v>
      </c>
      <c r="P155">
        <v>-1338.7949999999983</v>
      </c>
      <c r="Q155">
        <v>-6.7806898521745245</v>
      </c>
      <c r="R155">
        <v>-6.7806898521745245</v>
      </c>
      <c r="T155" t="s">
        <v>1992</v>
      </c>
      <c r="U155" s="494">
        <v>46087</v>
      </c>
      <c r="V155">
        <v>130.535</v>
      </c>
      <c r="W155">
        <v>141</v>
      </c>
      <c r="X155">
        <v>140.03</v>
      </c>
      <c r="Y155">
        <v>0.08</v>
      </c>
      <c r="AP155" t="s">
        <v>1350</v>
      </c>
      <c r="AQ155">
        <v>0</v>
      </c>
      <c r="AS155" t="s">
        <v>1993</v>
      </c>
      <c r="AT155" t="s">
        <v>1994</v>
      </c>
      <c r="AZ155" s="494">
        <v>46079</v>
      </c>
      <c r="BA155">
        <v>70</v>
      </c>
      <c r="BO155" t="s">
        <v>1162</v>
      </c>
      <c r="BP155" t="s">
        <v>1435</v>
      </c>
      <c r="BQ155" t="s">
        <v>1355</v>
      </c>
      <c r="BR155" t="s">
        <v>1355</v>
      </c>
      <c r="BS155" t="s">
        <v>1355</v>
      </c>
      <c r="BV155">
        <v>-774.09141</v>
      </c>
    </row>
    <row r="156" spans="1:74" customFormat="1" ht="15" x14ac:dyDescent="0.25">
      <c r="A156" s="1052" t="s">
        <v>2587</v>
      </c>
      <c r="B156" t="s">
        <v>1995</v>
      </c>
      <c r="C156" t="s">
        <v>1996</v>
      </c>
      <c r="D156" t="s">
        <v>1997</v>
      </c>
      <c r="E156" t="s">
        <v>195</v>
      </c>
      <c r="F156" t="s">
        <v>195</v>
      </c>
      <c r="G156" t="s">
        <v>1254</v>
      </c>
      <c r="H156" t="s">
        <v>1341</v>
      </c>
      <c r="I156">
        <v>11026.12</v>
      </c>
      <c r="J156" t="s">
        <v>18</v>
      </c>
      <c r="K156">
        <v>11026.12</v>
      </c>
      <c r="L156" t="s">
        <v>18</v>
      </c>
      <c r="M156">
        <v>11026.12</v>
      </c>
      <c r="N156" t="s">
        <v>18</v>
      </c>
      <c r="O156">
        <v>-610.67999999999847</v>
      </c>
      <c r="P156">
        <v>-610.67999999999847</v>
      </c>
      <c r="Q156">
        <v>-5.2478344562078796</v>
      </c>
      <c r="R156">
        <v>-5.2478344562078796</v>
      </c>
      <c r="T156" t="s">
        <v>1998</v>
      </c>
      <c r="U156" s="494">
        <v>46087</v>
      </c>
      <c r="V156">
        <v>196.89500000000001</v>
      </c>
      <c r="W156">
        <v>56</v>
      </c>
      <c r="X156">
        <v>207.8</v>
      </c>
      <c r="Y156">
        <v>0.05</v>
      </c>
      <c r="AP156" t="s">
        <v>1350</v>
      </c>
      <c r="AQ156">
        <v>0</v>
      </c>
      <c r="AS156" t="s">
        <v>1999</v>
      </c>
      <c r="AT156" t="s">
        <v>2000</v>
      </c>
      <c r="AZ156" s="494">
        <v>46079</v>
      </c>
      <c r="BA156">
        <v>70</v>
      </c>
      <c r="BO156" t="s">
        <v>1362</v>
      </c>
      <c r="BP156" t="s">
        <v>1363</v>
      </c>
      <c r="BQ156" t="s">
        <v>1355</v>
      </c>
      <c r="BR156" t="s">
        <v>1355</v>
      </c>
      <c r="BS156" t="s">
        <v>1355</v>
      </c>
      <c r="BV156">
        <v>-481.03944000000001</v>
      </c>
    </row>
    <row r="157" spans="1:74" customFormat="1" ht="15" x14ac:dyDescent="0.25">
      <c r="A157" s="1052" t="s">
        <v>2588</v>
      </c>
      <c r="B157" t="s">
        <v>2218</v>
      </c>
      <c r="C157" t="s">
        <v>2219</v>
      </c>
      <c r="D157" t="s">
        <v>2220</v>
      </c>
      <c r="E157" t="s">
        <v>195</v>
      </c>
      <c r="F157" t="s">
        <v>195</v>
      </c>
      <c r="G157" t="s">
        <v>1254</v>
      </c>
      <c r="H157" t="s">
        <v>1341</v>
      </c>
      <c r="I157">
        <v>25295.4</v>
      </c>
      <c r="J157" t="s">
        <v>18</v>
      </c>
      <c r="K157">
        <v>25295.4</v>
      </c>
      <c r="L157" t="s">
        <v>18</v>
      </c>
      <c r="M157">
        <v>25295.4</v>
      </c>
      <c r="N157" t="s">
        <v>18</v>
      </c>
      <c r="O157">
        <v>-3139.5999999999985</v>
      </c>
      <c r="P157">
        <v>-3139.5999999999985</v>
      </c>
      <c r="Q157">
        <v>-11.041322314049582</v>
      </c>
      <c r="R157">
        <v>-11.041322314049582</v>
      </c>
      <c r="T157" t="s">
        <v>2221</v>
      </c>
      <c r="U157" s="494">
        <v>46087</v>
      </c>
      <c r="V157">
        <v>134.55000000000001</v>
      </c>
      <c r="W157">
        <v>188</v>
      </c>
      <c r="X157">
        <v>151.25</v>
      </c>
      <c r="Y157">
        <v>0.11</v>
      </c>
      <c r="AP157" t="s">
        <v>1350</v>
      </c>
      <c r="AQ157">
        <v>0</v>
      </c>
      <c r="AS157" t="s">
        <v>2222</v>
      </c>
      <c r="AT157" t="s">
        <v>2223</v>
      </c>
      <c r="AZ157" s="494">
        <v>46080</v>
      </c>
      <c r="BA157">
        <v>60</v>
      </c>
      <c r="BO157" t="s">
        <v>308</v>
      </c>
      <c r="BP157" t="s">
        <v>1407</v>
      </c>
      <c r="BQ157" t="s">
        <v>1355</v>
      </c>
      <c r="BR157" t="s">
        <v>1355</v>
      </c>
      <c r="BS157" t="s">
        <v>1355</v>
      </c>
      <c r="BV157">
        <v>-2229.6799999999998</v>
      </c>
    </row>
    <row r="158" spans="1:74" customFormat="1" ht="15" x14ac:dyDescent="0.25">
      <c r="A158" s="1052" t="s">
        <v>2586</v>
      </c>
      <c r="B158" t="s">
        <v>2001</v>
      </c>
      <c r="C158" t="s">
        <v>2002</v>
      </c>
      <c r="D158" t="s">
        <v>2003</v>
      </c>
      <c r="E158" t="s">
        <v>195</v>
      </c>
      <c r="F158" t="s">
        <v>195</v>
      </c>
      <c r="G158" t="s">
        <v>1254</v>
      </c>
      <c r="H158" t="s">
        <v>1341</v>
      </c>
      <c r="I158">
        <v>98796.1</v>
      </c>
      <c r="J158" t="s">
        <v>18</v>
      </c>
      <c r="K158">
        <v>98796.1</v>
      </c>
      <c r="L158" t="s">
        <v>18</v>
      </c>
      <c r="M158">
        <v>98796.1</v>
      </c>
      <c r="N158" t="s">
        <v>18</v>
      </c>
      <c r="O158">
        <v>-3519.0999999999913</v>
      </c>
      <c r="P158">
        <v>-3519.0999999999913</v>
      </c>
      <c r="Q158">
        <v>-3.4394694043504694</v>
      </c>
      <c r="R158">
        <v>-3.4394694043504694</v>
      </c>
      <c r="T158" t="s">
        <v>2004</v>
      </c>
      <c r="U158" s="494">
        <v>46087</v>
      </c>
      <c r="V158">
        <v>759.97</v>
      </c>
      <c r="W158">
        <v>130</v>
      </c>
      <c r="X158">
        <v>787.04</v>
      </c>
      <c r="Y158">
        <v>0.45</v>
      </c>
      <c r="AP158" t="s">
        <v>1350</v>
      </c>
      <c r="AQ158">
        <v>0</v>
      </c>
      <c r="AS158" t="s">
        <v>2005</v>
      </c>
      <c r="AT158" t="s">
        <v>2006</v>
      </c>
      <c r="AZ158" s="494">
        <v>46077</v>
      </c>
      <c r="BA158">
        <v>70</v>
      </c>
      <c r="BO158" t="s">
        <v>1362</v>
      </c>
      <c r="BP158" t="s">
        <v>1370</v>
      </c>
      <c r="BQ158" t="s">
        <v>1355</v>
      </c>
      <c r="BR158" t="s">
        <v>1355</v>
      </c>
      <c r="BS158" t="s">
        <v>1355</v>
      </c>
      <c r="BV158">
        <v>-3533.4013</v>
      </c>
    </row>
    <row r="159" spans="1:74" customFormat="1" ht="15" x14ac:dyDescent="0.25">
      <c r="A159" s="1052" t="s">
        <v>2587</v>
      </c>
      <c r="B159" t="s">
        <v>2007</v>
      </c>
      <c r="C159" t="s">
        <v>2008</v>
      </c>
      <c r="D159" t="s">
        <v>2009</v>
      </c>
      <c r="E159" t="s">
        <v>195</v>
      </c>
      <c r="F159" t="s">
        <v>195</v>
      </c>
      <c r="G159" t="s">
        <v>1254</v>
      </c>
      <c r="H159" t="s">
        <v>1341</v>
      </c>
      <c r="I159">
        <v>14203.89</v>
      </c>
      <c r="J159" t="s">
        <v>18</v>
      </c>
      <c r="K159">
        <v>14203.89</v>
      </c>
      <c r="L159" t="s">
        <v>18</v>
      </c>
      <c r="M159">
        <v>14203.89</v>
      </c>
      <c r="N159" t="s">
        <v>18</v>
      </c>
      <c r="O159">
        <v>465.30999999999949</v>
      </c>
      <c r="P159">
        <v>465.30999999999949</v>
      </c>
      <c r="Q159">
        <v>3.3868856897874418</v>
      </c>
      <c r="R159">
        <v>3.3868856897874418</v>
      </c>
      <c r="T159" t="s">
        <v>2010</v>
      </c>
      <c r="U159" s="494">
        <v>46087</v>
      </c>
      <c r="V159">
        <v>229.095</v>
      </c>
      <c r="W159">
        <v>62</v>
      </c>
      <c r="X159">
        <v>221.59</v>
      </c>
      <c r="Y159">
        <v>0.06</v>
      </c>
      <c r="AP159" t="s">
        <v>1350</v>
      </c>
      <c r="AQ159">
        <v>0</v>
      </c>
      <c r="AS159" t="s">
        <v>2011</v>
      </c>
      <c r="AT159" t="s">
        <v>2012</v>
      </c>
      <c r="AZ159" s="494">
        <v>46079</v>
      </c>
      <c r="BA159">
        <v>70</v>
      </c>
      <c r="BO159" t="s">
        <v>1353</v>
      </c>
      <c r="BP159" t="s">
        <v>2013</v>
      </c>
      <c r="BQ159" t="s">
        <v>1355</v>
      </c>
      <c r="BR159" t="s">
        <v>1355</v>
      </c>
      <c r="BS159" t="s">
        <v>1355</v>
      </c>
      <c r="BV159">
        <v>586.52</v>
      </c>
    </row>
    <row r="160" spans="1:74" customFormat="1" ht="15" x14ac:dyDescent="0.25">
      <c r="A160" s="1052" t="s">
        <v>2588</v>
      </c>
      <c r="B160" t="s">
        <v>2014</v>
      </c>
      <c r="C160" t="s">
        <v>2015</v>
      </c>
      <c r="D160" t="s">
        <v>2016</v>
      </c>
      <c r="E160" t="s">
        <v>195</v>
      </c>
      <c r="F160" t="s">
        <v>195</v>
      </c>
      <c r="G160" t="s">
        <v>1254</v>
      </c>
      <c r="H160" t="s">
        <v>1341</v>
      </c>
      <c r="I160">
        <v>47067.9</v>
      </c>
      <c r="J160" t="s">
        <v>18</v>
      </c>
      <c r="K160">
        <v>47067.9</v>
      </c>
      <c r="L160" t="s">
        <v>18</v>
      </c>
      <c r="M160">
        <v>47067.9</v>
      </c>
      <c r="N160" t="s">
        <v>18</v>
      </c>
      <c r="O160">
        <v>-6339.2999999999956</v>
      </c>
      <c r="P160">
        <v>-6339.2999999999956</v>
      </c>
      <c r="Q160">
        <v>-11.869747899159657</v>
      </c>
      <c r="R160">
        <v>-11.869747899159657</v>
      </c>
      <c r="T160" t="s">
        <v>2017</v>
      </c>
      <c r="U160" s="494">
        <v>46087</v>
      </c>
      <c r="V160">
        <v>62.924999999999997</v>
      </c>
      <c r="W160">
        <v>748</v>
      </c>
      <c r="X160">
        <v>71.400000000000006</v>
      </c>
      <c r="Y160">
        <v>0.21</v>
      </c>
      <c r="AP160" t="s">
        <v>1350</v>
      </c>
      <c r="AQ160">
        <v>0</v>
      </c>
      <c r="AS160" t="s">
        <v>2018</v>
      </c>
      <c r="AT160" t="s">
        <v>2019</v>
      </c>
      <c r="AZ160" s="494">
        <v>46080</v>
      </c>
      <c r="BA160">
        <v>70</v>
      </c>
      <c r="BO160" t="s">
        <v>308</v>
      </c>
      <c r="BP160" t="s">
        <v>1407</v>
      </c>
      <c r="BQ160" t="s">
        <v>1355</v>
      </c>
      <c r="BR160" t="s">
        <v>1355</v>
      </c>
      <c r="BS160" t="s">
        <v>1355</v>
      </c>
      <c r="BV160">
        <v>-5886.76</v>
      </c>
    </row>
    <row r="161" spans="1:75" customFormat="1" ht="15" x14ac:dyDescent="0.25">
      <c r="A161" s="1052" t="s">
        <v>2587</v>
      </c>
      <c r="B161" t="s">
        <v>2020</v>
      </c>
      <c r="C161" t="s">
        <v>2021</v>
      </c>
      <c r="D161" t="s">
        <v>2022</v>
      </c>
      <c r="E161" t="s">
        <v>195</v>
      </c>
      <c r="F161" t="s">
        <v>195</v>
      </c>
      <c r="G161" t="s">
        <v>1254</v>
      </c>
      <c r="H161" t="s">
        <v>1341</v>
      </c>
      <c r="I161">
        <v>43705.200000000004</v>
      </c>
      <c r="J161" t="s">
        <v>18</v>
      </c>
      <c r="K161">
        <v>43705.200000000004</v>
      </c>
      <c r="L161" t="s">
        <v>18</v>
      </c>
      <c r="M161">
        <v>43705.200000000004</v>
      </c>
      <c r="N161" t="s">
        <v>18</v>
      </c>
      <c r="O161">
        <v>2549.4000000000015</v>
      </c>
      <c r="P161">
        <v>2549.4000000000015</v>
      </c>
      <c r="Q161">
        <v>6.1945096438412115</v>
      </c>
      <c r="R161">
        <v>6.1945096438412115</v>
      </c>
      <c r="T161" t="s">
        <v>2023</v>
      </c>
      <c r="U161" s="494">
        <v>46087</v>
      </c>
      <c r="V161">
        <v>208.12</v>
      </c>
      <c r="W161">
        <v>210</v>
      </c>
      <c r="X161">
        <v>195.98</v>
      </c>
      <c r="Y161">
        <v>0.2</v>
      </c>
      <c r="AP161" t="s">
        <v>1350</v>
      </c>
      <c r="AQ161">
        <v>0</v>
      </c>
      <c r="AS161" t="s">
        <v>2024</v>
      </c>
      <c r="AT161" t="s">
        <v>2025</v>
      </c>
      <c r="AZ161" s="494">
        <v>46079</v>
      </c>
      <c r="BA161">
        <v>70</v>
      </c>
      <c r="BO161" t="s">
        <v>1353</v>
      </c>
      <c r="BP161" t="s">
        <v>1354</v>
      </c>
      <c r="BQ161" t="s">
        <v>1355</v>
      </c>
      <c r="BR161" t="s">
        <v>1355</v>
      </c>
      <c r="BS161" t="s">
        <v>1355</v>
      </c>
      <c r="BV161">
        <v>2893.7979</v>
      </c>
    </row>
    <row r="162" spans="1:75" customFormat="1" ht="15" x14ac:dyDescent="0.25">
      <c r="A162" s="1052" t="s">
        <v>2586</v>
      </c>
      <c r="B162" t="s">
        <v>2026</v>
      </c>
      <c r="C162" t="s">
        <v>2027</v>
      </c>
      <c r="D162" t="s">
        <v>2028</v>
      </c>
      <c r="E162" t="s">
        <v>195</v>
      </c>
      <c r="F162" t="s">
        <v>195</v>
      </c>
      <c r="G162" t="s">
        <v>1254</v>
      </c>
      <c r="H162" t="s">
        <v>1341</v>
      </c>
      <c r="I162">
        <v>151020.14066999999</v>
      </c>
      <c r="J162" t="s">
        <v>18</v>
      </c>
      <c r="K162">
        <v>130476.59999999999</v>
      </c>
      <c r="L162" t="s">
        <v>21</v>
      </c>
      <c r="M162">
        <v>151020.14066999999</v>
      </c>
      <c r="N162" t="s">
        <v>18</v>
      </c>
      <c r="O162">
        <v>-19875.209330000012</v>
      </c>
      <c r="P162">
        <v>-14497.400000000009</v>
      </c>
      <c r="Q162">
        <v>-11.630046885418482</v>
      </c>
      <c r="R162">
        <v>-10.000000000000005</v>
      </c>
      <c r="T162" t="s">
        <v>2029</v>
      </c>
      <c r="U162" s="494">
        <v>46087</v>
      </c>
      <c r="V162">
        <v>311.39999999999998</v>
      </c>
      <c r="W162">
        <v>419</v>
      </c>
      <c r="X162">
        <v>346</v>
      </c>
      <c r="Y162">
        <v>0.68</v>
      </c>
      <c r="AP162" t="s">
        <v>1350</v>
      </c>
      <c r="AQ162">
        <v>0</v>
      </c>
      <c r="AS162" t="s">
        <v>2030</v>
      </c>
      <c r="AT162" t="s">
        <v>2031</v>
      </c>
      <c r="AZ162" s="494">
        <v>46077</v>
      </c>
      <c r="BA162">
        <v>70</v>
      </c>
      <c r="BO162" t="s">
        <v>1353</v>
      </c>
      <c r="BP162" t="s">
        <v>1354</v>
      </c>
      <c r="BQ162" t="s">
        <v>1386</v>
      </c>
      <c r="BR162" t="s">
        <v>209</v>
      </c>
      <c r="BS162" t="s">
        <v>302</v>
      </c>
      <c r="BV162">
        <v>-13977.851723</v>
      </c>
      <c r="BW162">
        <v>-2822.0645469999999</v>
      </c>
    </row>
    <row r="163" spans="1:75" customFormat="1" ht="15" x14ac:dyDescent="0.25">
      <c r="A163" s="1052" t="s">
        <v>2588</v>
      </c>
      <c r="B163" t="s">
        <v>2032</v>
      </c>
      <c r="C163" t="s">
        <v>2033</v>
      </c>
      <c r="D163" t="s">
        <v>2034</v>
      </c>
      <c r="E163" t="s">
        <v>195</v>
      </c>
      <c r="F163" t="s">
        <v>195</v>
      </c>
      <c r="G163" t="s">
        <v>1254</v>
      </c>
      <c r="H163" t="s">
        <v>1341</v>
      </c>
      <c r="I163">
        <v>83458.2</v>
      </c>
      <c r="J163" t="s">
        <v>18</v>
      </c>
      <c r="K163">
        <v>83458.2</v>
      </c>
      <c r="L163" t="s">
        <v>18</v>
      </c>
      <c r="M163">
        <v>83458.2</v>
      </c>
      <c r="N163" t="s">
        <v>18</v>
      </c>
      <c r="O163">
        <v>-319.19999999999709</v>
      </c>
      <c r="P163">
        <v>-319.19999999999709</v>
      </c>
      <c r="Q163">
        <v>-0.38100967564044375</v>
      </c>
      <c r="R163">
        <v>-0.38100967564044375</v>
      </c>
      <c r="T163" t="s">
        <v>2035</v>
      </c>
      <c r="U163" s="494">
        <v>46087</v>
      </c>
      <c r="V163">
        <v>198.71</v>
      </c>
      <c r="W163">
        <v>420</v>
      </c>
      <c r="X163">
        <v>199.47</v>
      </c>
      <c r="Y163">
        <v>0.38</v>
      </c>
      <c r="AP163" t="s">
        <v>1350</v>
      </c>
      <c r="AQ163">
        <v>0</v>
      </c>
      <c r="AS163" t="s">
        <v>2036</v>
      </c>
      <c r="AT163" t="s">
        <v>2037</v>
      </c>
      <c r="AZ163" s="494">
        <v>46080</v>
      </c>
      <c r="BA163">
        <v>70</v>
      </c>
      <c r="BO163" t="s">
        <v>1377</v>
      </c>
      <c r="BP163" t="s">
        <v>1378</v>
      </c>
      <c r="BQ163" t="s">
        <v>1355</v>
      </c>
      <c r="BR163" t="s">
        <v>1355</v>
      </c>
      <c r="BS163" t="s">
        <v>1355</v>
      </c>
      <c r="BV163">
        <v>1108.8</v>
      </c>
    </row>
    <row r="164" spans="1:75" customFormat="1" ht="15" x14ac:dyDescent="0.25">
      <c r="A164" s="1052" t="s">
        <v>2588</v>
      </c>
      <c r="B164" t="s">
        <v>2322</v>
      </c>
      <c r="C164" t="s">
        <v>2323</v>
      </c>
      <c r="D164" t="s">
        <v>2324</v>
      </c>
      <c r="E164" t="s">
        <v>195</v>
      </c>
      <c r="F164" t="s">
        <v>195</v>
      </c>
      <c r="G164" t="s">
        <v>1254</v>
      </c>
      <c r="H164" t="s">
        <v>1341</v>
      </c>
      <c r="I164">
        <v>54235.200000000004</v>
      </c>
      <c r="J164" t="s">
        <v>18</v>
      </c>
      <c r="K164">
        <v>54235.200000000004</v>
      </c>
      <c r="L164" t="s">
        <v>18</v>
      </c>
      <c r="M164">
        <v>54235.200000000004</v>
      </c>
      <c r="N164" t="s">
        <v>18</v>
      </c>
      <c r="O164">
        <v>-8347.1999999999898</v>
      </c>
      <c r="P164">
        <v>-8347.1999999999898</v>
      </c>
      <c r="Q164">
        <v>-13.337935266145099</v>
      </c>
      <c r="R164">
        <v>-13.337935266145099</v>
      </c>
      <c r="T164" t="s">
        <v>2325</v>
      </c>
      <c r="U164" s="494">
        <v>46087</v>
      </c>
      <c r="V164">
        <v>564.95000000000005</v>
      </c>
      <c r="W164">
        <v>96</v>
      </c>
      <c r="X164">
        <v>651.9</v>
      </c>
      <c r="Y164">
        <v>0.24</v>
      </c>
      <c r="AP164" t="s">
        <v>1350</v>
      </c>
      <c r="AQ164">
        <v>0</v>
      </c>
      <c r="AS164" t="s">
        <v>2326</v>
      </c>
      <c r="AT164" t="s">
        <v>2327</v>
      </c>
      <c r="AZ164" s="494">
        <v>46080</v>
      </c>
      <c r="BA164">
        <v>40</v>
      </c>
      <c r="BO164" t="s">
        <v>1377</v>
      </c>
      <c r="BP164" t="s">
        <v>1448</v>
      </c>
      <c r="BQ164" t="s">
        <v>1355</v>
      </c>
      <c r="BR164" t="s">
        <v>1355</v>
      </c>
      <c r="BS164" t="s">
        <v>1355</v>
      </c>
      <c r="BV164">
        <v>-11958.718080000001</v>
      </c>
    </row>
    <row r="165" spans="1:75" customFormat="1" ht="15" x14ac:dyDescent="0.25">
      <c r="A165" s="1052" t="s">
        <v>2587</v>
      </c>
      <c r="B165" t="s">
        <v>2038</v>
      </c>
      <c r="C165" t="s">
        <v>2039</v>
      </c>
      <c r="D165" t="s">
        <v>2040</v>
      </c>
      <c r="E165" t="s">
        <v>195</v>
      </c>
      <c r="F165" t="s">
        <v>195</v>
      </c>
      <c r="G165" t="s">
        <v>1254</v>
      </c>
      <c r="H165" t="s">
        <v>1341</v>
      </c>
      <c r="I165">
        <v>20704.84</v>
      </c>
      <c r="J165" t="s">
        <v>18</v>
      </c>
      <c r="K165">
        <v>20704.84</v>
      </c>
      <c r="L165" t="s">
        <v>18</v>
      </c>
      <c r="M165">
        <v>20704.84</v>
      </c>
      <c r="N165" t="s">
        <v>18</v>
      </c>
      <c r="O165">
        <v>-3762.4599999999991</v>
      </c>
      <c r="P165">
        <v>-3762.4599999999991</v>
      </c>
      <c r="Q165">
        <v>-15.377503852080121</v>
      </c>
      <c r="R165">
        <v>-15.377503852080121</v>
      </c>
      <c r="T165" t="s">
        <v>2041</v>
      </c>
      <c r="U165" s="494">
        <v>46087</v>
      </c>
      <c r="V165">
        <v>356.98</v>
      </c>
      <c r="W165">
        <v>58</v>
      </c>
      <c r="X165">
        <v>421.85</v>
      </c>
      <c r="Y165">
        <v>0.09</v>
      </c>
      <c r="AP165" t="s">
        <v>1350</v>
      </c>
      <c r="AQ165">
        <v>0</v>
      </c>
      <c r="AS165" t="s">
        <v>2042</v>
      </c>
      <c r="AT165" t="s">
        <v>2043</v>
      </c>
      <c r="AZ165" s="494">
        <v>46079</v>
      </c>
      <c r="BA165">
        <v>60</v>
      </c>
      <c r="BO165" t="s">
        <v>1377</v>
      </c>
      <c r="BP165" t="s">
        <v>1448</v>
      </c>
      <c r="BQ165" t="s">
        <v>1355</v>
      </c>
      <c r="BR165" t="s">
        <v>1355</v>
      </c>
      <c r="BS165" t="s">
        <v>1355</v>
      </c>
      <c r="BV165">
        <v>-4004.90058</v>
      </c>
    </row>
    <row r="166" spans="1:75" customFormat="1" ht="15" x14ac:dyDescent="0.25">
      <c r="A166" s="1052" t="s">
        <v>2588</v>
      </c>
      <c r="B166" t="s">
        <v>2038</v>
      </c>
      <c r="C166" t="s">
        <v>2039</v>
      </c>
      <c r="D166" t="s">
        <v>2040</v>
      </c>
      <c r="E166" t="s">
        <v>195</v>
      </c>
      <c r="F166" t="s">
        <v>195</v>
      </c>
      <c r="G166" t="s">
        <v>1254</v>
      </c>
      <c r="H166" t="s">
        <v>1341</v>
      </c>
      <c r="I166">
        <v>54260.960000000006</v>
      </c>
      <c r="J166" t="s">
        <v>18</v>
      </c>
      <c r="K166">
        <v>54260.960000000006</v>
      </c>
      <c r="L166" t="s">
        <v>18</v>
      </c>
      <c r="M166">
        <v>54260.960000000006</v>
      </c>
      <c r="N166" t="s">
        <v>18</v>
      </c>
      <c r="O166">
        <v>-8008.8799999999901</v>
      </c>
      <c r="P166">
        <v>-8008.8799999999901</v>
      </c>
      <c r="Q166">
        <v>-12.861571508775341</v>
      </c>
      <c r="R166">
        <v>-12.861571508775341</v>
      </c>
      <c r="T166" t="s">
        <v>2041</v>
      </c>
      <c r="U166" s="494">
        <v>46087</v>
      </c>
      <c r="V166">
        <v>356.98</v>
      </c>
      <c r="W166">
        <v>152</v>
      </c>
      <c r="X166">
        <v>409.67</v>
      </c>
      <c r="Y166">
        <v>0.25</v>
      </c>
      <c r="AP166" t="s">
        <v>1350</v>
      </c>
      <c r="AQ166">
        <v>0</v>
      </c>
      <c r="AS166" t="s">
        <v>2042</v>
      </c>
      <c r="AT166" t="s">
        <v>2043</v>
      </c>
      <c r="AZ166" s="494">
        <v>46080</v>
      </c>
      <c r="BA166">
        <v>60</v>
      </c>
      <c r="BO166" t="s">
        <v>1377</v>
      </c>
      <c r="BP166" t="s">
        <v>1448</v>
      </c>
      <c r="BQ166" t="s">
        <v>1355</v>
      </c>
      <c r="BR166" t="s">
        <v>1355</v>
      </c>
      <c r="BS166" t="s">
        <v>1355</v>
      </c>
      <c r="BV166">
        <v>-8644.2415199999996</v>
      </c>
    </row>
    <row r="167" spans="1:75" customFormat="1" ht="15" x14ac:dyDescent="0.25">
      <c r="A167" s="1052" t="s">
        <v>2586</v>
      </c>
      <c r="B167" t="s">
        <v>2044</v>
      </c>
      <c r="C167" t="s">
        <v>2045</v>
      </c>
      <c r="D167" t="s">
        <v>2046</v>
      </c>
      <c r="E167" t="s">
        <v>195</v>
      </c>
      <c r="F167" t="s">
        <v>195</v>
      </c>
      <c r="G167" t="s">
        <v>1254</v>
      </c>
      <c r="H167" t="s">
        <v>1341</v>
      </c>
      <c r="I167">
        <v>64155</v>
      </c>
      <c r="J167" t="s">
        <v>18</v>
      </c>
      <c r="K167">
        <v>64155</v>
      </c>
      <c r="L167" t="s">
        <v>18</v>
      </c>
      <c r="M167">
        <v>64155</v>
      </c>
      <c r="N167" t="s">
        <v>18</v>
      </c>
      <c r="O167">
        <v>11235</v>
      </c>
      <c r="P167">
        <v>11235</v>
      </c>
      <c r="Q167">
        <v>21.230158730158731</v>
      </c>
      <c r="R167">
        <v>21.230158730158731</v>
      </c>
      <c r="T167" t="s">
        <v>2047</v>
      </c>
      <c r="U167" s="494">
        <v>46087</v>
      </c>
      <c r="V167">
        <v>122.2</v>
      </c>
      <c r="W167">
        <v>525</v>
      </c>
      <c r="X167">
        <v>100.8</v>
      </c>
      <c r="Y167">
        <v>0.28999999999999998</v>
      </c>
      <c r="AP167" t="s">
        <v>1350</v>
      </c>
      <c r="AQ167">
        <v>0</v>
      </c>
      <c r="AS167" t="s">
        <v>2048</v>
      </c>
      <c r="AT167" t="s">
        <v>2049</v>
      </c>
      <c r="AZ167" s="494">
        <v>46077</v>
      </c>
      <c r="BA167">
        <v>70</v>
      </c>
      <c r="BO167" t="s">
        <v>1377</v>
      </c>
      <c r="BP167" t="s">
        <v>1378</v>
      </c>
      <c r="BQ167" t="s">
        <v>1355</v>
      </c>
      <c r="BR167" t="s">
        <v>1355</v>
      </c>
      <c r="BS167" t="s">
        <v>1355</v>
      </c>
      <c r="BV167">
        <v>12358.5</v>
      </c>
    </row>
    <row r="168" spans="1:75" customFormat="1" ht="15" x14ac:dyDescent="0.25">
      <c r="A168" s="1052" t="s">
        <v>2586</v>
      </c>
      <c r="B168" t="s">
        <v>2050</v>
      </c>
      <c r="C168" t="s">
        <v>2051</v>
      </c>
      <c r="D168" t="s">
        <v>2052</v>
      </c>
      <c r="E168" t="s">
        <v>195</v>
      </c>
      <c r="F168" t="s">
        <v>195</v>
      </c>
      <c r="G168" t="s">
        <v>1254</v>
      </c>
      <c r="H168" t="s">
        <v>1341</v>
      </c>
      <c r="I168">
        <v>112958.37</v>
      </c>
      <c r="J168" t="s">
        <v>18</v>
      </c>
      <c r="K168">
        <v>17910000</v>
      </c>
      <c r="L168" t="s">
        <v>25</v>
      </c>
      <c r="M168">
        <v>112958.37</v>
      </c>
      <c r="N168" t="s">
        <v>18</v>
      </c>
      <c r="O168">
        <v>2143.5099999999802</v>
      </c>
      <c r="P168">
        <v>660000</v>
      </c>
      <c r="Q168">
        <v>1.9343163904191008</v>
      </c>
      <c r="R168">
        <v>3.8260869565217388</v>
      </c>
      <c r="T168" t="s">
        <v>2053</v>
      </c>
      <c r="U168" s="494">
        <v>46087</v>
      </c>
      <c r="V168">
        <v>5970</v>
      </c>
      <c r="W168">
        <v>3000</v>
      </c>
      <c r="X168">
        <v>5750</v>
      </c>
      <c r="Y168">
        <v>0.51</v>
      </c>
      <c r="AP168" t="s">
        <v>1350</v>
      </c>
      <c r="AQ168">
        <v>0</v>
      </c>
      <c r="AT168" t="s">
        <v>2054</v>
      </c>
      <c r="AZ168" s="494">
        <v>46077</v>
      </c>
      <c r="BA168">
        <v>70</v>
      </c>
      <c r="BO168" t="s">
        <v>1400</v>
      </c>
      <c r="BP168" t="s">
        <v>1400</v>
      </c>
      <c r="BQ168" t="s">
        <v>1386</v>
      </c>
      <c r="BR168" t="s">
        <v>287</v>
      </c>
      <c r="BS168" t="s">
        <v>287</v>
      </c>
      <c r="BV168">
        <v>9578.2583340000001</v>
      </c>
      <c r="BW168">
        <v>-2022.7134140000001</v>
      </c>
    </row>
    <row r="169" spans="1:75" customFormat="1" ht="15" x14ac:dyDescent="0.25">
      <c r="A169" s="1052" t="s">
        <v>2588</v>
      </c>
      <c r="B169" t="s">
        <v>2055</v>
      </c>
      <c r="C169" t="s">
        <v>2056</v>
      </c>
      <c r="D169" t="s">
        <v>2057</v>
      </c>
      <c r="E169" t="s">
        <v>195</v>
      </c>
      <c r="F169" t="s">
        <v>195</v>
      </c>
      <c r="G169" t="s">
        <v>1254</v>
      </c>
      <c r="H169" t="s">
        <v>1341</v>
      </c>
      <c r="I169">
        <v>60638.25</v>
      </c>
      <c r="J169" t="s">
        <v>18</v>
      </c>
      <c r="K169">
        <v>60638.25</v>
      </c>
      <c r="L169" t="s">
        <v>18</v>
      </c>
      <c r="M169">
        <v>60638.25</v>
      </c>
      <c r="N169" t="s">
        <v>18</v>
      </c>
      <c r="O169">
        <v>1950.2099999999991</v>
      </c>
      <c r="P169">
        <v>1950.2099999999991</v>
      </c>
      <c r="Q169">
        <v>3.3230109575988549</v>
      </c>
      <c r="R169">
        <v>3.3230109575988549</v>
      </c>
      <c r="T169" t="s">
        <v>2058</v>
      </c>
      <c r="U169" s="494">
        <v>46087</v>
      </c>
      <c r="V169">
        <v>130.125</v>
      </c>
      <c r="W169">
        <v>466</v>
      </c>
      <c r="X169">
        <v>125.94</v>
      </c>
      <c r="Y169">
        <v>0.27</v>
      </c>
      <c r="AP169" t="s">
        <v>1350</v>
      </c>
      <c r="AQ169">
        <v>0</v>
      </c>
      <c r="AS169" t="s">
        <v>2059</v>
      </c>
      <c r="AT169" t="s">
        <v>2060</v>
      </c>
      <c r="AZ169" s="494">
        <v>46080</v>
      </c>
      <c r="BA169">
        <v>70</v>
      </c>
      <c r="BO169" t="s">
        <v>1377</v>
      </c>
      <c r="BP169" t="s">
        <v>1378</v>
      </c>
      <c r="BQ169" t="s">
        <v>1386</v>
      </c>
      <c r="BR169" t="s">
        <v>306</v>
      </c>
      <c r="BS169" t="s">
        <v>306</v>
      </c>
      <c r="BV169">
        <v>1985.16</v>
      </c>
    </row>
    <row r="170" spans="1:75" customFormat="1" ht="15" x14ac:dyDescent="0.25">
      <c r="A170" s="1052" t="s">
        <v>2588</v>
      </c>
      <c r="B170" t="s">
        <v>2061</v>
      </c>
      <c r="C170" t="s">
        <v>2062</v>
      </c>
      <c r="D170" t="s">
        <v>2063</v>
      </c>
      <c r="E170" t="s">
        <v>195</v>
      </c>
      <c r="F170" t="s">
        <v>195</v>
      </c>
      <c r="G170" t="s">
        <v>1254</v>
      </c>
      <c r="H170" t="s">
        <v>1341</v>
      </c>
      <c r="I170">
        <v>45289.47</v>
      </c>
      <c r="J170" t="s">
        <v>18</v>
      </c>
      <c r="K170">
        <v>45289.47</v>
      </c>
      <c r="L170" t="s">
        <v>18</v>
      </c>
      <c r="M170">
        <v>45289.47</v>
      </c>
      <c r="N170" t="s">
        <v>18</v>
      </c>
      <c r="O170">
        <v>1332.2300000000032</v>
      </c>
      <c r="P170">
        <v>1332.2300000000032</v>
      </c>
      <c r="Q170">
        <v>3.0307407835432874</v>
      </c>
      <c r="R170">
        <v>3.0307407835432874</v>
      </c>
      <c r="T170" t="s">
        <v>2064</v>
      </c>
      <c r="U170" s="494">
        <v>46087</v>
      </c>
      <c r="V170">
        <v>178.30500000000001</v>
      </c>
      <c r="W170">
        <v>254</v>
      </c>
      <c r="X170">
        <v>173.06</v>
      </c>
      <c r="Y170">
        <v>0.2</v>
      </c>
      <c r="AP170" t="s">
        <v>1350</v>
      </c>
      <c r="AQ170">
        <v>0</v>
      </c>
      <c r="AS170" t="s">
        <v>2065</v>
      </c>
      <c r="AT170" t="s">
        <v>2066</v>
      </c>
      <c r="AZ170" s="494">
        <v>46080</v>
      </c>
      <c r="BA170">
        <v>70</v>
      </c>
      <c r="BO170" t="s">
        <v>1377</v>
      </c>
      <c r="BP170" t="s">
        <v>1378</v>
      </c>
      <c r="BQ170" t="s">
        <v>1355</v>
      </c>
      <c r="BR170" t="s">
        <v>1355</v>
      </c>
      <c r="BS170" t="s">
        <v>1355</v>
      </c>
      <c r="BV170">
        <v>1884.68</v>
      </c>
    </row>
    <row r="171" spans="1:75" customFormat="1" ht="15" x14ac:dyDescent="0.25">
      <c r="A171" s="1052" t="s">
        <v>2589</v>
      </c>
      <c r="B171" t="s">
        <v>2605</v>
      </c>
      <c r="C171" t="s">
        <v>2067</v>
      </c>
      <c r="D171" t="s">
        <v>1186</v>
      </c>
      <c r="E171" t="s">
        <v>195</v>
      </c>
      <c r="F171" t="s">
        <v>1255</v>
      </c>
      <c r="G171" t="s">
        <v>1255</v>
      </c>
      <c r="H171" t="s">
        <v>1341</v>
      </c>
      <c r="I171">
        <v>224068</v>
      </c>
      <c r="J171" t="s">
        <v>18</v>
      </c>
      <c r="K171">
        <v>224068</v>
      </c>
      <c r="L171" t="s">
        <v>18</v>
      </c>
      <c r="M171">
        <v>224068</v>
      </c>
      <c r="N171" t="s">
        <v>18</v>
      </c>
      <c r="O171">
        <v>-1608.23</v>
      </c>
      <c r="P171">
        <v>-1608.23</v>
      </c>
      <c r="Q171">
        <v>-0.71260000000000001</v>
      </c>
      <c r="R171">
        <v>-0.71260000000000001</v>
      </c>
      <c r="T171" t="s">
        <v>2606</v>
      </c>
      <c r="U171" s="494">
        <v>46087</v>
      </c>
      <c r="V171">
        <v>124</v>
      </c>
      <c r="W171">
        <v>1807</v>
      </c>
      <c r="X171">
        <v>124.89</v>
      </c>
      <c r="Y171">
        <v>1.01</v>
      </c>
      <c r="AP171" t="s">
        <v>2592</v>
      </c>
      <c r="AQ171">
        <v>0</v>
      </c>
      <c r="AS171" t="s">
        <v>2607</v>
      </c>
      <c r="AT171" t="s">
        <v>2608</v>
      </c>
      <c r="AZ171" s="494">
        <v>46015</v>
      </c>
      <c r="BA171">
        <v>75</v>
      </c>
      <c r="BO171" t="s">
        <v>1362</v>
      </c>
      <c r="BP171" t="s">
        <v>2594</v>
      </c>
      <c r="BQ171" t="s">
        <v>1355</v>
      </c>
      <c r="BR171" t="s">
        <v>1355</v>
      </c>
      <c r="BS171" t="s">
        <v>1355</v>
      </c>
      <c r="BV171">
        <v>-1608.23</v>
      </c>
    </row>
    <row r="172" spans="1:75" customFormat="1" ht="15" x14ac:dyDescent="0.25">
      <c r="A172" s="1052" t="s">
        <v>2586</v>
      </c>
      <c r="B172" t="s">
        <v>2280</v>
      </c>
      <c r="C172" t="s">
        <v>2281</v>
      </c>
      <c r="D172" t="s">
        <v>2282</v>
      </c>
      <c r="E172" t="s">
        <v>195</v>
      </c>
      <c r="F172" t="s">
        <v>195</v>
      </c>
      <c r="G172" t="s">
        <v>1254</v>
      </c>
      <c r="H172" t="s">
        <v>1341</v>
      </c>
      <c r="I172">
        <v>50620.762499999997</v>
      </c>
      <c r="J172" t="s">
        <v>18</v>
      </c>
      <c r="K172">
        <v>50620.762499999997</v>
      </c>
      <c r="L172" t="s">
        <v>18</v>
      </c>
      <c r="M172">
        <v>50620.762499999997</v>
      </c>
      <c r="N172" t="s">
        <v>18</v>
      </c>
      <c r="O172">
        <v>-3626.1675000000032</v>
      </c>
      <c r="P172">
        <v>-3626.1675000000032</v>
      </c>
      <c r="Q172">
        <v>-6.6845580017154944</v>
      </c>
      <c r="R172">
        <v>-6.6845580017154944</v>
      </c>
      <c r="T172" t="s">
        <v>2283</v>
      </c>
      <c r="U172" s="494">
        <v>46087</v>
      </c>
      <c r="V172">
        <v>359.01249999999999</v>
      </c>
      <c r="W172">
        <v>141</v>
      </c>
      <c r="X172">
        <v>384.73</v>
      </c>
      <c r="Y172">
        <v>0.23</v>
      </c>
      <c r="AP172" t="s">
        <v>1350</v>
      </c>
      <c r="AQ172">
        <v>0</v>
      </c>
      <c r="AS172" t="s">
        <v>2284</v>
      </c>
      <c r="AT172" t="s">
        <v>2285</v>
      </c>
      <c r="AZ172" s="494">
        <v>46077</v>
      </c>
      <c r="BA172">
        <v>70</v>
      </c>
      <c r="BO172" t="s">
        <v>1362</v>
      </c>
      <c r="BP172" t="s">
        <v>1363</v>
      </c>
      <c r="BQ172" t="s">
        <v>1355</v>
      </c>
      <c r="BR172" t="s">
        <v>1355</v>
      </c>
      <c r="BS172" t="s">
        <v>1355</v>
      </c>
      <c r="BV172">
        <v>-2843.97</v>
      </c>
    </row>
    <row r="173" spans="1:75" customFormat="1" ht="15" x14ac:dyDescent="0.25">
      <c r="A173" s="1052" t="s">
        <v>2588</v>
      </c>
      <c r="B173" t="s">
        <v>2068</v>
      </c>
      <c r="C173" t="s">
        <v>2069</v>
      </c>
      <c r="D173" t="s">
        <v>2070</v>
      </c>
      <c r="E173" t="s">
        <v>195</v>
      </c>
      <c r="F173" t="s">
        <v>195</v>
      </c>
      <c r="G173" t="s">
        <v>1254</v>
      </c>
      <c r="H173" t="s">
        <v>1341</v>
      </c>
      <c r="I173">
        <v>35253.699999999997</v>
      </c>
      <c r="J173" t="s">
        <v>18</v>
      </c>
      <c r="K173">
        <v>35253.699999999997</v>
      </c>
      <c r="L173" t="s">
        <v>18</v>
      </c>
      <c r="M173">
        <v>35253.699999999997</v>
      </c>
      <c r="N173" t="s">
        <v>18</v>
      </c>
      <c r="O173">
        <v>-365.7300000000032</v>
      </c>
      <c r="P173">
        <v>-365.7300000000032</v>
      </c>
      <c r="Q173">
        <v>-1.0267710628721549</v>
      </c>
      <c r="R173">
        <v>-1.0267710628721549</v>
      </c>
      <c r="T173" t="s">
        <v>2071</v>
      </c>
      <c r="U173" s="494">
        <v>46087</v>
      </c>
      <c r="V173">
        <v>211.1</v>
      </c>
      <c r="W173">
        <v>167</v>
      </c>
      <c r="X173">
        <v>213.29</v>
      </c>
      <c r="Y173">
        <v>0.16</v>
      </c>
      <c r="AP173" t="s">
        <v>1350</v>
      </c>
      <c r="AQ173">
        <v>0</v>
      </c>
      <c r="AS173" t="s">
        <v>2072</v>
      </c>
      <c r="AT173" t="s">
        <v>2073</v>
      </c>
      <c r="AZ173" s="494">
        <v>46080</v>
      </c>
      <c r="BA173">
        <v>70</v>
      </c>
      <c r="BO173" t="s">
        <v>308</v>
      </c>
      <c r="BP173" t="s">
        <v>1407</v>
      </c>
      <c r="BQ173" t="s">
        <v>1355</v>
      </c>
      <c r="BR173" t="s">
        <v>1355</v>
      </c>
      <c r="BS173" t="s">
        <v>1355</v>
      </c>
      <c r="BV173">
        <v>-298.93</v>
      </c>
    </row>
    <row r="174" spans="1:75" customFormat="1" ht="15" x14ac:dyDescent="0.25">
      <c r="A174" s="1052" t="s">
        <v>2587</v>
      </c>
      <c r="B174" t="s">
        <v>2074</v>
      </c>
      <c r="C174" t="s">
        <v>2075</v>
      </c>
      <c r="D174" t="s">
        <v>2076</v>
      </c>
      <c r="E174" t="s">
        <v>195</v>
      </c>
      <c r="F174" t="s">
        <v>195</v>
      </c>
      <c r="G174" t="s">
        <v>1254</v>
      </c>
      <c r="H174" t="s">
        <v>1341</v>
      </c>
      <c r="I174">
        <v>33472.25</v>
      </c>
      <c r="J174" t="s">
        <v>18</v>
      </c>
      <c r="K174">
        <v>33472.25</v>
      </c>
      <c r="L174" t="s">
        <v>18</v>
      </c>
      <c r="M174">
        <v>33472.25</v>
      </c>
      <c r="N174" t="s">
        <v>18</v>
      </c>
      <c r="O174">
        <v>-3960.25</v>
      </c>
      <c r="P174">
        <v>-3960.25</v>
      </c>
      <c r="Q174">
        <v>-10.579710144927535</v>
      </c>
      <c r="R174">
        <v>-10.579710144927535</v>
      </c>
      <c r="T174" t="s">
        <v>2077</v>
      </c>
      <c r="U174" s="494">
        <v>46087</v>
      </c>
      <c r="V174">
        <v>191.27</v>
      </c>
      <c r="W174">
        <v>175</v>
      </c>
      <c r="X174">
        <v>213.9</v>
      </c>
      <c r="Y174">
        <v>0.15</v>
      </c>
      <c r="AP174" t="s">
        <v>1350</v>
      </c>
      <c r="AQ174">
        <v>0</v>
      </c>
      <c r="AS174" t="s">
        <v>2078</v>
      </c>
      <c r="AT174" t="s">
        <v>2079</v>
      </c>
      <c r="AZ174" s="494">
        <v>46079</v>
      </c>
      <c r="BA174">
        <v>70</v>
      </c>
      <c r="BO174" t="s">
        <v>1377</v>
      </c>
      <c r="BP174" t="s">
        <v>1393</v>
      </c>
      <c r="BQ174" t="s">
        <v>1355</v>
      </c>
      <c r="BR174" t="s">
        <v>1355</v>
      </c>
      <c r="BS174" t="s">
        <v>1355</v>
      </c>
      <c r="BV174">
        <v>-3617.25</v>
      </c>
    </row>
    <row r="175" spans="1:75" customFormat="1" ht="15" x14ac:dyDescent="0.25">
      <c r="A175" s="1052" t="s">
        <v>2588</v>
      </c>
      <c r="B175" t="s">
        <v>2074</v>
      </c>
      <c r="C175" t="s">
        <v>2075</v>
      </c>
      <c r="D175" t="s">
        <v>2076</v>
      </c>
      <c r="E175" t="s">
        <v>195</v>
      </c>
      <c r="F175" t="s">
        <v>195</v>
      </c>
      <c r="G175" t="s">
        <v>1254</v>
      </c>
      <c r="H175" t="s">
        <v>1341</v>
      </c>
      <c r="I175">
        <v>110362.79000000001</v>
      </c>
      <c r="J175" t="s">
        <v>18</v>
      </c>
      <c r="K175">
        <v>110362.79000000001</v>
      </c>
      <c r="L175" t="s">
        <v>18</v>
      </c>
      <c r="M175">
        <v>110362.79000000001</v>
      </c>
      <c r="N175" t="s">
        <v>18</v>
      </c>
      <c r="O175">
        <v>-12324.719999999987</v>
      </c>
      <c r="P175">
        <v>-12324.719999999987</v>
      </c>
      <c r="Q175">
        <v>-10.045619150637247</v>
      </c>
      <c r="R175">
        <v>-10.045619150637247</v>
      </c>
      <c r="T175" t="s">
        <v>2077</v>
      </c>
      <c r="U175" s="494">
        <v>46087</v>
      </c>
      <c r="V175">
        <v>191.27</v>
      </c>
      <c r="W175">
        <v>577</v>
      </c>
      <c r="X175">
        <v>212.63</v>
      </c>
      <c r="Y175">
        <v>0.5</v>
      </c>
      <c r="AP175" t="s">
        <v>1350</v>
      </c>
      <c r="AQ175">
        <v>0</v>
      </c>
      <c r="AS175" t="s">
        <v>2078</v>
      </c>
      <c r="AT175" t="s">
        <v>2079</v>
      </c>
      <c r="AZ175" s="494">
        <v>46080</v>
      </c>
      <c r="BA175">
        <v>70</v>
      </c>
      <c r="BO175" t="s">
        <v>1377</v>
      </c>
      <c r="BP175" t="s">
        <v>1393</v>
      </c>
      <c r="BQ175" t="s">
        <v>1355</v>
      </c>
      <c r="BR175" t="s">
        <v>1355</v>
      </c>
      <c r="BS175" t="s">
        <v>1355</v>
      </c>
      <c r="BV175">
        <v>-11193.8</v>
      </c>
    </row>
    <row r="176" spans="1:75" customFormat="1" ht="15" x14ac:dyDescent="0.25">
      <c r="A176" s="1052" t="s">
        <v>2587</v>
      </c>
      <c r="B176" t="s">
        <v>2080</v>
      </c>
      <c r="C176" t="s">
        <v>2081</v>
      </c>
      <c r="D176" t="s">
        <v>2082</v>
      </c>
      <c r="E176" t="s">
        <v>195</v>
      </c>
      <c r="F176" t="s">
        <v>195</v>
      </c>
      <c r="G176" t="s">
        <v>1254</v>
      </c>
      <c r="H176" t="s">
        <v>1341</v>
      </c>
      <c r="I176">
        <v>23285.68</v>
      </c>
      <c r="J176" t="s">
        <v>18</v>
      </c>
      <c r="K176">
        <v>23285.68</v>
      </c>
      <c r="L176" t="s">
        <v>18</v>
      </c>
      <c r="M176">
        <v>23285.68</v>
      </c>
      <c r="N176" t="s">
        <v>18</v>
      </c>
      <c r="O176">
        <v>-1745.0400000000009</v>
      </c>
      <c r="P176">
        <v>-1745.0400000000009</v>
      </c>
      <c r="Q176">
        <v>-6.9715933061454116</v>
      </c>
      <c r="R176">
        <v>-6.9715933061454116</v>
      </c>
      <c r="T176" t="s">
        <v>2083</v>
      </c>
      <c r="U176" s="494">
        <v>46087</v>
      </c>
      <c r="V176">
        <v>264.61</v>
      </c>
      <c r="W176">
        <v>88</v>
      </c>
      <c r="X176">
        <v>284.44</v>
      </c>
      <c r="Y176">
        <v>0.11</v>
      </c>
      <c r="AP176" t="s">
        <v>1350</v>
      </c>
      <c r="AQ176">
        <v>0</v>
      </c>
      <c r="AS176" t="s">
        <v>2084</v>
      </c>
      <c r="AT176" t="s">
        <v>2085</v>
      </c>
      <c r="AZ176" s="494">
        <v>46079</v>
      </c>
      <c r="BA176">
        <v>70</v>
      </c>
      <c r="BO176" t="s">
        <v>1362</v>
      </c>
      <c r="BP176" t="s">
        <v>1363</v>
      </c>
      <c r="BQ176" t="s">
        <v>1355</v>
      </c>
      <c r="BR176" t="s">
        <v>1355</v>
      </c>
      <c r="BS176" t="s">
        <v>1355</v>
      </c>
      <c r="BV176">
        <v>-1127.28</v>
      </c>
    </row>
    <row r="177" spans="1:75" customFormat="1" ht="15" x14ac:dyDescent="0.25">
      <c r="A177" s="1052" t="s">
        <v>2587</v>
      </c>
      <c r="B177" t="s">
        <v>2086</v>
      </c>
      <c r="C177" t="s">
        <v>2087</v>
      </c>
      <c r="D177" t="s">
        <v>2088</v>
      </c>
      <c r="E177" t="s">
        <v>195</v>
      </c>
      <c r="F177" t="s">
        <v>195</v>
      </c>
      <c r="G177" t="s">
        <v>1254</v>
      </c>
      <c r="H177" t="s">
        <v>1341</v>
      </c>
      <c r="I177">
        <v>25712.99</v>
      </c>
      <c r="J177" t="s">
        <v>18</v>
      </c>
      <c r="K177">
        <v>25712.99</v>
      </c>
      <c r="L177" t="s">
        <v>18</v>
      </c>
      <c r="M177">
        <v>25712.99</v>
      </c>
      <c r="N177" t="s">
        <v>18</v>
      </c>
      <c r="O177">
        <v>-1163.989999999998</v>
      </c>
      <c r="P177">
        <v>-1163.989999999998</v>
      </c>
      <c r="Q177">
        <v>-4.3308065117434991</v>
      </c>
      <c r="R177">
        <v>-4.3308065117434991</v>
      </c>
      <c r="T177" t="s">
        <v>2089</v>
      </c>
      <c r="U177" s="494">
        <v>46087</v>
      </c>
      <c r="V177">
        <v>76.984999999999999</v>
      </c>
      <c r="W177">
        <v>334</v>
      </c>
      <c r="X177">
        <v>80.47</v>
      </c>
      <c r="Y177">
        <v>0.12</v>
      </c>
      <c r="AP177" t="s">
        <v>1350</v>
      </c>
      <c r="AQ177">
        <v>0</v>
      </c>
      <c r="AS177" t="s">
        <v>2090</v>
      </c>
      <c r="AT177" t="s">
        <v>2091</v>
      </c>
      <c r="AZ177" s="494">
        <v>46079</v>
      </c>
      <c r="BA177">
        <v>70</v>
      </c>
      <c r="BO177" t="s">
        <v>1575</v>
      </c>
      <c r="BP177" t="s">
        <v>1576</v>
      </c>
      <c r="BQ177" t="s">
        <v>1355</v>
      </c>
      <c r="BR177" t="s">
        <v>1355</v>
      </c>
      <c r="BS177" t="s">
        <v>1355</v>
      </c>
      <c r="BV177">
        <v>-1145.6199999999999</v>
      </c>
    </row>
    <row r="178" spans="1:75" customFormat="1" ht="15" x14ac:dyDescent="0.25">
      <c r="A178" s="1052" t="s">
        <v>2586</v>
      </c>
      <c r="B178" t="s">
        <v>2092</v>
      </c>
      <c r="C178" t="s">
        <v>2093</v>
      </c>
      <c r="D178" t="s">
        <v>2094</v>
      </c>
      <c r="E178" t="s">
        <v>195</v>
      </c>
      <c r="F178" t="s">
        <v>195</v>
      </c>
      <c r="G178" t="s">
        <v>1254</v>
      </c>
      <c r="H178" t="s">
        <v>1341</v>
      </c>
      <c r="I178">
        <v>122957.95999999999</v>
      </c>
      <c r="J178" t="s">
        <v>18</v>
      </c>
      <c r="K178">
        <v>122957.95999999999</v>
      </c>
      <c r="L178" t="s">
        <v>18</v>
      </c>
      <c r="M178">
        <v>122957.95999999999</v>
      </c>
      <c r="N178" t="s">
        <v>18</v>
      </c>
      <c r="O178">
        <v>2269.7199999999866</v>
      </c>
      <c r="P178">
        <v>2269.7199999999866</v>
      </c>
      <c r="Q178">
        <v>1.8806471947888099</v>
      </c>
      <c r="R178">
        <v>1.8806471947888099</v>
      </c>
      <c r="T178" t="s">
        <v>2095</v>
      </c>
      <c r="U178" s="494">
        <v>46087</v>
      </c>
      <c r="V178">
        <v>96.97</v>
      </c>
      <c r="W178">
        <v>1268</v>
      </c>
      <c r="X178">
        <v>95.18</v>
      </c>
      <c r="Y178">
        <v>0.55000000000000004</v>
      </c>
      <c r="AP178" t="s">
        <v>1350</v>
      </c>
      <c r="AQ178">
        <v>0</v>
      </c>
      <c r="AS178" t="s">
        <v>2096</v>
      </c>
      <c r="AT178" t="s">
        <v>2097</v>
      </c>
      <c r="AZ178" s="494">
        <v>46077</v>
      </c>
      <c r="BA178">
        <v>70</v>
      </c>
      <c r="BO178" t="s">
        <v>1644</v>
      </c>
      <c r="BP178" t="s">
        <v>1644</v>
      </c>
      <c r="BQ178" t="s">
        <v>1355</v>
      </c>
      <c r="BR178" t="s">
        <v>1355</v>
      </c>
      <c r="BS178" t="s">
        <v>1355</v>
      </c>
      <c r="BV178">
        <v>2916.4</v>
      </c>
    </row>
    <row r="179" spans="1:75" customFormat="1" ht="15" x14ac:dyDescent="0.25">
      <c r="A179" s="1052" t="s">
        <v>2586</v>
      </c>
      <c r="B179" t="s">
        <v>2098</v>
      </c>
      <c r="C179" t="s">
        <v>2099</v>
      </c>
      <c r="D179" t="s">
        <v>2100</v>
      </c>
      <c r="E179" t="s">
        <v>195</v>
      </c>
      <c r="F179" t="s">
        <v>195</v>
      </c>
      <c r="G179" t="s">
        <v>1254</v>
      </c>
      <c r="H179" t="s">
        <v>1341</v>
      </c>
      <c r="I179">
        <v>84594.554999999993</v>
      </c>
      <c r="J179" t="s">
        <v>18</v>
      </c>
      <c r="K179">
        <v>84594.554999999993</v>
      </c>
      <c r="L179" t="s">
        <v>18</v>
      </c>
      <c r="M179">
        <v>84594.554999999993</v>
      </c>
      <c r="N179" t="s">
        <v>18</v>
      </c>
      <c r="O179">
        <v>-3716.6850000000122</v>
      </c>
      <c r="P179">
        <v>-3716.6850000000122</v>
      </c>
      <c r="Q179">
        <v>-4.2086205561149548</v>
      </c>
      <c r="R179">
        <v>-4.2086205561149548</v>
      </c>
      <c r="T179" t="s">
        <v>2101</v>
      </c>
      <c r="U179" s="494">
        <v>46087</v>
      </c>
      <c r="V179">
        <v>494.70499999999998</v>
      </c>
      <c r="W179">
        <v>171</v>
      </c>
      <c r="X179">
        <v>516.44000000000005</v>
      </c>
      <c r="Y179">
        <v>0.38</v>
      </c>
      <c r="AP179" t="s">
        <v>1350</v>
      </c>
      <c r="AQ179">
        <v>0</v>
      </c>
      <c r="AS179" t="s">
        <v>2102</v>
      </c>
      <c r="AT179" t="s">
        <v>2103</v>
      </c>
      <c r="AZ179" s="494">
        <v>46077</v>
      </c>
      <c r="BA179">
        <v>70</v>
      </c>
      <c r="BO179" t="s">
        <v>1362</v>
      </c>
      <c r="BP179" t="s">
        <v>1370</v>
      </c>
      <c r="BQ179" t="s">
        <v>1355</v>
      </c>
      <c r="BR179" t="s">
        <v>1355</v>
      </c>
      <c r="BS179" t="s">
        <v>1355</v>
      </c>
      <c r="BV179">
        <v>-2474.37</v>
      </c>
    </row>
    <row r="180" spans="1:75" customFormat="1" ht="15" x14ac:dyDescent="0.25">
      <c r="A180" s="1052" t="s">
        <v>2587</v>
      </c>
      <c r="B180" t="s">
        <v>2104</v>
      </c>
      <c r="C180" t="s">
        <v>2105</v>
      </c>
      <c r="D180" t="s">
        <v>2106</v>
      </c>
      <c r="E180" t="s">
        <v>195</v>
      </c>
      <c r="F180" t="s">
        <v>195</v>
      </c>
      <c r="G180" t="s">
        <v>1254</v>
      </c>
      <c r="H180" t="s">
        <v>1341</v>
      </c>
      <c r="I180">
        <v>29826.199999999997</v>
      </c>
      <c r="J180" t="s">
        <v>18</v>
      </c>
      <c r="K180">
        <v>29826.199999999997</v>
      </c>
      <c r="L180" t="s">
        <v>18</v>
      </c>
      <c r="M180">
        <v>29826.199999999997</v>
      </c>
      <c r="N180" t="s">
        <v>18</v>
      </c>
      <c r="O180">
        <v>220.39999999999782</v>
      </c>
      <c r="P180">
        <v>220.39999999999782</v>
      </c>
      <c r="Q180">
        <v>0.74444872288537323</v>
      </c>
      <c r="R180">
        <v>0.74444872288537323</v>
      </c>
      <c r="T180" t="s">
        <v>2107</v>
      </c>
      <c r="U180" s="494">
        <v>46087</v>
      </c>
      <c r="V180">
        <v>156.97999999999999</v>
      </c>
      <c r="W180">
        <v>190</v>
      </c>
      <c r="X180">
        <v>155.82</v>
      </c>
      <c r="Y180">
        <v>0.13</v>
      </c>
      <c r="AP180" t="s">
        <v>1350</v>
      </c>
      <c r="AQ180">
        <v>0</v>
      </c>
      <c r="AS180" t="s">
        <v>2108</v>
      </c>
      <c r="AT180" t="s">
        <v>2109</v>
      </c>
      <c r="AZ180" s="494">
        <v>46079</v>
      </c>
      <c r="BA180">
        <v>70</v>
      </c>
      <c r="BO180" t="s">
        <v>1384</v>
      </c>
      <c r="BP180" t="s">
        <v>1420</v>
      </c>
      <c r="BQ180" t="s">
        <v>1355</v>
      </c>
      <c r="BR180" t="s">
        <v>1355</v>
      </c>
      <c r="BS180" t="s">
        <v>1355</v>
      </c>
      <c r="BV180">
        <v>666.9</v>
      </c>
    </row>
    <row r="181" spans="1:75" customFormat="1" ht="15" x14ac:dyDescent="0.25">
      <c r="A181" s="1052" t="s">
        <v>2588</v>
      </c>
      <c r="B181" t="s">
        <v>2110</v>
      </c>
      <c r="C181" t="s">
        <v>2111</v>
      </c>
      <c r="D181" t="s">
        <v>2112</v>
      </c>
      <c r="E181" t="s">
        <v>195</v>
      </c>
      <c r="F181" t="s">
        <v>195</v>
      </c>
      <c r="G181" t="s">
        <v>1254</v>
      </c>
      <c r="H181" t="s">
        <v>1341</v>
      </c>
      <c r="I181">
        <v>42867.08</v>
      </c>
      <c r="J181" t="s">
        <v>18</v>
      </c>
      <c r="K181">
        <v>42867.08</v>
      </c>
      <c r="L181" t="s">
        <v>18</v>
      </c>
      <c r="M181">
        <v>42867.08</v>
      </c>
      <c r="N181" t="s">
        <v>18</v>
      </c>
      <c r="O181">
        <v>1186.5800000000017</v>
      </c>
      <c r="P181">
        <v>1186.5800000000017</v>
      </c>
      <c r="Q181">
        <v>2.8468468468468511</v>
      </c>
      <c r="R181">
        <v>2.8468468468468511</v>
      </c>
      <c r="T181" t="s">
        <v>2113</v>
      </c>
      <c r="U181" s="494">
        <v>46087</v>
      </c>
      <c r="V181">
        <v>28.54</v>
      </c>
      <c r="W181">
        <v>1502</v>
      </c>
      <c r="X181">
        <v>27.75</v>
      </c>
      <c r="Y181">
        <v>0.19</v>
      </c>
      <c r="AP181" t="s">
        <v>1350</v>
      </c>
      <c r="AQ181">
        <v>0</v>
      </c>
      <c r="AS181" t="s">
        <v>2114</v>
      </c>
      <c r="AT181" t="s">
        <v>2115</v>
      </c>
      <c r="AZ181" s="494">
        <v>46080</v>
      </c>
      <c r="BA181">
        <v>70</v>
      </c>
      <c r="BO181" t="s">
        <v>1427</v>
      </c>
      <c r="BP181" t="s">
        <v>1428</v>
      </c>
      <c r="BQ181" t="s">
        <v>1355</v>
      </c>
      <c r="BR181" t="s">
        <v>1355</v>
      </c>
      <c r="BS181" t="s">
        <v>1355</v>
      </c>
      <c r="BV181">
        <v>3815.08</v>
      </c>
    </row>
    <row r="182" spans="1:75" customFormat="1" ht="15" x14ac:dyDescent="0.25">
      <c r="A182" s="1052" t="s">
        <v>2586</v>
      </c>
      <c r="B182" t="s">
        <v>2116</v>
      </c>
      <c r="C182" t="s">
        <v>2117</v>
      </c>
      <c r="D182" t="s">
        <v>2118</v>
      </c>
      <c r="E182" t="s">
        <v>195</v>
      </c>
      <c r="F182" t="s">
        <v>195</v>
      </c>
      <c r="G182" t="s">
        <v>1254</v>
      </c>
      <c r="H182" t="s">
        <v>1341</v>
      </c>
      <c r="I182">
        <v>113007.15000000001</v>
      </c>
      <c r="J182" t="s">
        <v>18</v>
      </c>
      <c r="K182">
        <v>113007.15000000001</v>
      </c>
      <c r="L182" t="s">
        <v>18</v>
      </c>
      <c r="M182">
        <v>113007.15000000001</v>
      </c>
      <c r="N182" t="s">
        <v>18</v>
      </c>
      <c r="O182">
        <v>-11176.649999999994</v>
      </c>
      <c r="P182">
        <v>-11176.649999999994</v>
      </c>
      <c r="Q182">
        <v>-9.0000869678653679</v>
      </c>
      <c r="R182">
        <v>-9.0000869678653679</v>
      </c>
      <c r="T182" t="s">
        <v>2119</v>
      </c>
      <c r="U182" s="494">
        <v>46087</v>
      </c>
      <c r="V182">
        <v>418.54500000000002</v>
      </c>
      <c r="W182">
        <v>270</v>
      </c>
      <c r="X182">
        <v>459.94</v>
      </c>
      <c r="Y182">
        <v>0.51</v>
      </c>
      <c r="AP182" t="s">
        <v>1350</v>
      </c>
      <c r="AQ182">
        <v>0</v>
      </c>
      <c r="AS182" t="s">
        <v>2120</v>
      </c>
      <c r="AT182" t="s">
        <v>2121</v>
      </c>
      <c r="AZ182" s="494">
        <v>46077</v>
      </c>
      <c r="BA182">
        <v>70</v>
      </c>
      <c r="BO182" t="s">
        <v>1353</v>
      </c>
      <c r="BP182" t="s">
        <v>1354</v>
      </c>
      <c r="BQ182" t="s">
        <v>1355</v>
      </c>
      <c r="BR182" t="s">
        <v>1355</v>
      </c>
      <c r="BS182" t="s">
        <v>1355</v>
      </c>
      <c r="BV182">
        <v>-9938.7000000000007</v>
      </c>
    </row>
    <row r="183" spans="1:75" customFormat="1" ht="15" x14ac:dyDescent="0.25">
      <c r="A183" s="1052" t="s">
        <v>2587</v>
      </c>
      <c r="B183" t="s">
        <v>2122</v>
      </c>
      <c r="C183" t="s">
        <v>2123</v>
      </c>
      <c r="D183" t="s">
        <v>2124</v>
      </c>
      <c r="E183" t="s">
        <v>195</v>
      </c>
      <c r="F183" t="s">
        <v>195</v>
      </c>
      <c r="G183" t="s">
        <v>1254</v>
      </c>
      <c r="H183" t="s">
        <v>1341</v>
      </c>
      <c r="I183">
        <v>16289.099999999999</v>
      </c>
      <c r="J183" t="s">
        <v>18</v>
      </c>
      <c r="K183">
        <v>16289.099999999999</v>
      </c>
      <c r="L183" t="s">
        <v>18</v>
      </c>
      <c r="M183">
        <v>16289.099999999999</v>
      </c>
      <c r="N183" t="s">
        <v>18</v>
      </c>
      <c r="O183">
        <v>-167.94000000000233</v>
      </c>
      <c r="P183">
        <v>-167.94000000000233</v>
      </c>
      <c r="Q183">
        <v>-1.0204751279695641</v>
      </c>
      <c r="R183">
        <v>-1.0204751279695641</v>
      </c>
      <c r="T183" t="s">
        <v>2125</v>
      </c>
      <c r="U183" s="494">
        <v>46087</v>
      </c>
      <c r="V183">
        <v>301.64999999999998</v>
      </c>
      <c r="W183">
        <v>54</v>
      </c>
      <c r="X183">
        <v>304.76</v>
      </c>
      <c r="Y183">
        <v>7.0000000000000007E-2</v>
      </c>
      <c r="AP183" t="s">
        <v>1350</v>
      </c>
      <c r="AQ183">
        <v>0</v>
      </c>
      <c r="AS183" t="s">
        <v>2126</v>
      </c>
      <c r="AT183" t="s">
        <v>2127</v>
      </c>
      <c r="AZ183" s="494">
        <v>46079</v>
      </c>
      <c r="BA183">
        <v>70</v>
      </c>
      <c r="BO183" t="s">
        <v>1427</v>
      </c>
      <c r="BP183" t="s">
        <v>1479</v>
      </c>
      <c r="BQ183" t="s">
        <v>1355</v>
      </c>
      <c r="BR183" t="s">
        <v>1355</v>
      </c>
      <c r="BS183" t="s">
        <v>1355</v>
      </c>
      <c r="BV183">
        <v>83.7</v>
      </c>
    </row>
    <row r="184" spans="1:75" customFormat="1" ht="15" x14ac:dyDescent="0.25">
      <c r="A184" s="1052" t="s">
        <v>2586</v>
      </c>
      <c r="B184" t="s">
        <v>2128</v>
      </c>
      <c r="C184" t="s">
        <v>2129</v>
      </c>
      <c r="D184" t="s">
        <v>2130</v>
      </c>
      <c r="E184" t="s">
        <v>195</v>
      </c>
      <c r="F184" t="s">
        <v>195</v>
      </c>
      <c r="G184" t="s">
        <v>1254</v>
      </c>
      <c r="H184" t="s">
        <v>1341</v>
      </c>
      <c r="I184">
        <v>105702.447072</v>
      </c>
      <c r="J184" t="s">
        <v>18</v>
      </c>
      <c r="K184">
        <v>91311.72</v>
      </c>
      <c r="L184" t="s">
        <v>21</v>
      </c>
      <c r="M184">
        <v>105702.447072</v>
      </c>
      <c r="N184" t="s">
        <v>18</v>
      </c>
      <c r="O184">
        <v>-14275.462928000001</v>
      </c>
      <c r="P184">
        <v>-10467.98</v>
      </c>
      <c r="Q184">
        <v>-11.898400000000001</v>
      </c>
      <c r="R184">
        <v>-10.2849</v>
      </c>
      <c r="T184" t="s">
        <v>2131</v>
      </c>
      <c r="U184" s="494">
        <v>46087</v>
      </c>
      <c r="V184">
        <v>66.12</v>
      </c>
      <c r="W184">
        <v>1381</v>
      </c>
      <c r="X184">
        <v>73.7</v>
      </c>
      <c r="Y184">
        <v>0.48</v>
      </c>
      <c r="AP184" t="s">
        <v>1350</v>
      </c>
      <c r="AQ184">
        <v>0</v>
      </c>
      <c r="AT184" t="s">
        <v>2132</v>
      </c>
      <c r="AZ184" s="494">
        <v>46077</v>
      </c>
      <c r="BA184">
        <v>70</v>
      </c>
      <c r="BO184" t="s">
        <v>1427</v>
      </c>
      <c r="BP184" t="s">
        <v>312</v>
      </c>
      <c r="BQ184" t="s">
        <v>1386</v>
      </c>
      <c r="BR184" t="s">
        <v>209</v>
      </c>
      <c r="BS184" t="s">
        <v>1485</v>
      </c>
      <c r="BV184">
        <v>-12339.654786999999</v>
      </c>
      <c r="BW184">
        <v>-1935.808141</v>
      </c>
    </row>
    <row r="185" spans="1:75" customFormat="1" ht="15" x14ac:dyDescent="0.25">
      <c r="A185" s="1052" t="s">
        <v>2587</v>
      </c>
      <c r="B185" t="s">
        <v>2133</v>
      </c>
      <c r="C185" t="s">
        <v>2134</v>
      </c>
      <c r="D185" t="s">
        <v>2135</v>
      </c>
      <c r="E185" t="s">
        <v>195</v>
      </c>
      <c r="F185" t="s">
        <v>195</v>
      </c>
      <c r="G185" t="s">
        <v>1254</v>
      </c>
      <c r="H185" t="s">
        <v>1341</v>
      </c>
      <c r="I185">
        <v>44534.305</v>
      </c>
      <c r="J185" t="s">
        <v>18</v>
      </c>
      <c r="K185">
        <v>44534.305</v>
      </c>
      <c r="L185" t="s">
        <v>18</v>
      </c>
      <c r="M185">
        <v>44534.305</v>
      </c>
      <c r="N185" t="s">
        <v>18</v>
      </c>
      <c r="O185">
        <v>-2766.4449999999997</v>
      </c>
      <c r="P185">
        <v>-2766.4449999999997</v>
      </c>
      <c r="Q185">
        <v>-5.8486281929990529</v>
      </c>
      <c r="R185">
        <v>-5.8486281929990529</v>
      </c>
      <c r="T185" t="s">
        <v>2136</v>
      </c>
      <c r="U185" s="494">
        <v>46087</v>
      </c>
      <c r="V185">
        <v>248.79499999999999</v>
      </c>
      <c r="W185">
        <v>179</v>
      </c>
      <c r="X185">
        <v>264.25</v>
      </c>
      <c r="Y185">
        <v>0.2</v>
      </c>
      <c r="AP185" t="s">
        <v>1350</v>
      </c>
      <c r="AQ185">
        <v>0</v>
      </c>
      <c r="AS185" t="s">
        <v>2137</v>
      </c>
      <c r="AT185" t="s">
        <v>2138</v>
      </c>
      <c r="AZ185" s="494">
        <v>46079</v>
      </c>
      <c r="BA185">
        <v>70</v>
      </c>
      <c r="BO185" t="s">
        <v>1353</v>
      </c>
      <c r="BP185" t="s">
        <v>1932</v>
      </c>
      <c r="BQ185" t="s">
        <v>1355</v>
      </c>
      <c r="BR185" t="s">
        <v>1355</v>
      </c>
      <c r="BS185" t="s">
        <v>1355</v>
      </c>
      <c r="BV185">
        <v>-1815.06</v>
      </c>
    </row>
    <row r="186" spans="1:75" customFormat="1" ht="15" x14ac:dyDescent="0.25">
      <c r="A186" s="1052" t="s">
        <v>2586</v>
      </c>
      <c r="B186" t="s">
        <v>2139</v>
      </c>
      <c r="C186" t="s">
        <v>2140</v>
      </c>
      <c r="D186" t="s">
        <v>2141</v>
      </c>
      <c r="E186" t="s">
        <v>195</v>
      </c>
      <c r="F186" t="s">
        <v>195</v>
      </c>
      <c r="G186" t="s">
        <v>1254</v>
      </c>
      <c r="H186" t="s">
        <v>1341</v>
      </c>
      <c r="I186">
        <v>91202.760000000009</v>
      </c>
      <c r="J186" t="s">
        <v>18</v>
      </c>
      <c r="K186">
        <v>91202.760000000009</v>
      </c>
      <c r="L186" t="s">
        <v>18</v>
      </c>
      <c r="M186">
        <v>91202.760000000009</v>
      </c>
      <c r="N186" t="s">
        <v>18</v>
      </c>
      <c r="O186">
        <v>-275.39999999999418</v>
      </c>
      <c r="P186">
        <v>-275.39999999999418</v>
      </c>
      <c r="Q186">
        <v>-0.30105546504214137</v>
      </c>
      <c r="R186">
        <v>-0.30105546504214137</v>
      </c>
      <c r="T186" t="s">
        <v>2142</v>
      </c>
      <c r="U186" s="494">
        <v>46087</v>
      </c>
      <c r="V186">
        <v>281.49</v>
      </c>
      <c r="W186">
        <v>324</v>
      </c>
      <c r="X186">
        <v>282.33999999999997</v>
      </c>
      <c r="Y186">
        <v>0.41</v>
      </c>
      <c r="AP186" t="s">
        <v>1350</v>
      </c>
      <c r="AQ186">
        <v>0</v>
      </c>
      <c r="AS186" t="s">
        <v>2143</v>
      </c>
      <c r="AT186" t="s">
        <v>2144</v>
      </c>
      <c r="AZ186" s="494">
        <v>46077</v>
      </c>
      <c r="BA186">
        <v>70</v>
      </c>
      <c r="BO186" t="s">
        <v>1362</v>
      </c>
      <c r="BP186" t="s">
        <v>1363</v>
      </c>
      <c r="BQ186" t="s">
        <v>1355</v>
      </c>
      <c r="BR186" t="s">
        <v>1355</v>
      </c>
      <c r="BS186" t="s">
        <v>1355</v>
      </c>
      <c r="BV186">
        <v>1341.3632399999999</v>
      </c>
    </row>
    <row r="187" spans="1:75" customFormat="1" ht="15" x14ac:dyDescent="0.25">
      <c r="A187" s="1052" t="s">
        <v>2587</v>
      </c>
      <c r="B187" t="s">
        <v>2139</v>
      </c>
      <c r="C187" t="s">
        <v>2140</v>
      </c>
      <c r="D187" t="s">
        <v>2141</v>
      </c>
      <c r="E187" t="s">
        <v>195</v>
      </c>
      <c r="F187" t="s">
        <v>195</v>
      </c>
      <c r="G187" t="s">
        <v>1254</v>
      </c>
      <c r="H187" t="s">
        <v>1341</v>
      </c>
      <c r="I187">
        <v>23645.16</v>
      </c>
      <c r="J187" t="s">
        <v>18</v>
      </c>
      <c r="K187">
        <v>23645.16</v>
      </c>
      <c r="L187" t="s">
        <v>18</v>
      </c>
      <c r="M187">
        <v>23645.16</v>
      </c>
      <c r="N187" t="s">
        <v>18</v>
      </c>
      <c r="O187">
        <v>-227.63999999999942</v>
      </c>
      <c r="P187">
        <v>-227.63999999999942</v>
      </c>
      <c r="Q187">
        <v>-0.95355383532723192</v>
      </c>
      <c r="R187">
        <v>-0.95355383532723192</v>
      </c>
      <c r="T187" t="s">
        <v>2142</v>
      </c>
      <c r="U187" s="494">
        <v>46087</v>
      </c>
      <c r="V187">
        <v>281.49</v>
      </c>
      <c r="W187">
        <v>84</v>
      </c>
      <c r="X187">
        <v>284.2</v>
      </c>
      <c r="Y187">
        <v>0.11</v>
      </c>
      <c r="AP187" t="s">
        <v>1350</v>
      </c>
      <c r="AQ187">
        <v>0</v>
      </c>
      <c r="AS187" t="s">
        <v>2143</v>
      </c>
      <c r="AT187" t="s">
        <v>2144</v>
      </c>
      <c r="AZ187" s="494">
        <v>46079</v>
      </c>
      <c r="BA187">
        <v>70</v>
      </c>
      <c r="BO187" t="s">
        <v>1362</v>
      </c>
      <c r="BP187" t="s">
        <v>1363</v>
      </c>
      <c r="BQ187" t="s">
        <v>1355</v>
      </c>
      <c r="BR187" t="s">
        <v>1355</v>
      </c>
      <c r="BS187" t="s">
        <v>1355</v>
      </c>
      <c r="BV187">
        <v>191.52083999999999</v>
      </c>
    </row>
    <row r="188" spans="1:75" customFormat="1" ht="15" x14ac:dyDescent="0.25">
      <c r="A188" s="1052" t="s">
        <v>2587</v>
      </c>
      <c r="B188" t="s">
        <v>2469</v>
      </c>
      <c r="C188" t="s">
        <v>2470</v>
      </c>
      <c r="D188" t="s">
        <v>2471</v>
      </c>
      <c r="E188" t="s">
        <v>195</v>
      </c>
      <c r="F188" t="s">
        <v>195</v>
      </c>
      <c r="G188" t="s">
        <v>1254</v>
      </c>
      <c r="H188" t="s">
        <v>1341</v>
      </c>
      <c r="I188">
        <v>18295.2</v>
      </c>
      <c r="J188" t="s">
        <v>18</v>
      </c>
      <c r="K188">
        <v>18295.2</v>
      </c>
      <c r="L188" t="s">
        <v>18</v>
      </c>
      <c r="M188">
        <v>18295.2</v>
      </c>
      <c r="N188" t="s">
        <v>18</v>
      </c>
      <c r="O188">
        <v>-1882.7999999999993</v>
      </c>
      <c r="P188">
        <v>-1882.7999999999993</v>
      </c>
      <c r="Q188">
        <v>-9.3309545049063303</v>
      </c>
      <c r="R188">
        <v>-9.3309545049063303</v>
      </c>
      <c r="T188" t="s">
        <v>2472</v>
      </c>
      <c r="U188" s="494">
        <v>46087</v>
      </c>
      <c r="V188">
        <v>50.82</v>
      </c>
      <c r="W188">
        <v>360</v>
      </c>
      <c r="X188">
        <v>56.05</v>
      </c>
      <c r="Y188">
        <v>0.08</v>
      </c>
      <c r="AP188" t="s">
        <v>1350</v>
      </c>
      <c r="AQ188">
        <v>0</v>
      </c>
      <c r="AS188" t="s">
        <v>2473</v>
      </c>
      <c r="AT188" t="s">
        <v>2474</v>
      </c>
      <c r="AZ188" s="494">
        <v>46079</v>
      </c>
      <c r="BA188">
        <v>70</v>
      </c>
      <c r="BO188" t="s">
        <v>1427</v>
      </c>
      <c r="BP188" t="s">
        <v>312</v>
      </c>
      <c r="BQ188" t="s">
        <v>1355</v>
      </c>
      <c r="BR188" t="s">
        <v>1355</v>
      </c>
      <c r="BS188" t="s">
        <v>1355</v>
      </c>
      <c r="BV188">
        <v>-1324.8</v>
      </c>
    </row>
    <row r="189" spans="1:75" customFormat="1" ht="15" x14ac:dyDescent="0.25">
      <c r="A189" s="1052" t="s">
        <v>2589</v>
      </c>
      <c r="B189" t="s">
        <v>2609</v>
      </c>
      <c r="C189" t="s">
        <v>2610</v>
      </c>
      <c r="D189" t="s">
        <v>2512</v>
      </c>
      <c r="E189" t="s">
        <v>195</v>
      </c>
      <c r="F189" t="s">
        <v>1255</v>
      </c>
      <c r="G189" t="s">
        <v>1255</v>
      </c>
      <c r="H189" t="s">
        <v>1341</v>
      </c>
      <c r="I189">
        <v>294462</v>
      </c>
      <c r="J189" t="s">
        <v>18</v>
      </c>
      <c r="K189">
        <v>294462</v>
      </c>
      <c r="L189" t="s">
        <v>18</v>
      </c>
      <c r="M189">
        <v>294462</v>
      </c>
      <c r="N189" t="s">
        <v>18</v>
      </c>
      <c r="O189">
        <v>-4818.3599999999997</v>
      </c>
      <c r="P189">
        <v>-4818.3599999999997</v>
      </c>
      <c r="Q189">
        <v>-1.6099999999999999</v>
      </c>
      <c r="R189">
        <v>-1.6099999999999999</v>
      </c>
      <c r="T189" t="s">
        <v>2611</v>
      </c>
      <c r="U189" s="494">
        <v>46087</v>
      </c>
      <c r="V189">
        <v>46.74</v>
      </c>
      <c r="W189">
        <v>6300</v>
      </c>
      <c r="X189">
        <v>47.5</v>
      </c>
      <c r="Y189">
        <v>1.33</v>
      </c>
      <c r="AP189" t="s">
        <v>2592</v>
      </c>
      <c r="AQ189">
        <v>0</v>
      </c>
      <c r="AS189" t="s">
        <v>2612</v>
      </c>
      <c r="AT189" t="s">
        <v>2613</v>
      </c>
      <c r="AZ189" s="494">
        <v>46083</v>
      </c>
      <c r="BA189">
        <v>75</v>
      </c>
      <c r="BO189" t="s">
        <v>1644</v>
      </c>
      <c r="BP189" t="s">
        <v>1644</v>
      </c>
      <c r="BQ189" t="s">
        <v>1355</v>
      </c>
      <c r="BR189" t="s">
        <v>1355</v>
      </c>
      <c r="BS189" t="s">
        <v>1355</v>
      </c>
      <c r="BV189">
        <v>-4818.3599999999997</v>
      </c>
    </row>
    <row r="190" spans="1:75" customFormat="1" ht="15" x14ac:dyDescent="0.25">
      <c r="A190" s="1052" t="s">
        <v>2587</v>
      </c>
      <c r="B190" t="s">
        <v>2145</v>
      </c>
      <c r="C190" t="s">
        <v>2146</v>
      </c>
      <c r="D190" t="s">
        <v>2147</v>
      </c>
      <c r="E190" t="s">
        <v>195</v>
      </c>
      <c r="F190" t="s">
        <v>195</v>
      </c>
      <c r="G190" t="s">
        <v>1254</v>
      </c>
      <c r="H190" t="s">
        <v>1341</v>
      </c>
      <c r="I190">
        <v>24429.599999999999</v>
      </c>
      <c r="J190" t="s">
        <v>18</v>
      </c>
      <c r="K190">
        <v>24429.599999999999</v>
      </c>
      <c r="L190" t="s">
        <v>18</v>
      </c>
      <c r="M190">
        <v>24429.599999999999</v>
      </c>
      <c r="N190" t="s">
        <v>18</v>
      </c>
      <c r="O190">
        <v>-629.30000000000291</v>
      </c>
      <c r="P190">
        <v>-629.30000000000291</v>
      </c>
      <c r="Q190">
        <v>-2.5112834162712763</v>
      </c>
      <c r="R190">
        <v>-2.5112834162712763</v>
      </c>
      <c r="T190" t="s">
        <v>2148</v>
      </c>
      <c r="U190" s="494">
        <v>46087</v>
      </c>
      <c r="V190">
        <v>84.24</v>
      </c>
      <c r="W190">
        <v>290</v>
      </c>
      <c r="X190">
        <v>86.41</v>
      </c>
      <c r="Y190">
        <v>0.11</v>
      </c>
      <c r="AP190" t="s">
        <v>1350</v>
      </c>
      <c r="AQ190">
        <v>0</v>
      </c>
      <c r="AS190" t="s">
        <v>2149</v>
      </c>
      <c r="AT190" t="s">
        <v>2150</v>
      </c>
      <c r="AZ190" s="494">
        <v>46079</v>
      </c>
      <c r="BA190">
        <v>70</v>
      </c>
      <c r="BO190" t="s">
        <v>1162</v>
      </c>
      <c r="BP190" t="s">
        <v>1435</v>
      </c>
      <c r="BQ190" t="s">
        <v>1355</v>
      </c>
      <c r="BR190" t="s">
        <v>1355</v>
      </c>
      <c r="BS190" t="s">
        <v>1355</v>
      </c>
      <c r="BV190">
        <v>-446.6</v>
      </c>
    </row>
    <row r="191" spans="1:75" customFormat="1" ht="15" x14ac:dyDescent="0.25">
      <c r="A191" s="1052" t="s">
        <v>2587</v>
      </c>
      <c r="B191" t="s">
        <v>2151</v>
      </c>
      <c r="C191" t="s">
        <v>2152</v>
      </c>
      <c r="D191" t="s">
        <v>2153</v>
      </c>
      <c r="E191" t="s">
        <v>195</v>
      </c>
      <c r="F191" t="s">
        <v>195</v>
      </c>
      <c r="G191" t="s">
        <v>1254</v>
      </c>
      <c r="H191" t="s">
        <v>1341</v>
      </c>
      <c r="I191">
        <v>17450.099999999999</v>
      </c>
      <c r="J191" t="s">
        <v>18</v>
      </c>
      <c r="K191">
        <v>17450.099999999999</v>
      </c>
      <c r="L191" t="s">
        <v>18</v>
      </c>
      <c r="M191">
        <v>17450.099999999999</v>
      </c>
      <c r="N191" t="s">
        <v>18</v>
      </c>
      <c r="O191">
        <v>465.75</v>
      </c>
      <c r="P191">
        <v>465.75</v>
      </c>
      <c r="Q191">
        <v>2.7422303473491776</v>
      </c>
      <c r="R191">
        <v>2.7422303473491776</v>
      </c>
      <c r="T191" t="s">
        <v>2154</v>
      </c>
      <c r="U191" s="494">
        <v>46087</v>
      </c>
      <c r="V191">
        <v>50.58</v>
      </c>
      <c r="W191">
        <v>345</v>
      </c>
      <c r="X191">
        <v>49.23</v>
      </c>
      <c r="Y191">
        <v>0.08</v>
      </c>
      <c r="AP191" t="s">
        <v>1350</v>
      </c>
      <c r="AQ191">
        <v>0</v>
      </c>
      <c r="AS191" t="s">
        <v>2155</v>
      </c>
      <c r="AT191" t="s">
        <v>2156</v>
      </c>
      <c r="AZ191" s="494">
        <v>46079</v>
      </c>
      <c r="BA191">
        <v>70</v>
      </c>
      <c r="BO191" t="s">
        <v>308</v>
      </c>
      <c r="BP191" t="s">
        <v>2157</v>
      </c>
      <c r="BQ191" t="s">
        <v>1355</v>
      </c>
      <c r="BR191" t="s">
        <v>1355</v>
      </c>
      <c r="BS191" t="s">
        <v>1355</v>
      </c>
      <c r="BV191">
        <v>652.04999999999995</v>
      </c>
    </row>
    <row r="192" spans="1:75" customFormat="1" ht="15" x14ac:dyDescent="0.25">
      <c r="A192" s="1052" t="s">
        <v>2586</v>
      </c>
      <c r="B192" t="s">
        <v>2158</v>
      </c>
      <c r="C192" t="s">
        <v>2159</v>
      </c>
      <c r="D192" t="s">
        <v>2160</v>
      </c>
      <c r="E192" t="s">
        <v>195</v>
      </c>
      <c r="F192" t="s">
        <v>195</v>
      </c>
      <c r="G192" t="s">
        <v>1254</v>
      </c>
      <c r="H192" t="s">
        <v>1341</v>
      </c>
      <c r="I192">
        <v>44282.28</v>
      </c>
      <c r="J192" t="s">
        <v>18</v>
      </c>
      <c r="K192">
        <v>44282.28</v>
      </c>
      <c r="L192" t="s">
        <v>18</v>
      </c>
      <c r="M192">
        <v>44282.28</v>
      </c>
      <c r="N192" t="s">
        <v>18</v>
      </c>
      <c r="O192">
        <v>-2856.7000000000044</v>
      </c>
      <c r="P192">
        <v>-2856.7000000000044</v>
      </c>
      <c r="Q192">
        <v>-6.0601650693332871</v>
      </c>
      <c r="R192">
        <v>-6.0601650693332871</v>
      </c>
      <c r="T192" t="s">
        <v>2161</v>
      </c>
      <c r="U192" s="494">
        <v>46087</v>
      </c>
      <c r="V192">
        <v>451.86</v>
      </c>
      <c r="W192">
        <v>98</v>
      </c>
      <c r="X192">
        <v>481.01</v>
      </c>
      <c r="Y192">
        <v>0.2</v>
      </c>
      <c r="AP192" t="s">
        <v>1350</v>
      </c>
      <c r="AQ192">
        <v>0</v>
      </c>
      <c r="AS192" t="s">
        <v>2162</v>
      </c>
      <c r="AT192" t="s">
        <v>2163</v>
      </c>
      <c r="AZ192" s="494">
        <v>46077</v>
      </c>
      <c r="BA192">
        <v>70</v>
      </c>
      <c r="BO192" t="s">
        <v>1362</v>
      </c>
      <c r="BP192" t="s">
        <v>1370</v>
      </c>
      <c r="BQ192" t="s">
        <v>1355</v>
      </c>
      <c r="BR192" t="s">
        <v>1355</v>
      </c>
      <c r="BS192" t="s">
        <v>1355</v>
      </c>
      <c r="BV192">
        <v>-2383.36</v>
      </c>
    </row>
    <row r="193" spans="1:75" customFormat="1" ht="15" x14ac:dyDescent="0.25">
      <c r="A193" s="1052" t="s">
        <v>2586</v>
      </c>
      <c r="B193" t="s">
        <v>2164</v>
      </c>
      <c r="C193" t="s">
        <v>2165</v>
      </c>
      <c r="D193" t="s">
        <v>2166</v>
      </c>
      <c r="E193" t="s">
        <v>195</v>
      </c>
      <c r="F193" t="s">
        <v>195</v>
      </c>
      <c r="G193" t="s">
        <v>1254</v>
      </c>
      <c r="H193" t="s">
        <v>1341</v>
      </c>
      <c r="I193">
        <v>136951.25184899999</v>
      </c>
      <c r="J193" t="s">
        <v>18</v>
      </c>
      <c r="K193">
        <v>1264457.23841</v>
      </c>
      <c r="L193" t="s">
        <v>1338</v>
      </c>
      <c r="M193">
        <v>136951.25184899999</v>
      </c>
      <c r="N193" t="s">
        <v>18</v>
      </c>
      <c r="O193">
        <v>-11838.748151</v>
      </c>
      <c r="P193">
        <v>-80276.901589999994</v>
      </c>
      <c r="Q193">
        <v>-7.9566999999999997</v>
      </c>
      <c r="R193">
        <v>-5.9696999999999996</v>
      </c>
      <c r="T193" t="s">
        <v>2167</v>
      </c>
      <c r="U193" s="494">
        <v>46087</v>
      </c>
      <c r="V193">
        <v>329.2</v>
      </c>
      <c r="W193">
        <v>3841</v>
      </c>
      <c r="X193">
        <v>350.1</v>
      </c>
      <c r="Y193">
        <v>0.62</v>
      </c>
      <c r="AP193" t="s">
        <v>1350</v>
      </c>
      <c r="AQ193">
        <v>0</v>
      </c>
      <c r="AS193" t="s">
        <v>2168</v>
      </c>
      <c r="AT193" t="s">
        <v>2169</v>
      </c>
      <c r="AZ193" s="494">
        <v>46077</v>
      </c>
      <c r="BA193">
        <v>70</v>
      </c>
      <c r="BO193" t="s">
        <v>1353</v>
      </c>
      <c r="BP193" t="s">
        <v>1354</v>
      </c>
      <c r="BQ193" t="s">
        <v>1386</v>
      </c>
      <c r="BR193" t="s">
        <v>209</v>
      </c>
      <c r="BS193" t="s">
        <v>1485</v>
      </c>
      <c r="BV193">
        <v>-8882.3506689999995</v>
      </c>
      <c r="BW193">
        <v>-2956.3974819999999</v>
      </c>
    </row>
    <row r="194" spans="1:75" customFormat="1" ht="15" x14ac:dyDescent="0.25">
      <c r="A194" s="1052" t="s">
        <v>2587</v>
      </c>
      <c r="B194" t="s">
        <v>2170</v>
      </c>
      <c r="C194" t="s">
        <v>2171</v>
      </c>
      <c r="D194" t="s">
        <v>2172</v>
      </c>
      <c r="E194" t="s">
        <v>195</v>
      </c>
      <c r="F194" t="s">
        <v>195</v>
      </c>
      <c r="G194" t="s">
        <v>1254</v>
      </c>
      <c r="H194" t="s">
        <v>1341</v>
      </c>
      <c r="I194">
        <v>32440.32</v>
      </c>
      <c r="J194" t="s">
        <v>18</v>
      </c>
      <c r="K194">
        <v>32440.32</v>
      </c>
      <c r="L194" t="s">
        <v>18</v>
      </c>
      <c r="M194">
        <v>32440.32</v>
      </c>
      <c r="N194" t="s">
        <v>18</v>
      </c>
      <c r="O194">
        <v>-757.68000000000029</v>
      </c>
      <c r="P194">
        <v>-757.68000000000029</v>
      </c>
      <c r="Q194">
        <v>-2.2823061630218695</v>
      </c>
      <c r="R194">
        <v>-2.2823061630218695</v>
      </c>
      <c r="T194" t="s">
        <v>2328</v>
      </c>
      <c r="U194" s="494">
        <v>46087</v>
      </c>
      <c r="V194">
        <v>122.88</v>
      </c>
      <c r="W194">
        <v>264</v>
      </c>
      <c r="X194">
        <v>125.75</v>
      </c>
      <c r="Y194">
        <v>0.15</v>
      </c>
      <c r="AP194" t="s">
        <v>1350</v>
      </c>
      <c r="AQ194">
        <v>0</v>
      </c>
      <c r="AS194" t="s">
        <v>2173</v>
      </c>
      <c r="AT194" t="s">
        <v>2174</v>
      </c>
      <c r="AZ194" s="494">
        <v>46079</v>
      </c>
      <c r="BA194">
        <v>70</v>
      </c>
      <c r="BO194" t="s">
        <v>1575</v>
      </c>
      <c r="BP194" t="s">
        <v>2175</v>
      </c>
      <c r="BQ194" t="s">
        <v>1355</v>
      </c>
      <c r="BR194" t="s">
        <v>1355</v>
      </c>
      <c r="BS194" t="s">
        <v>1355</v>
      </c>
      <c r="BV194">
        <v>-514.79999999999995</v>
      </c>
    </row>
    <row r="195" spans="1:75" customFormat="1" ht="15" x14ac:dyDescent="0.25">
      <c r="A195" s="1052" t="s">
        <v>2586</v>
      </c>
      <c r="B195" t="s">
        <v>2176</v>
      </c>
      <c r="C195" t="s">
        <v>2177</v>
      </c>
      <c r="D195" t="s">
        <v>2178</v>
      </c>
      <c r="E195" t="s">
        <v>195</v>
      </c>
      <c r="F195" t="s">
        <v>195</v>
      </c>
      <c r="G195" t="s">
        <v>1254</v>
      </c>
      <c r="H195" t="s">
        <v>1341</v>
      </c>
      <c r="I195">
        <v>168351</v>
      </c>
      <c r="J195" t="s">
        <v>18</v>
      </c>
      <c r="K195">
        <v>168351</v>
      </c>
      <c r="L195" t="s">
        <v>18</v>
      </c>
      <c r="M195">
        <v>168351</v>
      </c>
      <c r="N195" t="s">
        <v>18</v>
      </c>
      <c r="O195">
        <v>-9146</v>
      </c>
      <c r="P195">
        <v>-9146</v>
      </c>
      <c r="Q195">
        <v>-5.1527631452925968</v>
      </c>
      <c r="R195">
        <v>-5.1527631452925968</v>
      </c>
      <c r="T195" t="s">
        <v>2179</v>
      </c>
      <c r="U195" s="494">
        <v>46087</v>
      </c>
      <c r="V195">
        <v>99.03</v>
      </c>
      <c r="W195">
        <v>1700</v>
      </c>
      <c r="X195">
        <v>104.41</v>
      </c>
      <c r="Y195">
        <v>0.76</v>
      </c>
      <c r="AP195" t="s">
        <v>1350</v>
      </c>
      <c r="AQ195">
        <v>0</v>
      </c>
      <c r="AS195" t="s">
        <v>2180</v>
      </c>
      <c r="AT195" t="s">
        <v>2181</v>
      </c>
      <c r="AZ195" s="494">
        <v>46077</v>
      </c>
      <c r="BA195">
        <v>70</v>
      </c>
      <c r="BO195" t="s">
        <v>308</v>
      </c>
      <c r="BP195" t="s">
        <v>1407</v>
      </c>
      <c r="BQ195" t="s">
        <v>1355</v>
      </c>
      <c r="BR195" t="s">
        <v>1355</v>
      </c>
      <c r="BS195" t="s">
        <v>1355</v>
      </c>
      <c r="BV195">
        <v>-4879</v>
      </c>
    </row>
    <row r="196" spans="1:75" customFormat="1" ht="15" x14ac:dyDescent="0.25">
      <c r="A196" s="1052" t="s">
        <v>2587</v>
      </c>
      <c r="B196" t="s">
        <v>2176</v>
      </c>
      <c r="C196" t="s">
        <v>2177</v>
      </c>
      <c r="D196" t="s">
        <v>2178</v>
      </c>
      <c r="E196" t="s">
        <v>195</v>
      </c>
      <c r="F196" t="s">
        <v>195</v>
      </c>
      <c r="G196" t="s">
        <v>1254</v>
      </c>
      <c r="H196" t="s">
        <v>1341</v>
      </c>
      <c r="I196">
        <v>27827.43</v>
      </c>
      <c r="J196" t="s">
        <v>18</v>
      </c>
      <c r="K196">
        <v>27827.43</v>
      </c>
      <c r="L196" t="s">
        <v>18</v>
      </c>
      <c r="M196">
        <v>27827.43</v>
      </c>
      <c r="N196" t="s">
        <v>18</v>
      </c>
      <c r="O196">
        <v>-1691.619999999999</v>
      </c>
      <c r="P196">
        <v>-1691.619999999999</v>
      </c>
      <c r="Q196">
        <v>-5.7306044740599678</v>
      </c>
      <c r="R196">
        <v>-5.7306044740599678</v>
      </c>
      <c r="T196" t="s">
        <v>2179</v>
      </c>
      <c r="U196" s="494">
        <v>46087</v>
      </c>
      <c r="V196">
        <v>99.03</v>
      </c>
      <c r="W196">
        <v>281</v>
      </c>
      <c r="X196">
        <v>105.05</v>
      </c>
      <c r="Y196">
        <v>0.13</v>
      </c>
      <c r="AP196" t="s">
        <v>1350</v>
      </c>
      <c r="AQ196">
        <v>0</v>
      </c>
      <c r="AS196" t="s">
        <v>2180</v>
      </c>
      <c r="AT196" t="s">
        <v>2181</v>
      </c>
      <c r="AZ196" s="494">
        <v>46079</v>
      </c>
      <c r="BA196">
        <v>70</v>
      </c>
      <c r="BO196" t="s">
        <v>308</v>
      </c>
      <c r="BP196" t="s">
        <v>1407</v>
      </c>
      <c r="BQ196" t="s">
        <v>1355</v>
      </c>
      <c r="BR196" t="s">
        <v>1355</v>
      </c>
      <c r="BS196" t="s">
        <v>1355</v>
      </c>
      <c r="BV196">
        <v>-986.31</v>
      </c>
    </row>
    <row r="197" spans="1:75" customFormat="1" ht="15" x14ac:dyDescent="0.25">
      <c r="A197" s="1052" t="s">
        <v>2586</v>
      </c>
      <c r="B197" t="s">
        <v>2182</v>
      </c>
      <c r="C197" t="s">
        <v>2183</v>
      </c>
      <c r="D197" t="s">
        <v>2184</v>
      </c>
      <c r="E197" t="s">
        <v>195</v>
      </c>
      <c r="F197" t="s">
        <v>195</v>
      </c>
      <c r="G197" t="s">
        <v>1254</v>
      </c>
      <c r="H197" t="s">
        <v>1341</v>
      </c>
      <c r="I197">
        <v>83684.800000000003</v>
      </c>
      <c r="J197" t="s">
        <v>18</v>
      </c>
      <c r="K197">
        <v>83684.800000000003</v>
      </c>
      <c r="L197" t="s">
        <v>18</v>
      </c>
      <c r="M197">
        <v>83684.800000000003</v>
      </c>
      <c r="N197" t="s">
        <v>18</v>
      </c>
      <c r="O197">
        <v>-8617.8000000000029</v>
      </c>
      <c r="P197">
        <v>-8617.8000000000029</v>
      </c>
      <c r="Q197">
        <v>-9.336465061655904</v>
      </c>
      <c r="R197">
        <v>-9.336465061655904</v>
      </c>
      <c r="T197" t="s">
        <v>2185</v>
      </c>
      <c r="U197" s="494">
        <v>46087</v>
      </c>
      <c r="V197">
        <v>77.2</v>
      </c>
      <c r="W197">
        <v>1084</v>
      </c>
      <c r="X197">
        <v>85.15</v>
      </c>
      <c r="Y197">
        <v>0.38</v>
      </c>
      <c r="AP197" t="s">
        <v>1350</v>
      </c>
      <c r="AQ197">
        <v>0</v>
      </c>
      <c r="AS197" t="s">
        <v>2186</v>
      </c>
      <c r="AT197" t="s">
        <v>2187</v>
      </c>
      <c r="AZ197" s="494">
        <v>46077</v>
      </c>
      <c r="BA197">
        <v>70</v>
      </c>
      <c r="BO197" t="s">
        <v>1427</v>
      </c>
      <c r="BP197" t="s">
        <v>312</v>
      </c>
      <c r="BQ197" t="s">
        <v>1355</v>
      </c>
      <c r="BR197" t="s">
        <v>1355</v>
      </c>
      <c r="BS197" t="s">
        <v>1355</v>
      </c>
      <c r="BV197">
        <v>-5127.32</v>
      </c>
    </row>
    <row r="198" spans="1:75" customFormat="1" ht="15" x14ac:dyDescent="0.25">
      <c r="A198" s="1052" t="s">
        <v>2587</v>
      </c>
      <c r="B198" t="s">
        <v>2182</v>
      </c>
      <c r="C198" t="s">
        <v>2183</v>
      </c>
      <c r="D198" t="s">
        <v>2184</v>
      </c>
      <c r="E198" t="s">
        <v>195</v>
      </c>
      <c r="F198" t="s">
        <v>195</v>
      </c>
      <c r="G198" t="s">
        <v>1254</v>
      </c>
      <c r="H198" t="s">
        <v>1341</v>
      </c>
      <c r="I198">
        <v>63921.600000000006</v>
      </c>
      <c r="J198" t="s">
        <v>18</v>
      </c>
      <c r="K198">
        <v>63921.600000000006</v>
      </c>
      <c r="L198" t="s">
        <v>18</v>
      </c>
      <c r="M198">
        <v>63921.600000000006</v>
      </c>
      <c r="N198" t="s">
        <v>18</v>
      </c>
      <c r="O198">
        <v>-7915.679999999993</v>
      </c>
      <c r="P198">
        <v>-7915.679999999993</v>
      </c>
      <c r="Q198">
        <v>-11.018902720147523</v>
      </c>
      <c r="R198">
        <v>-11.018902720147523</v>
      </c>
      <c r="T198" t="s">
        <v>2185</v>
      </c>
      <c r="U198" s="494">
        <v>46087</v>
      </c>
      <c r="V198">
        <v>77.2</v>
      </c>
      <c r="W198">
        <v>828</v>
      </c>
      <c r="X198">
        <v>86.76</v>
      </c>
      <c r="Y198">
        <v>0.28999999999999998</v>
      </c>
      <c r="AP198" t="s">
        <v>1350</v>
      </c>
      <c r="AQ198">
        <v>0</v>
      </c>
      <c r="AS198" t="s">
        <v>2186</v>
      </c>
      <c r="AT198" t="s">
        <v>2187</v>
      </c>
      <c r="AZ198" s="494">
        <v>46079</v>
      </c>
      <c r="BA198">
        <v>70</v>
      </c>
      <c r="BO198" t="s">
        <v>1427</v>
      </c>
      <c r="BP198" t="s">
        <v>312</v>
      </c>
      <c r="BQ198" t="s">
        <v>1355</v>
      </c>
      <c r="BR198" t="s">
        <v>1355</v>
      </c>
      <c r="BS198" t="s">
        <v>1355</v>
      </c>
      <c r="BV198">
        <v>-5249.52</v>
      </c>
    </row>
    <row r="199" spans="1:75" customFormat="1" ht="15" x14ac:dyDescent="0.25">
      <c r="A199" s="1052" t="s">
        <v>2587</v>
      </c>
      <c r="B199" t="s">
        <v>2188</v>
      </c>
      <c r="C199" t="s">
        <v>2189</v>
      </c>
      <c r="D199" t="s">
        <v>2190</v>
      </c>
      <c r="E199" t="s">
        <v>195</v>
      </c>
      <c r="F199" t="s">
        <v>195</v>
      </c>
      <c r="G199" t="s">
        <v>1254</v>
      </c>
      <c r="H199" t="s">
        <v>1341</v>
      </c>
      <c r="I199">
        <v>29502.782799999997</v>
      </c>
      <c r="J199" t="s">
        <v>18</v>
      </c>
      <c r="K199">
        <v>29502.782799999997</v>
      </c>
      <c r="L199" t="s">
        <v>18</v>
      </c>
      <c r="M199">
        <v>29502.782799999997</v>
      </c>
      <c r="N199" t="s">
        <v>18</v>
      </c>
      <c r="O199">
        <v>-742.31720000000132</v>
      </c>
      <c r="P199">
        <v>-742.31720000000132</v>
      </c>
      <c r="Q199">
        <v>-2.4543387193297472</v>
      </c>
      <c r="R199">
        <v>-2.4543387193297472</v>
      </c>
      <c r="T199" t="s">
        <v>2191</v>
      </c>
      <c r="U199" s="494">
        <v>46087</v>
      </c>
      <c r="V199">
        <v>81.499399999999994</v>
      </c>
      <c r="W199">
        <v>362</v>
      </c>
      <c r="X199">
        <v>83.55</v>
      </c>
      <c r="Y199">
        <v>0.13</v>
      </c>
      <c r="AP199" t="s">
        <v>1350</v>
      </c>
      <c r="AQ199">
        <v>0</v>
      </c>
      <c r="AS199" t="s">
        <v>2192</v>
      </c>
      <c r="AT199" t="s">
        <v>2193</v>
      </c>
      <c r="AZ199" s="494">
        <v>46079</v>
      </c>
      <c r="BA199">
        <v>70</v>
      </c>
      <c r="BO199" t="s">
        <v>1644</v>
      </c>
      <c r="BP199" t="s">
        <v>1644</v>
      </c>
      <c r="BQ199" t="s">
        <v>1355</v>
      </c>
      <c r="BR199" t="s">
        <v>1355</v>
      </c>
      <c r="BS199" t="s">
        <v>1355</v>
      </c>
      <c r="BV199">
        <v>-372.86</v>
      </c>
    </row>
    <row r="200" spans="1:75" customFormat="1" ht="15" x14ac:dyDescent="0.25">
      <c r="A200" s="1052" t="s">
        <v>2587</v>
      </c>
      <c r="B200" t="s">
        <v>2194</v>
      </c>
      <c r="C200" t="s">
        <v>2195</v>
      </c>
      <c r="D200" t="s">
        <v>2196</v>
      </c>
      <c r="E200" t="s">
        <v>195</v>
      </c>
      <c r="F200" t="s">
        <v>195</v>
      </c>
      <c r="G200" t="s">
        <v>1254</v>
      </c>
      <c r="H200" t="s">
        <v>1341</v>
      </c>
      <c r="I200">
        <v>14624.25</v>
      </c>
      <c r="J200" t="s">
        <v>18</v>
      </c>
      <c r="K200">
        <v>14624.25</v>
      </c>
      <c r="L200" t="s">
        <v>18</v>
      </c>
      <c r="M200">
        <v>14624.25</v>
      </c>
      <c r="N200" t="s">
        <v>18</v>
      </c>
      <c r="O200">
        <v>-742.13999999999942</v>
      </c>
      <c r="P200">
        <v>-742.13999999999942</v>
      </c>
      <c r="Q200">
        <v>-4.8296314228650941</v>
      </c>
      <c r="R200">
        <v>-4.8296314228650941</v>
      </c>
      <c r="T200" t="s">
        <v>2197</v>
      </c>
      <c r="U200" s="494">
        <v>46087</v>
      </c>
      <c r="V200">
        <v>157.25</v>
      </c>
      <c r="W200">
        <v>93</v>
      </c>
      <c r="X200">
        <v>165.23</v>
      </c>
      <c r="Y200">
        <v>7.0000000000000007E-2</v>
      </c>
      <c r="AP200" t="s">
        <v>1350</v>
      </c>
      <c r="AQ200">
        <v>0</v>
      </c>
      <c r="AS200" t="s">
        <v>2198</v>
      </c>
      <c r="AT200" t="s">
        <v>2199</v>
      </c>
      <c r="AZ200" s="494">
        <v>46079</v>
      </c>
      <c r="BA200">
        <v>70</v>
      </c>
      <c r="BO200" t="s">
        <v>1384</v>
      </c>
      <c r="BP200" t="s">
        <v>1613</v>
      </c>
      <c r="BQ200" t="s">
        <v>1355</v>
      </c>
      <c r="BR200" t="s">
        <v>1355</v>
      </c>
      <c r="BS200" t="s">
        <v>1355</v>
      </c>
      <c r="BV200">
        <v>-486.39</v>
      </c>
    </row>
    <row r="201" spans="1:75" customFormat="1" ht="15.75" thickBot="1" x14ac:dyDescent="0.3">
      <c r="A201" s="1052" t="s">
        <v>2588</v>
      </c>
      <c r="B201" t="s">
        <v>2200</v>
      </c>
      <c r="C201" t="s">
        <v>2201</v>
      </c>
      <c r="D201" t="s">
        <v>2202</v>
      </c>
      <c r="E201" t="s">
        <v>195</v>
      </c>
      <c r="F201" t="s">
        <v>195</v>
      </c>
      <c r="G201" t="s">
        <v>1254</v>
      </c>
      <c r="H201" t="s">
        <v>1341</v>
      </c>
      <c r="I201">
        <v>25959.675000000003</v>
      </c>
      <c r="J201" t="s">
        <v>18</v>
      </c>
      <c r="K201">
        <v>25959.675000000003</v>
      </c>
      <c r="L201" t="s">
        <v>18</v>
      </c>
      <c r="M201">
        <v>25959.675000000003</v>
      </c>
      <c r="N201" t="s">
        <v>18</v>
      </c>
      <c r="O201">
        <v>-517.12499999999636</v>
      </c>
      <c r="P201">
        <v>-517.12499999999636</v>
      </c>
      <c r="Q201">
        <v>-1.9531249999999865</v>
      </c>
      <c r="R201">
        <v>-1.9531249999999865</v>
      </c>
      <c r="T201" t="s">
        <v>2203</v>
      </c>
      <c r="U201" s="494">
        <v>46087</v>
      </c>
      <c r="V201">
        <v>6.2750000000000004</v>
      </c>
      <c r="W201">
        <v>4137</v>
      </c>
      <c r="X201">
        <v>6.4</v>
      </c>
      <c r="Y201">
        <v>0.12</v>
      </c>
      <c r="AP201" t="s">
        <v>1350</v>
      </c>
      <c r="AQ201">
        <v>0</v>
      </c>
      <c r="AS201" t="s">
        <v>2204</v>
      </c>
      <c r="AT201" t="s">
        <v>2205</v>
      </c>
      <c r="AZ201" s="494">
        <v>46080</v>
      </c>
      <c r="BA201">
        <v>54</v>
      </c>
      <c r="BO201" t="s">
        <v>308</v>
      </c>
      <c r="BP201" t="s">
        <v>1407</v>
      </c>
      <c r="BQ201" t="s">
        <v>1355</v>
      </c>
      <c r="BR201" t="s">
        <v>1355</v>
      </c>
      <c r="BS201" t="s">
        <v>1355</v>
      </c>
      <c r="BV201">
        <v>661.92</v>
      </c>
    </row>
    <row r="202" spans="1:75" customFormat="1" ht="15.75" thickBot="1" x14ac:dyDescent="0.3">
      <c r="A202" s="1054"/>
      <c r="B202" s="654"/>
      <c r="C202" s="654" t="s">
        <v>913</v>
      </c>
      <c r="D202" s="654"/>
      <c r="E202" s="654"/>
      <c r="F202" s="654"/>
      <c r="G202" s="654"/>
      <c r="H202" s="654"/>
      <c r="I202" s="654">
        <v>15914384.141732499</v>
      </c>
      <c r="J202" s="654"/>
      <c r="K202" s="654"/>
      <c r="L202" s="654"/>
      <c r="M202" s="654">
        <v>15914384.141732499</v>
      </c>
      <c r="N202" s="654"/>
      <c r="O202" s="654"/>
      <c r="P202" s="654"/>
      <c r="Q202" s="654"/>
      <c r="R202" s="654"/>
      <c r="S202" s="654"/>
      <c r="T202" s="654"/>
      <c r="U202" s="654"/>
      <c r="V202" s="654"/>
      <c r="W202" s="654"/>
      <c r="X202" s="654"/>
      <c r="Y202" s="654">
        <v>71.78</v>
      </c>
      <c r="Z202" s="654"/>
      <c r="AA202" s="654"/>
      <c r="AB202" s="654"/>
      <c r="AC202" s="654"/>
      <c r="AD202" s="654"/>
      <c r="AE202" s="654"/>
      <c r="AF202" s="654"/>
      <c r="AG202" s="654"/>
      <c r="AH202" s="654"/>
      <c r="AI202" s="654"/>
      <c r="AJ202" s="654"/>
      <c r="AK202" s="654"/>
      <c r="AL202" s="654"/>
      <c r="AM202" s="654"/>
      <c r="AN202" s="654"/>
      <c r="AO202" s="654"/>
      <c r="AP202" s="654"/>
      <c r="AQ202" s="654"/>
      <c r="AR202" s="654"/>
      <c r="AS202" s="654"/>
      <c r="AT202" s="654"/>
      <c r="AU202" s="654"/>
      <c r="AV202" s="654"/>
      <c r="AW202" s="654"/>
      <c r="AX202" s="654"/>
      <c r="AY202" s="654"/>
      <c r="AZ202" s="654"/>
      <c r="BA202" s="654"/>
      <c r="BB202" s="654"/>
      <c r="BC202" s="654"/>
      <c r="BD202" s="654">
        <v>0</v>
      </c>
      <c r="BE202" s="654"/>
      <c r="BF202" s="654"/>
      <c r="BG202" s="654"/>
      <c r="BH202" s="654"/>
      <c r="BI202" s="654"/>
      <c r="BJ202" s="654"/>
      <c r="BK202" s="654"/>
      <c r="BL202" s="654"/>
      <c r="BM202" s="654"/>
      <c r="BN202" s="654"/>
      <c r="BO202" s="654"/>
      <c r="BP202" s="654"/>
      <c r="BQ202" s="654"/>
      <c r="BR202" s="654"/>
      <c r="BS202" s="654"/>
      <c r="BT202" s="654"/>
      <c r="BU202" s="654"/>
      <c r="BV202" s="654"/>
      <c r="BW202" s="654"/>
    </row>
    <row r="203" spans="1:75" customFormat="1" ht="15" x14ac:dyDescent="0.25">
      <c r="A203" s="1052"/>
    </row>
    <row r="204" spans="1:75" customFormat="1" ht="15" x14ac:dyDescent="0.25">
      <c r="A204" s="1052"/>
    </row>
    <row r="205" spans="1:75" customFormat="1" ht="15" x14ac:dyDescent="0.25">
      <c r="A205" s="1052"/>
      <c r="AZ205" s="494"/>
      <c r="BU205" s="494"/>
    </row>
    <row r="206" spans="1:75" customFormat="1" ht="15" x14ac:dyDescent="0.25">
      <c r="A206" s="1052" t="s">
        <v>2585</v>
      </c>
    </row>
    <row r="207" spans="1:75" customFormat="1" ht="25.5" customHeight="1" x14ac:dyDescent="0.25">
      <c r="A207" s="1053" t="s">
        <v>1108</v>
      </c>
      <c r="B207" s="1025" t="s">
        <v>1260</v>
      </c>
      <c r="C207" s="1025" t="s">
        <v>228</v>
      </c>
      <c r="D207" s="1025" t="s">
        <v>48</v>
      </c>
      <c r="E207" s="1025" t="s">
        <v>1261</v>
      </c>
      <c r="F207" s="1025" t="s">
        <v>1262</v>
      </c>
      <c r="G207" s="1025" t="s">
        <v>1263</v>
      </c>
      <c r="H207" s="1025" t="s">
        <v>1264</v>
      </c>
      <c r="I207" s="1025" t="s">
        <v>1265</v>
      </c>
      <c r="J207" s="1025" t="s">
        <v>1266</v>
      </c>
      <c r="K207" s="1025" t="s">
        <v>1247</v>
      </c>
      <c r="L207" s="1025" t="s">
        <v>1248</v>
      </c>
      <c r="M207" s="1025" t="s">
        <v>1249</v>
      </c>
      <c r="N207" s="1025" t="s">
        <v>1250</v>
      </c>
      <c r="O207" s="1025" t="s">
        <v>1267</v>
      </c>
      <c r="P207" s="1025" t="s">
        <v>1268</v>
      </c>
      <c r="Q207" s="1025" t="s">
        <v>1269</v>
      </c>
      <c r="R207" s="1025" t="s">
        <v>1270</v>
      </c>
      <c r="S207" s="1025" t="s">
        <v>1271</v>
      </c>
      <c r="T207" s="1025" t="s">
        <v>1272</v>
      </c>
      <c r="U207" s="1025" t="s">
        <v>1273</v>
      </c>
      <c r="V207" s="1025" t="s">
        <v>379</v>
      </c>
      <c r="W207" s="1025" t="s">
        <v>232</v>
      </c>
      <c r="X207" s="1025" t="s">
        <v>1274</v>
      </c>
      <c r="Y207" s="1025" t="s">
        <v>1275</v>
      </c>
      <c r="Z207" s="1025" t="s">
        <v>1276</v>
      </c>
      <c r="AA207" s="1025" t="s">
        <v>1277</v>
      </c>
      <c r="AB207" s="1025" t="s">
        <v>1278</v>
      </c>
      <c r="AC207" s="1025" t="s">
        <v>1279</v>
      </c>
      <c r="AD207" s="1025" t="s">
        <v>1280</v>
      </c>
      <c r="AE207" s="1025" t="s">
        <v>1281</v>
      </c>
      <c r="AF207" s="1025" t="s">
        <v>1118</v>
      </c>
      <c r="AG207" s="1025" t="s">
        <v>1282</v>
      </c>
      <c r="AH207" s="1025" t="s">
        <v>1283</v>
      </c>
      <c r="AI207" s="1025" t="s">
        <v>1284</v>
      </c>
      <c r="AJ207" s="1025" t="s">
        <v>1285</v>
      </c>
      <c r="AK207" s="1025" t="s">
        <v>1286</v>
      </c>
      <c r="AL207" s="1025" t="s">
        <v>1287</v>
      </c>
      <c r="AM207" s="1025" t="s">
        <v>1288</v>
      </c>
      <c r="AN207" s="1025" t="s">
        <v>1289</v>
      </c>
      <c r="AO207" s="1025" t="s">
        <v>1290</v>
      </c>
      <c r="AP207" s="1025" t="s">
        <v>1291</v>
      </c>
      <c r="AQ207" s="1025" t="s">
        <v>1120</v>
      </c>
      <c r="AR207" s="1025" t="s">
        <v>1292</v>
      </c>
      <c r="AS207" s="1025" t="s">
        <v>1293</v>
      </c>
      <c r="AT207" s="1025" t="s">
        <v>1294</v>
      </c>
      <c r="AU207" s="1025" t="s">
        <v>1295</v>
      </c>
      <c r="AV207" s="1025" t="s">
        <v>1296</v>
      </c>
      <c r="AW207" s="1025" t="s">
        <v>1297</v>
      </c>
      <c r="AX207" s="1025" t="s">
        <v>1298</v>
      </c>
      <c r="AY207" s="1025" t="s">
        <v>1299</v>
      </c>
      <c r="AZ207" s="1025" t="s">
        <v>1300</v>
      </c>
      <c r="BA207" s="1025" t="s">
        <v>1301</v>
      </c>
      <c r="BB207" s="1025" t="s">
        <v>1302</v>
      </c>
      <c r="BC207" s="1025" t="s">
        <v>1303</v>
      </c>
      <c r="BD207" s="1025" t="s">
        <v>1304</v>
      </c>
      <c r="BE207" s="1025" t="s">
        <v>1305</v>
      </c>
      <c r="BF207" s="1025" t="s">
        <v>1306</v>
      </c>
      <c r="BG207" s="1025" t="s">
        <v>1307</v>
      </c>
      <c r="BH207" s="1025" t="s">
        <v>1308</v>
      </c>
      <c r="BI207" s="1025" t="s">
        <v>1309</v>
      </c>
      <c r="BJ207" s="1025" t="s">
        <v>1310</v>
      </c>
      <c r="BK207" s="1025" t="s">
        <v>1311</v>
      </c>
      <c r="BL207" s="1025" t="s">
        <v>1312</v>
      </c>
      <c r="BM207" s="1025" t="s">
        <v>1313</v>
      </c>
      <c r="BN207" s="1025" t="s">
        <v>1314</v>
      </c>
      <c r="BO207" s="1025" t="s">
        <v>1315</v>
      </c>
      <c r="BP207" s="1025" t="s">
        <v>1316</v>
      </c>
      <c r="BQ207" s="1025" t="s">
        <v>1317</v>
      </c>
      <c r="BR207" s="1025" t="s">
        <v>200</v>
      </c>
      <c r="BS207" s="1025" t="s">
        <v>1318</v>
      </c>
      <c r="BT207" s="1025" t="s">
        <v>1319</v>
      </c>
      <c r="BU207" s="1025" t="s">
        <v>1320</v>
      </c>
      <c r="BV207" s="1025" t="s">
        <v>1321</v>
      </c>
      <c r="BW207" s="1025" t="s">
        <v>1322</v>
      </c>
    </row>
    <row r="208" spans="1:75" customFormat="1" ht="15" x14ac:dyDescent="0.25">
      <c r="A208" s="1052" t="s">
        <v>2589</v>
      </c>
      <c r="B208" t="s">
        <v>2614</v>
      </c>
      <c r="C208" t="s">
        <v>2615</v>
      </c>
      <c r="D208" t="s">
        <v>2616</v>
      </c>
      <c r="E208" t="s">
        <v>1323</v>
      </c>
      <c r="F208" t="s">
        <v>1255</v>
      </c>
      <c r="G208" t="s">
        <v>1255</v>
      </c>
      <c r="H208" t="s">
        <v>1341</v>
      </c>
      <c r="I208">
        <v>497593.5</v>
      </c>
      <c r="J208" t="s">
        <v>18</v>
      </c>
      <c r="K208">
        <v>497593.5</v>
      </c>
      <c r="L208" t="s">
        <v>18</v>
      </c>
      <c r="M208">
        <v>497593.5</v>
      </c>
      <c r="N208" t="s">
        <v>18</v>
      </c>
      <c r="O208">
        <v>-2780.68</v>
      </c>
      <c r="P208">
        <v>-2780.68</v>
      </c>
      <c r="Q208">
        <v>-0.55570000000000008</v>
      </c>
      <c r="R208">
        <v>-0.55570000000000008</v>
      </c>
      <c r="T208" t="s">
        <v>2617</v>
      </c>
      <c r="U208" s="494">
        <v>46087</v>
      </c>
      <c r="V208">
        <v>144.22999999999999</v>
      </c>
      <c r="W208">
        <v>3450</v>
      </c>
      <c r="X208">
        <v>145.04</v>
      </c>
      <c r="Y208">
        <v>2.25</v>
      </c>
      <c r="AJ208" t="s">
        <v>236</v>
      </c>
      <c r="AO208">
        <v>497593.5</v>
      </c>
      <c r="AP208" t="s">
        <v>2546</v>
      </c>
      <c r="AQ208">
        <v>0</v>
      </c>
      <c r="AT208" t="s">
        <v>2618</v>
      </c>
      <c r="AZ208" s="494">
        <v>46079</v>
      </c>
      <c r="BA208">
        <v>75</v>
      </c>
      <c r="BO208" t="s">
        <v>342</v>
      </c>
      <c r="BP208" t="s">
        <v>342</v>
      </c>
      <c r="BQ208" t="s">
        <v>342</v>
      </c>
      <c r="BR208" t="s">
        <v>342</v>
      </c>
      <c r="BS208" t="s">
        <v>342</v>
      </c>
      <c r="BV208">
        <v>-2780.68</v>
      </c>
    </row>
    <row r="209" spans="1:75" customFormat="1" ht="15" x14ac:dyDescent="0.25">
      <c r="A209" s="1052" t="s">
        <v>2589</v>
      </c>
      <c r="B209" t="s">
        <v>2619</v>
      </c>
      <c r="C209" t="s">
        <v>2620</v>
      </c>
      <c r="D209" t="s">
        <v>2621</v>
      </c>
      <c r="E209" t="s">
        <v>1323</v>
      </c>
      <c r="F209" t="s">
        <v>1255</v>
      </c>
      <c r="G209" t="s">
        <v>1255</v>
      </c>
      <c r="H209" t="s">
        <v>1341</v>
      </c>
      <c r="I209">
        <v>496239</v>
      </c>
      <c r="J209" t="s">
        <v>18</v>
      </c>
      <c r="K209">
        <v>496239</v>
      </c>
      <c r="L209" t="s">
        <v>18</v>
      </c>
      <c r="M209">
        <v>496239</v>
      </c>
      <c r="N209" t="s">
        <v>18</v>
      </c>
      <c r="O209">
        <v>-4337.83</v>
      </c>
      <c r="P209">
        <v>-4337.83</v>
      </c>
      <c r="Q209">
        <v>-0.86660000000000004</v>
      </c>
      <c r="R209">
        <v>-0.86660000000000004</v>
      </c>
      <c r="T209" t="s">
        <v>2622</v>
      </c>
      <c r="U209" s="494">
        <v>46087</v>
      </c>
      <c r="V209">
        <v>156.05000000000001</v>
      </c>
      <c r="W209">
        <v>3180</v>
      </c>
      <c r="X209">
        <v>157.41</v>
      </c>
      <c r="Y209">
        <v>2.2400000000000002</v>
      </c>
      <c r="AJ209" t="s">
        <v>236</v>
      </c>
      <c r="AO209">
        <v>496239</v>
      </c>
      <c r="AP209" t="s">
        <v>2592</v>
      </c>
      <c r="AQ209">
        <v>0</v>
      </c>
      <c r="AS209" t="s">
        <v>2623</v>
      </c>
      <c r="AT209" t="s">
        <v>2624</v>
      </c>
      <c r="AZ209" s="494">
        <v>46079</v>
      </c>
      <c r="BA209">
        <v>87</v>
      </c>
      <c r="BO209" t="s">
        <v>342</v>
      </c>
      <c r="BP209" t="s">
        <v>342</v>
      </c>
      <c r="BQ209" t="s">
        <v>342</v>
      </c>
      <c r="BR209" t="s">
        <v>342</v>
      </c>
      <c r="BS209" t="s">
        <v>342</v>
      </c>
      <c r="BV209">
        <v>-4337.83</v>
      </c>
    </row>
    <row r="210" spans="1:75" customFormat="1" ht="15" x14ac:dyDescent="0.25">
      <c r="A210" s="1052" t="s">
        <v>2589</v>
      </c>
      <c r="B210" t="s">
        <v>2625</v>
      </c>
      <c r="C210" t="s">
        <v>1342</v>
      </c>
      <c r="D210" t="s">
        <v>1343</v>
      </c>
      <c r="E210" t="s">
        <v>1323</v>
      </c>
      <c r="F210" t="s">
        <v>2567</v>
      </c>
      <c r="G210" t="s">
        <v>1193</v>
      </c>
      <c r="H210" t="s">
        <v>1341</v>
      </c>
      <c r="I210">
        <v>1667823.27</v>
      </c>
      <c r="J210" t="s">
        <v>18</v>
      </c>
      <c r="K210">
        <v>1667823.27</v>
      </c>
      <c r="L210" t="s">
        <v>18</v>
      </c>
      <c r="M210">
        <v>1667823.27</v>
      </c>
      <c r="N210" t="s">
        <v>18</v>
      </c>
      <c r="O210">
        <v>6731.88</v>
      </c>
      <c r="P210">
        <v>6731.88</v>
      </c>
      <c r="Q210">
        <v>0.40529999999999999</v>
      </c>
      <c r="R210">
        <v>0.40529999999999999</v>
      </c>
      <c r="U210" s="494">
        <v>46087</v>
      </c>
      <c r="V210">
        <v>9.91</v>
      </c>
      <c r="W210">
        <v>168297</v>
      </c>
      <c r="X210">
        <v>9.8699999999999992</v>
      </c>
      <c r="Y210">
        <v>7.52</v>
      </c>
      <c r="AJ210" t="s">
        <v>236</v>
      </c>
      <c r="AO210">
        <v>1667823.27</v>
      </c>
      <c r="AP210" t="s">
        <v>1342</v>
      </c>
      <c r="AQ210">
        <v>0</v>
      </c>
      <c r="AS210" t="s">
        <v>2626</v>
      </c>
      <c r="AT210" t="s">
        <v>2627</v>
      </c>
      <c r="AZ210" s="494">
        <v>46015</v>
      </c>
      <c r="BA210">
        <v>70</v>
      </c>
      <c r="BO210" t="s">
        <v>342</v>
      </c>
      <c r="BP210" t="s">
        <v>342</v>
      </c>
      <c r="BQ210" t="s">
        <v>342</v>
      </c>
      <c r="BR210" t="s">
        <v>342</v>
      </c>
      <c r="BS210" t="s">
        <v>342</v>
      </c>
      <c r="BV210">
        <v>6731.88</v>
      </c>
    </row>
    <row r="211" spans="1:75" customFormat="1" ht="15" x14ac:dyDescent="0.25">
      <c r="A211" s="1052" t="s">
        <v>2589</v>
      </c>
      <c r="B211" t="s">
        <v>2628</v>
      </c>
      <c r="C211" t="s">
        <v>2568</v>
      </c>
      <c r="D211" t="s">
        <v>189</v>
      </c>
      <c r="E211" t="s">
        <v>1323</v>
      </c>
      <c r="F211" t="s">
        <v>2567</v>
      </c>
      <c r="G211" t="s">
        <v>1193</v>
      </c>
      <c r="H211" t="s">
        <v>1341</v>
      </c>
      <c r="I211">
        <v>4127817.9884500001</v>
      </c>
      <c r="J211" t="s">
        <v>18</v>
      </c>
      <c r="K211">
        <v>4127817.9884500001</v>
      </c>
      <c r="L211" t="s">
        <v>18</v>
      </c>
      <c r="M211">
        <v>4127817.9884500001</v>
      </c>
      <c r="N211" t="s">
        <v>18</v>
      </c>
      <c r="O211">
        <v>-37355.821550000001</v>
      </c>
      <c r="P211">
        <v>-37355.821550000001</v>
      </c>
      <c r="Q211">
        <v>-0.89689999999999992</v>
      </c>
      <c r="R211">
        <v>-0.89689999999999992</v>
      </c>
      <c r="U211" s="494">
        <v>46087</v>
      </c>
      <c r="V211">
        <v>11.05</v>
      </c>
      <c r="W211">
        <v>373558.18900000001</v>
      </c>
      <c r="X211">
        <v>11.15</v>
      </c>
      <c r="Y211">
        <v>18.62</v>
      </c>
      <c r="AJ211" t="s">
        <v>236</v>
      </c>
      <c r="AO211">
        <v>4127817.9884500001</v>
      </c>
      <c r="AP211" t="s">
        <v>2546</v>
      </c>
      <c r="AQ211">
        <v>0</v>
      </c>
      <c r="AT211" t="s">
        <v>2629</v>
      </c>
      <c r="AZ211" s="494">
        <v>46015</v>
      </c>
      <c r="BA211">
        <v>87</v>
      </c>
      <c r="BO211" t="s">
        <v>342</v>
      </c>
      <c r="BP211" t="s">
        <v>342</v>
      </c>
      <c r="BQ211" t="s">
        <v>342</v>
      </c>
      <c r="BR211" t="s">
        <v>342</v>
      </c>
      <c r="BS211" t="s">
        <v>342</v>
      </c>
      <c r="BV211">
        <v>-37355.821550000001</v>
      </c>
    </row>
    <row r="212" spans="1:75" customFormat="1" ht="15" x14ac:dyDescent="0.25">
      <c r="A212" s="1052" t="s">
        <v>2589</v>
      </c>
      <c r="B212" t="s">
        <v>2630</v>
      </c>
      <c r="C212" t="s">
        <v>1344</v>
      </c>
      <c r="D212" t="s">
        <v>780</v>
      </c>
      <c r="E212" t="s">
        <v>1323</v>
      </c>
      <c r="F212" t="s">
        <v>2569</v>
      </c>
      <c r="G212" t="s">
        <v>1252</v>
      </c>
      <c r="H212" t="s">
        <v>1341</v>
      </c>
      <c r="I212">
        <v>811005.9</v>
      </c>
      <c r="J212" t="s">
        <v>18</v>
      </c>
      <c r="K212">
        <v>811005.9</v>
      </c>
      <c r="L212" t="s">
        <v>18</v>
      </c>
      <c r="M212">
        <v>811005.9</v>
      </c>
      <c r="N212" t="s">
        <v>18</v>
      </c>
      <c r="O212">
        <v>7578.1</v>
      </c>
      <c r="P212">
        <v>7578.1</v>
      </c>
      <c r="Q212">
        <v>0.95540000000000003</v>
      </c>
      <c r="R212">
        <v>0.95540000000000003</v>
      </c>
      <c r="U212" s="494">
        <v>46087</v>
      </c>
      <c r="V212">
        <v>80.069999999999993</v>
      </c>
      <c r="W212">
        <v>1000000</v>
      </c>
      <c r="X212">
        <v>79.319999999999993</v>
      </c>
      <c r="Y212">
        <v>3.66</v>
      </c>
      <c r="AF212" s="494">
        <v>54377</v>
      </c>
      <c r="AG212" t="s">
        <v>2631</v>
      </c>
      <c r="AH212">
        <v>4.8259999999999996</v>
      </c>
      <c r="AI212">
        <v>4.8731</v>
      </c>
      <c r="AJ212" t="s">
        <v>2632</v>
      </c>
      <c r="AK212" s="494">
        <v>46157</v>
      </c>
      <c r="AO212">
        <v>811005.9</v>
      </c>
      <c r="AP212" t="s">
        <v>1344</v>
      </c>
      <c r="AQ212">
        <v>3.375</v>
      </c>
      <c r="AS212" t="s">
        <v>2633</v>
      </c>
      <c r="AT212" t="s">
        <v>2634</v>
      </c>
      <c r="AZ212" s="494">
        <v>46015</v>
      </c>
      <c r="BA212">
        <v>85</v>
      </c>
      <c r="BC212">
        <v>14.581</v>
      </c>
      <c r="BD212">
        <v>10263.700000000001</v>
      </c>
      <c r="BE212">
        <v>10263.700000000001</v>
      </c>
      <c r="BF212">
        <v>10263.700000000001</v>
      </c>
      <c r="BO212" t="s">
        <v>342</v>
      </c>
      <c r="BP212" t="s">
        <v>342</v>
      </c>
      <c r="BQ212" t="s">
        <v>342</v>
      </c>
      <c r="BR212" t="s">
        <v>342</v>
      </c>
      <c r="BS212" t="s">
        <v>342</v>
      </c>
      <c r="BV212">
        <v>7578.1</v>
      </c>
    </row>
    <row r="213" spans="1:75" customFormat="1" ht="15.75" thickBot="1" x14ac:dyDescent="0.3">
      <c r="A213" s="1052" t="s">
        <v>2589</v>
      </c>
      <c r="B213" t="s">
        <v>2635</v>
      </c>
      <c r="C213" t="s">
        <v>1345</v>
      </c>
      <c r="D213" t="s">
        <v>782</v>
      </c>
      <c r="E213" t="s">
        <v>1323</v>
      </c>
      <c r="F213" t="s">
        <v>2569</v>
      </c>
      <c r="G213" t="s">
        <v>1252</v>
      </c>
      <c r="H213" t="s">
        <v>1341</v>
      </c>
      <c r="I213">
        <v>999526.26</v>
      </c>
      <c r="J213" t="s">
        <v>18</v>
      </c>
      <c r="K213">
        <v>999526.26</v>
      </c>
      <c r="L213" t="s">
        <v>18</v>
      </c>
      <c r="M213">
        <v>999526.26</v>
      </c>
      <c r="N213" t="s">
        <v>18</v>
      </c>
      <c r="O213">
        <v>6562.5</v>
      </c>
      <c r="P213">
        <v>6562.5</v>
      </c>
      <c r="Q213">
        <v>0.66959999999999997</v>
      </c>
      <c r="R213">
        <v>0.66959999999999997</v>
      </c>
      <c r="U213" s="494">
        <v>46087</v>
      </c>
      <c r="V213">
        <v>98.66</v>
      </c>
      <c r="W213">
        <v>1000000</v>
      </c>
      <c r="X213">
        <v>98</v>
      </c>
      <c r="Y213">
        <v>4.51</v>
      </c>
      <c r="AF213" s="494">
        <v>50905</v>
      </c>
      <c r="AG213" t="s">
        <v>2636</v>
      </c>
      <c r="AH213">
        <v>4.3860000000000001</v>
      </c>
      <c r="AI213">
        <v>4.4202000000000004</v>
      </c>
      <c r="AJ213" t="s">
        <v>2632</v>
      </c>
      <c r="AK213" s="494">
        <v>46157</v>
      </c>
      <c r="AO213">
        <v>999526.26</v>
      </c>
      <c r="AP213" t="s">
        <v>1345</v>
      </c>
      <c r="AQ213">
        <v>4.25</v>
      </c>
      <c r="AS213" t="s">
        <v>2637</v>
      </c>
      <c r="AT213" t="s">
        <v>2638</v>
      </c>
      <c r="AZ213" s="494">
        <v>46015</v>
      </c>
      <c r="BA213">
        <v>88</v>
      </c>
      <c r="BC213">
        <v>9.8529999999999998</v>
      </c>
      <c r="BD213">
        <v>12924.66</v>
      </c>
      <c r="BE213">
        <v>12924.66</v>
      </c>
      <c r="BF213">
        <v>12924.66</v>
      </c>
      <c r="BO213" t="s">
        <v>342</v>
      </c>
      <c r="BP213" t="s">
        <v>342</v>
      </c>
      <c r="BQ213" t="s">
        <v>342</v>
      </c>
      <c r="BR213" t="s">
        <v>342</v>
      </c>
      <c r="BS213" t="s">
        <v>342</v>
      </c>
      <c r="BV213">
        <v>6562.5</v>
      </c>
    </row>
    <row r="214" spans="1:75" customFormat="1" ht="15.75" thickBot="1" x14ac:dyDescent="0.3">
      <c r="A214" s="1054"/>
      <c r="B214" s="654"/>
      <c r="C214" s="654" t="s">
        <v>913</v>
      </c>
      <c r="D214" s="654"/>
      <c r="E214" s="654"/>
      <c r="F214" s="654"/>
      <c r="G214" s="654"/>
      <c r="H214" s="654"/>
      <c r="I214" s="654">
        <v>8600005.9184499998</v>
      </c>
      <c r="J214" s="654"/>
      <c r="K214" s="654"/>
      <c r="L214" s="654"/>
      <c r="M214" s="654">
        <v>8600005.9184499998</v>
      </c>
      <c r="N214" s="654"/>
      <c r="O214" s="654"/>
      <c r="P214" s="654"/>
      <c r="Q214" s="654"/>
      <c r="R214" s="654"/>
      <c r="S214" s="654"/>
      <c r="T214" s="654"/>
      <c r="U214" s="654"/>
      <c r="V214" s="654"/>
      <c r="W214" s="654"/>
      <c r="X214" s="654"/>
      <c r="Y214" s="654">
        <v>38.799999999999997</v>
      </c>
      <c r="Z214" s="654"/>
      <c r="AA214" s="654"/>
      <c r="AB214" s="654"/>
      <c r="AC214" s="654"/>
      <c r="AD214" s="654"/>
      <c r="AE214" s="654"/>
      <c r="AF214" s="654"/>
      <c r="AG214" s="654"/>
      <c r="AH214" s="654"/>
      <c r="AI214" s="654"/>
      <c r="AJ214" s="654"/>
      <c r="AK214" s="654"/>
      <c r="AL214" s="654"/>
      <c r="AM214" s="654"/>
      <c r="AN214" s="654"/>
      <c r="AO214" s="654"/>
      <c r="AP214" s="654"/>
      <c r="AQ214" s="654"/>
      <c r="AR214" s="654"/>
      <c r="AS214" s="654"/>
      <c r="AT214" s="654"/>
      <c r="AU214" s="654"/>
      <c r="AV214" s="654"/>
      <c r="AW214" s="654"/>
      <c r="AX214" s="654"/>
      <c r="AY214" s="654"/>
      <c r="AZ214" s="654"/>
      <c r="BA214" s="654"/>
      <c r="BB214" s="654"/>
      <c r="BC214" s="654"/>
      <c r="BD214" s="654">
        <v>23188.36</v>
      </c>
      <c r="BE214" s="654"/>
      <c r="BF214" s="654"/>
      <c r="BG214" s="654"/>
      <c r="BH214" s="654"/>
      <c r="BI214" s="654"/>
      <c r="BJ214" s="654"/>
      <c r="BK214" s="654"/>
      <c r="BL214" s="654"/>
      <c r="BM214" s="654"/>
      <c r="BN214" s="654"/>
      <c r="BO214" s="654"/>
      <c r="BP214" s="654"/>
      <c r="BQ214" s="654"/>
      <c r="BR214" s="654"/>
      <c r="BS214" s="654"/>
      <c r="BT214" s="654"/>
      <c r="BU214" s="654"/>
      <c r="BV214" s="654"/>
      <c r="BW214" s="654"/>
    </row>
    <row r="215" spans="1:75" customFormat="1" ht="15" x14ac:dyDescent="0.25">
      <c r="A215" s="1052"/>
      <c r="AZ215" s="494"/>
      <c r="BU215" s="494"/>
    </row>
    <row r="216" spans="1:75" customFormat="1" ht="15" x14ac:dyDescent="0.25">
      <c r="A216" s="1052"/>
      <c r="AZ216" s="494"/>
      <c r="BU216" s="494"/>
    </row>
    <row r="217" spans="1:75" customFormat="1" ht="15" x14ac:dyDescent="0.25">
      <c r="A217" s="1052" t="s">
        <v>2585</v>
      </c>
    </row>
    <row r="218" spans="1:75" customFormat="1" ht="25.5" customHeight="1" x14ac:dyDescent="0.25">
      <c r="A218" s="1053" t="s">
        <v>1108</v>
      </c>
      <c r="B218" s="1025" t="s">
        <v>1260</v>
      </c>
      <c r="C218" s="1025" t="s">
        <v>228</v>
      </c>
      <c r="D218" s="1025" t="s">
        <v>48</v>
      </c>
      <c r="E218" s="1025" t="s">
        <v>1261</v>
      </c>
      <c r="F218" s="1025" t="s">
        <v>1262</v>
      </c>
      <c r="G218" s="1025" t="s">
        <v>1263</v>
      </c>
      <c r="H218" s="1025" t="s">
        <v>1264</v>
      </c>
      <c r="I218" s="1025" t="s">
        <v>1265</v>
      </c>
      <c r="J218" s="1025" t="s">
        <v>1266</v>
      </c>
      <c r="K218" s="1025" t="s">
        <v>1247</v>
      </c>
      <c r="L218" s="1025" t="s">
        <v>1248</v>
      </c>
      <c r="M218" s="1025" t="s">
        <v>1249</v>
      </c>
      <c r="N218" s="1025" t="s">
        <v>1250</v>
      </c>
      <c r="O218" s="1025" t="s">
        <v>1267</v>
      </c>
      <c r="P218" s="1025" t="s">
        <v>1268</v>
      </c>
      <c r="Q218" s="1025" t="s">
        <v>1269</v>
      </c>
      <c r="R218" s="1025" t="s">
        <v>1270</v>
      </c>
      <c r="S218" s="1025" t="s">
        <v>1271</v>
      </c>
      <c r="T218" s="1025" t="s">
        <v>1272</v>
      </c>
      <c r="U218" s="1025" t="s">
        <v>1273</v>
      </c>
      <c r="V218" s="1025" t="s">
        <v>379</v>
      </c>
      <c r="W218" s="1025" t="s">
        <v>232</v>
      </c>
      <c r="X218" s="1025" t="s">
        <v>1274</v>
      </c>
      <c r="Y218" s="1025" t="s">
        <v>1275</v>
      </c>
      <c r="Z218" s="1025" t="s">
        <v>1276</v>
      </c>
      <c r="AA218" s="1025" t="s">
        <v>1277</v>
      </c>
      <c r="AB218" s="1025" t="s">
        <v>1278</v>
      </c>
      <c r="AC218" s="1025" t="s">
        <v>1279</v>
      </c>
      <c r="AD218" s="1025" t="s">
        <v>1280</v>
      </c>
      <c r="AE218" s="1025" t="s">
        <v>1281</v>
      </c>
      <c r="AF218" s="1025" t="s">
        <v>1118</v>
      </c>
      <c r="AG218" s="1025" t="s">
        <v>1282</v>
      </c>
      <c r="AH218" s="1025" t="s">
        <v>1283</v>
      </c>
      <c r="AI218" s="1025" t="s">
        <v>1284</v>
      </c>
      <c r="AJ218" s="1025" t="s">
        <v>1285</v>
      </c>
      <c r="AK218" s="1025" t="s">
        <v>1286</v>
      </c>
      <c r="AL218" s="1025" t="s">
        <v>1287</v>
      </c>
      <c r="AM218" s="1025" t="s">
        <v>1288</v>
      </c>
      <c r="AN218" s="1025" t="s">
        <v>1289</v>
      </c>
      <c r="AO218" s="1025" t="s">
        <v>1290</v>
      </c>
      <c r="AP218" s="1025" t="s">
        <v>1291</v>
      </c>
      <c r="AQ218" s="1025" t="s">
        <v>1120</v>
      </c>
      <c r="AR218" s="1025" t="s">
        <v>1292</v>
      </c>
      <c r="AS218" s="1025" t="s">
        <v>1293</v>
      </c>
      <c r="AT218" s="1025" t="s">
        <v>1294</v>
      </c>
      <c r="AU218" s="1025" t="s">
        <v>1295</v>
      </c>
      <c r="AV218" s="1025" t="s">
        <v>1296</v>
      </c>
      <c r="AW218" s="1025" t="s">
        <v>1297</v>
      </c>
      <c r="AX218" s="1025" t="s">
        <v>1298</v>
      </c>
      <c r="AY218" s="1025" t="s">
        <v>1299</v>
      </c>
      <c r="AZ218" s="1025" t="s">
        <v>1300</v>
      </c>
      <c r="BA218" s="1025" t="s">
        <v>1301</v>
      </c>
      <c r="BB218" s="1025" t="s">
        <v>1302</v>
      </c>
      <c r="BC218" s="1025" t="s">
        <v>1303</v>
      </c>
      <c r="BD218" s="1025" t="s">
        <v>1304</v>
      </c>
      <c r="BE218" s="1025" t="s">
        <v>1305</v>
      </c>
      <c r="BF218" s="1025" t="s">
        <v>1306</v>
      </c>
      <c r="BG218" s="1025" t="s">
        <v>1307</v>
      </c>
      <c r="BH218" s="1025" t="s">
        <v>1308</v>
      </c>
      <c r="BI218" s="1025" t="s">
        <v>1309</v>
      </c>
      <c r="BJ218" s="1025" t="s">
        <v>1310</v>
      </c>
      <c r="BK218" s="1025" t="s">
        <v>1311</v>
      </c>
      <c r="BL218" s="1025" t="s">
        <v>1312</v>
      </c>
      <c r="BM218" s="1025" t="s">
        <v>1313</v>
      </c>
      <c r="BN218" s="1025" t="s">
        <v>1314</v>
      </c>
      <c r="BO218" s="1025" t="s">
        <v>1315</v>
      </c>
      <c r="BP218" s="1025" t="s">
        <v>1316</v>
      </c>
      <c r="BQ218" s="1025" t="s">
        <v>1317</v>
      </c>
      <c r="BR218" s="1025" t="s">
        <v>200</v>
      </c>
      <c r="BS218" s="1025" t="s">
        <v>1318</v>
      </c>
      <c r="BT218" s="1025" t="s">
        <v>1319</v>
      </c>
      <c r="BU218" s="1025" t="s">
        <v>1320</v>
      </c>
      <c r="BV218" s="1025" t="s">
        <v>1321</v>
      </c>
      <c r="BW218" s="1025" t="s">
        <v>1322</v>
      </c>
    </row>
    <row r="219" spans="1:75" customFormat="1" ht="15" x14ac:dyDescent="0.25">
      <c r="A219" s="1052" t="s">
        <v>2586</v>
      </c>
      <c r="B219" t="s">
        <v>887</v>
      </c>
      <c r="C219" t="s">
        <v>1325</v>
      </c>
      <c r="E219" t="s">
        <v>1323</v>
      </c>
      <c r="F219" t="s">
        <v>11</v>
      </c>
      <c r="G219" t="s">
        <v>46</v>
      </c>
      <c r="H219" t="s">
        <v>897</v>
      </c>
      <c r="I219">
        <v>213.43693200000001</v>
      </c>
      <c r="J219" t="s">
        <v>18</v>
      </c>
      <c r="K219">
        <v>166.31</v>
      </c>
      <c r="L219" t="s">
        <v>24</v>
      </c>
      <c r="M219">
        <v>213.43693200000001</v>
      </c>
      <c r="N219" t="s">
        <v>18</v>
      </c>
      <c r="V219">
        <v>0</v>
      </c>
      <c r="W219">
        <v>166.31</v>
      </c>
      <c r="Y219">
        <v>0</v>
      </c>
      <c r="AP219" t="s">
        <v>1324</v>
      </c>
      <c r="AU219" t="s">
        <v>2639</v>
      </c>
      <c r="AV219">
        <v>0</v>
      </c>
      <c r="AW219">
        <v>0</v>
      </c>
      <c r="AX219">
        <v>213.43693200000001</v>
      </c>
      <c r="AY219">
        <v>166.31</v>
      </c>
      <c r="AZ219" s="494">
        <v>46077</v>
      </c>
      <c r="BA219">
        <v>100</v>
      </c>
      <c r="BO219" t="s">
        <v>342</v>
      </c>
      <c r="BP219" t="s">
        <v>342</v>
      </c>
      <c r="BQ219" t="s">
        <v>342</v>
      </c>
      <c r="BR219" t="s">
        <v>342</v>
      </c>
      <c r="BS219" t="s">
        <v>342</v>
      </c>
      <c r="BT219">
        <v>0</v>
      </c>
      <c r="BU219" s="494">
        <v>46086</v>
      </c>
    </row>
    <row r="220" spans="1:75" customFormat="1" ht="15" x14ac:dyDescent="0.25">
      <c r="A220" s="1052" t="s">
        <v>2589</v>
      </c>
      <c r="B220" t="s">
        <v>887</v>
      </c>
      <c r="C220" t="s">
        <v>1325</v>
      </c>
      <c r="E220" t="s">
        <v>1323</v>
      </c>
      <c r="F220" t="s">
        <v>11</v>
      </c>
      <c r="G220" t="s">
        <v>46</v>
      </c>
      <c r="H220" t="s">
        <v>897</v>
      </c>
      <c r="I220">
        <v>0</v>
      </c>
      <c r="J220" t="s">
        <v>18</v>
      </c>
      <c r="K220">
        <v>0</v>
      </c>
      <c r="L220" t="s">
        <v>24</v>
      </c>
      <c r="M220">
        <v>0</v>
      </c>
      <c r="N220" t="s">
        <v>18</v>
      </c>
      <c r="V220">
        <v>0</v>
      </c>
      <c r="W220">
        <v>0</v>
      </c>
      <c r="Y220">
        <v>0</v>
      </c>
      <c r="AP220" t="s">
        <v>1324</v>
      </c>
      <c r="AU220" t="s">
        <v>2640</v>
      </c>
      <c r="AV220">
        <v>0</v>
      </c>
      <c r="AW220">
        <v>0</v>
      </c>
      <c r="AX220">
        <v>0</v>
      </c>
      <c r="AY220">
        <v>0</v>
      </c>
      <c r="AZ220" s="494">
        <v>43666</v>
      </c>
      <c r="BA220">
        <v>0</v>
      </c>
      <c r="BO220" t="s">
        <v>342</v>
      </c>
      <c r="BP220" t="s">
        <v>342</v>
      </c>
      <c r="BQ220" t="s">
        <v>342</v>
      </c>
      <c r="BR220" t="s">
        <v>342</v>
      </c>
      <c r="BS220" t="s">
        <v>342</v>
      </c>
      <c r="BT220">
        <v>0</v>
      </c>
      <c r="BU220" s="494">
        <v>46086</v>
      </c>
    </row>
    <row r="221" spans="1:75" customFormat="1" ht="15" x14ac:dyDescent="0.25">
      <c r="A221" s="1052" t="s">
        <v>2641</v>
      </c>
      <c r="B221" t="s">
        <v>887</v>
      </c>
      <c r="C221" t="s">
        <v>1325</v>
      </c>
      <c r="E221" t="s">
        <v>1323</v>
      </c>
      <c r="F221" t="s">
        <v>11</v>
      </c>
      <c r="G221" t="s">
        <v>46</v>
      </c>
      <c r="H221" t="s">
        <v>897</v>
      </c>
      <c r="I221">
        <v>0</v>
      </c>
      <c r="J221" t="s">
        <v>18</v>
      </c>
      <c r="K221">
        <v>0</v>
      </c>
      <c r="L221" t="s">
        <v>24</v>
      </c>
      <c r="M221">
        <v>0</v>
      </c>
      <c r="N221" t="s">
        <v>18</v>
      </c>
      <c r="V221">
        <v>0</v>
      </c>
      <c r="W221">
        <v>0</v>
      </c>
      <c r="Y221">
        <v>0</v>
      </c>
      <c r="AP221" t="s">
        <v>1324</v>
      </c>
      <c r="AU221" t="s">
        <v>2642</v>
      </c>
      <c r="AV221">
        <v>0</v>
      </c>
      <c r="AW221">
        <v>0</v>
      </c>
      <c r="AX221">
        <v>0</v>
      </c>
      <c r="AY221">
        <v>0</v>
      </c>
      <c r="AZ221" s="494">
        <v>43755</v>
      </c>
      <c r="BA221">
        <v>0</v>
      </c>
      <c r="BO221" t="s">
        <v>342</v>
      </c>
      <c r="BP221" t="s">
        <v>342</v>
      </c>
      <c r="BQ221" t="s">
        <v>342</v>
      </c>
      <c r="BR221" t="s">
        <v>342</v>
      </c>
      <c r="BS221" t="s">
        <v>342</v>
      </c>
      <c r="BT221">
        <v>0</v>
      </c>
      <c r="BU221" s="494">
        <v>46086</v>
      </c>
    </row>
    <row r="222" spans="1:75" customFormat="1" ht="15" x14ac:dyDescent="0.25">
      <c r="A222" s="1052" t="s">
        <v>1123</v>
      </c>
      <c r="B222" t="s">
        <v>887</v>
      </c>
      <c r="C222" t="s">
        <v>1325</v>
      </c>
      <c r="E222" t="s">
        <v>1323</v>
      </c>
      <c r="F222" t="s">
        <v>11</v>
      </c>
      <c r="G222" t="s">
        <v>46</v>
      </c>
      <c r="H222" t="s">
        <v>897</v>
      </c>
      <c r="I222">
        <v>-33134.944715999998</v>
      </c>
      <c r="J222" t="s">
        <v>18</v>
      </c>
      <c r="K222">
        <v>-25818.74</v>
      </c>
      <c r="L222" t="s">
        <v>24</v>
      </c>
      <c r="M222">
        <v>-33134.944715999998</v>
      </c>
      <c r="N222" t="s">
        <v>18</v>
      </c>
      <c r="V222">
        <v>0</v>
      </c>
      <c r="W222">
        <v>-25818.74</v>
      </c>
      <c r="Y222">
        <v>-0.15</v>
      </c>
      <c r="AP222" t="s">
        <v>1324</v>
      </c>
      <c r="AU222" t="s">
        <v>2643</v>
      </c>
      <c r="AV222">
        <v>-33134.944715999998</v>
      </c>
      <c r="AW222">
        <v>-25818.74</v>
      </c>
      <c r="AX222">
        <v>0</v>
      </c>
      <c r="AY222">
        <v>0</v>
      </c>
      <c r="AZ222" s="494">
        <v>45784</v>
      </c>
      <c r="BA222">
        <v>100</v>
      </c>
      <c r="BO222" t="s">
        <v>342</v>
      </c>
      <c r="BP222" t="s">
        <v>342</v>
      </c>
      <c r="BQ222" t="s">
        <v>342</v>
      </c>
      <c r="BR222" t="s">
        <v>342</v>
      </c>
      <c r="BS222" t="s">
        <v>342</v>
      </c>
      <c r="BT222">
        <v>0</v>
      </c>
      <c r="BU222" s="494">
        <v>46086</v>
      </c>
    </row>
    <row r="223" spans="1:75" customFormat="1" ht="15" x14ac:dyDescent="0.25">
      <c r="A223" s="1052" t="s">
        <v>2644</v>
      </c>
      <c r="B223" t="s">
        <v>887</v>
      </c>
      <c r="C223" t="s">
        <v>1325</v>
      </c>
      <c r="E223" t="s">
        <v>1323</v>
      </c>
      <c r="F223" t="s">
        <v>11</v>
      </c>
      <c r="G223" t="s">
        <v>46</v>
      </c>
      <c r="H223" t="s">
        <v>897</v>
      </c>
      <c r="I223">
        <v>0</v>
      </c>
      <c r="J223" t="s">
        <v>18</v>
      </c>
      <c r="K223">
        <v>0</v>
      </c>
      <c r="L223" t="s">
        <v>24</v>
      </c>
      <c r="M223">
        <v>0</v>
      </c>
      <c r="N223" t="s">
        <v>18</v>
      </c>
      <c r="V223">
        <v>0</v>
      </c>
      <c r="W223">
        <v>0</v>
      </c>
      <c r="Y223">
        <v>0</v>
      </c>
      <c r="AP223" t="s">
        <v>1324</v>
      </c>
      <c r="AU223" t="s">
        <v>2645</v>
      </c>
      <c r="AV223">
        <v>0</v>
      </c>
      <c r="AW223">
        <v>0</v>
      </c>
      <c r="AX223">
        <v>0</v>
      </c>
      <c r="AY223">
        <v>0</v>
      </c>
      <c r="AZ223" s="494">
        <v>45863</v>
      </c>
      <c r="BA223">
        <v>0</v>
      </c>
      <c r="BO223" t="s">
        <v>342</v>
      </c>
      <c r="BP223" t="s">
        <v>342</v>
      </c>
      <c r="BQ223" t="s">
        <v>342</v>
      </c>
      <c r="BR223" t="s">
        <v>342</v>
      </c>
      <c r="BS223" t="s">
        <v>342</v>
      </c>
      <c r="BT223">
        <v>0</v>
      </c>
      <c r="BU223" s="494">
        <v>46086</v>
      </c>
    </row>
    <row r="224" spans="1:75" customFormat="1" ht="15" x14ac:dyDescent="0.25">
      <c r="A224" s="1052" t="s">
        <v>2646</v>
      </c>
      <c r="B224" t="s">
        <v>887</v>
      </c>
      <c r="C224" t="s">
        <v>1325</v>
      </c>
      <c r="E224" t="s">
        <v>1323</v>
      </c>
      <c r="F224" t="s">
        <v>11</v>
      </c>
      <c r="G224" t="s">
        <v>46</v>
      </c>
      <c r="H224" t="s">
        <v>897</v>
      </c>
      <c r="I224">
        <v>0</v>
      </c>
      <c r="J224" t="s">
        <v>19</v>
      </c>
      <c r="K224">
        <v>0</v>
      </c>
      <c r="L224" t="s">
        <v>24</v>
      </c>
      <c r="M224">
        <v>0</v>
      </c>
      <c r="N224" t="s">
        <v>18</v>
      </c>
      <c r="V224">
        <v>0</v>
      </c>
      <c r="W224">
        <v>0</v>
      </c>
      <c r="Y224">
        <v>0</v>
      </c>
      <c r="AP224" t="s">
        <v>1324</v>
      </c>
      <c r="AU224" t="s">
        <v>2647</v>
      </c>
      <c r="AV224">
        <v>0</v>
      </c>
      <c r="AW224">
        <v>0</v>
      </c>
      <c r="AX224">
        <v>0</v>
      </c>
      <c r="AY224">
        <v>0</v>
      </c>
      <c r="AZ224" s="494">
        <v>43755</v>
      </c>
      <c r="BA224">
        <v>0</v>
      </c>
      <c r="BO224" t="s">
        <v>342</v>
      </c>
      <c r="BP224" t="s">
        <v>342</v>
      </c>
      <c r="BQ224" t="s">
        <v>342</v>
      </c>
      <c r="BR224" t="s">
        <v>342</v>
      </c>
      <c r="BS224" t="s">
        <v>342</v>
      </c>
      <c r="BT224">
        <v>0</v>
      </c>
      <c r="BU224" s="494">
        <v>46086</v>
      </c>
    </row>
    <row r="225" spans="1:73" customFormat="1" ht="15" x14ac:dyDescent="0.25">
      <c r="A225" s="1052" t="s">
        <v>2648</v>
      </c>
      <c r="B225" t="s">
        <v>887</v>
      </c>
      <c r="C225" t="s">
        <v>1325</v>
      </c>
      <c r="E225" t="s">
        <v>1323</v>
      </c>
      <c r="F225" t="s">
        <v>11</v>
      </c>
      <c r="G225" t="s">
        <v>46</v>
      </c>
      <c r="H225" t="s">
        <v>897</v>
      </c>
      <c r="I225">
        <v>0</v>
      </c>
      <c r="J225" t="s">
        <v>19</v>
      </c>
      <c r="K225">
        <v>0</v>
      </c>
      <c r="L225" t="s">
        <v>24</v>
      </c>
      <c r="M225">
        <v>0</v>
      </c>
      <c r="N225" t="s">
        <v>18</v>
      </c>
      <c r="V225">
        <v>0</v>
      </c>
      <c r="W225">
        <v>0</v>
      </c>
      <c r="Y225">
        <v>0</v>
      </c>
      <c r="AP225" t="s">
        <v>1324</v>
      </c>
      <c r="AU225" t="s">
        <v>2649</v>
      </c>
      <c r="AV225">
        <v>0</v>
      </c>
      <c r="AW225">
        <v>0</v>
      </c>
      <c r="AX225">
        <v>0</v>
      </c>
      <c r="AY225">
        <v>0</v>
      </c>
      <c r="AZ225" s="494">
        <v>45863</v>
      </c>
      <c r="BA225">
        <v>0</v>
      </c>
      <c r="BO225" t="s">
        <v>342</v>
      </c>
      <c r="BP225" t="s">
        <v>342</v>
      </c>
      <c r="BQ225" t="s">
        <v>342</v>
      </c>
      <c r="BR225" t="s">
        <v>342</v>
      </c>
      <c r="BS225" t="s">
        <v>342</v>
      </c>
      <c r="BT225">
        <v>0</v>
      </c>
      <c r="BU225" s="494">
        <v>46086</v>
      </c>
    </row>
    <row r="226" spans="1:73" customFormat="1" ht="15" x14ac:dyDescent="0.25">
      <c r="A226" s="1052" t="s">
        <v>1121</v>
      </c>
      <c r="B226" t="s">
        <v>2650</v>
      </c>
      <c r="C226" t="s">
        <v>2651</v>
      </c>
      <c r="E226" t="s">
        <v>1323</v>
      </c>
      <c r="F226" t="s">
        <v>11</v>
      </c>
      <c r="G226" t="s">
        <v>46</v>
      </c>
      <c r="H226" t="s">
        <v>897</v>
      </c>
      <c r="I226">
        <v>0</v>
      </c>
      <c r="J226" t="s">
        <v>18</v>
      </c>
      <c r="K226">
        <v>0</v>
      </c>
      <c r="L226" t="s">
        <v>2652</v>
      </c>
      <c r="M226">
        <v>0</v>
      </c>
      <c r="N226" t="s">
        <v>18</v>
      </c>
      <c r="V226">
        <v>0</v>
      </c>
      <c r="W226">
        <v>0</v>
      </c>
      <c r="Y226">
        <v>0</v>
      </c>
      <c r="AP226" t="s">
        <v>1324</v>
      </c>
      <c r="AU226" t="s">
        <v>2653</v>
      </c>
      <c r="AV226">
        <v>0</v>
      </c>
      <c r="AW226">
        <v>0</v>
      </c>
      <c r="AX226">
        <v>0</v>
      </c>
      <c r="AY226">
        <v>0</v>
      </c>
      <c r="AZ226" s="494">
        <v>45070</v>
      </c>
      <c r="BA226">
        <v>0</v>
      </c>
      <c r="BO226" t="s">
        <v>342</v>
      </c>
      <c r="BP226" t="s">
        <v>342</v>
      </c>
      <c r="BQ226" t="s">
        <v>342</v>
      </c>
      <c r="BR226" t="s">
        <v>342</v>
      </c>
      <c r="BS226" t="s">
        <v>342</v>
      </c>
      <c r="BT226">
        <v>0</v>
      </c>
      <c r="BU226" s="494">
        <v>46086</v>
      </c>
    </row>
    <row r="227" spans="1:73" customFormat="1" ht="15" x14ac:dyDescent="0.25">
      <c r="A227" s="1052" t="s">
        <v>2644</v>
      </c>
      <c r="B227" t="s">
        <v>2650</v>
      </c>
      <c r="C227" t="s">
        <v>2651</v>
      </c>
      <c r="E227" t="s">
        <v>1323</v>
      </c>
      <c r="F227" t="s">
        <v>11</v>
      </c>
      <c r="G227" t="s">
        <v>46</v>
      </c>
      <c r="H227" t="s">
        <v>897</v>
      </c>
      <c r="I227">
        <v>0</v>
      </c>
      <c r="J227" t="s">
        <v>18</v>
      </c>
      <c r="K227">
        <v>0</v>
      </c>
      <c r="L227" t="s">
        <v>2652</v>
      </c>
      <c r="M227">
        <v>0</v>
      </c>
      <c r="N227" t="s">
        <v>18</v>
      </c>
      <c r="V227">
        <v>0</v>
      </c>
      <c r="W227">
        <v>0</v>
      </c>
      <c r="Y227">
        <v>0</v>
      </c>
      <c r="AP227" t="s">
        <v>1324</v>
      </c>
      <c r="AU227" t="s">
        <v>2645</v>
      </c>
      <c r="AV227">
        <v>0</v>
      </c>
      <c r="AW227">
        <v>0</v>
      </c>
      <c r="AX227">
        <v>0</v>
      </c>
      <c r="AY227">
        <v>0</v>
      </c>
      <c r="AZ227" s="494">
        <v>45863</v>
      </c>
      <c r="BA227">
        <v>0</v>
      </c>
      <c r="BO227" t="s">
        <v>342</v>
      </c>
      <c r="BP227" t="s">
        <v>342</v>
      </c>
      <c r="BQ227" t="s">
        <v>342</v>
      </c>
      <c r="BR227" t="s">
        <v>342</v>
      </c>
      <c r="BS227" t="s">
        <v>342</v>
      </c>
      <c r="BT227">
        <v>0</v>
      </c>
      <c r="BU227" s="494">
        <v>46086</v>
      </c>
    </row>
    <row r="228" spans="1:73" customFormat="1" ht="15" x14ac:dyDescent="0.25">
      <c r="A228" s="1052" t="s">
        <v>2586</v>
      </c>
      <c r="B228" t="s">
        <v>1326</v>
      </c>
      <c r="C228" t="s">
        <v>1327</v>
      </c>
      <c r="E228" t="s">
        <v>1323</v>
      </c>
      <c r="F228" t="s">
        <v>11</v>
      </c>
      <c r="G228" t="s">
        <v>46</v>
      </c>
      <c r="H228" t="s">
        <v>897</v>
      </c>
      <c r="I228">
        <v>3200.8506109999998</v>
      </c>
      <c r="J228" t="s">
        <v>18</v>
      </c>
      <c r="K228">
        <v>20658.93</v>
      </c>
      <c r="L228" t="s">
        <v>1328</v>
      </c>
      <c r="M228">
        <v>3200.8506109999998</v>
      </c>
      <c r="N228" t="s">
        <v>18</v>
      </c>
      <c r="V228">
        <v>0</v>
      </c>
      <c r="W228">
        <v>20658.93</v>
      </c>
      <c r="Y228">
        <v>0.01</v>
      </c>
      <c r="AP228" t="s">
        <v>1324</v>
      </c>
      <c r="AU228" t="s">
        <v>2639</v>
      </c>
      <c r="AV228">
        <v>0</v>
      </c>
      <c r="AW228">
        <v>0</v>
      </c>
      <c r="AX228">
        <v>3200.8506109999998</v>
      </c>
      <c r="AY228">
        <v>20658.93</v>
      </c>
      <c r="AZ228" s="494">
        <v>46077</v>
      </c>
      <c r="BA228">
        <v>100</v>
      </c>
      <c r="BO228" t="s">
        <v>342</v>
      </c>
      <c r="BP228" t="s">
        <v>342</v>
      </c>
      <c r="BQ228" t="s">
        <v>342</v>
      </c>
      <c r="BR228" t="s">
        <v>342</v>
      </c>
      <c r="BS228" t="s">
        <v>342</v>
      </c>
      <c r="BT228">
        <v>0.92</v>
      </c>
      <c r="BU228" s="494">
        <v>46086</v>
      </c>
    </row>
    <row r="229" spans="1:73" customFormat="1" ht="15" x14ac:dyDescent="0.25">
      <c r="A229" s="1052" t="s">
        <v>2654</v>
      </c>
      <c r="B229" t="s">
        <v>1329</v>
      </c>
      <c r="C229" t="s">
        <v>1330</v>
      </c>
      <c r="E229" t="s">
        <v>1323</v>
      </c>
      <c r="F229" t="s">
        <v>11</v>
      </c>
      <c r="G229" t="s">
        <v>46</v>
      </c>
      <c r="H229" t="s">
        <v>897</v>
      </c>
      <c r="I229">
        <v>0</v>
      </c>
      <c r="J229" t="s">
        <v>19</v>
      </c>
      <c r="K229">
        <v>0</v>
      </c>
      <c r="L229" t="s">
        <v>21</v>
      </c>
      <c r="M229">
        <v>0</v>
      </c>
      <c r="N229" t="s">
        <v>18</v>
      </c>
      <c r="V229">
        <v>0</v>
      </c>
      <c r="W229">
        <v>0</v>
      </c>
      <c r="Y229">
        <v>0</v>
      </c>
      <c r="AP229" t="s">
        <v>1324</v>
      </c>
      <c r="AU229" t="s">
        <v>2655</v>
      </c>
      <c r="AV229">
        <v>0</v>
      </c>
      <c r="AW229">
        <v>0</v>
      </c>
      <c r="AX229">
        <v>0</v>
      </c>
      <c r="AY229">
        <v>0</v>
      </c>
      <c r="AZ229" s="494">
        <v>43666</v>
      </c>
      <c r="BA229">
        <v>0</v>
      </c>
      <c r="BO229" t="s">
        <v>342</v>
      </c>
      <c r="BP229" t="s">
        <v>342</v>
      </c>
      <c r="BQ229" t="s">
        <v>342</v>
      </c>
      <c r="BR229" t="s">
        <v>342</v>
      </c>
      <c r="BS229" t="s">
        <v>342</v>
      </c>
      <c r="BT229">
        <v>0</v>
      </c>
      <c r="BU229" s="494">
        <v>46086</v>
      </c>
    </row>
    <row r="230" spans="1:73" customFormat="1" ht="15" x14ac:dyDescent="0.25">
      <c r="A230" s="1052" t="s">
        <v>2656</v>
      </c>
      <c r="B230" t="s">
        <v>1329</v>
      </c>
      <c r="C230" t="s">
        <v>1330</v>
      </c>
      <c r="E230" t="s">
        <v>1323</v>
      </c>
      <c r="F230" t="s">
        <v>11</v>
      </c>
      <c r="G230" t="s">
        <v>46</v>
      </c>
      <c r="H230" t="s">
        <v>897</v>
      </c>
      <c r="I230">
        <v>0</v>
      </c>
      <c r="J230" t="s">
        <v>19</v>
      </c>
      <c r="K230">
        <v>0</v>
      </c>
      <c r="L230" t="s">
        <v>21</v>
      </c>
      <c r="M230">
        <v>0</v>
      </c>
      <c r="N230" t="s">
        <v>18</v>
      </c>
      <c r="V230">
        <v>0</v>
      </c>
      <c r="W230">
        <v>0</v>
      </c>
      <c r="Y230">
        <v>0</v>
      </c>
      <c r="AP230" t="s">
        <v>1324</v>
      </c>
      <c r="AU230" t="s">
        <v>2657</v>
      </c>
      <c r="AV230">
        <v>0</v>
      </c>
      <c r="AW230">
        <v>0</v>
      </c>
      <c r="AX230">
        <v>0</v>
      </c>
      <c r="AY230">
        <v>0</v>
      </c>
      <c r="AZ230" s="494">
        <v>43666</v>
      </c>
      <c r="BA230">
        <v>0</v>
      </c>
      <c r="BO230" t="s">
        <v>342</v>
      </c>
      <c r="BP230" t="s">
        <v>342</v>
      </c>
      <c r="BQ230" t="s">
        <v>342</v>
      </c>
      <c r="BR230" t="s">
        <v>342</v>
      </c>
      <c r="BS230" t="s">
        <v>342</v>
      </c>
      <c r="BT230">
        <v>0</v>
      </c>
      <c r="BU230" s="494">
        <v>46086</v>
      </c>
    </row>
    <row r="231" spans="1:73" customFormat="1" ht="15" x14ac:dyDescent="0.25">
      <c r="A231" s="1052" t="s">
        <v>2658</v>
      </c>
      <c r="B231" t="s">
        <v>1329</v>
      </c>
      <c r="C231" t="s">
        <v>1330</v>
      </c>
      <c r="E231" t="s">
        <v>1323</v>
      </c>
      <c r="F231" t="s">
        <v>11</v>
      </c>
      <c r="G231" t="s">
        <v>46</v>
      </c>
      <c r="H231" t="s">
        <v>897</v>
      </c>
      <c r="I231">
        <v>0</v>
      </c>
      <c r="J231" t="s">
        <v>19</v>
      </c>
      <c r="K231">
        <v>0</v>
      </c>
      <c r="L231" t="s">
        <v>21</v>
      </c>
      <c r="M231">
        <v>0</v>
      </c>
      <c r="N231" t="s">
        <v>18</v>
      </c>
      <c r="V231">
        <v>0</v>
      </c>
      <c r="W231">
        <v>0</v>
      </c>
      <c r="Y231">
        <v>0</v>
      </c>
      <c r="AP231" t="s">
        <v>1324</v>
      </c>
      <c r="AU231" t="s">
        <v>2659</v>
      </c>
      <c r="AV231">
        <v>0</v>
      </c>
      <c r="AW231">
        <v>0</v>
      </c>
      <c r="AX231">
        <v>0</v>
      </c>
      <c r="AY231">
        <v>0</v>
      </c>
      <c r="AZ231" s="494">
        <v>43666</v>
      </c>
      <c r="BA231">
        <v>0</v>
      </c>
      <c r="BO231" t="s">
        <v>342</v>
      </c>
      <c r="BP231" t="s">
        <v>342</v>
      </c>
      <c r="BQ231" t="s">
        <v>342</v>
      </c>
      <c r="BR231" t="s">
        <v>342</v>
      </c>
      <c r="BS231" t="s">
        <v>342</v>
      </c>
      <c r="BT231">
        <v>0</v>
      </c>
      <c r="BU231" s="494">
        <v>46086</v>
      </c>
    </row>
    <row r="232" spans="1:73" customFormat="1" ht="15" x14ac:dyDescent="0.25">
      <c r="A232" s="1052" t="s">
        <v>2646</v>
      </c>
      <c r="B232" t="s">
        <v>1329</v>
      </c>
      <c r="C232" t="s">
        <v>1330</v>
      </c>
      <c r="E232" t="s">
        <v>1323</v>
      </c>
      <c r="F232" t="s">
        <v>11</v>
      </c>
      <c r="G232" t="s">
        <v>46</v>
      </c>
      <c r="H232" t="s">
        <v>897</v>
      </c>
      <c r="I232">
        <v>0</v>
      </c>
      <c r="J232" t="s">
        <v>19</v>
      </c>
      <c r="K232">
        <v>0</v>
      </c>
      <c r="L232" t="s">
        <v>21</v>
      </c>
      <c r="M232">
        <v>0</v>
      </c>
      <c r="N232" t="s">
        <v>18</v>
      </c>
      <c r="V232">
        <v>0</v>
      </c>
      <c r="W232">
        <v>0</v>
      </c>
      <c r="Y232">
        <v>0</v>
      </c>
      <c r="AP232" t="s">
        <v>1324</v>
      </c>
      <c r="AU232" t="s">
        <v>2647</v>
      </c>
      <c r="AV232">
        <v>0</v>
      </c>
      <c r="AW232">
        <v>0</v>
      </c>
      <c r="AX232">
        <v>0</v>
      </c>
      <c r="AY232">
        <v>0</v>
      </c>
      <c r="AZ232" s="494">
        <v>43666</v>
      </c>
      <c r="BA232">
        <v>0</v>
      </c>
      <c r="BO232" t="s">
        <v>342</v>
      </c>
      <c r="BP232" t="s">
        <v>342</v>
      </c>
      <c r="BQ232" t="s">
        <v>342</v>
      </c>
      <c r="BR232" t="s">
        <v>342</v>
      </c>
      <c r="BS232" t="s">
        <v>342</v>
      </c>
      <c r="BT232">
        <v>0</v>
      </c>
      <c r="BU232" s="494">
        <v>46086</v>
      </c>
    </row>
    <row r="233" spans="1:73" customFormat="1" ht="15" x14ac:dyDescent="0.25">
      <c r="A233" s="1052" t="s">
        <v>1194</v>
      </c>
      <c r="B233" t="s">
        <v>1329</v>
      </c>
      <c r="C233" t="s">
        <v>1330</v>
      </c>
      <c r="E233" t="s">
        <v>1323</v>
      </c>
      <c r="F233" t="s">
        <v>11</v>
      </c>
      <c r="G233" t="s">
        <v>46</v>
      </c>
      <c r="H233" t="s">
        <v>897</v>
      </c>
      <c r="I233">
        <v>321.40311500000001</v>
      </c>
      <c r="J233" t="s">
        <v>19</v>
      </c>
      <c r="K233">
        <v>371.31</v>
      </c>
      <c r="L233" t="s">
        <v>21</v>
      </c>
      <c r="M233">
        <v>429.82845600000002</v>
      </c>
      <c r="N233" t="s">
        <v>18</v>
      </c>
      <c r="V233">
        <v>0</v>
      </c>
      <c r="W233">
        <v>371.31</v>
      </c>
      <c r="Y233">
        <v>0</v>
      </c>
      <c r="AP233" t="s">
        <v>1324</v>
      </c>
      <c r="AU233" t="s">
        <v>2660</v>
      </c>
      <c r="AV233">
        <v>0</v>
      </c>
      <c r="AW233">
        <v>0</v>
      </c>
      <c r="AX233">
        <v>429.82845600000002</v>
      </c>
      <c r="AY233">
        <v>371.31</v>
      </c>
      <c r="AZ233" s="494">
        <v>44137</v>
      </c>
      <c r="BA233">
        <v>100</v>
      </c>
      <c r="BO233" t="s">
        <v>342</v>
      </c>
      <c r="BP233" t="s">
        <v>342</v>
      </c>
      <c r="BQ233" t="s">
        <v>342</v>
      </c>
      <c r="BR233" t="s">
        <v>342</v>
      </c>
      <c r="BS233" t="s">
        <v>342</v>
      </c>
      <c r="BT233">
        <v>0</v>
      </c>
      <c r="BU233" s="494">
        <v>46086</v>
      </c>
    </row>
    <row r="234" spans="1:73" customFormat="1" ht="15" x14ac:dyDescent="0.25">
      <c r="A234" s="1052" t="s">
        <v>2661</v>
      </c>
      <c r="B234" t="s">
        <v>1329</v>
      </c>
      <c r="C234" t="s">
        <v>1330</v>
      </c>
      <c r="E234" t="s">
        <v>1323</v>
      </c>
      <c r="F234" t="s">
        <v>11</v>
      </c>
      <c r="G234" t="s">
        <v>46</v>
      </c>
      <c r="H234" t="s">
        <v>897</v>
      </c>
      <c r="I234">
        <v>0</v>
      </c>
      <c r="J234" t="s">
        <v>19</v>
      </c>
      <c r="K234">
        <v>0</v>
      </c>
      <c r="L234" t="s">
        <v>21</v>
      </c>
      <c r="M234">
        <v>0</v>
      </c>
      <c r="N234" t="s">
        <v>18</v>
      </c>
      <c r="V234">
        <v>0</v>
      </c>
      <c r="W234">
        <v>0</v>
      </c>
      <c r="Y234">
        <v>0</v>
      </c>
      <c r="AP234" t="s">
        <v>1324</v>
      </c>
      <c r="AU234" t="s">
        <v>2662</v>
      </c>
      <c r="AV234">
        <v>0</v>
      </c>
      <c r="AW234">
        <v>0</v>
      </c>
      <c r="AX234">
        <v>0</v>
      </c>
      <c r="AY234">
        <v>0</v>
      </c>
      <c r="AZ234" s="494">
        <v>45413</v>
      </c>
      <c r="BA234">
        <v>0</v>
      </c>
      <c r="BO234" t="s">
        <v>342</v>
      </c>
      <c r="BP234" t="s">
        <v>342</v>
      </c>
      <c r="BQ234" t="s">
        <v>342</v>
      </c>
      <c r="BR234" t="s">
        <v>342</v>
      </c>
      <c r="BS234" t="s">
        <v>342</v>
      </c>
      <c r="BT234">
        <v>0</v>
      </c>
      <c r="BU234" s="494">
        <v>46086</v>
      </c>
    </row>
    <row r="235" spans="1:73" customFormat="1" ht="15" x14ac:dyDescent="0.25">
      <c r="A235" s="1052" t="s">
        <v>2648</v>
      </c>
      <c r="B235" t="s">
        <v>1329</v>
      </c>
      <c r="C235" t="s">
        <v>1330</v>
      </c>
      <c r="E235" t="s">
        <v>1323</v>
      </c>
      <c r="F235" t="s">
        <v>11</v>
      </c>
      <c r="G235" t="s">
        <v>46</v>
      </c>
      <c r="H235" t="s">
        <v>897</v>
      </c>
      <c r="I235">
        <v>16.480879000000002</v>
      </c>
      <c r="J235" t="s">
        <v>19</v>
      </c>
      <c r="K235">
        <v>19.04</v>
      </c>
      <c r="L235" t="s">
        <v>21</v>
      </c>
      <c r="M235">
        <v>22.040704000000002</v>
      </c>
      <c r="N235" t="s">
        <v>18</v>
      </c>
      <c r="V235">
        <v>0</v>
      </c>
      <c r="W235">
        <v>19.04</v>
      </c>
      <c r="Y235">
        <v>0</v>
      </c>
      <c r="AP235" t="s">
        <v>1324</v>
      </c>
      <c r="AU235" t="s">
        <v>2649</v>
      </c>
      <c r="AV235">
        <v>0</v>
      </c>
      <c r="AW235">
        <v>0</v>
      </c>
      <c r="AX235">
        <v>22.040704000000002</v>
      </c>
      <c r="AY235">
        <v>19.04</v>
      </c>
      <c r="AZ235" s="494">
        <v>45861</v>
      </c>
      <c r="BA235">
        <v>100</v>
      </c>
      <c r="BO235" t="s">
        <v>342</v>
      </c>
      <c r="BP235" t="s">
        <v>342</v>
      </c>
      <c r="BQ235" t="s">
        <v>342</v>
      </c>
      <c r="BR235" t="s">
        <v>342</v>
      </c>
      <c r="BS235" t="s">
        <v>342</v>
      </c>
      <c r="BT235">
        <v>0</v>
      </c>
      <c r="BU235" s="494">
        <v>46086</v>
      </c>
    </row>
    <row r="236" spans="1:73" customFormat="1" ht="15" x14ac:dyDescent="0.25">
      <c r="A236" s="1052" t="s">
        <v>2586</v>
      </c>
      <c r="B236" t="s">
        <v>1329</v>
      </c>
      <c r="C236" t="s">
        <v>1330</v>
      </c>
      <c r="E236" t="s">
        <v>1323</v>
      </c>
      <c r="F236" t="s">
        <v>11</v>
      </c>
      <c r="G236" t="s">
        <v>46</v>
      </c>
      <c r="H236" t="s">
        <v>897</v>
      </c>
      <c r="I236">
        <v>96724.830759999997</v>
      </c>
      <c r="J236" t="s">
        <v>18</v>
      </c>
      <c r="K236">
        <v>83556.350000000006</v>
      </c>
      <c r="L236" t="s">
        <v>21</v>
      </c>
      <c r="M236">
        <v>96724.830759999997</v>
      </c>
      <c r="N236" t="s">
        <v>18</v>
      </c>
      <c r="V236">
        <v>0</v>
      </c>
      <c r="W236">
        <v>83556.350000000006</v>
      </c>
      <c r="Y236">
        <v>0.44</v>
      </c>
      <c r="AP236" t="s">
        <v>1324</v>
      </c>
      <c r="AU236" t="s">
        <v>2639</v>
      </c>
      <c r="AV236">
        <v>0</v>
      </c>
      <c r="AW236">
        <v>0</v>
      </c>
      <c r="AX236">
        <v>96724.830759999997</v>
      </c>
      <c r="AY236">
        <v>83556.350000000006</v>
      </c>
      <c r="AZ236" s="494">
        <v>46038</v>
      </c>
      <c r="BA236">
        <v>100</v>
      </c>
      <c r="BO236" t="s">
        <v>342</v>
      </c>
      <c r="BP236" t="s">
        <v>342</v>
      </c>
      <c r="BQ236" t="s">
        <v>342</v>
      </c>
      <c r="BR236" t="s">
        <v>342</v>
      </c>
      <c r="BS236" t="s">
        <v>342</v>
      </c>
      <c r="BT236">
        <v>1.9</v>
      </c>
      <c r="BU236" s="494">
        <v>46086</v>
      </c>
    </row>
    <row r="237" spans="1:73" customFormat="1" ht="15" x14ac:dyDescent="0.25">
      <c r="A237" s="1052" t="s">
        <v>2587</v>
      </c>
      <c r="B237" t="s">
        <v>1329</v>
      </c>
      <c r="C237" t="s">
        <v>1330</v>
      </c>
      <c r="E237" t="s">
        <v>1323</v>
      </c>
      <c r="F237" t="s">
        <v>11</v>
      </c>
      <c r="G237" t="s">
        <v>46</v>
      </c>
      <c r="H237" t="s">
        <v>897</v>
      </c>
      <c r="I237">
        <v>0</v>
      </c>
      <c r="J237" t="s">
        <v>18</v>
      </c>
      <c r="K237">
        <v>0</v>
      </c>
      <c r="L237" t="s">
        <v>21</v>
      </c>
      <c r="M237">
        <v>0</v>
      </c>
      <c r="N237" t="s">
        <v>18</v>
      </c>
      <c r="V237">
        <v>0</v>
      </c>
      <c r="W237">
        <v>0</v>
      </c>
      <c r="Y237">
        <v>0</v>
      </c>
      <c r="AP237" t="s">
        <v>1324</v>
      </c>
      <c r="AU237" t="s">
        <v>2663</v>
      </c>
      <c r="AV237">
        <v>0</v>
      </c>
      <c r="AW237">
        <v>0</v>
      </c>
      <c r="AX237">
        <v>0</v>
      </c>
      <c r="AY237">
        <v>0</v>
      </c>
      <c r="AZ237" s="494">
        <v>46038</v>
      </c>
      <c r="BA237">
        <v>0</v>
      </c>
      <c r="BO237" t="s">
        <v>342</v>
      </c>
      <c r="BP237" t="s">
        <v>342</v>
      </c>
      <c r="BQ237" t="s">
        <v>342</v>
      </c>
      <c r="BR237" t="s">
        <v>342</v>
      </c>
      <c r="BS237" t="s">
        <v>342</v>
      </c>
      <c r="BT237">
        <v>1.9</v>
      </c>
      <c r="BU237" s="494">
        <v>46086</v>
      </c>
    </row>
    <row r="238" spans="1:73" customFormat="1" ht="15" x14ac:dyDescent="0.25">
      <c r="A238" s="1052" t="s">
        <v>2588</v>
      </c>
      <c r="B238" t="s">
        <v>1329</v>
      </c>
      <c r="C238" t="s">
        <v>1330</v>
      </c>
      <c r="E238" t="s">
        <v>1323</v>
      </c>
      <c r="F238" t="s">
        <v>11</v>
      </c>
      <c r="G238" t="s">
        <v>46</v>
      </c>
      <c r="H238" t="s">
        <v>897</v>
      </c>
      <c r="I238">
        <v>0</v>
      </c>
      <c r="J238" t="s">
        <v>18</v>
      </c>
      <c r="K238">
        <v>0</v>
      </c>
      <c r="L238" t="s">
        <v>21</v>
      </c>
      <c r="M238">
        <v>0</v>
      </c>
      <c r="N238" t="s">
        <v>18</v>
      </c>
      <c r="V238">
        <v>0</v>
      </c>
      <c r="W238">
        <v>0</v>
      </c>
      <c r="Y238">
        <v>0</v>
      </c>
      <c r="AP238" t="s">
        <v>1324</v>
      </c>
      <c r="AU238" t="s">
        <v>2664</v>
      </c>
      <c r="AV238">
        <v>0</v>
      </c>
      <c r="AW238">
        <v>0</v>
      </c>
      <c r="AX238">
        <v>0</v>
      </c>
      <c r="AY238">
        <v>0</v>
      </c>
      <c r="AZ238" s="494">
        <v>46038</v>
      </c>
      <c r="BA238">
        <v>0</v>
      </c>
      <c r="BO238" t="s">
        <v>342</v>
      </c>
      <c r="BP238" t="s">
        <v>342</v>
      </c>
      <c r="BQ238" t="s">
        <v>342</v>
      </c>
      <c r="BR238" t="s">
        <v>342</v>
      </c>
      <c r="BS238" t="s">
        <v>342</v>
      </c>
      <c r="BT238">
        <v>1.9</v>
      </c>
      <c r="BU238" s="494">
        <v>46086</v>
      </c>
    </row>
    <row r="239" spans="1:73" customFormat="1" ht="15" x14ac:dyDescent="0.25">
      <c r="A239" s="1052" t="s">
        <v>2665</v>
      </c>
      <c r="B239" t="s">
        <v>1329</v>
      </c>
      <c r="C239" t="s">
        <v>1330</v>
      </c>
      <c r="E239" t="s">
        <v>1323</v>
      </c>
      <c r="F239" t="s">
        <v>11</v>
      </c>
      <c r="G239" t="s">
        <v>46</v>
      </c>
      <c r="H239" t="s">
        <v>897</v>
      </c>
      <c r="I239">
        <v>0</v>
      </c>
      <c r="J239" t="s">
        <v>18</v>
      </c>
      <c r="K239">
        <v>0</v>
      </c>
      <c r="L239" t="s">
        <v>21</v>
      </c>
      <c r="M239">
        <v>0</v>
      </c>
      <c r="N239" t="s">
        <v>18</v>
      </c>
      <c r="V239">
        <v>0</v>
      </c>
      <c r="W239">
        <v>0</v>
      </c>
      <c r="Y239">
        <v>0</v>
      </c>
      <c r="AP239" t="s">
        <v>1324</v>
      </c>
      <c r="AU239" t="s">
        <v>2666</v>
      </c>
      <c r="AV239">
        <v>0</v>
      </c>
      <c r="AW239">
        <v>0</v>
      </c>
      <c r="AX239">
        <v>0</v>
      </c>
      <c r="AY239">
        <v>0</v>
      </c>
      <c r="AZ239" s="494">
        <v>46051</v>
      </c>
      <c r="BA239">
        <v>0</v>
      </c>
      <c r="BO239" t="s">
        <v>342</v>
      </c>
      <c r="BP239" t="s">
        <v>342</v>
      </c>
      <c r="BQ239" t="s">
        <v>342</v>
      </c>
      <c r="BR239" t="s">
        <v>342</v>
      </c>
      <c r="BS239" t="s">
        <v>342</v>
      </c>
      <c r="BT239">
        <v>1.9</v>
      </c>
      <c r="BU239" s="494">
        <v>46086</v>
      </c>
    </row>
    <row r="240" spans="1:73" customFormat="1" ht="15" x14ac:dyDescent="0.25">
      <c r="A240" s="1052" t="s">
        <v>2667</v>
      </c>
      <c r="B240" t="s">
        <v>1329</v>
      </c>
      <c r="C240" t="s">
        <v>1330</v>
      </c>
      <c r="E240" t="s">
        <v>1323</v>
      </c>
      <c r="F240" t="s">
        <v>11</v>
      </c>
      <c r="G240" t="s">
        <v>46</v>
      </c>
      <c r="H240" t="s">
        <v>897</v>
      </c>
      <c r="I240">
        <v>0</v>
      </c>
      <c r="J240" t="s">
        <v>18</v>
      </c>
      <c r="K240">
        <v>0</v>
      </c>
      <c r="L240" t="s">
        <v>21</v>
      </c>
      <c r="M240">
        <v>0</v>
      </c>
      <c r="N240" t="s">
        <v>18</v>
      </c>
      <c r="V240">
        <v>0</v>
      </c>
      <c r="W240">
        <v>0</v>
      </c>
      <c r="Y240">
        <v>0</v>
      </c>
      <c r="AP240" t="s">
        <v>1324</v>
      </c>
      <c r="AU240" t="s">
        <v>2668</v>
      </c>
      <c r="AV240">
        <v>0</v>
      </c>
      <c r="AW240">
        <v>0</v>
      </c>
      <c r="AX240">
        <v>0</v>
      </c>
      <c r="AY240">
        <v>0</v>
      </c>
      <c r="AZ240" s="494">
        <v>43666</v>
      </c>
      <c r="BA240">
        <v>0</v>
      </c>
      <c r="BO240" t="s">
        <v>342</v>
      </c>
      <c r="BP240" t="s">
        <v>342</v>
      </c>
      <c r="BQ240" t="s">
        <v>342</v>
      </c>
      <c r="BR240" t="s">
        <v>342</v>
      </c>
      <c r="BS240" t="s">
        <v>342</v>
      </c>
      <c r="BT240">
        <v>0</v>
      </c>
      <c r="BU240" s="494">
        <v>46086</v>
      </c>
    </row>
    <row r="241" spans="1:73" customFormat="1" ht="15" x14ac:dyDescent="0.25">
      <c r="A241" s="1052" t="s">
        <v>2669</v>
      </c>
      <c r="B241" t="s">
        <v>1329</v>
      </c>
      <c r="C241" t="s">
        <v>1330</v>
      </c>
      <c r="E241" t="s">
        <v>1323</v>
      </c>
      <c r="F241" t="s">
        <v>11</v>
      </c>
      <c r="G241" t="s">
        <v>46</v>
      </c>
      <c r="H241" t="s">
        <v>897</v>
      </c>
      <c r="I241">
        <v>0</v>
      </c>
      <c r="J241" t="s">
        <v>18</v>
      </c>
      <c r="K241">
        <v>0</v>
      </c>
      <c r="L241" t="s">
        <v>21</v>
      </c>
      <c r="M241">
        <v>0</v>
      </c>
      <c r="N241" t="s">
        <v>18</v>
      </c>
      <c r="V241">
        <v>0</v>
      </c>
      <c r="W241">
        <v>0</v>
      </c>
      <c r="Y241">
        <v>0</v>
      </c>
      <c r="AP241" t="s">
        <v>1324</v>
      </c>
      <c r="AU241" t="s">
        <v>2670</v>
      </c>
      <c r="AV241">
        <v>0</v>
      </c>
      <c r="AW241">
        <v>0</v>
      </c>
      <c r="AX241">
        <v>0</v>
      </c>
      <c r="AY241">
        <v>0</v>
      </c>
      <c r="AZ241" s="494">
        <v>43666</v>
      </c>
      <c r="BA241">
        <v>0</v>
      </c>
      <c r="BO241" t="s">
        <v>342</v>
      </c>
      <c r="BP241" t="s">
        <v>342</v>
      </c>
      <c r="BQ241" t="s">
        <v>342</v>
      </c>
      <c r="BR241" t="s">
        <v>342</v>
      </c>
      <c r="BS241" t="s">
        <v>342</v>
      </c>
      <c r="BT241">
        <v>0</v>
      </c>
      <c r="BU241" s="494">
        <v>46086</v>
      </c>
    </row>
    <row r="242" spans="1:73" customFormat="1" ht="15" x14ac:dyDescent="0.25">
      <c r="A242" s="1052" t="s">
        <v>2589</v>
      </c>
      <c r="B242" t="s">
        <v>1329</v>
      </c>
      <c r="C242" t="s">
        <v>1330</v>
      </c>
      <c r="E242" t="s">
        <v>1323</v>
      </c>
      <c r="F242" t="s">
        <v>11</v>
      </c>
      <c r="G242" t="s">
        <v>46</v>
      </c>
      <c r="H242" t="s">
        <v>897</v>
      </c>
      <c r="I242">
        <v>4076.3842159999999</v>
      </c>
      <c r="J242" t="s">
        <v>18</v>
      </c>
      <c r="K242">
        <v>3521.41</v>
      </c>
      <c r="L242" t="s">
        <v>21</v>
      </c>
      <c r="M242">
        <v>4076.3842159999999</v>
      </c>
      <c r="N242" t="s">
        <v>18</v>
      </c>
      <c r="V242">
        <v>0</v>
      </c>
      <c r="W242">
        <v>3521.41</v>
      </c>
      <c r="Y242">
        <v>0.02</v>
      </c>
      <c r="AP242" t="s">
        <v>1324</v>
      </c>
      <c r="AU242" t="s">
        <v>2640</v>
      </c>
      <c r="AV242">
        <v>0</v>
      </c>
      <c r="AW242">
        <v>0</v>
      </c>
      <c r="AX242">
        <v>4076.3842159999999</v>
      </c>
      <c r="AY242">
        <v>3521.41</v>
      </c>
      <c r="AZ242" s="494">
        <v>43666</v>
      </c>
      <c r="BA242">
        <v>100</v>
      </c>
      <c r="BO242" t="s">
        <v>342</v>
      </c>
      <c r="BP242" t="s">
        <v>342</v>
      </c>
      <c r="BQ242" t="s">
        <v>342</v>
      </c>
      <c r="BR242" t="s">
        <v>342</v>
      </c>
      <c r="BS242" t="s">
        <v>342</v>
      </c>
      <c r="BT242">
        <v>0</v>
      </c>
      <c r="BU242" s="494">
        <v>46086</v>
      </c>
    </row>
    <row r="243" spans="1:73" customFormat="1" ht="15" x14ac:dyDescent="0.25">
      <c r="A243" s="1052" t="s">
        <v>2641</v>
      </c>
      <c r="B243" t="s">
        <v>1329</v>
      </c>
      <c r="C243" t="s">
        <v>1330</v>
      </c>
      <c r="E243" t="s">
        <v>1323</v>
      </c>
      <c r="F243" t="s">
        <v>11</v>
      </c>
      <c r="G243" t="s">
        <v>46</v>
      </c>
      <c r="H243" t="s">
        <v>897</v>
      </c>
      <c r="I243">
        <v>0</v>
      </c>
      <c r="J243" t="s">
        <v>18</v>
      </c>
      <c r="K243">
        <v>0</v>
      </c>
      <c r="L243" t="s">
        <v>21</v>
      </c>
      <c r="M243">
        <v>0</v>
      </c>
      <c r="N243" t="s">
        <v>18</v>
      </c>
      <c r="V243">
        <v>0</v>
      </c>
      <c r="W243">
        <v>0</v>
      </c>
      <c r="Y243">
        <v>0</v>
      </c>
      <c r="AP243" t="s">
        <v>1324</v>
      </c>
      <c r="AU243" t="s">
        <v>2642</v>
      </c>
      <c r="AV243">
        <v>0</v>
      </c>
      <c r="AW243">
        <v>0</v>
      </c>
      <c r="AX243">
        <v>0</v>
      </c>
      <c r="AY243">
        <v>0</v>
      </c>
      <c r="AZ243" s="494">
        <v>43666</v>
      </c>
      <c r="BA243">
        <v>0</v>
      </c>
      <c r="BO243" t="s">
        <v>342</v>
      </c>
      <c r="BP243" t="s">
        <v>342</v>
      </c>
      <c r="BQ243" t="s">
        <v>342</v>
      </c>
      <c r="BR243" t="s">
        <v>342</v>
      </c>
      <c r="BS243" t="s">
        <v>342</v>
      </c>
      <c r="BT243">
        <v>0</v>
      </c>
      <c r="BU243" s="494">
        <v>46086</v>
      </c>
    </row>
    <row r="244" spans="1:73" customFormat="1" ht="15" x14ac:dyDescent="0.25">
      <c r="A244" s="1052" t="s">
        <v>1121</v>
      </c>
      <c r="B244" t="s">
        <v>1329</v>
      </c>
      <c r="C244" t="s">
        <v>1330</v>
      </c>
      <c r="E244" t="s">
        <v>1323</v>
      </c>
      <c r="F244" t="s">
        <v>11</v>
      </c>
      <c r="G244" t="s">
        <v>46</v>
      </c>
      <c r="H244" t="s">
        <v>897</v>
      </c>
      <c r="I244">
        <v>-1892346.674376</v>
      </c>
      <c r="J244" t="s">
        <v>18</v>
      </c>
      <c r="K244">
        <v>-1634715.51</v>
      </c>
      <c r="L244" t="s">
        <v>21</v>
      </c>
      <c r="M244">
        <v>-1892346.674376</v>
      </c>
      <c r="N244" t="s">
        <v>18</v>
      </c>
      <c r="V244">
        <v>0</v>
      </c>
      <c r="W244">
        <v>-1634715.51</v>
      </c>
      <c r="Y244">
        <v>-8.5399999999999991</v>
      </c>
      <c r="AP244" t="s">
        <v>1324</v>
      </c>
      <c r="AU244" t="s">
        <v>2653</v>
      </c>
      <c r="AV244">
        <v>-1892346.674376</v>
      </c>
      <c r="AW244">
        <v>-1634715.51</v>
      </c>
      <c r="AX244">
        <v>0</v>
      </c>
      <c r="AY244">
        <v>0</v>
      </c>
      <c r="AZ244" s="494">
        <v>43666</v>
      </c>
      <c r="BA244">
        <v>100</v>
      </c>
      <c r="BO244" t="s">
        <v>342</v>
      </c>
      <c r="BP244" t="s">
        <v>342</v>
      </c>
      <c r="BQ244" t="s">
        <v>342</v>
      </c>
      <c r="BR244" t="s">
        <v>342</v>
      </c>
      <c r="BS244" t="s">
        <v>342</v>
      </c>
      <c r="BT244">
        <v>0</v>
      </c>
      <c r="BU244" s="494">
        <v>46086</v>
      </c>
    </row>
    <row r="245" spans="1:73" customFormat="1" ht="15" x14ac:dyDescent="0.25">
      <c r="A245" s="1052" t="s">
        <v>1123</v>
      </c>
      <c r="B245" t="s">
        <v>1329</v>
      </c>
      <c r="C245" t="s">
        <v>1330</v>
      </c>
      <c r="E245" t="s">
        <v>1323</v>
      </c>
      <c r="F245" t="s">
        <v>11</v>
      </c>
      <c r="G245" t="s">
        <v>46</v>
      </c>
      <c r="H245" t="s">
        <v>897</v>
      </c>
      <c r="I245">
        <v>-286004.96756800002</v>
      </c>
      <c r="J245" t="s">
        <v>18</v>
      </c>
      <c r="K245">
        <v>-247067.18</v>
      </c>
      <c r="L245" t="s">
        <v>21</v>
      </c>
      <c r="M245">
        <v>-286004.96756800002</v>
      </c>
      <c r="N245" t="s">
        <v>18</v>
      </c>
      <c r="V245">
        <v>0</v>
      </c>
      <c r="W245">
        <v>-247067.18</v>
      </c>
      <c r="Y245">
        <v>-1.29</v>
      </c>
      <c r="AP245" t="s">
        <v>1324</v>
      </c>
      <c r="AU245" t="s">
        <v>2643</v>
      </c>
      <c r="AV245">
        <v>-286004.96756800002</v>
      </c>
      <c r="AW245">
        <v>-247067.18</v>
      </c>
      <c r="AX245">
        <v>0</v>
      </c>
      <c r="AY245">
        <v>0</v>
      </c>
      <c r="AZ245" s="494">
        <v>45264</v>
      </c>
      <c r="BA245">
        <v>100</v>
      </c>
      <c r="BO245" t="s">
        <v>342</v>
      </c>
      <c r="BP245" t="s">
        <v>342</v>
      </c>
      <c r="BQ245" t="s">
        <v>342</v>
      </c>
      <c r="BR245" t="s">
        <v>342</v>
      </c>
      <c r="BS245" t="s">
        <v>342</v>
      </c>
      <c r="BT245">
        <v>0</v>
      </c>
      <c r="BU245" s="494">
        <v>46086</v>
      </c>
    </row>
    <row r="246" spans="1:73" customFormat="1" ht="15" x14ac:dyDescent="0.25">
      <c r="A246" s="1052" t="s">
        <v>2671</v>
      </c>
      <c r="B246" t="s">
        <v>1329</v>
      </c>
      <c r="C246" t="s">
        <v>1330</v>
      </c>
      <c r="E246" t="s">
        <v>1323</v>
      </c>
      <c r="F246" t="s">
        <v>11</v>
      </c>
      <c r="G246" t="s">
        <v>46</v>
      </c>
      <c r="H246" t="s">
        <v>897</v>
      </c>
      <c r="I246">
        <v>0</v>
      </c>
      <c r="J246" t="s">
        <v>18</v>
      </c>
      <c r="K246">
        <v>0</v>
      </c>
      <c r="L246" t="s">
        <v>21</v>
      </c>
      <c r="M246">
        <v>0</v>
      </c>
      <c r="N246" t="s">
        <v>18</v>
      </c>
      <c r="V246">
        <v>0</v>
      </c>
      <c r="W246">
        <v>0</v>
      </c>
      <c r="Y246">
        <v>0</v>
      </c>
      <c r="AP246" t="s">
        <v>1324</v>
      </c>
      <c r="AU246" t="s">
        <v>2672</v>
      </c>
      <c r="AV246">
        <v>0</v>
      </c>
      <c r="AW246">
        <v>0</v>
      </c>
      <c r="AX246">
        <v>0</v>
      </c>
      <c r="AY246">
        <v>0</v>
      </c>
      <c r="AZ246" s="494">
        <v>45413</v>
      </c>
      <c r="BA246">
        <v>0</v>
      </c>
      <c r="BO246" t="s">
        <v>342</v>
      </c>
      <c r="BP246" t="s">
        <v>342</v>
      </c>
      <c r="BQ246" t="s">
        <v>342</v>
      </c>
      <c r="BR246" t="s">
        <v>342</v>
      </c>
      <c r="BS246" t="s">
        <v>342</v>
      </c>
      <c r="BT246">
        <v>0</v>
      </c>
      <c r="BU246" s="494">
        <v>46086</v>
      </c>
    </row>
    <row r="247" spans="1:73" customFormat="1" ht="15" x14ac:dyDescent="0.25">
      <c r="A247" s="1052" t="s">
        <v>2644</v>
      </c>
      <c r="B247" t="s">
        <v>1329</v>
      </c>
      <c r="C247" t="s">
        <v>1330</v>
      </c>
      <c r="E247" t="s">
        <v>1323</v>
      </c>
      <c r="F247" t="s">
        <v>11</v>
      </c>
      <c r="G247" t="s">
        <v>46</v>
      </c>
      <c r="H247" t="s">
        <v>897</v>
      </c>
      <c r="I247">
        <v>0</v>
      </c>
      <c r="J247" t="s">
        <v>18</v>
      </c>
      <c r="K247">
        <v>0</v>
      </c>
      <c r="L247" t="s">
        <v>21</v>
      </c>
      <c r="M247">
        <v>0</v>
      </c>
      <c r="N247" t="s">
        <v>18</v>
      </c>
      <c r="V247">
        <v>0</v>
      </c>
      <c r="W247">
        <v>0</v>
      </c>
      <c r="Y247">
        <v>0</v>
      </c>
      <c r="AP247" t="s">
        <v>1324</v>
      </c>
      <c r="AU247" t="s">
        <v>2645</v>
      </c>
      <c r="AV247">
        <v>0</v>
      </c>
      <c r="AW247">
        <v>0</v>
      </c>
      <c r="AX247">
        <v>0</v>
      </c>
      <c r="AY247">
        <v>0</v>
      </c>
      <c r="AZ247" s="494">
        <v>45860</v>
      </c>
      <c r="BA247">
        <v>0</v>
      </c>
      <c r="BO247" t="s">
        <v>342</v>
      </c>
      <c r="BP247" t="s">
        <v>342</v>
      </c>
      <c r="BQ247" t="s">
        <v>342</v>
      </c>
      <c r="BR247" t="s">
        <v>342</v>
      </c>
      <c r="BS247" t="s">
        <v>342</v>
      </c>
      <c r="BT247">
        <v>0</v>
      </c>
      <c r="BU247" s="494">
        <v>46086</v>
      </c>
    </row>
    <row r="248" spans="1:73" customFormat="1" ht="15" x14ac:dyDescent="0.25">
      <c r="A248" s="1052" t="s">
        <v>2586</v>
      </c>
      <c r="B248" t="s">
        <v>1331</v>
      </c>
      <c r="C248" t="s">
        <v>1332</v>
      </c>
      <c r="E248" t="s">
        <v>1323</v>
      </c>
      <c r="F248" t="s">
        <v>11</v>
      </c>
      <c r="G248" t="s">
        <v>46</v>
      </c>
      <c r="H248" t="s">
        <v>897</v>
      </c>
      <c r="I248">
        <v>0</v>
      </c>
      <c r="J248" t="s">
        <v>18</v>
      </c>
      <c r="K248">
        <v>0</v>
      </c>
      <c r="L248" t="s">
        <v>19</v>
      </c>
      <c r="M248">
        <v>0</v>
      </c>
      <c r="N248" t="s">
        <v>18</v>
      </c>
      <c r="V248">
        <v>0</v>
      </c>
      <c r="W248">
        <v>0</v>
      </c>
      <c r="Y248">
        <v>0</v>
      </c>
      <c r="AP248" t="s">
        <v>1324</v>
      </c>
      <c r="AU248" t="s">
        <v>2639</v>
      </c>
      <c r="AV248">
        <v>0</v>
      </c>
      <c r="AW248">
        <v>0</v>
      </c>
      <c r="AX248">
        <v>0</v>
      </c>
      <c r="AY248">
        <v>0</v>
      </c>
      <c r="AZ248" s="494">
        <v>46038</v>
      </c>
      <c r="BA248">
        <v>0</v>
      </c>
      <c r="BO248" t="s">
        <v>342</v>
      </c>
      <c r="BP248" t="s">
        <v>342</v>
      </c>
      <c r="BQ248" t="s">
        <v>342</v>
      </c>
      <c r="BR248" t="s">
        <v>342</v>
      </c>
      <c r="BS248" t="s">
        <v>342</v>
      </c>
      <c r="BT248">
        <v>3.7</v>
      </c>
      <c r="BU248" s="494">
        <v>46086</v>
      </c>
    </row>
    <row r="249" spans="1:73" customFormat="1" ht="15" x14ac:dyDescent="0.25">
      <c r="A249" s="1052" t="s">
        <v>2587</v>
      </c>
      <c r="B249" t="s">
        <v>1331</v>
      </c>
      <c r="C249" t="s">
        <v>1332</v>
      </c>
      <c r="E249" t="s">
        <v>1323</v>
      </c>
      <c r="F249" t="s">
        <v>11</v>
      </c>
      <c r="G249" t="s">
        <v>46</v>
      </c>
      <c r="H249" t="s">
        <v>897</v>
      </c>
      <c r="I249">
        <v>0</v>
      </c>
      <c r="J249" t="s">
        <v>18</v>
      </c>
      <c r="K249">
        <v>0</v>
      </c>
      <c r="L249" t="s">
        <v>19</v>
      </c>
      <c r="M249">
        <v>0</v>
      </c>
      <c r="N249" t="s">
        <v>18</v>
      </c>
      <c r="V249">
        <v>0</v>
      </c>
      <c r="W249">
        <v>0</v>
      </c>
      <c r="Y249">
        <v>0</v>
      </c>
      <c r="AP249" t="s">
        <v>1324</v>
      </c>
      <c r="AU249" t="s">
        <v>2663</v>
      </c>
      <c r="AV249">
        <v>0</v>
      </c>
      <c r="AW249">
        <v>0</v>
      </c>
      <c r="AX249">
        <v>0</v>
      </c>
      <c r="AY249">
        <v>0</v>
      </c>
      <c r="AZ249" s="494">
        <v>46038</v>
      </c>
      <c r="BA249">
        <v>0</v>
      </c>
      <c r="BO249" t="s">
        <v>342</v>
      </c>
      <c r="BP249" t="s">
        <v>342</v>
      </c>
      <c r="BQ249" t="s">
        <v>342</v>
      </c>
      <c r="BR249" t="s">
        <v>342</v>
      </c>
      <c r="BS249" t="s">
        <v>342</v>
      </c>
      <c r="BT249">
        <v>3.7</v>
      </c>
      <c r="BU249" s="494">
        <v>46086</v>
      </c>
    </row>
    <row r="250" spans="1:73" customFormat="1" ht="15" x14ac:dyDescent="0.25">
      <c r="A250" s="1052" t="s">
        <v>2588</v>
      </c>
      <c r="B250" t="s">
        <v>1331</v>
      </c>
      <c r="C250" t="s">
        <v>1332</v>
      </c>
      <c r="E250" t="s">
        <v>1323</v>
      </c>
      <c r="F250" t="s">
        <v>11</v>
      </c>
      <c r="G250" t="s">
        <v>46</v>
      </c>
      <c r="H250" t="s">
        <v>897</v>
      </c>
      <c r="I250">
        <v>0</v>
      </c>
      <c r="J250" t="s">
        <v>18</v>
      </c>
      <c r="K250">
        <v>0</v>
      </c>
      <c r="L250" t="s">
        <v>19</v>
      </c>
      <c r="M250">
        <v>0</v>
      </c>
      <c r="N250" t="s">
        <v>18</v>
      </c>
      <c r="V250">
        <v>0</v>
      </c>
      <c r="W250">
        <v>0</v>
      </c>
      <c r="Y250">
        <v>0</v>
      </c>
      <c r="AP250" t="s">
        <v>1324</v>
      </c>
      <c r="AU250" t="s">
        <v>2664</v>
      </c>
      <c r="AV250">
        <v>0</v>
      </c>
      <c r="AW250">
        <v>0</v>
      </c>
      <c r="AX250">
        <v>0</v>
      </c>
      <c r="AY250">
        <v>0</v>
      </c>
      <c r="AZ250" s="494">
        <v>46038</v>
      </c>
      <c r="BA250">
        <v>0</v>
      </c>
      <c r="BO250" t="s">
        <v>342</v>
      </c>
      <c r="BP250" t="s">
        <v>342</v>
      </c>
      <c r="BQ250" t="s">
        <v>342</v>
      </c>
      <c r="BR250" t="s">
        <v>342</v>
      </c>
      <c r="BS250" t="s">
        <v>342</v>
      </c>
      <c r="BT250">
        <v>3.7</v>
      </c>
      <c r="BU250" s="494">
        <v>46086</v>
      </c>
    </row>
    <row r="251" spans="1:73" customFormat="1" ht="15" x14ac:dyDescent="0.25">
      <c r="A251" s="1052" t="s">
        <v>2665</v>
      </c>
      <c r="B251" t="s">
        <v>1331</v>
      </c>
      <c r="C251" t="s">
        <v>1332</v>
      </c>
      <c r="E251" t="s">
        <v>1323</v>
      </c>
      <c r="F251" t="s">
        <v>11</v>
      </c>
      <c r="G251" t="s">
        <v>46</v>
      </c>
      <c r="H251" t="s">
        <v>897</v>
      </c>
      <c r="I251">
        <v>0</v>
      </c>
      <c r="J251" t="s">
        <v>18</v>
      </c>
      <c r="K251">
        <v>0</v>
      </c>
      <c r="L251" t="s">
        <v>19</v>
      </c>
      <c r="M251">
        <v>0</v>
      </c>
      <c r="N251" t="s">
        <v>18</v>
      </c>
      <c r="V251">
        <v>0</v>
      </c>
      <c r="W251">
        <v>0</v>
      </c>
      <c r="Y251">
        <v>0</v>
      </c>
      <c r="AP251" t="s">
        <v>1324</v>
      </c>
      <c r="AU251" t="s">
        <v>2666</v>
      </c>
      <c r="AV251">
        <v>0</v>
      </c>
      <c r="AW251">
        <v>0</v>
      </c>
      <c r="AX251">
        <v>0</v>
      </c>
      <c r="AY251">
        <v>0</v>
      </c>
      <c r="AZ251" s="494">
        <v>46051</v>
      </c>
      <c r="BA251">
        <v>0</v>
      </c>
      <c r="BO251" t="s">
        <v>342</v>
      </c>
      <c r="BP251" t="s">
        <v>342</v>
      </c>
      <c r="BQ251" t="s">
        <v>342</v>
      </c>
      <c r="BR251" t="s">
        <v>342</v>
      </c>
      <c r="BS251" t="s">
        <v>342</v>
      </c>
      <c r="BT251">
        <v>3.7</v>
      </c>
      <c r="BU251" s="494">
        <v>46086</v>
      </c>
    </row>
    <row r="252" spans="1:73" customFormat="1" ht="15" x14ac:dyDescent="0.25">
      <c r="A252" s="1052" t="s">
        <v>2667</v>
      </c>
      <c r="B252" t="s">
        <v>1331</v>
      </c>
      <c r="C252" t="s">
        <v>1332</v>
      </c>
      <c r="E252" t="s">
        <v>1323</v>
      </c>
      <c r="F252" t="s">
        <v>11</v>
      </c>
      <c r="G252" t="s">
        <v>46</v>
      </c>
      <c r="H252" t="s">
        <v>897</v>
      </c>
      <c r="I252">
        <v>0</v>
      </c>
      <c r="J252" t="s">
        <v>18</v>
      </c>
      <c r="K252">
        <v>0</v>
      </c>
      <c r="L252" t="s">
        <v>19</v>
      </c>
      <c r="M252">
        <v>0</v>
      </c>
      <c r="N252" t="s">
        <v>18</v>
      </c>
      <c r="V252">
        <v>0</v>
      </c>
      <c r="W252">
        <v>0</v>
      </c>
      <c r="Y252">
        <v>0</v>
      </c>
      <c r="AP252" t="s">
        <v>1324</v>
      </c>
      <c r="AU252" t="s">
        <v>2668</v>
      </c>
      <c r="AV252">
        <v>0</v>
      </c>
      <c r="AW252">
        <v>0</v>
      </c>
      <c r="AX252">
        <v>0</v>
      </c>
      <c r="AY252">
        <v>0</v>
      </c>
      <c r="AZ252" s="494">
        <v>43666</v>
      </c>
      <c r="BA252">
        <v>0</v>
      </c>
      <c r="BO252" t="s">
        <v>342</v>
      </c>
      <c r="BP252" t="s">
        <v>342</v>
      </c>
      <c r="BQ252" t="s">
        <v>342</v>
      </c>
      <c r="BR252" t="s">
        <v>342</v>
      </c>
      <c r="BS252" t="s">
        <v>342</v>
      </c>
      <c r="BT252">
        <v>0</v>
      </c>
      <c r="BU252" s="494">
        <v>46086</v>
      </c>
    </row>
    <row r="253" spans="1:73" customFormat="1" ht="15" x14ac:dyDescent="0.25">
      <c r="A253" s="1052" t="s">
        <v>2669</v>
      </c>
      <c r="B253" t="s">
        <v>1331</v>
      </c>
      <c r="C253" t="s">
        <v>1332</v>
      </c>
      <c r="E253" t="s">
        <v>1323</v>
      </c>
      <c r="F253" t="s">
        <v>11</v>
      </c>
      <c r="G253" t="s">
        <v>46</v>
      </c>
      <c r="H253" t="s">
        <v>897</v>
      </c>
      <c r="I253">
        <v>0</v>
      </c>
      <c r="J253" t="s">
        <v>18</v>
      </c>
      <c r="K253">
        <v>0</v>
      </c>
      <c r="L253" t="s">
        <v>19</v>
      </c>
      <c r="M253">
        <v>0</v>
      </c>
      <c r="N253" t="s">
        <v>18</v>
      </c>
      <c r="V253">
        <v>0</v>
      </c>
      <c r="W253">
        <v>0</v>
      </c>
      <c r="Y253">
        <v>0</v>
      </c>
      <c r="AP253" t="s">
        <v>1324</v>
      </c>
      <c r="AU253" t="s">
        <v>2670</v>
      </c>
      <c r="AV253">
        <v>0</v>
      </c>
      <c r="AW253">
        <v>0</v>
      </c>
      <c r="AX253">
        <v>0</v>
      </c>
      <c r="AY253">
        <v>0</v>
      </c>
      <c r="AZ253" s="494">
        <v>43666</v>
      </c>
      <c r="BA253">
        <v>0</v>
      </c>
      <c r="BO253" t="s">
        <v>342</v>
      </c>
      <c r="BP253" t="s">
        <v>342</v>
      </c>
      <c r="BQ253" t="s">
        <v>342</v>
      </c>
      <c r="BR253" t="s">
        <v>342</v>
      </c>
      <c r="BS253" t="s">
        <v>342</v>
      </c>
      <c r="BT253">
        <v>0</v>
      </c>
      <c r="BU253" s="494">
        <v>46086</v>
      </c>
    </row>
    <row r="254" spans="1:73" customFormat="1" ht="15" x14ac:dyDescent="0.25">
      <c r="A254" s="1052" t="s">
        <v>2589</v>
      </c>
      <c r="B254" t="s">
        <v>1331</v>
      </c>
      <c r="C254" t="s">
        <v>1332</v>
      </c>
      <c r="E254" t="s">
        <v>1323</v>
      </c>
      <c r="F254" t="s">
        <v>11</v>
      </c>
      <c r="G254" t="s">
        <v>46</v>
      </c>
      <c r="H254" t="s">
        <v>897</v>
      </c>
      <c r="I254">
        <v>627.43112599999995</v>
      </c>
      <c r="J254" t="s">
        <v>18</v>
      </c>
      <c r="K254">
        <v>469.16</v>
      </c>
      <c r="L254" t="s">
        <v>19</v>
      </c>
      <c r="M254">
        <v>627.43112599999995</v>
      </c>
      <c r="N254" t="s">
        <v>18</v>
      </c>
      <c r="V254">
        <v>0</v>
      </c>
      <c r="W254">
        <v>469.16</v>
      </c>
      <c r="Y254">
        <v>0.01</v>
      </c>
      <c r="AP254" t="s">
        <v>1324</v>
      </c>
      <c r="AU254" t="s">
        <v>2640</v>
      </c>
      <c r="AV254">
        <v>0</v>
      </c>
      <c r="AW254">
        <v>0</v>
      </c>
      <c r="AX254">
        <v>627.43112599999995</v>
      </c>
      <c r="AY254">
        <v>469.16</v>
      </c>
      <c r="AZ254" s="494">
        <v>43666</v>
      </c>
      <c r="BA254">
        <v>100</v>
      </c>
      <c r="BO254" t="s">
        <v>342</v>
      </c>
      <c r="BP254" t="s">
        <v>342</v>
      </c>
      <c r="BQ254" t="s">
        <v>342</v>
      </c>
      <c r="BR254" t="s">
        <v>342</v>
      </c>
      <c r="BS254" t="s">
        <v>342</v>
      </c>
      <c r="BT254">
        <v>0</v>
      </c>
      <c r="BU254" s="494">
        <v>46086</v>
      </c>
    </row>
    <row r="255" spans="1:73" customFormat="1" ht="15" x14ac:dyDescent="0.25">
      <c r="A255" s="1052" t="s">
        <v>2641</v>
      </c>
      <c r="B255" t="s">
        <v>1331</v>
      </c>
      <c r="C255" t="s">
        <v>1332</v>
      </c>
      <c r="E255" t="s">
        <v>1323</v>
      </c>
      <c r="F255" t="s">
        <v>11</v>
      </c>
      <c r="G255" t="s">
        <v>46</v>
      </c>
      <c r="H255" t="s">
        <v>897</v>
      </c>
      <c r="I255">
        <v>0</v>
      </c>
      <c r="J255" t="s">
        <v>18</v>
      </c>
      <c r="K255">
        <v>0</v>
      </c>
      <c r="L255" t="s">
        <v>19</v>
      </c>
      <c r="M255">
        <v>0</v>
      </c>
      <c r="N255" t="s">
        <v>18</v>
      </c>
      <c r="V255">
        <v>0</v>
      </c>
      <c r="W255">
        <v>0</v>
      </c>
      <c r="Y255">
        <v>0</v>
      </c>
      <c r="AP255" t="s">
        <v>1324</v>
      </c>
      <c r="AU255" t="s">
        <v>2642</v>
      </c>
      <c r="AV255">
        <v>0</v>
      </c>
      <c r="AW255">
        <v>0</v>
      </c>
      <c r="AX255">
        <v>0</v>
      </c>
      <c r="AY255">
        <v>0</v>
      </c>
      <c r="AZ255" s="494">
        <v>43666</v>
      </c>
      <c r="BA255">
        <v>0</v>
      </c>
      <c r="BO255" t="s">
        <v>342</v>
      </c>
      <c r="BP255" t="s">
        <v>342</v>
      </c>
      <c r="BQ255" t="s">
        <v>342</v>
      </c>
      <c r="BR255" t="s">
        <v>342</v>
      </c>
      <c r="BS255" t="s">
        <v>342</v>
      </c>
      <c r="BT255">
        <v>0</v>
      </c>
      <c r="BU255" s="494">
        <v>46086</v>
      </c>
    </row>
    <row r="256" spans="1:73" customFormat="1" ht="15" x14ac:dyDescent="0.25">
      <c r="A256" s="1052" t="s">
        <v>1121</v>
      </c>
      <c r="B256" t="s">
        <v>1331</v>
      </c>
      <c r="C256" t="s">
        <v>1332</v>
      </c>
      <c r="E256" t="s">
        <v>1323</v>
      </c>
      <c r="F256" t="s">
        <v>11</v>
      </c>
      <c r="G256" t="s">
        <v>46</v>
      </c>
      <c r="H256" t="s">
        <v>897</v>
      </c>
      <c r="I256">
        <v>-41272.546783999998</v>
      </c>
      <c r="J256" t="s">
        <v>18</v>
      </c>
      <c r="K256">
        <v>-30861.439999999999</v>
      </c>
      <c r="L256" t="s">
        <v>19</v>
      </c>
      <c r="M256">
        <v>-41272.546783999998</v>
      </c>
      <c r="N256" t="s">
        <v>18</v>
      </c>
      <c r="V256">
        <v>0</v>
      </c>
      <c r="W256">
        <v>-30861.439999999999</v>
      </c>
      <c r="Y256">
        <v>-0.19</v>
      </c>
      <c r="AP256" t="s">
        <v>1324</v>
      </c>
      <c r="AU256" t="s">
        <v>2653</v>
      </c>
      <c r="AV256">
        <v>-41272.546783999998</v>
      </c>
      <c r="AW256">
        <v>-30861.439999999999</v>
      </c>
      <c r="AX256">
        <v>0</v>
      </c>
      <c r="AY256">
        <v>0</v>
      </c>
      <c r="AZ256" s="494">
        <v>43666</v>
      </c>
      <c r="BA256">
        <v>100</v>
      </c>
      <c r="BO256" t="s">
        <v>342</v>
      </c>
      <c r="BP256" t="s">
        <v>342</v>
      </c>
      <c r="BQ256" t="s">
        <v>342</v>
      </c>
      <c r="BR256" t="s">
        <v>342</v>
      </c>
      <c r="BS256" t="s">
        <v>342</v>
      </c>
      <c r="BT256">
        <v>0</v>
      </c>
      <c r="BU256" s="494">
        <v>46086</v>
      </c>
    </row>
    <row r="257" spans="1:73" customFormat="1" ht="15" x14ac:dyDescent="0.25">
      <c r="A257" s="1052" t="s">
        <v>1123</v>
      </c>
      <c r="B257" t="s">
        <v>1331</v>
      </c>
      <c r="C257" t="s">
        <v>1332</v>
      </c>
      <c r="E257" t="s">
        <v>1323</v>
      </c>
      <c r="F257" t="s">
        <v>11</v>
      </c>
      <c r="G257" t="s">
        <v>46</v>
      </c>
      <c r="H257" t="s">
        <v>897</v>
      </c>
      <c r="I257">
        <v>-363415.032978</v>
      </c>
      <c r="J257" t="s">
        <v>18</v>
      </c>
      <c r="K257">
        <v>-271742.65000000002</v>
      </c>
      <c r="L257" t="s">
        <v>19</v>
      </c>
      <c r="M257">
        <v>-363415.032978</v>
      </c>
      <c r="N257" t="s">
        <v>18</v>
      </c>
      <c r="V257">
        <v>0</v>
      </c>
      <c r="W257">
        <v>-271742.65000000002</v>
      </c>
      <c r="Y257">
        <v>-1.64</v>
      </c>
      <c r="AP257" t="s">
        <v>1324</v>
      </c>
      <c r="AU257" t="s">
        <v>2643</v>
      </c>
      <c r="AV257">
        <v>-363415.032978</v>
      </c>
      <c r="AW257">
        <v>-271742.65000000002</v>
      </c>
      <c r="AX257">
        <v>0</v>
      </c>
      <c r="AY257">
        <v>0</v>
      </c>
      <c r="AZ257" s="494">
        <v>45264</v>
      </c>
      <c r="BA257">
        <v>100</v>
      </c>
      <c r="BO257" t="s">
        <v>342</v>
      </c>
      <c r="BP257" t="s">
        <v>342</v>
      </c>
      <c r="BQ257" t="s">
        <v>342</v>
      </c>
      <c r="BR257" t="s">
        <v>342</v>
      </c>
      <c r="BS257" t="s">
        <v>342</v>
      </c>
      <c r="BT257">
        <v>0</v>
      </c>
      <c r="BU257" s="494">
        <v>46086</v>
      </c>
    </row>
    <row r="258" spans="1:73" customFormat="1" ht="15" x14ac:dyDescent="0.25">
      <c r="A258" s="1052" t="s">
        <v>2671</v>
      </c>
      <c r="B258" t="s">
        <v>1331</v>
      </c>
      <c r="C258" t="s">
        <v>1332</v>
      </c>
      <c r="E258" t="s">
        <v>1323</v>
      </c>
      <c r="F258" t="s">
        <v>11</v>
      </c>
      <c r="G258" t="s">
        <v>46</v>
      </c>
      <c r="H258" t="s">
        <v>897</v>
      </c>
      <c r="I258">
        <v>0</v>
      </c>
      <c r="J258" t="s">
        <v>18</v>
      </c>
      <c r="K258">
        <v>0</v>
      </c>
      <c r="L258" t="s">
        <v>19</v>
      </c>
      <c r="M258">
        <v>0</v>
      </c>
      <c r="N258" t="s">
        <v>18</v>
      </c>
      <c r="V258">
        <v>0</v>
      </c>
      <c r="W258">
        <v>0</v>
      </c>
      <c r="Y258">
        <v>0</v>
      </c>
      <c r="AP258" t="s">
        <v>1324</v>
      </c>
      <c r="AU258" t="s">
        <v>2672</v>
      </c>
      <c r="AV258">
        <v>0</v>
      </c>
      <c r="AW258">
        <v>0</v>
      </c>
      <c r="AX258">
        <v>0</v>
      </c>
      <c r="AY258">
        <v>0</v>
      </c>
      <c r="AZ258" s="494">
        <v>45413</v>
      </c>
      <c r="BA258">
        <v>0</v>
      </c>
      <c r="BO258" t="s">
        <v>342</v>
      </c>
      <c r="BP258" t="s">
        <v>342</v>
      </c>
      <c r="BQ258" t="s">
        <v>342</v>
      </c>
      <c r="BR258" t="s">
        <v>342</v>
      </c>
      <c r="BS258" t="s">
        <v>342</v>
      </c>
      <c r="BT258">
        <v>0</v>
      </c>
      <c r="BU258" s="494">
        <v>46086</v>
      </c>
    </row>
    <row r="259" spans="1:73" customFormat="1" ht="15" x14ac:dyDescent="0.25">
      <c r="A259" s="1052" t="s">
        <v>2644</v>
      </c>
      <c r="B259" t="s">
        <v>1331</v>
      </c>
      <c r="C259" t="s">
        <v>1332</v>
      </c>
      <c r="E259" t="s">
        <v>1323</v>
      </c>
      <c r="F259" t="s">
        <v>11</v>
      </c>
      <c r="G259" t="s">
        <v>46</v>
      </c>
      <c r="H259" t="s">
        <v>897</v>
      </c>
      <c r="I259">
        <v>0</v>
      </c>
      <c r="J259" t="s">
        <v>18</v>
      </c>
      <c r="K259">
        <v>0</v>
      </c>
      <c r="L259" t="s">
        <v>19</v>
      </c>
      <c r="M259">
        <v>0</v>
      </c>
      <c r="N259" t="s">
        <v>18</v>
      </c>
      <c r="V259">
        <v>0</v>
      </c>
      <c r="W259">
        <v>0</v>
      </c>
      <c r="Y259">
        <v>0</v>
      </c>
      <c r="AP259" t="s">
        <v>1324</v>
      </c>
      <c r="AU259" t="s">
        <v>2645</v>
      </c>
      <c r="AV259">
        <v>0</v>
      </c>
      <c r="AW259">
        <v>0</v>
      </c>
      <c r="AX259">
        <v>0</v>
      </c>
      <c r="AY259">
        <v>0</v>
      </c>
      <c r="AZ259" s="494">
        <v>45860</v>
      </c>
      <c r="BA259">
        <v>0</v>
      </c>
      <c r="BO259" t="s">
        <v>342</v>
      </c>
      <c r="BP259" t="s">
        <v>342</v>
      </c>
      <c r="BQ259" t="s">
        <v>342</v>
      </c>
      <c r="BR259" t="s">
        <v>342</v>
      </c>
      <c r="BS259" t="s">
        <v>342</v>
      </c>
      <c r="BT259">
        <v>0</v>
      </c>
      <c r="BU259" s="494">
        <v>46086</v>
      </c>
    </row>
    <row r="260" spans="1:73" customFormat="1" ht="15" x14ac:dyDescent="0.25">
      <c r="A260" s="1052" t="s">
        <v>2654</v>
      </c>
      <c r="B260" t="s">
        <v>1331</v>
      </c>
      <c r="C260" t="s">
        <v>1332</v>
      </c>
      <c r="E260" t="s">
        <v>1323</v>
      </c>
      <c r="F260" t="s">
        <v>11</v>
      </c>
      <c r="G260" t="s">
        <v>46</v>
      </c>
      <c r="H260" t="s">
        <v>897</v>
      </c>
      <c r="I260">
        <v>55.83</v>
      </c>
      <c r="J260" t="s">
        <v>19</v>
      </c>
      <c r="K260">
        <v>55.83</v>
      </c>
      <c r="L260" t="s">
        <v>19</v>
      </c>
      <c r="M260">
        <v>74.664249999999996</v>
      </c>
      <c r="N260" t="s">
        <v>18</v>
      </c>
      <c r="V260">
        <v>0</v>
      </c>
      <c r="W260">
        <v>55.83</v>
      </c>
      <c r="Y260">
        <v>0</v>
      </c>
      <c r="AP260" t="s">
        <v>1324</v>
      </c>
      <c r="AU260" t="s">
        <v>2655</v>
      </c>
      <c r="AV260">
        <v>0</v>
      </c>
      <c r="AW260">
        <v>0</v>
      </c>
      <c r="AX260">
        <v>74.664249999999996</v>
      </c>
      <c r="AY260">
        <v>55.83</v>
      </c>
      <c r="AZ260" s="494">
        <v>43666</v>
      </c>
      <c r="BA260">
        <v>100</v>
      </c>
      <c r="BO260" t="s">
        <v>342</v>
      </c>
      <c r="BP260" t="s">
        <v>342</v>
      </c>
      <c r="BQ260" t="s">
        <v>342</v>
      </c>
      <c r="BR260" t="s">
        <v>342</v>
      </c>
      <c r="BS260" t="s">
        <v>342</v>
      </c>
      <c r="BT260">
        <v>0.2</v>
      </c>
      <c r="BU260" s="494">
        <v>46086</v>
      </c>
    </row>
    <row r="261" spans="1:73" customFormat="1" ht="15" x14ac:dyDescent="0.25">
      <c r="A261" s="1052" t="s">
        <v>2656</v>
      </c>
      <c r="B261" t="s">
        <v>1331</v>
      </c>
      <c r="C261" t="s">
        <v>1332</v>
      </c>
      <c r="E261" t="s">
        <v>1323</v>
      </c>
      <c r="F261" t="s">
        <v>11</v>
      </c>
      <c r="G261" t="s">
        <v>46</v>
      </c>
      <c r="H261" t="s">
        <v>897</v>
      </c>
      <c r="I261">
        <v>71.16</v>
      </c>
      <c r="J261" t="s">
        <v>19</v>
      </c>
      <c r="K261">
        <v>71.16</v>
      </c>
      <c r="L261" t="s">
        <v>19</v>
      </c>
      <c r="M261">
        <v>95.165825999999996</v>
      </c>
      <c r="N261" t="s">
        <v>18</v>
      </c>
      <c r="V261">
        <v>0</v>
      </c>
      <c r="W261">
        <v>71.16</v>
      </c>
      <c r="Y261">
        <v>0</v>
      </c>
      <c r="AP261" t="s">
        <v>1324</v>
      </c>
      <c r="AU261" t="s">
        <v>2657</v>
      </c>
      <c r="AV261">
        <v>0</v>
      </c>
      <c r="AW261">
        <v>0</v>
      </c>
      <c r="AX261">
        <v>95.165825999999996</v>
      </c>
      <c r="AY261">
        <v>71.16</v>
      </c>
      <c r="AZ261" s="494">
        <v>43666</v>
      </c>
      <c r="BA261">
        <v>100</v>
      </c>
      <c r="BO261" t="s">
        <v>342</v>
      </c>
      <c r="BP261" t="s">
        <v>342</v>
      </c>
      <c r="BQ261" t="s">
        <v>342</v>
      </c>
      <c r="BR261" t="s">
        <v>342</v>
      </c>
      <c r="BS261" t="s">
        <v>342</v>
      </c>
      <c r="BT261">
        <v>0.2</v>
      </c>
      <c r="BU261" s="494">
        <v>46086</v>
      </c>
    </row>
    <row r="262" spans="1:73" customFormat="1" ht="15" x14ac:dyDescent="0.25">
      <c r="A262" s="1052" t="s">
        <v>2658</v>
      </c>
      <c r="B262" t="s">
        <v>1331</v>
      </c>
      <c r="C262" t="s">
        <v>1332</v>
      </c>
      <c r="E262" t="s">
        <v>1323</v>
      </c>
      <c r="F262" t="s">
        <v>11</v>
      </c>
      <c r="G262" t="s">
        <v>46</v>
      </c>
      <c r="H262" t="s">
        <v>897</v>
      </c>
      <c r="I262">
        <v>0</v>
      </c>
      <c r="J262" t="s">
        <v>19</v>
      </c>
      <c r="K262">
        <v>0</v>
      </c>
      <c r="L262" t="s">
        <v>19</v>
      </c>
      <c r="M262">
        <v>0</v>
      </c>
      <c r="N262" t="s">
        <v>18</v>
      </c>
      <c r="V262">
        <v>0</v>
      </c>
      <c r="W262">
        <v>0</v>
      </c>
      <c r="Y262">
        <v>0</v>
      </c>
      <c r="AP262" t="s">
        <v>1324</v>
      </c>
      <c r="AU262" t="s">
        <v>2659</v>
      </c>
      <c r="AV262">
        <v>0</v>
      </c>
      <c r="AW262">
        <v>0</v>
      </c>
      <c r="AX262">
        <v>0</v>
      </c>
      <c r="AY262">
        <v>0</v>
      </c>
      <c r="AZ262" s="494">
        <v>43666</v>
      </c>
      <c r="BA262">
        <v>0</v>
      </c>
      <c r="BO262" t="s">
        <v>342</v>
      </c>
      <c r="BP262" t="s">
        <v>342</v>
      </c>
      <c r="BQ262" t="s">
        <v>342</v>
      </c>
      <c r="BR262" t="s">
        <v>342</v>
      </c>
      <c r="BS262" t="s">
        <v>342</v>
      </c>
      <c r="BT262">
        <v>0.2</v>
      </c>
      <c r="BU262" s="494">
        <v>46086</v>
      </c>
    </row>
    <row r="263" spans="1:73" customFormat="1" ht="15" x14ac:dyDescent="0.25">
      <c r="A263" s="1052" t="s">
        <v>2646</v>
      </c>
      <c r="B263" t="s">
        <v>1331</v>
      </c>
      <c r="C263" t="s">
        <v>1332</v>
      </c>
      <c r="E263" t="s">
        <v>1323</v>
      </c>
      <c r="F263" t="s">
        <v>11</v>
      </c>
      <c r="G263" t="s">
        <v>46</v>
      </c>
      <c r="H263" t="s">
        <v>897</v>
      </c>
      <c r="I263">
        <v>539.39</v>
      </c>
      <c r="J263" t="s">
        <v>19</v>
      </c>
      <c r="K263">
        <v>539.39</v>
      </c>
      <c r="L263" t="s">
        <v>19</v>
      </c>
      <c r="M263">
        <v>721.35321599999997</v>
      </c>
      <c r="N263" t="s">
        <v>18</v>
      </c>
      <c r="V263">
        <v>0</v>
      </c>
      <c r="W263">
        <v>539.39</v>
      </c>
      <c r="Y263">
        <v>0</v>
      </c>
      <c r="AP263" t="s">
        <v>1324</v>
      </c>
      <c r="AU263" t="s">
        <v>2647</v>
      </c>
      <c r="AV263">
        <v>0</v>
      </c>
      <c r="AW263">
        <v>0</v>
      </c>
      <c r="AX263">
        <v>721.35321599999997</v>
      </c>
      <c r="AY263">
        <v>539.39</v>
      </c>
      <c r="AZ263" s="494">
        <v>43666</v>
      </c>
      <c r="BA263">
        <v>100</v>
      </c>
      <c r="BO263" t="s">
        <v>342</v>
      </c>
      <c r="BP263" t="s">
        <v>342</v>
      </c>
      <c r="BQ263" t="s">
        <v>342</v>
      </c>
      <c r="BR263" t="s">
        <v>342</v>
      </c>
      <c r="BS263" t="s">
        <v>342</v>
      </c>
      <c r="BT263">
        <v>0.2</v>
      </c>
      <c r="BU263" s="494">
        <v>46086</v>
      </c>
    </row>
    <row r="264" spans="1:73" customFormat="1" ht="15" x14ac:dyDescent="0.25">
      <c r="A264" s="1052" t="s">
        <v>1194</v>
      </c>
      <c r="B264" t="s">
        <v>1331</v>
      </c>
      <c r="C264" t="s">
        <v>1332</v>
      </c>
      <c r="E264" t="s">
        <v>1323</v>
      </c>
      <c r="F264" t="s">
        <v>11</v>
      </c>
      <c r="G264" t="s">
        <v>46</v>
      </c>
      <c r="H264" t="s">
        <v>897</v>
      </c>
      <c r="I264">
        <v>-36355.47</v>
      </c>
      <c r="J264" t="s">
        <v>19</v>
      </c>
      <c r="K264">
        <v>-36355.47</v>
      </c>
      <c r="L264" t="s">
        <v>19</v>
      </c>
      <c r="M264">
        <v>-48619.987803999997</v>
      </c>
      <c r="N264" t="s">
        <v>18</v>
      </c>
      <c r="V264">
        <v>0</v>
      </c>
      <c r="W264">
        <v>-36355.47</v>
      </c>
      <c r="Y264">
        <v>-0.22</v>
      </c>
      <c r="AP264" t="s">
        <v>1324</v>
      </c>
      <c r="AU264" t="s">
        <v>2660</v>
      </c>
      <c r="AV264">
        <v>-48619.987803999997</v>
      </c>
      <c r="AW264">
        <v>-36355.47</v>
      </c>
      <c r="AX264">
        <v>0</v>
      </c>
      <c r="AY264">
        <v>0</v>
      </c>
      <c r="AZ264" s="494">
        <v>44137</v>
      </c>
      <c r="BA264">
        <v>100</v>
      </c>
      <c r="BO264" t="s">
        <v>342</v>
      </c>
      <c r="BP264" t="s">
        <v>342</v>
      </c>
      <c r="BQ264" t="s">
        <v>342</v>
      </c>
      <c r="BR264" t="s">
        <v>342</v>
      </c>
      <c r="BS264" t="s">
        <v>342</v>
      </c>
      <c r="BT264">
        <v>0.2</v>
      </c>
      <c r="BU264" s="494">
        <v>46086</v>
      </c>
    </row>
    <row r="265" spans="1:73" customFormat="1" ht="15" x14ac:dyDescent="0.25">
      <c r="A265" s="1052" t="s">
        <v>2661</v>
      </c>
      <c r="B265" t="s">
        <v>1331</v>
      </c>
      <c r="C265" t="s">
        <v>1332</v>
      </c>
      <c r="E265" t="s">
        <v>1323</v>
      </c>
      <c r="F265" t="s">
        <v>11</v>
      </c>
      <c r="G265" t="s">
        <v>46</v>
      </c>
      <c r="H265" t="s">
        <v>897</v>
      </c>
      <c r="I265">
        <v>0</v>
      </c>
      <c r="J265" t="s">
        <v>19</v>
      </c>
      <c r="K265">
        <v>0</v>
      </c>
      <c r="L265" t="s">
        <v>19</v>
      </c>
      <c r="M265">
        <v>0</v>
      </c>
      <c r="N265" t="s">
        <v>18</v>
      </c>
      <c r="V265">
        <v>0</v>
      </c>
      <c r="W265">
        <v>0</v>
      </c>
      <c r="Y265">
        <v>0</v>
      </c>
      <c r="AP265" t="s">
        <v>1324</v>
      </c>
      <c r="AU265" t="s">
        <v>2662</v>
      </c>
      <c r="AV265">
        <v>0</v>
      </c>
      <c r="AW265">
        <v>0</v>
      </c>
      <c r="AX265">
        <v>0</v>
      </c>
      <c r="AY265">
        <v>0</v>
      </c>
      <c r="AZ265" s="494">
        <v>45413</v>
      </c>
      <c r="BA265">
        <v>0</v>
      </c>
      <c r="BO265" t="s">
        <v>342</v>
      </c>
      <c r="BP265" t="s">
        <v>342</v>
      </c>
      <c r="BQ265" t="s">
        <v>342</v>
      </c>
      <c r="BR265" t="s">
        <v>342</v>
      </c>
      <c r="BS265" t="s">
        <v>342</v>
      </c>
      <c r="BT265">
        <v>0.2</v>
      </c>
      <c r="BU265" s="494">
        <v>46086</v>
      </c>
    </row>
    <row r="266" spans="1:73" customFormat="1" ht="15" x14ac:dyDescent="0.25">
      <c r="A266" s="1052" t="s">
        <v>2648</v>
      </c>
      <c r="B266" t="s">
        <v>1331</v>
      </c>
      <c r="C266" t="s">
        <v>1332</v>
      </c>
      <c r="E266" t="s">
        <v>1323</v>
      </c>
      <c r="F266" t="s">
        <v>11</v>
      </c>
      <c r="G266" t="s">
        <v>46</v>
      </c>
      <c r="H266" t="s">
        <v>897</v>
      </c>
      <c r="I266">
        <v>0</v>
      </c>
      <c r="J266" t="s">
        <v>19</v>
      </c>
      <c r="K266">
        <v>0</v>
      </c>
      <c r="L266" t="s">
        <v>19</v>
      </c>
      <c r="M266">
        <v>0</v>
      </c>
      <c r="N266" t="s">
        <v>18</v>
      </c>
      <c r="V266">
        <v>0</v>
      </c>
      <c r="W266">
        <v>0</v>
      </c>
      <c r="Y266">
        <v>0</v>
      </c>
      <c r="AP266" t="s">
        <v>1324</v>
      </c>
      <c r="AU266" t="s">
        <v>2649</v>
      </c>
      <c r="AV266">
        <v>0</v>
      </c>
      <c r="AW266">
        <v>0</v>
      </c>
      <c r="AX266">
        <v>0</v>
      </c>
      <c r="AY266">
        <v>0</v>
      </c>
      <c r="AZ266" s="494">
        <v>45861</v>
      </c>
      <c r="BA266">
        <v>0</v>
      </c>
      <c r="BO266" t="s">
        <v>342</v>
      </c>
      <c r="BP266" t="s">
        <v>342</v>
      </c>
      <c r="BQ266" t="s">
        <v>342</v>
      </c>
      <c r="BR266" t="s">
        <v>342</v>
      </c>
      <c r="BS266" t="s">
        <v>342</v>
      </c>
      <c r="BT266">
        <v>0.2</v>
      </c>
      <c r="BU266" s="494">
        <v>46086</v>
      </c>
    </row>
    <row r="267" spans="1:73" customFormat="1" ht="15" x14ac:dyDescent="0.25">
      <c r="A267" s="1052" t="s">
        <v>1121</v>
      </c>
      <c r="B267" t="s">
        <v>2673</v>
      </c>
      <c r="C267" t="s">
        <v>2674</v>
      </c>
      <c r="E267" t="s">
        <v>1323</v>
      </c>
      <c r="F267" t="s">
        <v>11</v>
      </c>
      <c r="G267" t="s">
        <v>46</v>
      </c>
      <c r="H267" t="s">
        <v>897</v>
      </c>
      <c r="I267">
        <v>0</v>
      </c>
      <c r="J267" t="s">
        <v>18</v>
      </c>
      <c r="K267">
        <v>0</v>
      </c>
      <c r="L267" t="s">
        <v>2675</v>
      </c>
      <c r="M267">
        <v>0</v>
      </c>
      <c r="N267" t="s">
        <v>18</v>
      </c>
      <c r="V267">
        <v>0</v>
      </c>
      <c r="W267">
        <v>0</v>
      </c>
      <c r="Y267">
        <v>0</v>
      </c>
      <c r="AP267" t="s">
        <v>1324</v>
      </c>
      <c r="AU267" t="s">
        <v>2653</v>
      </c>
      <c r="AV267">
        <v>0</v>
      </c>
      <c r="AW267">
        <v>0</v>
      </c>
      <c r="AX267">
        <v>0</v>
      </c>
      <c r="AY267">
        <v>0</v>
      </c>
      <c r="AZ267" s="494">
        <v>44315</v>
      </c>
      <c r="BA267">
        <v>0</v>
      </c>
      <c r="BO267" t="s">
        <v>342</v>
      </c>
      <c r="BP267" t="s">
        <v>342</v>
      </c>
      <c r="BQ267" t="s">
        <v>342</v>
      </c>
      <c r="BR267" t="s">
        <v>342</v>
      </c>
      <c r="BS267" t="s">
        <v>342</v>
      </c>
      <c r="BT267">
        <v>0</v>
      </c>
      <c r="BU267" s="494">
        <v>46086</v>
      </c>
    </row>
    <row r="268" spans="1:73" customFormat="1" ht="15" x14ac:dyDescent="0.25">
      <c r="A268" s="1052" t="s">
        <v>2644</v>
      </c>
      <c r="B268" t="s">
        <v>2673</v>
      </c>
      <c r="C268" t="s">
        <v>2674</v>
      </c>
      <c r="E268" t="s">
        <v>1323</v>
      </c>
      <c r="F268" t="s">
        <v>11</v>
      </c>
      <c r="G268" t="s">
        <v>46</v>
      </c>
      <c r="H268" t="s">
        <v>897</v>
      </c>
      <c r="I268">
        <v>0</v>
      </c>
      <c r="J268" t="s">
        <v>18</v>
      </c>
      <c r="K268">
        <v>0</v>
      </c>
      <c r="L268" t="s">
        <v>2675</v>
      </c>
      <c r="M268">
        <v>0</v>
      </c>
      <c r="N268" t="s">
        <v>18</v>
      </c>
      <c r="V268">
        <v>0</v>
      </c>
      <c r="W268">
        <v>0</v>
      </c>
      <c r="Y268">
        <v>0</v>
      </c>
      <c r="AP268" t="s">
        <v>1324</v>
      </c>
      <c r="AU268" t="s">
        <v>2645</v>
      </c>
      <c r="AV268">
        <v>0</v>
      </c>
      <c r="AW268">
        <v>0</v>
      </c>
      <c r="AX268">
        <v>0</v>
      </c>
      <c r="AY268">
        <v>0</v>
      </c>
      <c r="AZ268" s="494">
        <v>45863</v>
      </c>
      <c r="BA268">
        <v>0</v>
      </c>
      <c r="BO268" t="s">
        <v>342</v>
      </c>
      <c r="BP268" t="s">
        <v>342</v>
      </c>
      <c r="BQ268" t="s">
        <v>342</v>
      </c>
      <c r="BR268" t="s">
        <v>342</v>
      </c>
      <c r="BS268" t="s">
        <v>342</v>
      </c>
      <c r="BT268">
        <v>0</v>
      </c>
      <c r="BU268" s="494">
        <v>46086</v>
      </c>
    </row>
    <row r="269" spans="1:73" customFormat="1" ht="15" x14ac:dyDescent="0.25">
      <c r="A269" s="1052" t="s">
        <v>2586</v>
      </c>
      <c r="B269" t="s">
        <v>1333</v>
      </c>
      <c r="C269" t="s">
        <v>1334</v>
      </c>
      <c r="E269" t="s">
        <v>1323</v>
      </c>
      <c r="F269" t="s">
        <v>11</v>
      </c>
      <c r="G269" t="s">
        <v>46</v>
      </c>
      <c r="H269" t="s">
        <v>897</v>
      </c>
      <c r="I269">
        <v>39267.709639000001</v>
      </c>
      <c r="J269" t="s">
        <v>18</v>
      </c>
      <c r="K269">
        <v>6217062</v>
      </c>
      <c r="L269" t="s">
        <v>25</v>
      </c>
      <c r="M269">
        <v>39267.709639000001</v>
      </c>
      <c r="N269" t="s">
        <v>18</v>
      </c>
      <c r="V269">
        <v>0</v>
      </c>
      <c r="W269">
        <v>6217062</v>
      </c>
      <c r="Y269">
        <v>0.18</v>
      </c>
      <c r="AP269" t="s">
        <v>1324</v>
      </c>
      <c r="AU269" t="s">
        <v>2639</v>
      </c>
      <c r="AV269">
        <v>0</v>
      </c>
      <c r="AW269">
        <v>0</v>
      </c>
      <c r="AX269">
        <v>39267.709639000001</v>
      </c>
      <c r="AY269">
        <v>6217062</v>
      </c>
      <c r="AZ269" s="494">
        <v>46077</v>
      </c>
      <c r="BA269">
        <v>100</v>
      </c>
      <c r="BO269" t="s">
        <v>342</v>
      </c>
      <c r="BP269" t="s">
        <v>342</v>
      </c>
      <c r="BQ269" t="s">
        <v>342</v>
      </c>
      <c r="BR269" t="s">
        <v>342</v>
      </c>
      <c r="BS269" t="s">
        <v>342</v>
      </c>
      <c r="BT269">
        <v>0.43</v>
      </c>
      <c r="BU269" s="494">
        <v>46086</v>
      </c>
    </row>
    <row r="270" spans="1:73" customFormat="1" ht="15" x14ac:dyDescent="0.25">
      <c r="A270" s="1052" t="s">
        <v>2589</v>
      </c>
      <c r="B270" t="s">
        <v>1333</v>
      </c>
      <c r="C270" t="s">
        <v>1334</v>
      </c>
      <c r="E270" t="s">
        <v>1323</v>
      </c>
      <c r="F270" t="s">
        <v>11</v>
      </c>
      <c r="G270" t="s">
        <v>46</v>
      </c>
      <c r="H270" t="s">
        <v>897</v>
      </c>
      <c r="I270">
        <v>14.350225</v>
      </c>
      <c r="J270" t="s">
        <v>18</v>
      </c>
      <c r="K270">
        <v>2272</v>
      </c>
      <c r="L270" t="s">
        <v>25</v>
      </c>
      <c r="M270">
        <v>14.350225</v>
      </c>
      <c r="N270" t="s">
        <v>18</v>
      </c>
      <c r="V270">
        <v>0</v>
      </c>
      <c r="W270">
        <v>2272</v>
      </c>
      <c r="Y270">
        <v>0</v>
      </c>
      <c r="AP270" t="s">
        <v>1324</v>
      </c>
      <c r="AU270" t="s">
        <v>2640</v>
      </c>
      <c r="AV270">
        <v>0</v>
      </c>
      <c r="AW270">
        <v>0</v>
      </c>
      <c r="AX270">
        <v>14.350225</v>
      </c>
      <c r="AY270">
        <v>2272</v>
      </c>
      <c r="AZ270" s="494">
        <v>46077</v>
      </c>
      <c r="BA270">
        <v>100</v>
      </c>
      <c r="BO270" t="s">
        <v>342</v>
      </c>
      <c r="BP270" t="s">
        <v>342</v>
      </c>
      <c r="BQ270" t="s">
        <v>342</v>
      </c>
      <c r="BR270" t="s">
        <v>342</v>
      </c>
      <c r="BS270" t="s">
        <v>342</v>
      </c>
      <c r="BT270">
        <v>0</v>
      </c>
      <c r="BU270" s="494">
        <v>46086</v>
      </c>
    </row>
    <row r="271" spans="1:73" customFormat="1" ht="15" x14ac:dyDescent="0.25">
      <c r="A271" s="1052" t="s">
        <v>1123</v>
      </c>
      <c r="B271" t="s">
        <v>1333</v>
      </c>
      <c r="C271" t="s">
        <v>1334</v>
      </c>
      <c r="E271" t="s">
        <v>1323</v>
      </c>
      <c r="F271" t="s">
        <v>11</v>
      </c>
      <c r="G271" t="s">
        <v>46</v>
      </c>
      <c r="H271" t="s">
        <v>897</v>
      </c>
      <c r="I271">
        <v>2681.6161200000001</v>
      </c>
      <c r="J271" t="s">
        <v>18</v>
      </c>
      <c r="K271">
        <v>424567</v>
      </c>
      <c r="L271" t="s">
        <v>25</v>
      </c>
      <c r="M271">
        <v>2681.6161200000001</v>
      </c>
      <c r="N271" t="s">
        <v>18</v>
      </c>
      <c r="V271">
        <v>0</v>
      </c>
      <c r="W271">
        <v>424567</v>
      </c>
      <c r="Y271">
        <v>0.01</v>
      </c>
      <c r="AP271" t="s">
        <v>1324</v>
      </c>
      <c r="AU271" t="s">
        <v>2643</v>
      </c>
      <c r="AV271">
        <v>0</v>
      </c>
      <c r="AW271">
        <v>0</v>
      </c>
      <c r="AX271">
        <v>2681.6161200000001</v>
      </c>
      <c r="AY271">
        <v>424567</v>
      </c>
      <c r="AZ271" s="494">
        <v>45485</v>
      </c>
      <c r="BA271">
        <v>100</v>
      </c>
      <c r="BO271" t="s">
        <v>342</v>
      </c>
      <c r="BP271" t="s">
        <v>342</v>
      </c>
      <c r="BQ271" t="s">
        <v>342</v>
      </c>
      <c r="BR271" t="s">
        <v>342</v>
      </c>
      <c r="BS271" t="s">
        <v>342</v>
      </c>
      <c r="BT271">
        <v>0</v>
      </c>
      <c r="BU271" s="494">
        <v>46086</v>
      </c>
    </row>
    <row r="272" spans="1:73" customFormat="1" ht="15" x14ac:dyDescent="0.25">
      <c r="A272" s="1052" t="s">
        <v>2644</v>
      </c>
      <c r="B272" t="s">
        <v>1333</v>
      </c>
      <c r="C272" t="s">
        <v>1334</v>
      </c>
      <c r="E272" t="s">
        <v>1323</v>
      </c>
      <c r="F272" t="s">
        <v>11</v>
      </c>
      <c r="G272" t="s">
        <v>46</v>
      </c>
      <c r="H272" t="s">
        <v>897</v>
      </c>
      <c r="I272">
        <v>0</v>
      </c>
      <c r="J272" t="s">
        <v>18</v>
      </c>
      <c r="K272">
        <v>0</v>
      </c>
      <c r="L272" t="s">
        <v>25</v>
      </c>
      <c r="M272">
        <v>0</v>
      </c>
      <c r="N272" t="s">
        <v>18</v>
      </c>
      <c r="V272">
        <v>0</v>
      </c>
      <c r="W272">
        <v>0</v>
      </c>
      <c r="Y272">
        <v>0</v>
      </c>
      <c r="AP272" t="s">
        <v>1324</v>
      </c>
      <c r="AU272" t="s">
        <v>2645</v>
      </c>
      <c r="AV272">
        <v>0</v>
      </c>
      <c r="AW272">
        <v>0</v>
      </c>
      <c r="AX272">
        <v>0</v>
      </c>
      <c r="AY272">
        <v>0</v>
      </c>
      <c r="AZ272" s="494">
        <v>45863</v>
      </c>
      <c r="BA272">
        <v>0</v>
      </c>
      <c r="BO272" t="s">
        <v>342</v>
      </c>
      <c r="BP272" t="s">
        <v>342</v>
      </c>
      <c r="BQ272" t="s">
        <v>342</v>
      </c>
      <c r="BR272" t="s">
        <v>342</v>
      </c>
      <c r="BS272" t="s">
        <v>342</v>
      </c>
      <c r="BT272">
        <v>0</v>
      </c>
      <c r="BU272" s="494">
        <v>46086</v>
      </c>
    </row>
    <row r="273" spans="1:73" customFormat="1" ht="15" x14ac:dyDescent="0.25">
      <c r="A273" s="1052" t="s">
        <v>2589</v>
      </c>
      <c r="B273" t="s">
        <v>2565</v>
      </c>
      <c r="C273" t="s">
        <v>2566</v>
      </c>
      <c r="E273" t="s">
        <v>1323</v>
      </c>
      <c r="F273" t="s">
        <v>11</v>
      </c>
      <c r="G273" t="s">
        <v>46</v>
      </c>
      <c r="H273" t="s">
        <v>897</v>
      </c>
      <c r="I273">
        <v>2.6262829999999999</v>
      </c>
      <c r="J273" t="s">
        <v>18</v>
      </c>
      <c r="K273">
        <v>25.38</v>
      </c>
      <c r="L273" t="s">
        <v>1335</v>
      </c>
      <c r="M273">
        <v>2.6262829999999999</v>
      </c>
      <c r="N273" t="s">
        <v>18</v>
      </c>
      <c r="V273">
        <v>0</v>
      </c>
      <c r="W273">
        <v>25.38</v>
      </c>
      <c r="Y273">
        <v>0</v>
      </c>
      <c r="AP273" t="s">
        <v>1324</v>
      </c>
      <c r="AU273" t="s">
        <v>2640</v>
      </c>
      <c r="AV273">
        <v>0</v>
      </c>
      <c r="AW273">
        <v>0</v>
      </c>
      <c r="AX273">
        <v>2.6262829999999999</v>
      </c>
      <c r="AY273">
        <v>25.38</v>
      </c>
      <c r="AZ273" s="494">
        <v>46077</v>
      </c>
      <c r="BA273">
        <v>100</v>
      </c>
      <c r="BO273" t="s">
        <v>342</v>
      </c>
      <c r="BP273" t="s">
        <v>342</v>
      </c>
      <c r="BQ273" t="s">
        <v>342</v>
      </c>
      <c r="BR273" t="s">
        <v>342</v>
      </c>
      <c r="BS273" t="s">
        <v>342</v>
      </c>
      <c r="BT273">
        <v>0</v>
      </c>
      <c r="BU273" s="494">
        <v>46086</v>
      </c>
    </row>
    <row r="274" spans="1:73" customFormat="1" ht="15" x14ac:dyDescent="0.25">
      <c r="A274" s="1052" t="s">
        <v>2644</v>
      </c>
      <c r="B274" t="s">
        <v>2565</v>
      </c>
      <c r="C274" t="s">
        <v>2566</v>
      </c>
      <c r="E274" t="s">
        <v>1323</v>
      </c>
      <c r="F274" t="s">
        <v>11</v>
      </c>
      <c r="G274" t="s">
        <v>46</v>
      </c>
      <c r="H274" t="s">
        <v>897</v>
      </c>
      <c r="I274">
        <v>0</v>
      </c>
      <c r="J274" t="s">
        <v>18</v>
      </c>
      <c r="K274">
        <v>0</v>
      </c>
      <c r="L274" t="s">
        <v>1335</v>
      </c>
      <c r="M274">
        <v>0</v>
      </c>
      <c r="N274" t="s">
        <v>18</v>
      </c>
      <c r="V274">
        <v>0</v>
      </c>
      <c r="W274">
        <v>0</v>
      </c>
      <c r="Y274">
        <v>0</v>
      </c>
      <c r="AP274" t="s">
        <v>1324</v>
      </c>
      <c r="AU274" t="s">
        <v>2645</v>
      </c>
      <c r="AV274">
        <v>0</v>
      </c>
      <c r="AW274">
        <v>0</v>
      </c>
      <c r="AX274">
        <v>0</v>
      </c>
      <c r="AY274">
        <v>0</v>
      </c>
      <c r="AZ274" s="494">
        <v>46077</v>
      </c>
      <c r="BA274">
        <v>0</v>
      </c>
      <c r="BO274" t="s">
        <v>342</v>
      </c>
      <c r="BP274" t="s">
        <v>342</v>
      </c>
      <c r="BQ274" t="s">
        <v>342</v>
      </c>
      <c r="BR274" t="s">
        <v>342</v>
      </c>
      <c r="BS274" t="s">
        <v>342</v>
      </c>
      <c r="BT274">
        <v>0</v>
      </c>
      <c r="BU274" s="494">
        <v>46086</v>
      </c>
    </row>
    <row r="275" spans="1:73" customFormat="1" ht="15" x14ac:dyDescent="0.25">
      <c r="A275" s="1052" t="s">
        <v>2586</v>
      </c>
      <c r="B275" t="s">
        <v>1336</v>
      </c>
      <c r="C275" t="s">
        <v>1337</v>
      </c>
      <c r="E275" t="s">
        <v>1323</v>
      </c>
      <c r="F275" t="s">
        <v>11</v>
      </c>
      <c r="G275" t="s">
        <v>46</v>
      </c>
      <c r="H275" t="s">
        <v>897</v>
      </c>
      <c r="I275">
        <v>1932.702579</v>
      </c>
      <c r="J275" t="s">
        <v>18</v>
      </c>
      <c r="K275">
        <v>17844.45</v>
      </c>
      <c r="L275" t="s">
        <v>1338</v>
      </c>
      <c r="M275">
        <v>1932.702579</v>
      </c>
      <c r="N275" t="s">
        <v>18</v>
      </c>
      <c r="V275">
        <v>0</v>
      </c>
      <c r="W275">
        <v>17844.45</v>
      </c>
      <c r="Y275">
        <v>0.01</v>
      </c>
      <c r="AP275" t="s">
        <v>1324</v>
      </c>
      <c r="AU275" t="s">
        <v>2639</v>
      </c>
      <c r="AV275">
        <v>0</v>
      </c>
      <c r="AW275">
        <v>0</v>
      </c>
      <c r="AX275">
        <v>1932.702579</v>
      </c>
      <c r="AY275">
        <v>17844.45</v>
      </c>
      <c r="AZ275" s="494">
        <v>46077</v>
      </c>
      <c r="BA275">
        <v>100</v>
      </c>
      <c r="BO275" t="s">
        <v>342</v>
      </c>
      <c r="BP275" t="s">
        <v>342</v>
      </c>
      <c r="BQ275" t="s">
        <v>342</v>
      </c>
      <c r="BR275" t="s">
        <v>342</v>
      </c>
      <c r="BS275" t="s">
        <v>342</v>
      </c>
      <c r="BT275">
        <v>1.1399999999999999</v>
      </c>
      <c r="BU275" s="494">
        <v>46086</v>
      </c>
    </row>
    <row r="276" spans="1:73" customFormat="1" ht="15" x14ac:dyDescent="0.25">
      <c r="A276" s="1052" t="s">
        <v>2586</v>
      </c>
      <c r="B276" t="s">
        <v>1339</v>
      </c>
      <c r="C276" t="s">
        <v>1340</v>
      </c>
      <c r="E276" t="s">
        <v>1323</v>
      </c>
      <c r="F276" t="s">
        <v>11</v>
      </c>
      <c r="G276" t="s">
        <v>46</v>
      </c>
      <c r="H276" t="s">
        <v>897</v>
      </c>
      <c r="I276">
        <v>94398.53</v>
      </c>
      <c r="J276" t="s">
        <v>18</v>
      </c>
      <c r="K276">
        <v>94398.53</v>
      </c>
      <c r="L276" t="s">
        <v>18</v>
      </c>
      <c r="M276">
        <v>94398.53</v>
      </c>
      <c r="N276" t="s">
        <v>18</v>
      </c>
      <c r="V276">
        <v>0</v>
      </c>
      <c r="W276">
        <v>94398.53</v>
      </c>
      <c r="Y276">
        <v>0.43</v>
      </c>
      <c r="AP276" t="s">
        <v>1324</v>
      </c>
      <c r="AU276" t="s">
        <v>2639</v>
      </c>
      <c r="AV276">
        <v>0</v>
      </c>
      <c r="AW276">
        <v>0</v>
      </c>
      <c r="AX276">
        <v>94398.53</v>
      </c>
      <c r="AY276">
        <v>94398.53</v>
      </c>
      <c r="AZ276" s="494">
        <v>46038</v>
      </c>
      <c r="BA276">
        <v>100</v>
      </c>
      <c r="BO276" t="s">
        <v>342</v>
      </c>
      <c r="BP276" t="s">
        <v>342</v>
      </c>
      <c r="BQ276" t="s">
        <v>342</v>
      </c>
      <c r="BR276" t="s">
        <v>342</v>
      </c>
      <c r="BS276" t="s">
        <v>342</v>
      </c>
      <c r="BT276">
        <v>3.55</v>
      </c>
      <c r="BU276" s="494">
        <v>46086</v>
      </c>
    </row>
    <row r="277" spans="1:73" customFormat="1" ht="15" x14ac:dyDescent="0.25">
      <c r="A277" s="1052" t="s">
        <v>2587</v>
      </c>
      <c r="B277" t="s">
        <v>1339</v>
      </c>
      <c r="C277" t="s">
        <v>1340</v>
      </c>
      <c r="E277" t="s">
        <v>1323</v>
      </c>
      <c r="F277" t="s">
        <v>11</v>
      </c>
      <c r="G277" t="s">
        <v>46</v>
      </c>
      <c r="H277" t="s">
        <v>897</v>
      </c>
      <c r="I277">
        <v>68188.27</v>
      </c>
      <c r="J277" t="s">
        <v>18</v>
      </c>
      <c r="K277">
        <v>68188.27</v>
      </c>
      <c r="L277" t="s">
        <v>18</v>
      </c>
      <c r="M277">
        <v>68188.27</v>
      </c>
      <c r="N277" t="s">
        <v>18</v>
      </c>
      <c r="V277">
        <v>0</v>
      </c>
      <c r="W277">
        <v>68188.27</v>
      </c>
      <c r="Y277">
        <v>0.31</v>
      </c>
      <c r="AP277" t="s">
        <v>1324</v>
      </c>
      <c r="AU277" t="s">
        <v>2663</v>
      </c>
      <c r="AV277">
        <v>0</v>
      </c>
      <c r="AW277">
        <v>0</v>
      </c>
      <c r="AX277">
        <v>68188.27</v>
      </c>
      <c r="AY277">
        <v>68188.27</v>
      </c>
      <c r="AZ277" s="494">
        <v>46038</v>
      </c>
      <c r="BA277">
        <v>100</v>
      </c>
      <c r="BO277" t="s">
        <v>342</v>
      </c>
      <c r="BP277" t="s">
        <v>342</v>
      </c>
      <c r="BQ277" t="s">
        <v>342</v>
      </c>
      <c r="BR277" t="s">
        <v>342</v>
      </c>
      <c r="BS277" t="s">
        <v>342</v>
      </c>
      <c r="BT277">
        <v>3.55</v>
      </c>
      <c r="BU277" s="494">
        <v>46086</v>
      </c>
    </row>
    <row r="278" spans="1:73" customFormat="1" ht="15" x14ac:dyDescent="0.25">
      <c r="A278" s="1052" t="s">
        <v>2588</v>
      </c>
      <c r="B278" t="s">
        <v>1339</v>
      </c>
      <c r="C278" t="s">
        <v>1340</v>
      </c>
      <c r="E278" t="s">
        <v>1323</v>
      </c>
      <c r="F278" t="s">
        <v>11</v>
      </c>
      <c r="G278" t="s">
        <v>46</v>
      </c>
      <c r="H278" t="s">
        <v>897</v>
      </c>
      <c r="I278">
        <v>18134.060000000001</v>
      </c>
      <c r="J278" t="s">
        <v>18</v>
      </c>
      <c r="K278">
        <v>18134.060000000001</v>
      </c>
      <c r="L278" t="s">
        <v>18</v>
      </c>
      <c r="M278">
        <v>18134.060000000001</v>
      </c>
      <c r="N278" t="s">
        <v>18</v>
      </c>
      <c r="V278">
        <v>0</v>
      </c>
      <c r="W278">
        <v>18134.060000000001</v>
      </c>
      <c r="Y278">
        <v>0.08</v>
      </c>
      <c r="AP278" t="s">
        <v>1324</v>
      </c>
      <c r="AU278" t="s">
        <v>2664</v>
      </c>
      <c r="AV278">
        <v>0</v>
      </c>
      <c r="AW278">
        <v>0</v>
      </c>
      <c r="AX278">
        <v>18134.060000000001</v>
      </c>
      <c r="AY278">
        <v>18134.060000000001</v>
      </c>
      <c r="AZ278" s="494">
        <v>46038</v>
      </c>
      <c r="BA278">
        <v>100</v>
      </c>
      <c r="BO278" t="s">
        <v>342</v>
      </c>
      <c r="BP278" t="s">
        <v>342</v>
      </c>
      <c r="BQ278" t="s">
        <v>342</v>
      </c>
      <c r="BR278" t="s">
        <v>342</v>
      </c>
      <c r="BS278" t="s">
        <v>342</v>
      </c>
      <c r="BT278">
        <v>3.55</v>
      </c>
      <c r="BU278" s="494">
        <v>46086</v>
      </c>
    </row>
    <row r="279" spans="1:73" customFormat="1" ht="15" x14ac:dyDescent="0.25">
      <c r="A279" s="1052" t="s">
        <v>2665</v>
      </c>
      <c r="B279" t="s">
        <v>1339</v>
      </c>
      <c r="C279" t="s">
        <v>1340</v>
      </c>
      <c r="E279" t="s">
        <v>1323</v>
      </c>
      <c r="F279" t="s">
        <v>11</v>
      </c>
      <c r="G279" t="s">
        <v>46</v>
      </c>
      <c r="H279" t="s">
        <v>897</v>
      </c>
      <c r="I279">
        <v>5867.75</v>
      </c>
      <c r="J279" t="s">
        <v>18</v>
      </c>
      <c r="K279">
        <v>5867.75</v>
      </c>
      <c r="L279" t="s">
        <v>18</v>
      </c>
      <c r="M279">
        <v>5867.75</v>
      </c>
      <c r="N279" t="s">
        <v>18</v>
      </c>
      <c r="V279">
        <v>0</v>
      </c>
      <c r="W279">
        <v>5867.75</v>
      </c>
      <c r="Y279">
        <v>0.03</v>
      </c>
      <c r="AP279" t="s">
        <v>1324</v>
      </c>
      <c r="AU279" t="s">
        <v>2666</v>
      </c>
      <c r="AV279">
        <v>0</v>
      </c>
      <c r="AW279">
        <v>0</v>
      </c>
      <c r="AX279">
        <v>5867.75</v>
      </c>
      <c r="AY279">
        <v>5867.75</v>
      </c>
      <c r="AZ279" s="494">
        <v>46051</v>
      </c>
      <c r="BA279">
        <v>100</v>
      </c>
      <c r="BO279" t="s">
        <v>342</v>
      </c>
      <c r="BP279" t="s">
        <v>342</v>
      </c>
      <c r="BQ279" t="s">
        <v>342</v>
      </c>
      <c r="BR279" t="s">
        <v>342</v>
      </c>
      <c r="BS279" t="s">
        <v>342</v>
      </c>
      <c r="BT279">
        <v>3.55</v>
      </c>
      <c r="BU279" s="494">
        <v>46086</v>
      </c>
    </row>
    <row r="280" spans="1:73" customFormat="1" ht="15" x14ac:dyDescent="0.25">
      <c r="A280" s="1052" t="s">
        <v>2667</v>
      </c>
      <c r="B280" t="s">
        <v>1339</v>
      </c>
      <c r="C280" t="s">
        <v>1340</v>
      </c>
      <c r="E280" t="s">
        <v>1323</v>
      </c>
      <c r="F280" t="s">
        <v>11</v>
      </c>
      <c r="G280" t="s">
        <v>46</v>
      </c>
      <c r="H280" t="s">
        <v>897</v>
      </c>
      <c r="I280">
        <v>0</v>
      </c>
      <c r="J280" t="s">
        <v>18</v>
      </c>
      <c r="K280">
        <v>0</v>
      </c>
      <c r="L280" t="s">
        <v>18</v>
      </c>
      <c r="M280">
        <v>0</v>
      </c>
      <c r="N280" t="s">
        <v>18</v>
      </c>
      <c r="V280">
        <v>0</v>
      </c>
      <c r="W280">
        <v>0</v>
      </c>
      <c r="Y280">
        <v>0</v>
      </c>
      <c r="AP280" t="s">
        <v>1324</v>
      </c>
      <c r="AU280" t="s">
        <v>2668</v>
      </c>
      <c r="AV280">
        <v>0</v>
      </c>
      <c r="AW280">
        <v>0</v>
      </c>
      <c r="AX280">
        <v>0</v>
      </c>
      <c r="AY280">
        <v>0</v>
      </c>
      <c r="AZ280" s="494">
        <v>43666</v>
      </c>
      <c r="BA280">
        <v>0</v>
      </c>
      <c r="BO280" t="s">
        <v>342</v>
      </c>
      <c r="BP280" t="s">
        <v>342</v>
      </c>
      <c r="BQ280" t="s">
        <v>342</v>
      </c>
      <c r="BR280" t="s">
        <v>342</v>
      </c>
      <c r="BS280" t="s">
        <v>342</v>
      </c>
      <c r="BT280">
        <v>0.25</v>
      </c>
      <c r="BU280" s="494">
        <v>46086</v>
      </c>
    </row>
    <row r="281" spans="1:73" customFormat="1" ht="15" x14ac:dyDescent="0.25">
      <c r="A281" s="1052" t="s">
        <v>2669</v>
      </c>
      <c r="B281" t="s">
        <v>1339</v>
      </c>
      <c r="C281" t="s">
        <v>1340</v>
      </c>
      <c r="E281" t="s">
        <v>1323</v>
      </c>
      <c r="F281" t="s">
        <v>11</v>
      </c>
      <c r="G281" t="s">
        <v>46</v>
      </c>
      <c r="H281" t="s">
        <v>897</v>
      </c>
      <c r="I281">
        <v>0</v>
      </c>
      <c r="J281" t="s">
        <v>18</v>
      </c>
      <c r="K281">
        <v>0</v>
      </c>
      <c r="L281" t="s">
        <v>18</v>
      </c>
      <c r="M281">
        <v>0</v>
      </c>
      <c r="N281" t="s">
        <v>18</v>
      </c>
      <c r="V281">
        <v>0</v>
      </c>
      <c r="W281">
        <v>0</v>
      </c>
      <c r="Y281">
        <v>0</v>
      </c>
      <c r="AP281" t="s">
        <v>1324</v>
      </c>
      <c r="AU281" t="s">
        <v>2670</v>
      </c>
      <c r="AV281">
        <v>0</v>
      </c>
      <c r="AW281">
        <v>0</v>
      </c>
      <c r="AX281">
        <v>0</v>
      </c>
      <c r="AY281">
        <v>0</v>
      </c>
      <c r="AZ281" s="494">
        <v>43666</v>
      </c>
      <c r="BA281">
        <v>0</v>
      </c>
      <c r="BO281" t="s">
        <v>342</v>
      </c>
      <c r="BP281" t="s">
        <v>342</v>
      </c>
      <c r="BQ281" t="s">
        <v>342</v>
      </c>
      <c r="BR281" t="s">
        <v>342</v>
      </c>
      <c r="BS281" t="s">
        <v>342</v>
      </c>
      <c r="BT281">
        <v>0.25</v>
      </c>
      <c r="BU281" s="494">
        <v>46086</v>
      </c>
    </row>
    <row r="282" spans="1:73" customFormat="1" ht="15" x14ac:dyDescent="0.25">
      <c r="A282" s="1052" t="s">
        <v>2589</v>
      </c>
      <c r="B282" t="s">
        <v>1339</v>
      </c>
      <c r="C282" t="s">
        <v>1340</v>
      </c>
      <c r="E282" t="s">
        <v>1323</v>
      </c>
      <c r="F282" t="s">
        <v>11</v>
      </c>
      <c r="G282" t="s">
        <v>46</v>
      </c>
      <c r="H282" t="s">
        <v>897</v>
      </c>
      <c r="I282">
        <v>62996.6</v>
      </c>
      <c r="J282" t="s">
        <v>18</v>
      </c>
      <c r="K282">
        <v>62996.6</v>
      </c>
      <c r="L282" t="s">
        <v>18</v>
      </c>
      <c r="M282">
        <v>62996.6</v>
      </c>
      <c r="N282" t="s">
        <v>18</v>
      </c>
      <c r="V282">
        <v>0</v>
      </c>
      <c r="W282">
        <v>62996.6</v>
      </c>
      <c r="Y282">
        <v>0.28000000000000003</v>
      </c>
      <c r="AP282" t="s">
        <v>1324</v>
      </c>
      <c r="AU282" t="s">
        <v>2640</v>
      </c>
      <c r="AV282">
        <v>0</v>
      </c>
      <c r="AW282">
        <v>0</v>
      </c>
      <c r="AX282">
        <v>62996.6</v>
      </c>
      <c r="AY282">
        <v>62996.6</v>
      </c>
      <c r="AZ282" s="494">
        <v>43666</v>
      </c>
      <c r="BA282">
        <v>100</v>
      </c>
      <c r="BO282" t="s">
        <v>342</v>
      </c>
      <c r="BP282" t="s">
        <v>342</v>
      </c>
      <c r="BQ282" t="s">
        <v>342</v>
      </c>
      <c r="BR282" t="s">
        <v>342</v>
      </c>
      <c r="BS282" t="s">
        <v>342</v>
      </c>
      <c r="BT282">
        <v>0.25</v>
      </c>
      <c r="BU282" s="494">
        <v>46086</v>
      </c>
    </row>
    <row r="283" spans="1:73" customFormat="1" ht="15" x14ac:dyDescent="0.25">
      <c r="A283" s="1052" t="s">
        <v>2641</v>
      </c>
      <c r="B283" t="s">
        <v>1339</v>
      </c>
      <c r="C283" t="s">
        <v>1340</v>
      </c>
      <c r="E283" t="s">
        <v>1323</v>
      </c>
      <c r="F283" t="s">
        <v>11</v>
      </c>
      <c r="G283" t="s">
        <v>46</v>
      </c>
      <c r="H283" t="s">
        <v>897</v>
      </c>
      <c r="I283">
        <v>0</v>
      </c>
      <c r="J283" t="s">
        <v>18</v>
      </c>
      <c r="K283">
        <v>0</v>
      </c>
      <c r="L283" t="s">
        <v>18</v>
      </c>
      <c r="M283">
        <v>0</v>
      </c>
      <c r="N283" t="s">
        <v>18</v>
      </c>
      <c r="V283">
        <v>0</v>
      </c>
      <c r="W283">
        <v>0</v>
      </c>
      <c r="Y283">
        <v>0</v>
      </c>
      <c r="AP283" t="s">
        <v>1324</v>
      </c>
      <c r="AU283" t="s">
        <v>2642</v>
      </c>
      <c r="AV283">
        <v>0</v>
      </c>
      <c r="AW283">
        <v>0</v>
      </c>
      <c r="AX283">
        <v>0</v>
      </c>
      <c r="AY283">
        <v>0</v>
      </c>
      <c r="AZ283" s="494">
        <v>43666</v>
      </c>
      <c r="BA283">
        <v>0</v>
      </c>
      <c r="BO283" t="s">
        <v>342</v>
      </c>
      <c r="BP283" t="s">
        <v>342</v>
      </c>
      <c r="BQ283" t="s">
        <v>342</v>
      </c>
      <c r="BR283" t="s">
        <v>342</v>
      </c>
      <c r="BS283" t="s">
        <v>342</v>
      </c>
      <c r="BT283">
        <v>0.25</v>
      </c>
      <c r="BU283" s="494">
        <v>46086</v>
      </c>
    </row>
    <row r="284" spans="1:73" customFormat="1" ht="15" x14ac:dyDescent="0.25">
      <c r="A284" s="1052" t="s">
        <v>1121</v>
      </c>
      <c r="B284" t="s">
        <v>1339</v>
      </c>
      <c r="C284" t="s">
        <v>1340</v>
      </c>
      <c r="E284" t="s">
        <v>1323</v>
      </c>
      <c r="F284" t="s">
        <v>11</v>
      </c>
      <c r="G284" t="s">
        <v>46</v>
      </c>
      <c r="H284" t="s">
        <v>897</v>
      </c>
      <c r="I284">
        <v>-50795.65</v>
      </c>
      <c r="J284" t="s">
        <v>18</v>
      </c>
      <c r="K284">
        <v>-50795.65</v>
      </c>
      <c r="L284" t="s">
        <v>18</v>
      </c>
      <c r="M284">
        <v>-50795.65</v>
      </c>
      <c r="N284" t="s">
        <v>18</v>
      </c>
      <c r="V284">
        <v>0</v>
      </c>
      <c r="W284">
        <v>-50795.65</v>
      </c>
      <c r="Y284">
        <v>-0.23</v>
      </c>
      <c r="AP284" t="s">
        <v>1324</v>
      </c>
      <c r="AU284" t="s">
        <v>2653</v>
      </c>
      <c r="AV284">
        <v>-50795.65</v>
      </c>
      <c r="AW284">
        <v>-50795.65</v>
      </c>
      <c r="AX284">
        <v>0</v>
      </c>
      <c r="AY284">
        <v>0</v>
      </c>
      <c r="AZ284" s="494">
        <v>43666</v>
      </c>
      <c r="BA284">
        <v>100</v>
      </c>
      <c r="BO284" t="s">
        <v>342</v>
      </c>
      <c r="BP284" t="s">
        <v>342</v>
      </c>
      <c r="BQ284" t="s">
        <v>342</v>
      </c>
      <c r="BR284" t="s">
        <v>342</v>
      </c>
      <c r="BS284" t="s">
        <v>342</v>
      </c>
      <c r="BT284">
        <v>0.25</v>
      </c>
      <c r="BU284" s="494">
        <v>46086</v>
      </c>
    </row>
    <row r="285" spans="1:73" customFormat="1" ht="15" x14ac:dyDescent="0.25">
      <c r="A285" s="1052" t="s">
        <v>1123</v>
      </c>
      <c r="B285" t="s">
        <v>1339</v>
      </c>
      <c r="C285" t="s">
        <v>1340</v>
      </c>
      <c r="E285" t="s">
        <v>1323</v>
      </c>
      <c r="F285" t="s">
        <v>11</v>
      </c>
      <c r="G285" t="s">
        <v>46</v>
      </c>
      <c r="H285" t="s">
        <v>897</v>
      </c>
      <c r="I285">
        <v>-77690.59</v>
      </c>
      <c r="J285" t="s">
        <v>18</v>
      </c>
      <c r="K285">
        <v>-77690.59</v>
      </c>
      <c r="L285" t="s">
        <v>18</v>
      </c>
      <c r="M285">
        <v>-77690.59</v>
      </c>
      <c r="N285" t="s">
        <v>18</v>
      </c>
      <c r="V285">
        <v>0</v>
      </c>
      <c r="W285">
        <v>-77690.59</v>
      </c>
      <c r="Y285">
        <v>-0.35</v>
      </c>
      <c r="AP285" t="s">
        <v>1324</v>
      </c>
      <c r="AU285" t="s">
        <v>2643</v>
      </c>
      <c r="AV285">
        <v>-77690.59</v>
      </c>
      <c r="AW285">
        <v>-77690.59</v>
      </c>
      <c r="AX285">
        <v>0</v>
      </c>
      <c r="AY285">
        <v>0</v>
      </c>
      <c r="AZ285" s="494">
        <v>45264</v>
      </c>
      <c r="BA285">
        <v>100</v>
      </c>
      <c r="BO285" t="s">
        <v>342</v>
      </c>
      <c r="BP285" t="s">
        <v>342</v>
      </c>
      <c r="BQ285" t="s">
        <v>342</v>
      </c>
      <c r="BR285" t="s">
        <v>342</v>
      </c>
      <c r="BS285" t="s">
        <v>342</v>
      </c>
      <c r="BT285">
        <v>0.25</v>
      </c>
      <c r="BU285" s="494">
        <v>46086</v>
      </c>
    </row>
    <row r="286" spans="1:73" customFormat="1" ht="15" x14ac:dyDescent="0.25">
      <c r="A286" s="1052" t="s">
        <v>2671</v>
      </c>
      <c r="B286" t="s">
        <v>1339</v>
      </c>
      <c r="C286" t="s">
        <v>1340</v>
      </c>
      <c r="E286" t="s">
        <v>1323</v>
      </c>
      <c r="F286" t="s">
        <v>11</v>
      </c>
      <c r="G286" t="s">
        <v>46</v>
      </c>
      <c r="H286" t="s">
        <v>897</v>
      </c>
      <c r="I286">
        <v>0</v>
      </c>
      <c r="J286" t="s">
        <v>18</v>
      </c>
      <c r="K286">
        <v>0</v>
      </c>
      <c r="L286" t="s">
        <v>18</v>
      </c>
      <c r="M286">
        <v>0</v>
      </c>
      <c r="N286" t="s">
        <v>18</v>
      </c>
      <c r="V286">
        <v>0</v>
      </c>
      <c r="W286">
        <v>0</v>
      </c>
      <c r="Y286">
        <v>0</v>
      </c>
      <c r="AP286" t="s">
        <v>1324</v>
      </c>
      <c r="AU286" t="s">
        <v>2672</v>
      </c>
      <c r="AV286">
        <v>0</v>
      </c>
      <c r="AW286">
        <v>0</v>
      </c>
      <c r="AX286">
        <v>0</v>
      </c>
      <c r="AY286">
        <v>0</v>
      </c>
      <c r="AZ286" s="494">
        <v>45413</v>
      </c>
      <c r="BA286">
        <v>0</v>
      </c>
      <c r="BO286" t="s">
        <v>342</v>
      </c>
      <c r="BP286" t="s">
        <v>342</v>
      </c>
      <c r="BQ286" t="s">
        <v>342</v>
      </c>
      <c r="BR286" t="s">
        <v>342</v>
      </c>
      <c r="BS286" t="s">
        <v>342</v>
      </c>
      <c r="BT286">
        <v>0.25</v>
      </c>
      <c r="BU286" s="494">
        <v>46086</v>
      </c>
    </row>
    <row r="287" spans="1:73" customFormat="1" ht="15" x14ac:dyDescent="0.25">
      <c r="A287" s="1052" t="s">
        <v>2644</v>
      </c>
      <c r="B287" t="s">
        <v>1339</v>
      </c>
      <c r="C287" t="s">
        <v>1340</v>
      </c>
      <c r="E287" t="s">
        <v>1323</v>
      </c>
      <c r="F287" t="s">
        <v>11</v>
      </c>
      <c r="G287" t="s">
        <v>46</v>
      </c>
      <c r="H287" t="s">
        <v>897</v>
      </c>
      <c r="I287">
        <v>44220.76</v>
      </c>
      <c r="J287" t="s">
        <v>18</v>
      </c>
      <c r="K287">
        <v>44220.76</v>
      </c>
      <c r="L287" t="s">
        <v>18</v>
      </c>
      <c r="M287">
        <v>44220.76</v>
      </c>
      <c r="N287" t="s">
        <v>18</v>
      </c>
      <c r="V287">
        <v>0</v>
      </c>
      <c r="W287">
        <v>44220.76</v>
      </c>
      <c r="Y287">
        <v>0.2</v>
      </c>
      <c r="AP287" t="s">
        <v>1324</v>
      </c>
      <c r="AU287" t="s">
        <v>2645</v>
      </c>
      <c r="AV287">
        <v>0</v>
      </c>
      <c r="AW287">
        <v>0</v>
      </c>
      <c r="AX287">
        <v>44220.76</v>
      </c>
      <c r="AY287">
        <v>44220.76</v>
      </c>
      <c r="AZ287" s="494">
        <v>45860</v>
      </c>
      <c r="BA287">
        <v>100</v>
      </c>
      <c r="BO287" t="s">
        <v>342</v>
      </c>
      <c r="BP287" t="s">
        <v>342</v>
      </c>
      <c r="BQ287" t="s">
        <v>342</v>
      </c>
      <c r="BR287" t="s">
        <v>342</v>
      </c>
      <c r="BS287" t="s">
        <v>342</v>
      </c>
      <c r="BT287">
        <v>0.25</v>
      </c>
      <c r="BU287" s="494">
        <v>46086</v>
      </c>
    </row>
    <row r="288" spans="1:73" customFormat="1" ht="15" x14ac:dyDescent="0.25">
      <c r="A288" s="1052" t="s">
        <v>2654</v>
      </c>
      <c r="B288" t="s">
        <v>1339</v>
      </c>
      <c r="C288" t="s">
        <v>1340</v>
      </c>
      <c r="E288" t="s">
        <v>1323</v>
      </c>
      <c r="F288" t="s">
        <v>11</v>
      </c>
      <c r="G288" t="s">
        <v>46</v>
      </c>
      <c r="H288" t="s">
        <v>897</v>
      </c>
      <c r="I288">
        <v>0</v>
      </c>
      <c r="J288" t="s">
        <v>19</v>
      </c>
      <c r="K288">
        <v>0</v>
      </c>
      <c r="L288" t="s">
        <v>18</v>
      </c>
      <c r="M288">
        <v>0</v>
      </c>
      <c r="N288" t="s">
        <v>18</v>
      </c>
      <c r="V288">
        <v>0</v>
      </c>
      <c r="W288">
        <v>0</v>
      </c>
      <c r="Y288">
        <v>0</v>
      </c>
      <c r="AP288" t="s">
        <v>1324</v>
      </c>
      <c r="AU288" t="s">
        <v>2655</v>
      </c>
      <c r="AV288">
        <v>0</v>
      </c>
      <c r="AW288">
        <v>0</v>
      </c>
      <c r="AX288">
        <v>0</v>
      </c>
      <c r="AY288">
        <v>0</v>
      </c>
      <c r="AZ288" s="494">
        <v>43666</v>
      </c>
      <c r="BA288">
        <v>0</v>
      </c>
      <c r="BO288" t="s">
        <v>342</v>
      </c>
      <c r="BP288" t="s">
        <v>342</v>
      </c>
      <c r="BQ288" t="s">
        <v>342</v>
      </c>
      <c r="BR288" t="s">
        <v>342</v>
      </c>
      <c r="BS288" t="s">
        <v>342</v>
      </c>
      <c r="BT288">
        <v>0</v>
      </c>
      <c r="BU288" s="494">
        <v>46086</v>
      </c>
    </row>
    <row r="289" spans="1:75" customFormat="1" ht="15" x14ac:dyDescent="0.25">
      <c r="A289" s="1052" t="s">
        <v>2656</v>
      </c>
      <c r="B289" t="s">
        <v>1339</v>
      </c>
      <c r="C289" t="s">
        <v>1340</v>
      </c>
      <c r="E289" t="s">
        <v>1323</v>
      </c>
      <c r="F289" t="s">
        <v>11</v>
      </c>
      <c r="G289" t="s">
        <v>46</v>
      </c>
      <c r="H289" t="s">
        <v>897</v>
      </c>
      <c r="I289">
        <v>0</v>
      </c>
      <c r="J289" t="s">
        <v>19</v>
      </c>
      <c r="K289">
        <v>0</v>
      </c>
      <c r="L289" t="s">
        <v>18</v>
      </c>
      <c r="M289">
        <v>0</v>
      </c>
      <c r="N289" t="s">
        <v>18</v>
      </c>
      <c r="V289">
        <v>0</v>
      </c>
      <c r="W289">
        <v>0</v>
      </c>
      <c r="Y289">
        <v>0</v>
      </c>
      <c r="AP289" t="s">
        <v>1324</v>
      </c>
      <c r="AU289" t="s">
        <v>2657</v>
      </c>
      <c r="AV289">
        <v>0</v>
      </c>
      <c r="AW289">
        <v>0</v>
      </c>
      <c r="AX289">
        <v>0</v>
      </c>
      <c r="AY289">
        <v>0</v>
      </c>
      <c r="AZ289" s="494">
        <v>43666</v>
      </c>
      <c r="BA289">
        <v>0</v>
      </c>
      <c r="BO289" t="s">
        <v>342</v>
      </c>
      <c r="BP289" t="s">
        <v>342</v>
      </c>
      <c r="BQ289" t="s">
        <v>342</v>
      </c>
      <c r="BR289" t="s">
        <v>342</v>
      </c>
      <c r="BS289" t="s">
        <v>342</v>
      </c>
      <c r="BT289">
        <v>0</v>
      </c>
      <c r="BU289" s="494">
        <v>46086</v>
      </c>
    </row>
    <row r="290" spans="1:75" customFormat="1" ht="15" x14ac:dyDescent="0.25">
      <c r="A290" s="1052" t="s">
        <v>2658</v>
      </c>
      <c r="B290" t="s">
        <v>1339</v>
      </c>
      <c r="C290" t="s">
        <v>1340</v>
      </c>
      <c r="E290" t="s">
        <v>1323</v>
      </c>
      <c r="F290" t="s">
        <v>11</v>
      </c>
      <c r="G290" t="s">
        <v>46</v>
      </c>
      <c r="H290" t="s">
        <v>897</v>
      </c>
      <c r="I290">
        <v>79.164017999999999</v>
      </c>
      <c r="J290" t="s">
        <v>19</v>
      </c>
      <c r="K290">
        <v>105.87</v>
      </c>
      <c r="L290" t="s">
        <v>18</v>
      </c>
      <c r="M290">
        <v>105.87</v>
      </c>
      <c r="N290" t="s">
        <v>18</v>
      </c>
      <c r="V290">
        <v>0</v>
      </c>
      <c r="W290">
        <v>105.87</v>
      </c>
      <c r="Y290">
        <v>0</v>
      </c>
      <c r="AP290" t="s">
        <v>1324</v>
      </c>
      <c r="AU290" t="s">
        <v>2659</v>
      </c>
      <c r="AV290">
        <v>0</v>
      </c>
      <c r="AW290">
        <v>0</v>
      </c>
      <c r="AX290">
        <v>105.87</v>
      </c>
      <c r="AY290">
        <v>105.87</v>
      </c>
      <c r="AZ290" s="494">
        <v>43666</v>
      </c>
      <c r="BA290">
        <v>100</v>
      </c>
      <c r="BO290" t="s">
        <v>342</v>
      </c>
      <c r="BP290" t="s">
        <v>342</v>
      </c>
      <c r="BQ290" t="s">
        <v>342</v>
      </c>
      <c r="BR290" t="s">
        <v>342</v>
      </c>
      <c r="BS290" t="s">
        <v>342</v>
      </c>
      <c r="BT290">
        <v>0</v>
      </c>
      <c r="BU290" s="494">
        <v>46086</v>
      </c>
    </row>
    <row r="291" spans="1:75" customFormat="1" ht="15" x14ac:dyDescent="0.25">
      <c r="A291" s="1052" t="s">
        <v>2646</v>
      </c>
      <c r="B291" t="s">
        <v>1339</v>
      </c>
      <c r="C291" t="s">
        <v>1340</v>
      </c>
      <c r="E291" t="s">
        <v>1323</v>
      </c>
      <c r="F291" t="s">
        <v>11</v>
      </c>
      <c r="G291" t="s">
        <v>46</v>
      </c>
      <c r="H291" t="s">
        <v>897</v>
      </c>
      <c r="I291">
        <v>254.33880400000001</v>
      </c>
      <c r="J291" t="s">
        <v>19</v>
      </c>
      <c r="K291">
        <v>340.14</v>
      </c>
      <c r="L291" t="s">
        <v>18</v>
      </c>
      <c r="M291">
        <v>340.14</v>
      </c>
      <c r="N291" t="s">
        <v>18</v>
      </c>
      <c r="V291">
        <v>0</v>
      </c>
      <c r="W291">
        <v>340.14</v>
      </c>
      <c r="Y291">
        <v>0</v>
      </c>
      <c r="AP291" t="s">
        <v>1324</v>
      </c>
      <c r="AU291" t="s">
        <v>2647</v>
      </c>
      <c r="AV291">
        <v>0</v>
      </c>
      <c r="AW291">
        <v>0</v>
      </c>
      <c r="AX291">
        <v>340.14</v>
      </c>
      <c r="AY291">
        <v>340.14</v>
      </c>
      <c r="AZ291" s="494">
        <v>43666</v>
      </c>
      <c r="BA291">
        <v>100</v>
      </c>
      <c r="BO291" t="s">
        <v>342</v>
      </c>
      <c r="BP291" t="s">
        <v>342</v>
      </c>
      <c r="BQ291" t="s">
        <v>342</v>
      </c>
      <c r="BR291" t="s">
        <v>342</v>
      </c>
      <c r="BS291" t="s">
        <v>342</v>
      </c>
      <c r="BT291">
        <v>0</v>
      </c>
      <c r="BU291" s="494">
        <v>46086</v>
      </c>
    </row>
    <row r="292" spans="1:75" customFormat="1" ht="15" x14ac:dyDescent="0.25">
      <c r="A292" s="1052" t="s">
        <v>1194</v>
      </c>
      <c r="B292" t="s">
        <v>1339</v>
      </c>
      <c r="C292" t="s">
        <v>1340</v>
      </c>
      <c r="E292" t="s">
        <v>1323</v>
      </c>
      <c r="F292" t="s">
        <v>11</v>
      </c>
      <c r="G292" t="s">
        <v>46</v>
      </c>
      <c r="H292" t="s">
        <v>897</v>
      </c>
      <c r="I292">
        <v>-770.082626</v>
      </c>
      <c r="J292" t="s">
        <v>19</v>
      </c>
      <c r="K292">
        <v>-1029.8699999999999</v>
      </c>
      <c r="L292" t="s">
        <v>18</v>
      </c>
      <c r="M292">
        <v>-1029.8699999999999</v>
      </c>
      <c r="N292" t="s">
        <v>18</v>
      </c>
      <c r="V292">
        <v>0</v>
      </c>
      <c r="W292">
        <v>-1029.8699999999999</v>
      </c>
      <c r="Y292">
        <v>0</v>
      </c>
      <c r="AP292" t="s">
        <v>1324</v>
      </c>
      <c r="AU292" t="s">
        <v>2660</v>
      </c>
      <c r="AV292">
        <v>-1029.8699999999999</v>
      </c>
      <c r="AW292">
        <v>-1029.8699999999999</v>
      </c>
      <c r="AX292">
        <v>0</v>
      </c>
      <c r="AY292">
        <v>0</v>
      </c>
      <c r="AZ292" s="494">
        <v>44137</v>
      </c>
      <c r="BA292">
        <v>100</v>
      </c>
      <c r="BO292" t="s">
        <v>342</v>
      </c>
      <c r="BP292" t="s">
        <v>342</v>
      </c>
      <c r="BQ292" t="s">
        <v>342</v>
      </c>
      <c r="BR292" t="s">
        <v>342</v>
      </c>
      <c r="BS292" t="s">
        <v>342</v>
      </c>
      <c r="BT292">
        <v>0</v>
      </c>
      <c r="BU292" s="494">
        <v>46086</v>
      </c>
    </row>
    <row r="293" spans="1:75" customFormat="1" ht="15" x14ac:dyDescent="0.25">
      <c r="A293" s="1052" t="s">
        <v>2661</v>
      </c>
      <c r="B293" t="s">
        <v>1339</v>
      </c>
      <c r="C293" t="s">
        <v>1340</v>
      </c>
      <c r="E293" t="s">
        <v>1323</v>
      </c>
      <c r="F293" t="s">
        <v>11</v>
      </c>
      <c r="G293" t="s">
        <v>46</v>
      </c>
      <c r="H293" t="s">
        <v>897</v>
      </c>
      <c r="I293">
        <v>0</v>
      </c>
      <c r="J293" t="s">
        <v>19</v>
      </c>
      <c r="K293">
        <v>0</v>
      </c>
      <c r="L293" t="s">
        <v>18</v>
      </c>
      <c r="M293">
        <v>0</v>
      </c>
      <c r="N293" t="s">
        <v>18</v>
      </c>
      <c r="V293">
        <v>0</v>
      </c>
      <c r="W293">
        <v>0</v>
      </c>
      <c r="Y293">
        <v>0</v>
      </c>
      <c r="AP293" t="s">
        <v>1324</v>
      </c>
      <c r="AU293" t="s">
        <v>2662</v>
      </c>
      <c r="AV293">
        <v>0</v>
      </c>
      <c r="AW293">
        <v>0</v>
      </c>
      <c r="AX293">
        <v>0</v>
      </c>
      <c r="AY293">
        <v>0</v>
      </c>
      <c r="AZ293" s="494">
        <v>45413</v>
      </c>
      <c r="BA293">
        <v>0</v>
      </c>
      <c r="BO293" t="s">
        <v>342</v>
      </c>
      <c r="BP293" t="s">
        <v>342</v>
      </c>
      <c r="BQ293" t="s">
        <v>342</v>
      </c>
      <c r="BR293" t="s">
        <v>342</v>
      </c>
      <c r="BS293" t="s">
        <v>342</v>
      </c>
      <c r="BT293">
        <v>0</v>
      </c>
      <c r="BU293" s="494">
        <v>46086</v>
      </c>
    </row>
    <row r="294" spans="1:75" customFormat="1" ht="15" x14ac:dyDescent="0.25">
      <c r="A294" s="1052" t="s">
        <v>2648</v>
      </c>
      <c r="B294" t="s">
        <v>1339</v>
      </c>
      <c r="C294" t="s">
        <v>1340</v>
      </c>
      <c r="E294" t="s">
        <v>1323</v>
      </c>
      <c r="F294" t="s">
        <v>11</v>
      </c>
      <c r="G294" t="s">
        <v>46</v>
      </c>
      <c r="H294" t="s">
        <v>897</v>
      </c>
      <c r="I294">
        <v>72.195013000000003</v>
      </c>
      <c r="J294" t="s">
        <v>19</v>
      </c>
      <c r="K294">
        <v>96.55</v>
      </c>
      <c r="L294" t="s">
        <v>18</v>
      </c>
      <c r="M294">
        <v>96.55</v>
      </c>
      <c r="N294" t="s">
        <v>18</v>
      </c>
      <c r="V294">
        <v>0</v>
      </c>
      <c r="W294">
        <v>96.55</v>
      </c>
      <c r="Y294">
        <v>0</v>
      </c>
      <c r="AP294" t="s">
        <v>1324</v>
      </c>
      <c r="AU294" t="s">
        <v>2649</v>
      </c>
      <c r="AV294">
        <v>0</v>
      </c>
      <c r="AW294">
        <v>0</v>
      </c>
      <c r="AX294">
        <v>96.55</v>
      </c>
      <c r="AY294">
        <v>96.55</v>
      </c>
      <c r="AZ294" s="494">
        <v>45861</v>
      </c>
      <c r="BA294">
        <v>100</v>
      </c>
      <c r="BO294" t="s">
        <v>342</v>
      </c>
      <c r="BP294" t="s">
        <v>342</v>
      </c>
      <c r="BQ294" t="s">
        <v>342</v>
      </c>
      <c r="BR294" t="s">
        <v>342</v>
      </c>
      <c r="BS294" t="s">
        <v>342</v>
      </c>
      <c r="BT294">
        <v>0</v>
      </c>
      <c r="BU294" s="494">
        <v>46086</v>
      </c>
    </row>
    <row r="295" spans="1:75" customFormat="1" ht="15" x14ac:dyDescent="0.25">
      <c r="A295" s="1052" t="s">
        <v>2641</v>
      </c>
      <c r="B295" t="s">
        <v>2676</v>
      </c>
      <c r="C295" t="s">
        <v>2677</v>
      </c>
      <c r="E295" t="s">
        <v>1323</v>
      </c>
      <c r="F295" t="s">
        <v>11</v>
      </c>
      <c r="G295" t="s">
        <v>46</v>
      </c>
      <c r="H295" t="s">
        <v>897</v>
      </c>
      <c r="I295">
        <v>0</v>
      </c>
      <c r="J295" t="s">
        <v>18</v>
      </c>
      <c r="K295">
        <v>0</v>
      </c>
      <c r="L295" t="s">
        <v>2678</v>
      </c>
      <c r="M295">
        <v>0</v>
      </c>
      <c r="N295" t="s">
        <v>18</v>
      </c>
      <c r="V295">
        <v>0</v>
      </c>
      <c r="W295">
        <v>0</v>
      </c>
      <c r="Y295">
        <v>0</v>
      </c>
      <c r="AP295" t="s">
        <v>1324</v>
      </c>
      <c r="AU295" t="s">
        <v>2642</v>
      </c>
      <c r="AV295">
        <v>0</v>
      </c>
      <c r="AW295">
        <v>0</v>
      </c>
      <c r="AX295">
        <v>0</v>
      </c>
      <c r="AY295">
        <v>0</v>
      </c>
      <c r="AZ295" s="494">
        <v>43666</v>
      </c>
      <c r="BA295">
        <v>0</v>
      </c>
      <c r="BO295" t="s">
        <v>342</v>
      </c>
      <c r="BP295" t="s">
        <v>342</v>
      </c>
      <c r="BQ295" t="s">
        <v>342</v>
      </c>
      <c r="BR295" t="s">
        <v>342</v>
      </c>
      <c r="BS295" t="s">
        <v>342</v>
      </c>
      <c r="BT295">
        <v>0</v>
      </c>
      <c r="BU295" s="494">
        <v>46086</v>
      </c>
    </row>
    <row r="296" spans="1:75" customFormat="1" ht="15" x14ac:dyDescent="0.25">
      <c r="A296" s="1052" t="s">
        <v>2644</v>
      </c>
      <c r="B296" t="s">
        <v>2676</v>
      </c>
      <c r="C296" t="s">
        <v>2677</v>
      </c>
      <c r="E296" t="s">
        <v>1323</v>
      </c>
      <c r="F296" t="s">
        <v>11</v>
      </c>
      <c r="G296" t="s">
        <v>46</v>
      </c>
      <c r="H296" t="s">
        <v>897</v>
      </c>
      <c r="I296">
        <v>0</v>
      </c>
      <c r="J296" t="s">
        <v>18</v>
      </c>
      <c r="K296">
        <v>0</v>
      </c>
      <c r="L296" t="s">
        <v>2678</v>
      </c>
      <c r="M296">
        <v>0</v>
      </c>
      <c r="N296" t="s">
        <v>18</v>
      </c>
      <c r="V296">
        <v>0</v>
      </c>
      <c r="W296">
        <v>0</v>
      </c>
      <c r="Y296">
        <v>0</v>
      </c>
      <c r="AP296" t="s">
        <v>1324</v>
      </c>
      <c r="AU296" t="s">
        <v>2645</v>
      </c>
      <c r="AV296">
        <v>0</v>
      </c>
      <c r="AW296">
        <v>0</v>
      </c>
      <c r="AX296">
        <v>0</v>
      </c>
      <c r="AY296">
        <v>0</v>
      </c>
      <c r="AZ296" s="494">
        <v>45863</v>
      </c>
      <c r="BA296">
        <v>0</v>
      </c>
      <c r="BO296" t="s">
        <v>342</v>
      </c>
      <c r="BP296" t="s">
        <v>342</v>
      </c>
      <c r="BQ296" t="s">
        <v>342</v>
      </c>
      <c r="BR296" t="s">
        <v>342</v>
      </c>
      <c r="BS296" t="s">
        <v>342</v>
      </c>
      <c r="BT296">
        <v>0</v>
      </c>
      <c r="BU296" s="494">
        <v>46086</v>
      </c>
    </row>
    <row r="297" spans="1:75" customFormat="1" ht="15" x14ac:dyDescent="0.25">
      <c r="A297" s="1052" t="s">
        <v>2667</v>
      </c>
      <c r="B297" t="s">
        <v>1339</v>
      </c>
      <c r="C297" t="s">
        <v>2679</v>
      </c>
      <c r="E297" t="s">
        <v>1323</v>
      </c>
      <c r="F297" t="s">
        <v>11</v>
      </c>
      <c r="G297" t="s">
        <v>46</v>
      </c>
      <c r="H297" t="s">
        <v>2680</v>
      </c>
      <c r="I297">
        <v>0</v>
      </c>
      <c r="J297" t="s">
        <v>18</v>
      </c>
      <c r="K297">
        <v>0</v>
      </c>
      <c r="L297" t="s">
        <v>18</v>
      </c>
      <c r="M297">
        <v>0</v>
      </c>
      <c r="N297" t="s">
        <v>18</v>
      </c>
      <c r="V297">
        <v>0</v>
      </c>
      <c r="W297">
        <v>0</v>
      </c>
      <c r="Y297">
        <v>0</v>
      </c>
      <c r="AP297" t="s">
        <v>2681</v>
      </c>
      <c r="AV297">
        <v>0</v>
      </c>
      <c r="AW297">
        <v>0</v>
      </c>
      <c r="AX297">
        <v>0</v>
      </c>
      <c r="AY297">
        <v>0</v>
      </c>
      <c r="AZ297" s="494">
        <v>43666</v>
      </c>
      <c r="BA297">
        <v>0</v>
      </c>
      <c r="BO297" t="s">
        <v>342</v>
      </c>
      <c r="BP297" t="s">
        <v>342</v>
      </c>
      <c r="BQ297" t="s">
        <v>342</v>
      </c>
      <c r="BR297" t="s">
        <v>342</v>
      </c>
      <c r="BS297" t="s">
        <v>342</v>
      </c>
      <c r="BT297">
        <v>0.5</v>
      </c>
      <c r="BU297" s="494">
        <v>46086</v>
      </c>
    </row>
    <row r="298" spans="1:75" customFormat="1" ht="15" x14ac:dyDescent="0.25">
      <c r="A298" s="1052" t="s">
        <v>2667</v>
      </c>
      <c r="B298" t="s">
        <v>1339</v>
      </c>
      <c r="C298" t="s">
        <v>2682</v>
      </c>
      <c r="E298" t="s">
        <v>1323</v>
      </c>
      <c r="F298" t="s">
        <v>11</v>
      </c>
      <c r="G298" t="s">
        <v>46</v>
      </c>
      <c r="H298" t="s">
        <v>2680</v>
      </c>
      <c r="I298">
        <v>0</v>
      </c>
      <c r="J298" t="s">
        <v>18</v>
      </c>
      <c r="K298">
        <v>0</v>
      </c>
      <c r="L298" t="s">
        <v>18</v>
      </c>
      <c r="M298">
        <v>0</v>
      </c>
      <c r="N298" t="s">
        <v>18</v>
      </c>
      <c r="V298">
        <v>0</v>
      </c>
      <c r="W298">
        <v>0</v>
      </c>
      <c r="Y298">
        <v>0</v>
      </c>
      <c r="AP298" t="s">
        <v>2681</v>
      </c>
      <c r="AV298">
        <v>0</v>
      </c>
      <c r="AW298">
        <v>0</v>
      </c>
      <c r="AX298">
        <v>0</v>
      </c>
      <c r="AY298">
        <v>0</v>
      </c>
      <c r="AZ298" s="494">
        <v>43666</v>
      </c>
      <c r="BA298">
        <v>0</v>
      </c>
      <c r="BO298" t="s">
        <v>342</v>
      </c>
      <c r="BP298" t="s">
        <v>342</v>
      </c>
      <c r="BQ298" t="s">
        <v>342</v>
      </c>
      <c r="BR298" t="s">
        <v>342</v>
      </c>
      <c r="BS298" t="s">
        <v>342</v>
      </c>
      <c r="BT298">
        <v>3.7</v>
      </c>
      <c r="BU298" s="494">
        <v>46086</v>
      </c>
    </row>
    <row r="299" spans="1:75" customFormat="1" ht="15.75" thickBot="1" x14ac:dyDescent="0.3">
      <c r="A299" s="1052" t="s">
        <v>2589</v>
      </c>
      <c r="B299" t="s">
        <v>1339</v>
      </c>
      <c r="C299" t="s">
        <v>2682</v>
      </c>
      <c r="E299" t="s">
        <v>1323</v>
      </c>
      <c r="F299" t="s">
        <v>11</v>
      </c>
      <c r="G299" t="s">
        <v>46</v>
      </c>
      <c r="H299" t="s">
        <v>2680</v>
      </c>
      <c r="I299">
        <v>0</v>
      </c>
      <c r="J299" t="s">
        <v>18</v>
      </c>
      <c r="K299">
        <v>0</v>
      </c>
      <c r="L299" t="s">
        <v>18</v>
      </c>
      <c r="M299">
        <v>0</v>
      </c>
      <c r="N299" t="s">
        <v>18</v>
      </c>
      <c r="V299">
        <v>0</v>
      </c>
      <c r="W299">
        <v>0</v>
      </c>
      <c r="Y299">
        <v>0</v>
      </c>
      <c r="AP299" t="s">
        <v>2681</v>
      </c>
      <c r="AV299">
        <v>0</v>
      </c>
      <c r="AW299">
        <v>0</v>
      </c>
      <c r="AX299">
        <v>0</v>
      </c>
      <c r="AY299">
        <v>0</v>
      </c>
      <c r="AZ299" s="494">
        <v>43666</v>
      </c>
      <c r="BA299">
        <v>0</v>
      </c>
      <c r="BO299" t="s">
        <v>342</v>
      </c>
      <c r="BP299" t="s">
        <v>342</v>
      </c>
      <c r="BQ299" t="s">
        <v>342</v>
      </c>
      <c r="BR299" t="s">
        <v>342</v>
      </c>
      <c r="BS299" t="s">
        <v>342</v>
      </c>
      <c r="BT299">
        <v>3.7</v>
      </c>
      <c r="BU299" s="494">
        <v>46086</v>
      </c>
    </row>
    <row r="300" spans="1:75" customFormat="1" ht="15.75" thickBot="1" x14ac:dyDescent="0.3">
      <c r="A300" s="1054"/>
      <c r="B300" s="654"/>
      <c r="C300" s="654" t="s">
        <v>913</v>
      </c>
      <c r="D300" s="654"/>
      <c r="E300" s="654"/>
      <c r="F300" s="654"/>
      <c r="G300" s="654"/>
      <c r="H300" s="654"/>
      <c r="I300" s="654">
        <v>-2337828.0887279999</v>
      </c>
      <c r="J300" s="654"/>
      <c r="K300" s="654"/>
      <c r="L300" s="654"/>
      <c r="M300" s="654">
        <v>-2349876.7432829998</v>
      </c>
      <c r="N300" s="654"/>
      <c r="O300" s="654"/>
      <c r="P300" s="654"/>
      <c r="Q300" s="654"/>
      <c r="R300" s="654"/>
      <c r="S300" s="654"/>
      <c r="T300" s="654"/>
      <c r="U300" s="654"/>
      <c r="V300" s="654"/>
      <c r="W300" s="654"/>
      <c r="X300" s="654"/>
      <c r="Y300" s="654">
        <v>-10.599999999999998</v>
      </c>
      <c r="Z300" s="654"/>
      <c r="AA300" s="654"/>
      <c r="AB300" s="654"/>
      <c r="AC300" s="654"/>
      <c r="AD300" s="654"/>
      <c r="AE300" s="654"/>
      <c r="AF300" s="654"/>
      <c r="AG300" s="654"/>
      <c r="AH300" s="654"/>
      <c r="AI300" s="654"/>
      <c r="AJ300" s="654"/>
      <c r="AK300" s="654"/>
      <c r="AL300" s="654"/>
      <c r="AM300" s="654"/>
      <c r="AN300" s="654"/>
      <c r="AO300" s="654"/>
      <c r="AP300" s="654"/>
      <c r="AQ300" s="654"/>
      <c r="AR300" s="654"/>
      <c r="AS300" s="654"/>
      <c r="AT300" s="654"/>
      <c r="AU300" s="654"/>
      <c r="AV300" s="654"/>
      <c r="AW300" s="654"/>
      <c r="AX300" s="654"/>
      <c r="AY300" s="654"/>
      <c r="AZ300" s="654"/>
      <c r="BA300" s="654"/>
      <c r="BB300" s="654"/>
      <c r="BC300" s="654"/>
      <c r="BD300" s="654">
        <v>0</v>
      </c>
      <c r="BE300" s="654"/>
      <c r="BF300" s="654"/>
      <c r="BG300" s="654"/>
      <c r="BH300" s="654"/>
      <c r="BI300" s="654"/>
      <c r="BJ300" s="654"/>
      <c r="BK300" s="654"/>
      <c r="BL300" s="654"/>
      <c r="BM300" s="654"/>
      <c r="BN300" s="654"/>
      <c r="BO300" s="654"/>
      <c r="BP300" s="654"/>
      <c r="BQ300" s="654"/>
      <c r="BR300" s="654"/>
      <c r="BS300" s="654"/>
      <c r="BT300" s="654"/>
      <c r="BU300" s="654"/>
      <c r="BV300" s="654"/>
      <c r="BW300" s="654"/>
    </row>
    <row r="301" spans="1:75" customFormat="1" ht="15" x14ac:dyDescent="0.25">
      <c r="A301" s="1052"/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73FC9-ADA6-458E-AE50-1A2F9BC08F8B}">
  <sheetPr codeName="Sheet17">
    <tabColor theme="2" tint="-9.9978637043366805E-2"/>
  </sheetPr>
  <dimension ref="A1:AF245"/>
  <sheetViews>
    <sheetView workbookViewId="0">
      <pane ySplit="1" topLeftCell="A103" activePane="bottomLeft" state="frozen"/>
      <selection pane="bottomLeft" activeCell="C119" sqref="C119"/>
    </sheetView>
  </sheetViews>
  <sheetFormatPr defaultRowHeight="15" x14ac:dyDescent="0.25"/>
  <cols>
    <col min="1" max="29" width="15.7109375" customWidth="1"/>
    <col min="30" max="30" width="12.28515625" style="22" customWidth="1"/>
    <col min="31" max="31" width="9.140625" style="22"/>
    <col min="32" max="32" width="12.5703125" style="22" customWidth="1"/>
  </cols>
  <sheetData>
    <row r="1" spans="1:32" x14ac:dyDescent="0.25">
      <c r="A1" s="795" t="s">
        <v>592</v>
      </c>
      <c r="B1" s="795" t="s">
        <v>593</v>
      </c>
      <c r="C1" s="795" t="s">
        <v>48</v>
      </c>
      <c r="D1" s="795" t="s">
        <v>594</v>
      </c>
      <c r="E1" s="795" t="s">
        <v>595</v>
      </c>
      <c r="F1" s="795" t="s">
        <v>596</v>
      </c>
      <c r="G1" s="795" t="s">
        <v>597</v>
      </c>
      <c r="H1" s="795" t="s">
        <v>598</v>
      </c>
      <c r="I1" s="795" t="s">
        <v>599</v>
      </c>
      <c r="J1" s="795" t="s">
        <v>600</v>
      </c>
      <c r="K1" s="795" t="s">
        <v>199</v>
      </c>
      <c r="L1" s="795" t="s">
        <v>201</v>
      </c>
      <c r="M1" s="795" t="s">
        <v>601</v>
      </c>
      <c r="N1" s="795" t="s">
        <v>602</v>
      </c>
      <c r="O1" s="795" t="s">
        <v>603</v>
      </c>
      <c r="P1" s="795" t="s">
        <v>604</v>
      </c>
      <c r="Q1" s="795" t="s">
        <v>605</v>
      </c>
      <c r="R1" s="795" t="s">
        <v>606</v>
      </c>
      <c r="S1" s="795" t="s">
        <v>607</v>
      </c>
      <c r="T1" s="795" t="s">
        <v>608</v>
      </c>
      <c r="U1" s="795" t="s">
        <v>609</v>
      </c>
      <c r="V1" s="795" t="s">
        <v>610</v>
      </c>
      <c r="W1" s="795" t="s">
        <v>611</v>
      </c>
      <c r="X1" s="795" t="s">
        <v>612</v>
      </c>
      <c r="Y1" s="795" t="s">
        <v>613</v>
      </c>
      <c r="Z1" s="795" t="s">
        <v>480</v>
      </c>
      <c r="AA1" s="795" t="s">
        <v>614</v>
      </c>
      <c r="AB1" s="795" t="s">
        <v>615</v>
      </c>
      <c r="AC1" s="795" t="s">
        <v>959</v>
      </c>
      <c r="AD1" s="283" t="s">
        <v>943</v>
      </c>
      <c r="AE1" s="283" t="s">
        <v>944</v>
      </c>
      <c r="AF1" s="283" t="s">
        <v>945</v>
      </c>
    </row>
    <row r="2" spans="1:32" x14ac:dyDescent="0.25">
      <c r="A2" s="796" t="s">
        <v>616</v>
      </c>
      <c r="B2" s="796" t="s">
        <v>257</v>
      </c>
      <c r="C2" s="796" t="s">
        <v>145</v>
      </c>
      <c r="D2" s="797">
        <v>107.17</v>
      </c>
      <c r="E2" s="798">
        <v>46103</v>
      </c>
      <c r="F2" s="797">
        <v>5.4084430753825998</v>
      </c>
      <c r="G2" s="797">
        <v>6.7171282969904</v>
      </c>
      <c r="H2" s="797">
        <v>6.3724765313029001</v>
      </c>
      <c r="I2" s="796" t="s">
        <v>617</v>
      </c>
      <c r="J2" s="796" t="s">
        <v>618</v>
      </c>
      <c r="K2" s="796" t="s">
        <v>309</v>
      </c>
      <c r="L2" s="796" t="s">
        <v>331</v>
      </c>
      <c r="M2" s="796" t="s">
        <v>312</v>
      </c>
      <c r="N2" s="796" t="s">
        <v>619</v>
      </c>
      <c r="O2" s="799">
        <v>200000</v>
      </c>
      <c r="P2" s="797">
        <v>200000</v>
      </c>
      <c r="Q2" s="796" t="s">
        <v>257</v>
      </c>
      <c r="R2" s="798">
        <v>49209</v>
      </c>
      <c r="S2" s="797">
        <v>6.375</v>
      </c>
      <c r="T2" s="797">
        <v>6375</v>
      </c>
      <c r="U2" s="796" t="s">
        <v>620</v>
      </c>
      <c r="V2" s="797">
        <v>107.21</v>
      </c>
      <c r="W2" s="797">
        <v>108.23</v>
      </c>
      <c r="X2" s="796" t="s">
        <v>621</v>
      </c>
      <c r="Y2" s="796" t="s">
        <v>257</v>
      </c>
      <c r="Z2" s="796" t="s">
        <v>257</v>
      </c>
      <c r="AA2" s="796" t="s">
        <v>257</v>
      </c>
      <c r="AB2" s="796" t="s">
        <v>257</v>
      </c>
      <c r="AC2" s="797">
        <v>281.82579585471001</v>
      </c>
      <c r="AD2" s="284">
        <f>ABS(W2-V2)</f>
        <v>1.0200000000000102</v>
      </c>
      <c r="AE2" s="284">
        <f>AVERAGE(V2:W2)</f>
        <v>107.72</v>
      </c>
      <c r="AF2" s="22">
        <f>IFERROR(IF(AD2&gt;1.5,AE2,D2),D2)</f>
        <v>107.17</v>
      </c>
    </row>
    <row r="3" spans="1:32" x14ac:dyDescent="0.25">
      <c r="A3" s="796" t="s">
        <v>622</v>
      </c>
      <c r="B3" s="796" t="s">
        <v>257</v>
      </c>
      <c r="C3" s="796" t="s">
        <v>136</v>
      </c>
      <c r="D3" s="797">
        <v>90.954999999999998</v>
      </c>
      <c r="E3" s="798">
        <v>46055</v>
      </c>
      <c r="F3" s="797">
        <v>5.7018091264524999</v>
      </c>
      <c r="G3" s="797">
        <v>5.2076568527539999</v>
      </c>
      <c r="H3" s="797">
        <v>4.9951703417269</v>
      </c>
      <c r="I3" s="796" t="s">
        <v>617</v>
      </c>
      <c r="J3" s="796" t="s">
        <v>623</v>
      </c>
      <c r="K3" s="796" t="s">
        <v>262</v>
      </c>
      <c r="L3" s="796" t="s">
        <v>320</v>
      </c>
      <c r="M3" s="796" t="s">
        <v>319</v>
      </c>
      <c r="N3" s="796" t="s">
        <v>619</v>
      </c>
      <c r="O3" s="799">
        <v>200000</v>
      </c>
      <c r="P3" s="797">
        <v>200000</v>
      </c>
      <c r="Q3" s="798">
        <v>48246</v>
      </c>
      <c r="R3" s="798">
        <v>48062</v>
      </c>
      <c r="S3" s="797">
        <v>3.8279999999999998</v>
      </c>
      <c r="T3" s="797">
        <v>3828</v>
      </c>
      <c r="U3" s="796" t="s">
        <v>624</v>
      </c>
      <c r="V3" s="797">
        <v>90.69</v>
      </c>
      <c r="W3" s="797">
        <v>91.22</v>
      </c>
      <c r="X3" s="796" t="s">
        <v>236</v>
      </c>
      <c r="Y3" s="796" t="s">
        <v>257</v>
      </c>
      <c r="Z3" s="796" t="s">
        <v>257</v>
      </c>
      <c r="AA3" s="796" t="s">
        <v>257</v>
      </c>
      <c r="AB3" s="796" t="s">
        <v>257</v>
      </c>
      <c r="AC3" s="797">
        <v>185.26189331526999</v>
      </c>
      <c r="AD3" s="284">
        <f t="shared" ref="AD3:AD66" si="0">ABS(W3-V3)</f>
        <v>0.53000000000000114</v>
      </c>
      <c r="AE3" s="284">
        <f t="shared" ref="AE3:AE66" si="1">AVERAGE(V3:W3)</f>
        <v>90.954999999999998</v>
      </c>
      <c r="AF3" s="22">
        <f t="shared" ref="AF3:AF66" si="2">IFERROR(IF(AD3&gt;1.5,AE3,D3),D3)</f>
        <v>90.954999999999998</v>
      </c>
    </row>
    <row r="4" spans="1:32" x14ac:dyDescent="0.25">
      <c r="A4" s="796" t="s">
        <v>625</v>
      </c>
      <c r="B4" s="796" t="s">
        <v>257</v>
      </c>
      <c r="C4" s="796" t="s">
        <v>123</v>
      </c>
      <c r="D4" s="797">
        <v>86.4</v>
      </c>
      <c r="E4" s="798">
        <v>46055</v>
      </c>
      <c r="F4" s="797">
        <v>6.4976296503678004</v>
      </c>
      <c r="G4" s="797">
        <v>10.142886702287001</v>
      </c>
      <c r="H4" s="797">
        <v>9.6563277159023002</v>
      </c>
      <c r="I4" s="796" t="s">
        <v>617</v>
      </c>
      <c r="J4" s="796" t="s">
        <v>618</v>
      </c>
      <c r="K4" s="796" t="s">
        <v>262</v>
      </c>
      <c r="L4" s="796" t="s">
        <v>320</v>
      </c>
      <c r="M4" s="796" t="s">
        <v>319</v>
      </c>
      <c r="N4" s="796" t="s">
        <v>619</v>
      </c>
      <c r="O4" s="799">
        <v>200000</v>
      </c>
      <c r="P4" s="797">
        <v>200000</v>
      </c>
      <c r="Q4" s="798">
        <v>51715</v>
      </c>
      <c r="R4" s="798">
        <v>51534</v>
      </c>
      <c r="S4" s="797">
        <v>5</v>
      </c>
      <c r="T4" s="797">
        <v>5000</v>
      </c>
      <c r="U4" s="796" t="s">
        <v>620</v>
      </c>
      <c r="V4" s="797">
        <v>86.44</v>
      </c>
      <c r="W4" s="797">
        <v>87.87</v>
      </c>
      <c r="X4" s="796" t="s">
        <v>236</v>
      </c>
      <c r="Y4" s="796" t="s">
        <v>257</v>
      </c>
      <c r="Z4" s="796" t="s">
        <v>257</v>
      </c>
      <c r="AA4" s="796" t="s">
        <v>257</v>
      </c>
      <c r="AB4" s="796" t="s">
        <v>257</v>
      </c>
      <c r="AC4" s="797">
        <v>215.93579224793999</v>
      </c>
      <c r="AD4" s="284">
        <f t="shared" si="0"/>
        <v>1.4300000000000068</v>
      </c>
      <c r="AE4" s="284">
        <f t="shared" si="1"/>
        <v>87.155000000000001</v>
      </c>
      <c r="AF4" s="22">
        <f t="shared" si="2"/>
        <v>86.4</v>
      </c>
    </row>
    <row r="5" spans="1:32" x14ac:dyDescent="0.25">
      <c r="A5" s="796" t="s">
        <v>626</v>
      </c>
      <c r="B5" s="796" t="s">
        <v>257</v>
      </c>
      <c r="C5" s="796" t="s">
        <v>142</v>
      </c>
      <c r="D5" s="797">
        <v>92.205950000000001</v>
      </c>
      <c r="E5" s="798">
        <v>46174</v>
      </c>
      <c r="F5" s="797">
        <v>6.3546819276862001</v>
      </c>
      <c r="G5" s="797">
        <v>13.189521667800999</v>
      </c>
      <c r="H5" s="797">
        <v>12.573691375275001</v>
      </c>
      <c r="I5" s="796" t="s">
        <v>617</v>
      </c>
      <c r="J5" s="796" t="s">
        <v>623</v>
      </c>
      <c r="K5" s="796" t="s">
        <v>283</v>
      </c>
      <c r="L5" s="796" t="s">
        <v>330</v>
      </c>
      <c r="M5" s="796" t="s">
        <v>278</v>
      </c>
      <c r="N5" s="796" t="s">
        <v>619</v>
      </c>
      <c r="O5" s="799">
        <v>2000</v>
      </c>
      <c r="P5" s="797">
        <v>2000</v>
      </c>
      <c r="Q5" s="798">
        <v>55671</v>
      </c>
      <c r="R5" s="798">
        <v>55488</v>
      </c>
      <c r="S5" s="797">
        <v>5.65</v>
      </c>
      <c r="T5" s="797">
        <v>56.5</v>
      </c>
      <c r="U5" s="796" t="s">
        <v>624</v>
      </c>
      <c r="V5" s="797">
        <v>89.840299999999999</v>
      </c>
      <c r="W5" s="797">
        <v>94.571600000000004</v>
      </c>
      <c r="X5" s="796" t="s">
        <v>236</v>
      </c>
      <c r="Y5" s="796" t="s">
        <v>257</v>
      </c>
      <c r="Z5" s="796" t="s">
        <v>257</v>
      </c>
      <c r="AA5" s="796" t="s">
        <v>257</v>
      </c>
      <c r="AB5" s="796" t="s">
        <v>257</v>
      </c>
      <c r="AC5" s="797">
        <v>178.35419844891001</v>
      </c>
      <c r="AD5" s="284">
        <f t="shared" si="0"/>
        <v>4.7313000000000045</v>
      </c>
      <c r="AE5" s="284">
        <f t="shared" si="1"/>
        <v>92.205950000000001</v>
      </c>
      <c r="AF5" s="22">
        <f t="shared" si="2"/>
        <v>92.205950000000001</v>
      </c>
    </row>
    <row r="6" spans="1:32" x14ac:dyDescent="0.25">
      <c r="A6" s="796" t="s">
        <v>628</v>
      </c>
      <c r="B6" s="796" t="s">
        <v>257</v>
      </c>
      <c r="C6" s="796" t="s">
        <v>157</v>
      </c>
      <c r="D6" s="797">
        <v>112.8335</v>
      </c>
      <c r="E6" s="798">
        <v>46127</v>
      </c>
      <c r="F6" s="796" t="s">
        <v>257</v>
      </c>
      <c r="G6" s="796" t="s">
        <v>257</v>
      </c>
      <c r="H6" s="796" t="s">
        <v>257</v>
      </c>
      <c r="I6" s="796" t="s">
        <v>617</v>
      </c>
      <c r="J6" s="796" t="s">
        <v>623</v>
      </c>
      <c r="K6" s="796" t="s">
        <v>344</v>
      </c>
      <c r="L6" s="796" t="s">
        <v>345</v>
      </c>
      <c r="M6" s="796" t="s">
        <v>275</v>
      </c>
      <c r="N6" s="796" t="s">
        <v>619</v>
      </c>
      <c r="O6" s="799">
        <v>2000</v>
      </c>
      <c r="P6" s="797">
        <v>2000</v>
      </c>
      <c r="Q6" s="798">
        <v>51058</v>
      </c>
      <c r="R6" s="796" t="s">
        <v>257</v>
      </c>
      <c r="S6" s="796" t="s">
        <v>257</v>
      </c>
      <c r="T6" s="796" t="s">
        <v>257</v>
      </c>
      <c r="U6" s="796" t="s">
        <v>624</v>
      </c>
      <c r="V6" s="797">
        <v>112.745</v>
      </c>
      <c r="W6" s="797">
        <v>112.922</v>
      </c>
      <c r="X6" s="796" t="s">
        <v>257</v>
      </c>
      <c r="Y6" s="796" t="s">
        <v>257</v>
      </c>
      <c r="Z6" s="796" t="s">
        <v>257</v>
      </c>
      <c r="AA6" s="796" t="s">
        <v>257</v>
      </c>
      <c r="AB6" s="796" t="s">
        <v>257</v>
      </c>
      <c r="AC6" s="796" t="s">
        <v>257</v>
      </c>
      <c r="AD6" s="284">
        <f t="shared" si="0"/>
        <v>0.1769999999999925</v>
      </c>
      <c r="AE6" s="284">
        <f t="shared" si="1"/>
        <v>112.8335</v>
      </c>
      <c r="AF6" s="22">
        <f t="shared" si="2"/>
        <v>112.8335</v>
      </c>
    </row>
    <row r="7" spans="1:32" x14ac:dyDescent="0.25">
      <c r="A7" s="796" t="s">
        <v>629</v>
      </c>
      <c r="B7" s="796" t="s">
        <v>257</v>
      </c>
      <c r="C7" s="796" t="s">
        <v>165</v>
      </c>
      <c r="D7" s="797">
        <v>76.52</v>
      </c>
      <c r="E7" s="798">
        <v>46212</v>
      </c>
      <c r="F7" s="797">
        <v>9.5458065176161995</v>
      </c>
      <c r="G7" s="797">
        <v>5.8508862021047001</v>
      </c>
      <c r="H7" s="797">
        <v>5.4152219049237003</v>
      </c>
      <c r="I7" s="796" t="s">
        <v>617</v>
      </c>
      <c r="J7" s="796" t="s">
        <v>618</v>
      </c>
      <c r="K7" s="796" t="s">
        <v>348</v>
      </c>
      <c r="L7" s="796" t="s">
        <v>348</v>
      </c>
      <c r="M7" s="796" t="s">
        <v>257</v>
      </c>
      <c r="N7" s="796" t="s">
        <v>619</v>
      </c>
      <c r="O7" s="799">
        <v>1</v>
      </c>
      <c r="P7" s="797">
        <v>1</v>
      </c>
      <c r="Q7" s="798">
        <v>49499</v>
      </c>
      <c r="R7" s="796" t="s">
        <v>257</v>
      </c>
      <c r="S7" s="797">
        <v>4.125</v>
      </c>
      <c r="T7" s="797">
        <v>2.0625000000000001E-2</v>
      </c>
      <c r="U7" s="796" t="s">
        <v>620</v>
      </c>
      <c r="V7" s="797">
        <v>76.52</v>
      </c>
      <c r="W7" s="797">
        <v>78.25</v>
      </c>
      <c r="X7" s="796" t="s">
        <v>236</v>
      </c>
      <c r="Y7" s="796" t="s">
        <v>257</v>
      </c>
      <c r="Z7" s="796" t="s">
        <v>257</v>
      </c>
      <c r="AA7" s="796" t="s">
        <v>257</v>
      </c>
      <c r="AB7" s="796" t="s">
        <v>257</v>
      </c>
      <c r="AC7" s="797">
        <v>562.84296646248004</v>
      </c>
      <c r="AD7" s="284">
        <f t="shared" si="0"/>
        <v>1.730000000000004</v>
      </c>
      <c r="AE7" s="284">
        <f t="shared" si="1"/>
        <v>77.384999999999991</v>
      </c>
      <c r="AF7" s="22">
        <f t="shared" si="2"/>
        <v>77.384999999999991</v>
      </c>
    </row>
    <row r="8" spans="1:32" x14ac:dyDescent="0.25">
      <c r="A8" s="796" t="s">
        <v>630</v>
      </c>
      <c r="B8" s="796" t="s">
        <v>257</v>
      </c>
      <c r="C8" s="796" t="s">
        <v>170</v>
      </c>
      <c r="D8" s="797">
        <v>99.953000000000003</v>
      </c>
      <c r="E8" s="798">
        <v>46127</v>
      </c>
      <c r="F8" s="797">
        <v>6.7414484712823999</v>
      </c>
      <c r="G8" s="797">
        <v>6.3986643676824997</v>
      </c>
      <c r="H8" s="797">
        <v>6.0778027645634003</v>
      </c>
      <c r="I8" s="796" t="s">
        <v>617</v>
      </c>
      <c r="J8" s="796" t="s">
        <v>618</v>
      </c>
      <c r="K8" s="796" t="s">
        <v>283</v>
      </c>
      <c r="L8" s="796" t="s">
        <v>352</v>
      </c>
      <c r="M8" s="796" t="s">
        <v>327</v>
      </c>
      <c r="N8" s="796" t="s">
        <v>619</v>
      </c>
      <c r="O8" s="799">
        <v>2000</v>
      </c>
      <c r="P8" s="797">
        <v>2000</v>
      </c>
      <c r="Q8" s="798">
        <v>56537</v>
      </c>
      <c r="R8" s="798">
        <v>49140</v>
      </c>
      <c r="S8" s="797">
        <v>6.625</v>
      </c>
      <c r="T8" s="797">
        <v>66.25</v>
      </c>
      <c r="U8" s="796" t="s">
        <v>631</v>
      </c>
      <c r="V8" s="796" t="s">
        <v>257</v>
      </c>
      <c r="W8" s="796" t="s">
        <v>257</v>
      </c>
      <c r="X8" s="796" t="s">
        <v>621</v>
      </c>
      <c r="Y8" s="796" t="s">
        <v>257</v>
      </c>
      <c r="Z8" s="796" t="s">
        <v>257</v>
      </c>
      <c r="AA8" s="796" t="s">
        <v>257</v>
      </c>
      <c r="AB8" s="796" t="s">
        <v>257</v>
      </c>
      <c r="AC8" s="797">
        <v>276.60791977521001</v>
      </c>
      <c r="AD8" s="284" t="e">
        <f t="shared" si="0"/>
        <v>#VALUE!</v>
      </c>
      <c r="AE8" s="284" t="e">
        <f t="shared" si="1"/>
        <v>#DIV/0!</v>
      </c>
      <c r="AF8" s="22">
        <f t="shared" si="2"/>
        <v>99.953000000000003</v>
      </c>
    </row>
    <row r="9" spans="1:32" x14ac:dyDescent="0.25">
      <c r="A9" s="796" t="s">
        <v>632</v>
      </c>
      <c r="B9" s="796" t="s">
        <v>257</v>
      </c>
      <c r="C9" s="796" t="s">
        <v>455</v>
      </c>
      <c r="D9" s="797">
        <v>107.25</v>
      </c>
      <c r="E9" s="798">
        <v>46112</v>
      </c>
      <c r="F9" s="797">
        <v>6.5007983643636997</v>
      </c>
      <c r="G9" s="797">
        <v>5.2116827294679</v>
      </c>
      <c r="H9" s="797">
        <v>4.9615282636132996</v>
      </c>
      <c r="I9" s="796" t="s">
        <v>617</v>
      </c>
      <c r="J9" s="796" t="s">
        <v>623</v>
      </c>
      <c r="K9" s="796" t="s">
        <v>294</v>
      </c>
      <c r="L9" s="796" t="s">
        <v>469</v>
      </c>
      <c r="M9" s="796" t="s">
        <v>327</v>
      </c>
      <c r="N9" s="796" t="s">
        <v>619</v>
      </c>
      <c r="O9" s="799">
        <v>200000</v>
      </c>
      <c r="P9" s="797">
        <v>200000</v>
      </c>
      <c r="Q9" s="796" t="s">
        <v>257</v>
      </c>
      <c r="R9" s="798">
        <v>48487</v>
      </c>
      <c r="S9" s="797">
        <v>7.75</v>
      </c>
      <c r="T9" s="797">
        <v>7750</v>
      </c>
      <c r="U9" s="796" t="s">
        <v>634</v>
      </c>
      <c r="V9" s="796" t="s">
        <v>257</v>
      </c>
      <c r="W9" s="796" t="s">
        <v>257</v>
      </c>
      <c r="X9" s="796" t="s">
        <v>621</v>
      </c>
      <c r="Y9" s="796" t="s">
        <v>257</v>
      </c>
      <c r="Z9" s="796" t="s">
        <v>257</v>
      </c>
      <c r="AA9" s="796" t="s">
        <v>257</v>
      </c>
      <c r="AB9" s="796" t="s">
        <v>257</v>
      </c>
      <c r="AC9" s="796" t="s">
        <v>257</v>
      </c>
      <c r="AD9" s="284" t="e">
        <f t="shared" si="0"/>
        <v>#VALUE!</v>
      </c>
      <c r="AE9" s="284" t="e">
        <f t="shared" si="1"/>
        <v>#DIV/0!</v>
      </c>
      <c r="AF9" s="22">
        <f t="shared" si="2"/>
        <v>107.25</v>
      </c>
    </row>
    <row r="10" spans="1:32" x14ac:dyDescent="0.25">
      <c r="A10" s="796" t="s">
        <v>636</v>
      </c>
      <c r="B10" s="796" t="s">
        <v>257</v>
      </c>
      <c r="C10" s="796" t="s">
        <v>96</v>
      </c>
      <c r="D10" s="797">
        <v>82.17</v>
      </c>
      <c r="E10" s="798">
        <v>46102</v>
      </c>
      <c r="F10" s="797">
        <v>7.4558883862209004</v>
      </c>
      <c r="G10" s="797">
        <v>11.863270241415</v>
      </c>
      <c r="H10" s="797">
        <v>11.193465583221</v>
      </c>
      <c r="I10" s="796" t="s">
        <v>617</v>
      </c>
      <c r="J10" s="796" t="s">
        <v>618</v>
      </c>
      <c r="K10" s="796" t="s">
        <v>276</v>
      </c>
      <c r="L10" s="796" t="s">
        <v>301</v>
      </c>
      <c r="M10" s="796" t="s">
        <v>284</v>
      </c>
      <c r="N10" s="796" t="s">
        <v>619</v>
      </c>
      <c r="O10" s="799">
        <v>200000</v>
      </c>
      <c r="P10" s="797">
        <v>200000</v>
      </c>
      <c r="Q10" s="798">
        <v>55052</v>
      </c>
      <c r="R10" s="798">
        <v>54868</v>
      </c>
      <c r="S10" s="797">
        <v>5.75</v>
      </c>
      <c r="T10" s="797">
        <v>5750</v>
      </c>
      <c r="U10" s="796" t="s">
        <v>620</v>
      </c>
      <c r="V10" s="797">
        <v>82.09</v>
      </c>
      <c r="W10" s="797">
        <v>83.62</v>
      </c>
      <c r="X10" s="796" t="s">
        <v>236</v>
      </c>
      <c r="Y10" s="796" t="s">
        <v>257</v>
      </c>
      <c r="Z10" s="796" t="s">
        <v>257</v>
      </c>
      <c r="AA10" s="796" t="s">
        <v>257</v>
      </c>
      <c r="AB10" s="796" t="s">
        <v>257</v>
      </c>
      <c r="AC10" s="797">
        <v>297.8905805334</v>
      </c>
      <c r="AD10" s="284">
        <f t="shared" si="0"/>
        <v>1.5300000000000011</v>
      </c>
      <c r="AE10" s="284">
        <f t="shared" si="1"/>
        <v>82.855000000000004</v>
      </c>
      <c r="AF10" s="22">
        <f t="shared" si="2"/>
        <v>82.855000000000004</v>
      </c>
    </row>
    <row r="11" spans="1:32" x14ac:dyDescent="0.25">
      <c r="A11" s="796" t="s">
        <v>637</v>
      </c>
      <c r="B11" s="796" t="s">
        <v>257</v>
      </c>
      <c r="C11" s="796" t="s">
        <v>638</v>
      </c>
      <c r="D11" s="797">
        <v>99.95</v>
      </c>
      <c r="E11" s="796" t="s">
        <v>257</v>
      </c>
      <c r="F11" s="796" t="s">
        <v>257</v>
      </c>
      <c r="G11" s="796" t="s">
        <v>257</v>
      </c>
      <c r="H11" s="796" t="s">
        <v>257</v>
      </c>
      <c r="I11" s="796" t="s">
        <v>617</v>
      </c>
      <c r="J11" s="796" t="s">
        <v>618</v>
      </c>
      <c r="K11" s="796" t="s">
        <v>290</v>
      </c>
      <c r="L11" s="796" t="s">
        <v>291</v>
      </c>
      <c r="M11" s="796" t="s">
        <v>312</v>
      </c>
      <c r="N11" s="796" t="s">
        <v>619</v>
      </c>
      <c r="O11" s="799">
        <v>200000</v>
      </c>
      <c r="P11" s="796" t="s">
        <v>257</v>
      </c>
      <c r="Q11" s="796" t="s">
        <v>257</v>
      </c>
      <c r="R11" s="796" t="s">
        <v>257</v>
      </c>
      <c r="S11" s="796" t="s">
        <v>257</v>
      </c>
      <c r="T11" s="796" t="s">
        <v>257</v>
      </c>
      <c r="U11" s="796" t="s">
        <v>620</v>
      </c>
      <c r="V11" s="797">
        <v>99.95</v>
      </c>
      <c r="W11" s="797">
        <v>100.15</v>
      </c>
      <c r="X11" s="796" t="s">
        <v>257</v>
      </c>
      <c r="Y11" s="796" t="s">
        <v>257</v>
      </c>
      <c r="Z11" s="796" t="s">
        <v>257</v>
      </c>
      <c r="AA11" s="796" t="s">
        <v>257</v>
      </c>
      <c r="AB11" s="796" t="s">
        <v>257</v>
      </c>
      <c r="AC11" s="796" t="s">
        <v>257</v>
      </c>
      <c r="AD11" s="284">
        <f t="shared" si="0"/>
        <v>0.20000000000000284</v>
      </c>
      <c r="AE11" s="284">
        <f t="shared" si="1"/>
        <v>100.05000000000001</v>
      </c>
      <c r="AF11" s="22">
        <f t="shared" si="2"/>
        <v>99.95</v>
      </c>
    </row>
    <row r="12" spans="1:32" x14ac:dyDescent="0.25">
      <c r="A12" s="796" t="s">
        <v>639</v>
      </c>
      <c r="B12" s="796" t="s">
        <v>257</v>
      </c>
      <c r="C12" s="796" t="s">
        <v>640</v>
      </c>
      <c r="D12" s="797">
        <v>100.01</v>
      </c>
      <c r="E12" s="796" t="s">
        <v>257</v>
      </c>
      <c r="F12" s="796" t="s">
        <v>257</v>
      </c>
      <c r="G12" s="796" t="s">
        <v>257</v>
      </c>
      <c r="H12" s="796" t="s">
        <v>257</v>
      </c>
      <c r="I12" s="796" t="s">
        <v>617</v>
      </c>
      <c r="J12" s="796" t="s">
        <v>618</v>
      </c>
      <c r="K12" s="796" t="s">
        <v>290</v>
      </c>
      <c r="L12" s="796" t="s">
        <v>291</v>
      </c>
      <c r="M12" s="796" t="s">
        <v>312</v>
      </c>
      <c r="N12" s="796" t="s">
        <v>619</v>
      </c>
      <c r="O12" s="799">
        <v>200000</v>
      </c>
      <c r="P12" s="796" t="s">
        <v>257</v>
      </c>
      <c r="Q12" s="796" t="s">
        <v>257</v>
      </c>
      <c r="R12" s="796" t="s">
        <v>257</v>
      </c>
      <c r="S12" s="796" t="s">
        <v>257</v>
      </c>
      <c r="T12" s="796" t="s">
        <v>257</v>
      </c>
      <c r="U12" s="796" t="s">
        <v>620</v>
      </c>
      <c r="V12" s="797">
        <v>100.01</v>
      </c>
      <c r="W12" s="797">
        <v>100.59</v>
      </c>
      <c r="X12" s="796" t="s">
        <v>257</v>
      </c>
      <c r="Y12" s="796" t="s">
        <v>257</v>
      </c>
      <c r="Z12" s="796" t="s">
        <v>257</v>
      </c>
      <c r="AA12" s="796" t="s">
        <v>257</v>
      </c>
      <c r="AB12" s="796" t="s">
        <v>257</v>
      </c>
      <c r="AC12" s="796" t="s">
        <v>257</v>
      </c>
      <c r="AD12" s="284">
        <f t="shared" si="0"/>
        <v>0.57999999999999829</v>
      </c>
      <c r="AE12" s="284">
        <f t="shared" si="1"/>
        <v>100.30000000000001</v>
      </c>
      <c r="AF12" s="22">
        <f t="shared" si="2"/>
        <v>100.01</v>
      </c>
    </row>
    <row r="13" spans="1:32" x14ac:dyDescent="0.25">
      <c r="A13" s="796" t="s">
        <v>641</v>
      </c>
      <c r="B13" s="796" t="s">
        <v>257</v>
      </c>
      <c r="C13" s="796" t="s">
        <v>363</v>
      </c>
      <c r="D13" s="797">
        <v>107.15</v>
      </c>
      <c r="E13" s="798">
        <v>46096</v>
      </c>
      <c r="F13" s="797">
        <v>6.7403545104802998</v>
      </c>
      <c r="G13" s="797">
        <v>6.6052556173659998</v>
      </c>
      <c r="H13" s="797">
        <v>6.2740987786966</v>
      </c>
      <c r="I13" s="796" t="s">
        <v>617</v>
      </c>
      <c r="J13" s="796" t="s">
        <v>618</v>
      </c>
      <c r="K13" s="796" t="s">
        <v>294</v>
      </c>
      <c r="L13" s="796" t="s">
        <v>364</v>
      </c>
      <c r="M13" s="796" t="s">
        <v>312</v>
      </c>
      <c r="N13" s="796" t="s">
        <v>619</v>
      </c>
      <c r="O13" s="799">
        <v>200000</v>
      </c>
      <c r="P13" s="797">
        <v>200000</v>
      </c>
      <c r="Q13" s="796" t="s">
        <v>257</v>
      </c>
      <c r="R13" s="798">
        <v>49383</v>
      </c>
      <c r="S13" s="797">
        <v>7.625</v>
      </c>
      <c r="T13" s="797">
        <v>3812.5</v>
      </c>
      <c r="U13" s="796" t="s">
        <v>620</v>
      </c>
      <c r="V13" s="797">
        <v>106.98</v>
      </c>
      <c r="W13" s="797">
        <v>108.05</v>
      </c>
      <c r="X13" s="796" t="s">
        <v>621</v>
      </c>
      <c r="Y13" s="796" t="s">
        <v>257</v>
      </c>
      <c r="Z13" s="796" t="s">
        <v>257</v>
      </c>
      <c r="AA13" s="796" t="s">
        <v>257</v>
      </c>
      <c r="AB13" s="796" t="s">
        <v>257</v>
      </c>
      <c r="AC13" s="797">
        <v>274.32656142830001</v>
      </c>
      <c r="AD13" s="284">
        <f t="shared" si="0"/>
        <v>1.0699999999999932</v>
      </c>
      <c r="AE13" s="284">
        <f t="shared" si="1"/>
        <v>107.515</v>
      </c>
      <c r="AF13" s="22">
        <f t="shared" si="2"/>
        <v>107.15</v>
      </c>
    </row>
    <row r="14" spans="1:32" x14ac:dyDescent="0.25">
      <c r="A14" s="796" t="s">
        <v>642</v>
      </c>
      <c r="B14" s="796" t="s">
        <v>257</v>
      </c>
      <c r="C14" s="796" t="s">
        <v>548</v>
      </c>
      <c r="D14" s="797">
        <v>108.45</v>
      </c>
      <c r="E14" s="798">
        <v>46096</v>
      </c>
      <c r="F14" s="797">
        <v>6.7368591194862004</v>
      </c>
      <c r="G14" s="797">
        <v>4.5182353769721004</v>
      </c>
      <c r="H14" s="797">
        <v>4.2918525839030002</v>
      </c>
      <c r="I14" s="796" t="s">
        <v>617</v>
      </c>
      <c r="J14" s="796" t="s">
        <v>623</v>
      </c>
      <c r="K14" s="796" t="s">
        <v>294</v>
      </c>
      <c r="L14" s="796" t="s">
        <v>364</v>
      </c>
      <c r="M14" s="796" t="s">
        <v>312</v>
      </c>
      <c r="N14" s="796" t="s">
        <v>619</v>
      </c>
      <c r="O14" s="799">
        <v>200000</v>
      </c>
      <c r="P14" s="797">
        <v>200000</v>
      </c>
      <c r="Q14" s="796" t="s">
        <v>257</v>
      </c>
      <c r="R14" s="798">
        <v>48106</v>
      </c>
      <c r="S14" s="797">
        <v>8.375</v>
      </c>
      <c r="T14" s="797">
        <v>4187.5</v>
      </c>
      <c r="U14" s="796" t="s">
        <v>634</v>
      </c>
      <c r="V14" s="796" t="s">
        <v>257</v>
      </c>
      <c r="W14" s="796" t="s">
        <v>257</v>
      </c>
      <c r="X14" s="796" t="s">
        <v>621</v>
      </c>
      <c r="Y14" s="796" t="s">
        <v>257</v>
      </c>
      <c r="Z14" s="796" t="s">
        <v>257</v>
      </c>
      <c r="AA14" s="796" t="s">
        <v>257</v>
      </c>
      <c r="AB14" s="796" t="s">
        <v>257</v>
      </c>
      <c r="AC14" s="796" t="s">
        <v>257</v>
      </c>
      <c r="AD14" s="284" t="e">
        <f t="shared" si="0"/>
        <v>#VALUE!</v>
      </c>
      <c r="AE14" s="284" t="e">
        <f t="shared" si="1"/>
        <v>#DIV/0!</v>
      </c>
      <c r="AF14" s="22">
        <f t="shared" si="2"/>
        <v>108.45</v>
      </c>
    </row>
    <row r="15" spans="1:32" x14ac:dyDescent="0.25">
      <c r="A15" s="796" t="s">
        <v>644</v>
      </c>
      <c r="B15" s="796" t="s">
        <v>257</v>
      </c>
      <c r="C15" s="796" t="s">
        <v>134</v>
      </c>
      <c r="D15" s="797">
        <v>98.41</v>
      </c>
      <c r="E15" s="798">
        <v>46143</v>
      </c>
      <c r="F15" s="797">
        <v>6.0164693732721997</v>
      </c>
      <c r="G15" s="797">
        <v>12.851198625124001</v>
      </c>
      <c r="H15" s="797">
        <v>12.290248460399001</v>
      </c>
      <c r="I15" s="796" t="s">
        <v>617</v>
      </c>
      <c r="J15" s="796" t="s">
        <v>618</v>
      </c>
      <c r="K15" s="796" t="s">
        <v>283</v>
      </c>
      <c r="L15" s="796" t="s">
        <v>326</v>
      </c>
      <c r="M15" s="796" t="s">
        <v>325</v>
      </c>
      <c r="N15" s="796" t="s">
        <v>619</v>
      </c>
      <c r="O15" s="799">
        <v>2000</v>
      </c>
      <c r="P15" s="797">
        <v>2000</v>
      </c>
      <c r="Q15" s="798">
        <v>54909</v>
      </c>
      <c r="R15" s="798">
        <v>54728</v>
      </c>
      <c r="S15" s="797">
        <v>5.8049999999999997</v>
      </c>
      <c r="T15" s="797">
        <v>58.05</v>
      </c>
      <c r="U15" s="796" t="s">
        <v>620</v>
      </c>
      <c r="V15" s="797">
        <v>98.28</v>
      </c>
      <c r="W15" s="797">
        <v>99.85</v>
      </c>
      <c r="X15" s="796" t="s">
        <v>236</v>
      </c>
      <c r="Y15" s="796" t="s">
        <v>257</v>
      </c>
      <c r="Z15" s="796" t="s">
        <v>257</v>
      </c>
      <c r="AA15" s="796" t="s">
        <v>257</v>
      </c>
      <c r="AB15" s="796" t="s">
        <v>257</v>
      </c>
      <c r="AC15" s="797">
        <v>146.83134633648001</v>
      </c>
      <c r="AD15" s="284">
        <f t="shared" si="0"/>
        <v>1.5699999999999932</v>
      </c>
      <c r="AE15" s="284">
        <f t="shared" si="1"/>
        <v>99.064999999999998</v>
      </c>
      <c r="AF15" s="22">
        <f t="shared" si="2"/>
        <v>99.064999999999998</v>
      </c>
    </row>
    <row r="16" spans="1:32" x14ac:dyDescent="0.25">
      <c r="A16" s="796" t="s">
        <v>1073</v>
      </c>
      <c r="B16" s="796" t="s">
        <v>257</v>
      </c>
      <c r="C16" s="796" t="s">
        <v>1051</v>
      </c>
      <c r="D16" s="797">
        <v>99.5</v>
      </c>
      <c r="E16" s="798">
        <v>46155</v>
      </c>
      <c r="F16" s="797">
        <v>7.2935721082131</v>
      </c>
      <c r="G16" s="797">
        <v>12.144598330357001</v>
      </c>
      <c r="H16" s="797">
        <v>11.476245095791</v>
      </c>
      <c r="I16" s="796" t="s">
        <v>617</v>
      </c>
      <c r="J16" s="796" t="s">
        <v>618</v>
      </c>
      <c r="K16" s="796" t="s">
        <v>276</v>
      </c>
      <c r="L16" s="796" t="s">
        <v>276</v>
      </c>
      <c r="M16" s="796" t="s">
        <v>257</v>
      </c>
      <c r="N16" s="796" t="s">
        <v>619</v>
      </c>
      <c r="O16" s="799">
        <v>200000</v>
      </c>
      <c r="P16" s="797">
        <v>200000</v>
      </c>
      <c r="Q16" s="798">
        <v>56382</v>
      </c>
      <c r="R16" s="796" t="s">
        <v>257</v>
      </c>
      <c r="S16" s="797">
        <v>7.125</v>
      </c>
      <c r="T16" s="797">
        <v>7125</v>
      </c>
      <c r="U16" s="796" t="s">
        <v>620</v>
      </c>
      <c r="V16" s="797">
        <v>99.36</v>
      </c>
      <c r="W16" s="797">
        <v>99.98</v>
      </c>
      <c r="X16" s="796" t="s">
        <v>236</v>
      </c>
      <c r="Y16" s="796" t="s">
        <v>257</v>
      </c>
      <c r="Z16" s="796" t="s">
        <v>257</v>
      </c>
      <c r="AA16" s="796" t="s">
        <v>257</v>
      </c>
      <c r="AB16" s="796" t="s">
        <v>257</v>
      </c>
      <c r="AC16" s="797">
        <v>279.56995747565998</v>
      </c>
      <c r="AD16" s="284">
        <f t="shared" si="0"/>
        <v>0.62000000000000455</v>
      </c>
      <c r="AE16" s="284">
        <f t="shared" si="1"/>
        <v>99.67</v>
      </c>
      <c r="AF16" s="22">
        <f t="shared" si="2"/>
        <v>99.5</v>
      </c>
    </row>
    <row r="17" spans="1:32" x14ac:dyDescent="0.25">
      <c r="A17" s="796" t="s">
        <v>645</v>
      </c>
      <c r="B17" s="796" t="s">
        <v>257</v>
      </c>
      <c r="C17" s="796" t="s">
        <v>175</v>
      </c>
      <c r="D17" s="797">
        <v>108.89</v>
      </c>
      <c r="E17" s="798">
        <v>46223</v>
      </c>
      <c r="F17" s="797">
        <v>6.0980504760054002</v>
      </c>
      <c r="G17" s="797">
        <v>7.8218574347259997</v>
      </c>
      <c r="H17" s="797">
        <v>7.4746843207406997</v>
      </c>
      <c r="I17" s="796" t="s">
        <v>617</v>
      </c>
      <c r="J17" s="796" t="s">
        <v>618</v>
      </c>
      <c r="K17" s="796" t="s">
        <v>276</v>
      </c>
      <c r="L17" s="796" t="s">
        <v>276</v>
      </c>
      <c r="M17" s="796" t="s">
        <v>257</v>
      </c>
      <c r="N17" s="796" t="s">
        <v>619</v>
      </c>
      <c r="O17" s="799">
        <v>1000</v>
      </c>
      <c r="P17" s="797">
        <v>1000</v>
      </c>
      <c r="Q17" s="798">
        <v>50060</v>
      </c>
      <c r="R17" s="796" t="s">
        <v>257</v>
      </c>
      <c r="S17" s="797">
        <v>7.125</v>
      </c>
      <c r="T17" s="797">
        <v>35.630000000000003</v>
      </c>
      <c r="U17" s="796" t="s">
        <v>620</v>
      </c>
      <c r="V17" s="797">
        <v>108.89</v>
      </c>
      <c r="W17" s="797">
        <v>109.83</v>
      </c>
      <c r="X17" s="796" t="s">
        <v>236</v>
      </c>
      <c r="Y17" s="796" t="s">
        <v>257</v>
      </c>
      <c r="Z17" s="796" t="s">
        <v>257</v>
      </c>
      <c r="AA17" s="796" t="s">
        <v>257</v>
      </c>
      <c r="AB17" s="796" t="s">
        <v>257</v>
      </c>
      <c r="AC17" s="797">
        <v>197.61693323392001</v>
      </c>
      <c r="AD17" s="284">
        <f t="shared" si="0"/>
        <v>0.93999999999999773</v>
      </c>
      <c r="AE17" s="284">
        <f t="shared" si="1"/>
        <v>109.36</v>
      </c>
      <c r="AF17" s="22">
        <f t="shared" si="2"/>
        <v>108.89</v>
      </c>
    </row>
    <row r="18" spans="1:32" x14ac:dyDescent="0.25">
      <c r="A18" s="796" t="s">
        <v>646</v>
      </c>
      <c r="B18" s="796" t="s">
        <v>257</v>
      </c>
      <c r="C18" s="796" t="s">
        <v>69</v>
      </c>
      <c r="D18" s="797">
        <v>96.65</v>
      </c>
      <c r="E18" s="798">
        <v>46178</v>
      </c>
      <c r="F18" s="797">
        <v>9.9902584753304993</v>
      </c>
      <c r="G18" s="797">
        <v>3.9227039499425</v>
      </c>
      <c r="H18" s="797">
        <v>3.6159438157327002</v>
      </c>
      <c r="I18" s="796" t="s">
        <v>617</v>
      </c>
      <c r="J18" s="796" t="s">
        <v>633</v>
      </c>
      <c r="K18" s="796" t="s">
        <v>276</v>
      </c>
      <c r="L18" s="796" t="s">
        <v>277</v>
      </c>
      <c r="M18" s="796" t="s">
        <v>275</v>
      </c>
      <c r="N18" s="796" t="s">
        <v>619</v>
      </c>
      <c r="O18" s="799">
        <v>200000</v>
      </c>
      <c r="P18" s="797">
        <v>200000</v>
      </c>
      <c r="Q18" s="798">
        <v>47822</v>
      </c>
      <c r="R18" s="798">
        <v>46361</v>
      </c>
      <c r="S18" s="797">
        <v>8.875</v>
      </c>
      <c r="T18" s="797">
        <v>8875</v>
      </c>
      <c r="U18" s="796" t="s">
        <v>624</v>
      </c>
      <c r="V18" s="796" t="s">
        <v>257</v>
      </c>
      <c r="W18" s="796" t="s">
        <v>257</v>
      </c>
      <c r="X18" s="796" t="s">
        <v>236</v>
      </c>
      <c r="Y18" s="796" t="s">
        <v>257</v>
      </c>
      <c r="Z18" s="796" t="s">
        <v>257</v>
      </c>
      <c r="AA18" s="796" t="s">
        <v>257</v>
      </c>
      <c r="AB18" s="796" t="s">
        <v>257</v>
      </c>
      <c r="AC18" s="797">
        <v>627.18466122479003</v>
      </c>
      <c r="AD18" s="284" t="e">
        <f t="shared" si="0"/>
        <v>#VALUE!</v>
      </c>
      <c r="AE18" s="284" t="e">
        <f t="shared" si="1"/>
        <v>#DIV/0!</v>
      </c>
      <c r="AF18" s="22">
        <f t="shared" si="2"/>
        <v>96.65</v>
      </c>
    </row>
    <row r="19" spans="1:32" x14ac:dyDescent="0.25">
      <c r="A19" s="796" t="s">
        <v>647</v>
      </c>
      <c r="B19" s="796" t="s">
        <v>257</v>
      </c>
      <c r="C19" s="796" t="s">
        <v>132</v>
      </c>
      <c r="D19" s="797">
        <v>101.25</v>
      </c>
      <c r="E19" s="798">
        <v>46089</v>
      </c>
      <c r="F19" s="797">
        <v>6.3004384815146999</v>
      </c>
      <c r="G19" s="797">
        <v>13.002885659036</v>
      </c>
      <c r="H19" s="797">
        <v>12.402094931603999</v>
      </c>
      <c r="I19" s="796" t="s">
        <v>617</v>
      </c>
      <c r="J19" s="796" t="s">
        <v>618</v>
      </c>
      <c r="K19" s="796" t="s">
        <v>323</v>
      </c>
      <c r="L19" s="796" t="s">
        <v>324</v>
      </c>
      <c r="M19" s="796" t="s">
        <v>261</v>
      </c>
      <c r="N19" s="796" t="s">
        <v>619</v>
      </c>
      <c r="O19" s="799">
        <v>200000</v>
      </c>
      <c r="P19" s="797">
        <v>200000</v>
      </c>
      <c r="Q19" s="798">
        <v>56135</v>
      </c>
      <c r="R19" s="798">
        <v>55951</v>
      </c>
      <c r="S19" s="797">
        <v>6.3</v>
      </c>
      <c r="T19" s="797">
        <v>6300</v>
      </c>
      <c r="U19" s="796" t="s">
        <v>620</v>
      </c>
      <c r="V19" s="797">
        <v>101.21</v>
      </c>
      <c r="W19" s="797">
        <v>102.45</v>
      </c>
      <c r="X19" s="796" t="s">
        <v>236</v>
      </c>
      <c r="Y19" s="796" t="s">
        <v>257</v>
      </c>
      <c r="Z19" s="796" t="s">
        <v>257</v>
      </c>
      <c r="AA19" s="796" t="s">
        <v>257</v>
      </c>
      <c r="AB19" s="796" t="s">
        <v>257</v>
      </c>
      <c r="AC19" s="797">
        <v>174.18910909189</v>
      </c>
      <c r="AD19" s="284">
        <f t="shared" si="0"/>
        <v>1.2400000000000091</v>
      </c>
      <c r="AE19" s="284">
        <f t="shared" si="1"/>
        <v>101.83</v>
      </c>
      <c r="AF19" s="22">
        <f t="shared" si="2"/>
        <v>101.25</v>
      </c>
    </row>
    <row r="20" spans="1:32" x14ac:dyDescent="0.25">
      <c r="A20" s="796" t="s">
        <v>649</v>
      </c>
      <c r="B20" s="796" t="s">
        <v>257</v>
      </c>
      <c r="C20" s="796" t="s">
        <v>79</v>
      </c>
      <c r="D20" s="797">
        <v>57.52</v>
      </c>
      <c r="E20" s="798">
        <v>46068</v>
      </c>
      <c r="F20" s="797">
        <v>7.3510426860870002</v>
      </c>
      <c r="G20" s="797">
        <v>13.994037650052</v>
      </c>
      <c r="H20" s="797">
        <v>13.216824847774999</v>
      </c>
      <c r="I20" s="796" t="s">
        <v>617</v>
      </c>
      <c r="J20" s="796" t="s">
        <v>618</v>
      </c>
      <c r="K20" s="796" t="s">
        <v>270</v>
      </c>
      <c r="L20" s="796" t="s">
        <v>270</v>
      </c>
      <c r="M20" s="796" t="s">
        <v>257</v>
      </c>
      <c r="N20" s="796" t="s">
        <v>619</v>
      </c>
      <c r="O20" s="799">
        <v>200000</v>
      </c>
      <c r="P20" s="797">
        <v>200000</v>
      </c>
      <c r="Q20" s="798">
        <v>58852</v>
      </c>
      <c r="R20" s="798">
        <v>58668</v>
      </c>
      <c r="S20" s="797">
        <v>3.875</v>
      </c>
      <c r="T20" s="797">
        <v>3875</v>
      </c>
      <c r="U20" s="796" t="s">
        <v>620</v>
      </c>
      <c r="V20" s="797">
        <v>57.59</v>
      </c>
      <c r="W20" s="797">
        <v>59.68</v>
      </c>
      <c r="X20" s="796" t="s">
        <v>236</v>
      </c>
      <c r="Y20" s="796" t="s">
        <v>257</v>
      </c>
      <c r="Z20" s="796" t="s">
        <v>257</v>
      </c>
      <c r="AA20" s="796" t="s">
        <v>257</v>
      </c>
      <c r="AB20" s="796" t="s">
        <v>257</v>
      </c>
      <c r="AC20" s="797">
        <v>272.80250211420997</v>
      </c>
      <c r="AD20" s="284">
        <f t="shared" si="0"/>
        <v>2.0899999999999963</v>
      </c>
      <c r="AE20" s="284">
        <f t="shared" si="1"/>
        <v>58.635000000000005</v>
      </c>
      <c r="AF20" s="22">
        <f t="shared" si="2"/>
        <v>58.635000000000005</v>
      </c>
    </row>
    <row r="21" spans="1:32" x14ac:dyDescent="0.25">
      <c r="A21" s="796" t="s">
        <v>650</v>
      </c>
      <c r="B21" s="796" t="s">
        <v>257</v>
      </c>
      <c r="C21" s="796" t="s">
        <v>77</v>
      </c>
      <c r="D21" s="797">
        <v>99.98</v>
      </c>
      <c r="E21" s="798">
        <v>46099</v>
      </c>
      <c r="F21" s="797">
        <v>7.5118810979691997</v>
      </c>
      <c r="G21" s="797">
        <v>7.6928063307604999</v>
      </c>
      <c r="H21" s="797">
        <v>7.2546873735980997</v>
      </c>
      <c r="I21" s="796" t="s">
        <v>617</v>
      </c>
      <c r="J21" s="796" t="s">
        <v>618</v>
      </c>
      <c r="K21" s="796" t="s">
        <v>270</v>
      </c>
      <c r="L21" s="796" t="s">
        <v>270</v>
      </c>
      <c r="M21" s="796" t="s">
        <v>257</v>
      </c>
      <c r="N21" s="796" t="s">
        <v>619</v>
      </c>
      <c r="O21" s="799">
        <v>100000</v>
      </c>
      <c r="P21" s="797">
        <v>100000</v>
      </c>
      <c r="Q21" s="798">
        <v>50301</v>
      </c>
      <c r="R21" s="796" t="s">
        <v>257</v>
      </c>
      <c r="S21" s="797">
        <v>7.375</v>
      </c>
      <c r="T21" s="797">
        <v>3687.5</v>
      </c>
      <c r="U21" s="796" t="s">
        <v>620</v>
      </c>
      <c r="V21" s="797">
        <v>99.91</v>
      </c>
      <c r="W21" s="797">
        <v>102.27</v>
      </c>
      <c r="X21" s="796" t="s">
        <v>236</v>
      </c>
      <c r="Y21" s="796" t="s">
        <v>257</v>
      </c>
      <c r="Z21" s="796" t="s">
        <v>257</v>
      </c>
      <c r="AA21" s="796" t="s">
        <v>257</v>
      </c>
      <c r="AB21" s="796" t="s">
        <v>257</v>
      </c>
      <c r="AC21" s="797">
        <v>340.29279491911001</v>
      </c>
      <c r="AD21" s="284">
        <f t="shared" si="0"/>
        <v>2.3599999999999994</v>
      </c>
      <c r="AE21" s="284">
        <f t="shared" si="1"/>
        <v>101.09</v>
      </c>
      <c r="AF21" s="22">
        <f t="shared" si="2"/>
        <v>101.09</v>
      </c>
    </row>
    <row r="22" spans="1:32" x14ac:dyDescent="0.25">
      <c r="A22" s="796" t="s">
        <v>1074</v>
      </c>
      <c r="B22" s="796" t="s">
        <v>257</v>
      </c>
      <c r="C22" s="796" t="s">
        <v>1060</v>
      </c>
      <c r="D22" s="797">
        <v>105.45</v>
      </c>
      <c r="E22" s="798">
        <v>46149</v>
      </c>
      <c r="F22" s="797">
        <v>8.0468297218274003</v>
      </c>
      <c r="G22" s="797">
        <v>11.285681404949999</v>
      </c>
      <c r="H22" s="797">
        <v>10.590247774486</v>
      </c>
      <c r="I22" s="796" t="s">
        <v>617</v>
      </c>
      <c r="J22" s="796" t="s">
        <v>618</v>
      </c>
      <c r="K22" s="796" t="s">
        <v>270</v>
      </c>
      <c r="L22" s="796" t="s">
        <v>270</v>
      </c>
      <c r="M22" s="796" t="s">
        <v>257</v>
      </c>
      <c r="N22" s="796" t="s">
        <v>619</v>
      </c>
      <c r="O22" s="799">
        <v>200000</v>
      </c>
      <c r="P22" s="797">
        <v>200000</v>
      </c>
      <c r="Q22" s="798">
        <v>56560</v>
      </c>
      <c r="R22" s="798">
        <v>56376</v>
      </c>
      <c r="S22" s="797">
        <v>8.375</v>
      </c>
      <c r="T22" s="797">
        <v>8375</v>
      </c>
      <c r="U22" s="796" t="s">
        <v>620</v>
      </c>
      <c r="V22" s="797">
        <v>105.59</v>
      </c>
      <c r="W22" s="797">
        <v>106.23</v>
      </c>
      <c r="X22" s="796" t="s">
        <v>236</v>
      </c>
      <c r="Y22" s="796" t="s">
        <v>257</v>
      </c>
      <c r="Z22" s="796" t="s">
        <v>257</v>
      </c>
      <c r="AA22" s="796" t="s">
        <v>257</v>
      </c>
      <c r="AB22" s="796" t="s">
        <v>257</v>
      </c>
      <c r="AC22" s="797">
        <v>361.43082158892003</v>
      </c>
      <c r="AD22" s="284">
        <f t="shared" si="0"/>
        <v>0.64000000000000057</v>
      </c>
      <c r="AE22" s="284">
        <f t="shared" si="1"/>
        <v>105.91</v>
      </c>
      <c r="AF22" s="22">
        <f t="shared" si="2"/>
        <v>105.45</v>
      </c>
    </row>
    <row r="23" spans="1:32" x14ac:dyDescent="0.25">
      <c r="A23" s="796" t="s">
        <v>651</v>
      </c>
      <c r="B23" s="796" t="s">
        <v>257</v>
      </c>
      <c r="C23" s="796" t="s">
        <v>92</v>
      </c>
      <c r="D23" s="797">
        <v>91.77</v>
      </c>
      <c r="E23" s="798">
        <v>46068</v>
      </c>
      <c r="F23" s="797">
        <v>7.0726756955240999</v>
      </c>
      <c r="G23" s="797">
        <v>12.075536582414999</v>
      </c>
      <c r="H23" s="797">
        <v>11.434525464831999</v>
      </c>
      <c r="I23" s="796" t="s">
        <v>617</v>
      </c>
      <c r="J23" s="796" t="s">
        <v>618</v>
      </c>
      <c r="K23" s="796" t="s">
        <v>259</v>
      </c>
      <c r="L23" s="796" t="s">
        <v>296</v>
      </c>
      <c r="M23" s="796" t="s">
        <v>295</v>
      </c>
      <c r="N23" s="796" t="s">
        <v>619</v>
      </c>
      <c r="O23" s="799">
        <v>200000</v>
      </c>
      <c r="P23" s="797">
        <v>200000</v>
      </c>
      <c r="Q23" s="798">
        <v>55564</v>
      </c>
      <c r="R23" s="798">
        <v>55380</v>
      </c>
      <c r="S23" s="797">
        <v>6.2640000000000002</v>
      </c>
      <c r="T23" s="797">
        <v>6264</v>
      </c>
      <c r="U23" s="796" t="s">
        <v>620</v>
      </c>
      <c r="V23" s="797">
        <v>91.69</v>
      </c>
      <c r="W23" s="797">
        <v>96.17</v>
      </c>
      <c r="X23" s="796" t="s">
        <v>236</v>
      </c>
      <c r="Y23" s="796" t="s">
        <v>257</v>
      </c>
      <c r="Z23" s="796" t="s">
        <v>257</v>
      </c>
      <c r="AA23" s="796" t="s">
        <v>257</v>
      </c>
      <c r="AB23" s="796" t="s">
        <v>257</v>
      </c>
      <c r="AC23" s="797">
        <v>257.98851212803999</v>
      </c>
      <c r="AD23" s="284">
        <f t="shared" si="0"/>
        <v>4.480000000000004</v>
      </c>
      <c r="AE23" s="284">
        <f t="shared" si="1"/>
        <v>93.93</v>
      </c>
      <c r="AF23" s="22">
        <f t="shared" si="2"/>
        <v>93.93</v>
      </c>
    </row>
    <row r="24" spans="1:32" x14ac:dyDescent="0.25">
      <c r="A24" s="796" t="s">
        <v>652</v>
      </c>
      <c r="B24" s="796" t="s">
        <v>257</v>
      </c>
      <c r="C24" s="796" t="s">
        <v>653</v>
      </c>
      <c r="D24" s="797">
        <v>99.94</v>
      </c>
      <c r="E24" s="798">
        <v>46121</v>
      </c>
      <c r="F24" s="797">
        <v>6.1544925406240001</v>
      </c>
      <c r="G24" s="797">
        <v>0.50684931506855002</v>
      </c>
      <c r="H24" s="797">
        <v>0.47746383872975001</v>
      </c>
      <c r="I24" s="796" t="s">
        <v>617</v>
      </c>
      <c r="J24" s="796" t="s">
        <v>618</v>
      </c>
      <c r="K24" s="796" t="s">
        <v>297</v>
      </c>
      <c r="L24" s="796" t="s">
        <v>298</v>
      </c>
      <c r="M24" s="796" t="s">
        <v>312</v>
      </c>
      <c r="N24" s="796" t="s">
        <v>619</v>
      </c>
      <c r="O24" s="799">
        <v>200000</v>
      </c>
      <c r="P24" s="796" t="s">
        <v>257</v>
      </c>
      <c r="Q24" s="796" t="s">
        <v>257</v>
      </c>
      <c r="R24" s="798">
        <v>46121</v>
      </c>
      <c r="S24" s="797">
        <v>6.125</v>
      </c>
      <c r="T24" s="797">
        <v>12250</v>
      </c>
      <c r="U24" s="796" t="s">
        <v>620</v>
      </c>
      <c r="V24" s="797">
        <v>99.95</v>
      </c>
      <c r="W24" s="797">
        <v>100.68</v>
      </c>
      <c r="X24" s="796" t="s">
        <v>621</v>
      </c>
      <c r="Y24" s="796" t="s">
        <v>257</v>
      </c>
      <c r="Z24" s="796" t="s">
        <v>257</v>
      </c>
      <c r="AA24" s="796" t="s">
        <v>257</v>
      </c>
      <c r="AB24" s="796" t="s">
        <v>257</v>
      </c>
      <c r="AC24" s="797">
        <v>421.27082662755998</v>
      </c>
      <c r="AD24" s="284">
        <f t="shared" si="0"/>
        <v>0.73000000000000398</v>
      </c>
      <c r="AE24" s="284">
        <f t="shared" si="1"/>
        <v>100.315</v>
      </c>
      <c r="AF24" s="22">
        <f t="shared" si="2"/>
        <v>99.94</v>
      </c>
    </row>
    <row r="25" spans="1:32" x14ac:dyDescent="0.25">
      <c r="A25" s="796" t="s">
        <v>654</v>
      </c>
      <c r="B25" s="796" t="s">
        <v>257</v>
      </c>
      <c r="C25" s="796" t="s">
        <v>476</v>
      </c>
      <c r="D25" s="797">
        <v>103.08</v>
      </c>
      <c r="E25" s="798">
        <v>46104</v>
      </c>
      <c r="F25" s="797">
        <v>5.5698480887462001</v>
      </c>
      <c r="G25" s="797">
        <v>7.1390891993648999</v>
      </c>
      <c r="H25" s="797">
        <v>6.7624320093399</v>
      </c>
      <c r="I25" s="796" t="s">
        <v>617</v>
      </c>
      <c r="J25" s="796" t="s">
        <v>618</v>
      </c>
      <c r="K25" s="796" t="s">
        <v>302</v>
      </c>
      <c r="L25" s="796" t="s">
        <v>353</v>
      </c>
      <c r="M25" s="796" t="s">
        <v>312</v>
      </c>
      <c r="N25" s="796" t="s">
        <v>635</v>
      </c>
      <c r="O25" s="799">
        <v>100000</v>
      </c>
      <c r="P25" s="797">
        <v>100000</v>
      </c>
      <c r="Q25" s="796" t="s">
        <v>257</v>
      </c>
      <c r="R25" s="798">
        <v>49391</v>
      </c>
      <c r="S25" s="797">
        <v>5.875</v>
      </c>
      <c r="T25" s="797">
        <v>1468.75</v>
      </c>
      <c r="U25" s="796" t="s">
        <v>620</v>
      </c>
      <c r="V25" s="797">
        <v>103.06</v>
      </c>
      <c r="W25" s="797">
        <v>103.82</v>
      </c>
      <c r="X25" s="796" t="s">
        <v>621</v>
      </c>
      <c r="Y25" s="796" t="s">
        <v>257</v>
      </c>
      <c r="Z25" s="796" t="s">
        <v>257</v>
      </c>
      <c r="AA25" s="796" t="s">
        <v>257</v>
      </c>
      <c r="AB25" s="796" t="s">
        <v>257</v>
      </c>
      <c r="AC25" s="797">
        <v>293.36835278008999</v>
      </c>
      <c r="AD25" s="284">
        <f t="shared" si="0"/>
        <v>0.75999999999999091</v>
      </c>
      <c r="AE25" s="284">
        <f t="shared" si="1"/>
        <v>103.44</v>
      </c>
      <c r="AF25" s="22">
        <f t="shared" si="2"/>
        <v>103.08</v>
      </c>
    </row>
    <row r="26" spans="1:32" x14ac:dyDescent="0.25">
      <c r="A26" s="796" t="s">
        <v>655</v>
      </c>
      <c r="B26" s="796" t="s">
        <v>257</v>
      </c>
      <c r="C26" s="796" t="s">
        <v>172</v>
      </c>
      <c r="D26" s="797">
        <v>101.93</v>
      </c>
      <c r="E26" s="798">
        <v>46104</v>
      </c>
      <c r="F26" s="797">
        <v>6.5627399863622999</v>
      </c>
      <c r="G26" s="797">
        <v>6.5233083706460002</v>
      </c>
      <c r="H26" s="797">
        <v>6.2065876652948004</v>
      </c>
      <c r="I26" s="796" t="s">
        <v>617</v>
      </c>
      <c r="J26" s="796" t="s">
        <v>618</v>
      </c>
      <c r="K26" s="796" t="s">
        <v>302</v>
      </c>
      <c r="L26" s="796" t="s">
        <v>353</v>
      </c>
      <c r="M26" s="796" t="s">
        <v>312</v>
      </c>
      <c r="N26" s="796" t="s">
        <v>619</v>
      </c>
      <c r="O26" s="799">
        <v>200000</v>
      </c>
      <c r="P26" s="797">
        <v>200000</v>
      </c>
      <c r="Q26" s="796" t="s">
        <v>257</v>
      </c>
      <c r="R26" s="798">
        <v>49210</v>
      </c>
      <c r="S26" s="797">
        <v>6.7</v>
      </c>
      <c r="T26" s="797">
        <v>3350</v>
      </c>
      <c r="U26" s="796" t="s">
        <v>620</v>
      </c>
      <c r="V26" s="797">
        <v>101.92</v>
      </c>
      <c r="W26" s="797">
        <v>102.76</v>
      </c>
      <c r="X26" s="796" t="s">
        <v>621</v>
      </c>
      <c r="Y26" s="796" t="s">
        <v>257</v>
      </c>
      <c r="Z26" s="796" t="s">
        <v>257</v>
      </c>
      <c r="AA26" s="796" t="s">
        <v>257</v>
      </c>
      <c r="AB26" s="796" t="s">
        <v>257</v>
      </c>
      <c r="AC26" s="797">
        <v>257.42530810273001</v>
      </c>
      <c r="AD26" s="284">
        <f t="shared" si="0"/>
        <v>0.84000000000000341</v>
      </c>
      <c r="AE26" s="284">
        <f t="shared" si="1"/>
        <v>102.34</v>
      </c>
      <c r="AF26" s="22">
        <f t="shared" si="2"/>
        <v>101.93</v>
      </c>
    </row>
    <row r="27" spans="1:32" x14ac:dyDescent="0.25">
      <c r="A27" s="796" t="s">
        <v>657</v>
      </c>
      <c r="B27" s="796" t="s">
        <v>257</v>
      </c>
      <c r="C27" s="796" t="s">
        <v>451</v>
      </c>
      <c r="D27" s="797">
        <v>107.045</v>
      </c>
      <c r="E27" s="798">
        <v>46142</v>
      </c>
      <c r="F27" s="797">
        <v>5.4140391450036001</v>
      </c>
      <c r="G27" s="797">
        <v>4.0171625773385999</v>
      </c>
      <c r="H27" s="797">
        <v>3.8108420945835002</v>
      </c>
      <c r="I27" s="796" t="s">
        <v>617</v>
      </c>
      <c r="J27" s="796" t="s">
        <v>618</v>
      </c>
      <c r="K27" s="796" t="s">
        <v>297</v>
      </c>
      <c r="L27" s="796" t="s">
        <v>314</v>
      </c>
      <c r="M27" s="796" t="s">
        <v>312</v>
      </c>
      <c r="N27" s="796" t="s">
        <v>635</v>
      </c>
      <c r="O27" s="799">
        <v>200000</v>
      </c>
      <c r="P27" s="797">
        <v>200000</v>
      </c>
      <c r="Q27" s="796" t="s">
        <v>257</v>
      </c>
      <c r="R27" s="798">
        <v>47786</v>
      </c>
      <c r="S27" s="797">
        <v>7.125</v>
      </c>
      <c r="T27" s="797">
        <v>14250</v>
      </c>
      <c r="U27" s="796" t="s">
        <v>620</v>
      </c>
      <c r="V27" s="797">
        <v>106.575</v>
      </c>
      <c r="W27" s="797">
        <v>107.331</v>
      </c>
      <c r="X27" s="796" t="s">
        <v>621</v>
      </c>
      <c r="Y27" s="796" t="s">
        <v>257</v>
      </c>
      <c r="Z27" s="796" t="s">
        <v>257</v>
      </c>
      <c r="AA27" s="796" t="s">
        <v>257</v>
      </c>
      <c r="AB27" s="796" t="s">
        <v>257</v>
      </c>
      <c r="AC27" s="797">
        <v>313.97057341492001</v>
      </c>
      <c r="AD27" s="284">
        <f t="shared" si="0"/>
        <v>0.75600000000000023</v>
      </c>
      <c r="AE27" s="284">
        <f t="shared" si="1"/>
        <v>106.953</v>
      </c>
      <c r="AF27" s="22">
        <f t="shared" si="2"/>
        <v>107.045</v>
      </c>
    </row>
    <row r="28" spans="1:32" x14ac:dyDescent="0.25">
      <c r="A28" s="796" t="s">
        <v>658</v>
      </c>
      <c r="B28" s="796" t="s">
        <v>257</v>
      </c>
      <c r="C28" s="796" t="s">
        <v>182</v>
      </c>
      <c r="D28" s="797">
        <v>108.625</v>
      </c>
      <c r="E28" s="798">
        <v>46142</v>
      </c>
      <c r="F28" s="797">
        <v>5.5912908026119998</v>
      </c>
      <c r="G28" s="797">
        <v>4.6938042584152999</v>
      </c>
      <c r="H28" s="797">
        <v>4.4452570119535997</v>
      </c>
      <c r="I28" s="796" t="s">
        <v>617</v>
      </c>
      <c r="J28" s="796" t="s">
        <v>618</v>
      </c>
      <c r="K28" s="796" t="s">
        <v>297</v>
      </c>
      <c r="L28" s="796" t="s">
        <v>314</v>
      </c>
      <c r="M28" s="796" t="s">
        <v>312</v>
      </c>
      <c r="N28" s="796" t="s">
        <v>635</v>
      </c>
      <c r="O28" s="799">
        <v>200000</v>
      </c>
      <c r="P28" s="797">
        <v>200000</v>
      </c>
      <c r="Q28" s="796" t="s">
        <v>257</v>
      </c>
      <c r="R28" s="798">
        <v>48151</v>
      </c>
      <c r="S28" s="797">
        <v>7.375</v>
      </c>
      <c r="T28" s="797">
        <v>14750</v>
      </c>
      <c r="U28" s="796" t="s">
        <v>620</v>
      </c>
      <c r="V28" s="797">
        <v>108.598</v>
      </c>
      <c r="W28" s="797">
        <v>109.34699999999999</v>
      </c>
      <c r="X28" s="796" t="s">
        <v>621</v>
      </c>
      <c r="Y28" s="796" t="s">
        <v>257</v>
      </c>
      <c r="Z28" s="796" t="s">
        <v>257</v>
      </c>
      <c r="AA28" s="796" t="s">
        <v>257</v>
      </c>
      <c r="AB28" s="796" t="s">
        <v>257</v>
      </c>
      <c r="AC28" s="797">
        <v>323.58783447098</v>
      </c>
      <c r="AD28" s="284">
        <f t="shared" si="0"/>
        <v>0.74899999999999523</v>
      </c>
      <c r="AE28" s="284">
        <f t="shared" si="1"/>
        <v>108.9725</v>
      </c>
      <c r="AF28" s="22">
        <f t="shared" si="2"/>
        <v>108.625</v>
      </c>
    </row>
    <row r="29" spans="1:32" x14ac:dyDescent="0.25">
      <c r="A29" s="796" t="s">
        <v>659</v>
      </c>
      <c r="B29" s="796" t="s">
        <v>257</v>
      </c>
      <c r="C29" s="796" t="s">
        <v>660</v>
      </c>
      <c r="D29" s="797">
        <v>100.02</v>
      </c>
      <c r="E29" s="796" t="s">
        <v>257</v>
      </c>
      <c r="F29" s="796" t="s">
        <v>257</v>
      </c>
      <c r="G29" s="796" t="s">
        <v>257</v>
      </c>
      <c r="H29" s="796" t="s">
        <v>257</v>
      </c>
      <c r="I29" s="796" t="s">
        <v>617</v>
      </c>
      <c r="J29" s="796" t="s">
        <v>623</v>
      </c>
      <c r="K29" s="796" t="s">
        <v>297</v>
      </c>
      <c r="L29" s="796" t="s">
        <v>314</v>
      </c>
      <c r="M29" s="796" t="s">
        <v>312</v>
      </c>
      <c r="N29" s="796" t="s">
        <v>619</v>
      </c>
      <c r="O29" s="799">
        <v>200000</v>
      </c>
      <c r="P29" s="796" t="s">
        <v>257</v>
      </c>
      <c r="Q29" s="796" t="s">
        <v>257</v>
      </c>
      <c r="R29" s="796" t="s">
        <v>257</v>
      </c>
      <c r="S29" s="796" t="s">
        <v>257</v>
      </c>
      <c r="T29" s="796" t="s">
        <v>257</v>
      </c>
      <c r="U29" s="796" t="s">
        <v>624</v>
      </c>
      <c r="V29" s="797">
        <v>99.92</v>
      </c>
      <c r="W29" s="797">
        <v>100.12</v>
      </c>
      <c r="X29" s="796" t="s">
        <v>257</v>
      </c>
      <c r="Y29" s="796" t="s">
        <v>257</v>
      </c>
      <c r="Z29" s="796" t="s">
        <v>257</v>
      </c>
      <c r="AA29" s="796" t="s">
        <v>257</v>
      </c>
      <c r="AB29" s="796" t="s">
        <v>257</v>
      </c>
      <c r="AC29" s="796" t="s">
        <v>257</v>
      </c>
      <c r="AD29" s="284">
        <f t="shared" si="0"/>
        <v>0.20000000000000284</v>
      </c>
      <c r="AE29" s="284">
        <f t="shared" si="1"/>
        <v>100.02000000000001</v>
      </c>
      <c r="AF29" s="22">
        <f t="shared" si="2"/>
        <v>100.02</v>
      </c>
    </row>
    <row r="30" spans="1:32" x14ac:dyDescent="0.25">
      <c r="A30" s="796" t="s">
        <v>661</v>
      </c>
      <c r="B30" s="796" t="s">
        <v>257</v>
      </c>
      <c r="C30" s="796" t="s">
        <v>115</v>
      </c>
      <c r="D30" s="797">
        <v>109.852</v>
      </c>
      <c r="E30" s="798">
        <v>46142</v>
      </c>
      <c r="F30" s="797">
        <v>5.1769440655240002</v>
      </c>
      <c r="G30" s="797">
        <v>3.2224583893458001</v>
      </c>
      <c r="H30" s="797">
        <v>3.0638448549505002</v>
      </c>
      <c r="I30" s="796" t="s">
        <v>617</v>
      </c>
      <c r="J30" s="796" t="s">
        <v>618</v>
      </c>
      <c r="K30" s="796" t="s">
        <v>297</v>
      </c>
      <c r="L30" s="796" t="s">
        <v>314</v>
      </c>
      <c r="M30" s="796" t="s">
        <v>312</v>
      </c>
      <c r="N30" s="796" t="s">
        <v>635</v>
      </c>
      <c r="O30" s="799">
        <v>200000</v>
      </c>
      <c r="P30" s="797">
        <v>200000</v>
      </c>
      <c r="Q30" s="796" t="s">
        <v>257</v>
      </c>
      <c r="R30" s="798">
        <v>47421</v>
      </c>
      <c r="S30" s="797">
        <v>8.125</v>
      </c>
      <c r="T30" s="797">
        <v>16250</v>
      </c>
      <c r="U30" s="796" t="s">
        <v>620</v>
      </c>
      <c r="V30" s="797">
        <v>109.854</v>
      </c>
      <c r="W30" s="797">
        <v>110.40600000000001</v>
      </c>
      <c r="X30" s="796" t="s">
        <v>621</v>
      </c>
      <c r="Y30" s="796" t="s">
        <v>257</v>
      </c>
      <c r="Z30" s="796" t="s">
        <v>257</v>
      </c>
      <c r="AA30" s="796" t="s">
        <v>257</v>
      </c>
      <c r="AB30" s="796" t="s">
        <v>257</v>
      </c>
      <c r="AC30" s="797">
        <v>299.5920715725</v>
      </c>
      <c r="AD30" s="284">
        <f t="shared" si="0"/>
        <v>0.55200000000000671</v>
      </c>
      <c r="AE30" s="284">
        <f t="shared" si="1"/>
        <v>110.13</v>
      </c>
      <c r="AF30" s="22">
        <f t="shared" si="2"/>
        <v>109.852</v>
      </c>
    </row>
    <row r="31" spans="1:32" x14ac:dyDescent="0.25">
      <c r="A31" s="796" t="s">
        <v>982</v>
      </c>
      <c r="B31" s="796" t="s">
        <v>257</v>
      </c>
      <c r="C31" s="796" t="s">
        <v>980</v>
      </c>
      <c r="D31" s="797">
        <v>93.4</v>
      </c>
      <c r="E31" s="798">
        <v>46066</v>
      </c>
      <c r="F31" s="797">
        <v>31.121345934570002</v>
      </c>
      <c r="G31" s="797">
        <v>1.8827720721350001</v>
      </c>
      <c r="H31" s="797">
        <v>1.4319772823889001</v>
      </c>
      <c r="I31" s="796" t="s">
        <v>617</v>
      </c>
      <c r="J31" s="796" t="s">
        <v>618</v>
      </c>
      <c r="K31" s="796" t="s">
        <v>294</v>
      </c>
      <c r="L31" s="796" t="s">
        <v>983</v>
      </c>
      <c r="M31" s="796" t="s">
        <v>312</v>
      </c>
      <c r="N31" s="796" t="s">
        <v>619</v>
      </c>
      <c r="O31" s="799">
        <v>10000</v>
      </c>
      <c r="P31" s="797">
        <v>10000</v>
      </c>
      <c r="Q31" s="798">
        <v>47162</v>
      </c>
      <c r="R31" s="796" t="s">
        <v>257</v>
      </c>
      <c r="S31" s="797">
        <v>27.5</v>
      </c>
      <c r="T31" s="797">
        <v>2750</v>
      </c>
      <c r="U31" s="796" t="s">
        <v>620</v>
      </c>
      <c r="V31" s="797">
        <v>93.4</v>
      </c>
      <c r="W31" s="797">
        <v>95.25</v>
      </c>
      <c r="X31" s="796" t="s">
        <v>236</v>
      </c>
      <c r="Y31" s="796" t="s">
        <v>257</v>
      </c>
      <c r="Z31" s="796" t="s">
        <v>257</v>
      </c>
      <c r="AA31" s="796" t="s">
        <v>257</v>
      </c>
      <c r="AB31" s="796" t="s">
        <v>257</v>
      </c>
      <c r="AC31" s="796" t="s">
        <v>257</v>
      </c>
      <c r="AD31" s="284">
        <f t="shared" si="0"/>
        <v>1.8499999999999943</v>
      </c>
      <c r="AE31" s="284">
        <f t="shared" si="1"/>
        <v>94.325000000000003</v>
      </c>
      <c r="AF31" s="22">
        <f t="shared" si="2"/>
        <v>94.325000000000003</v>
      </c>
    </row>
    <row r="32" spans="1:32" x14ac:dyDescent="0.25">
      <c r="A32" s="796" t="s">
        <v>2444</v>
      </c>
      <c r="B32" s="796" t="s">
        <v>257</v>
      </c>
      <c r="C32" s="796" t="s">
        <v>2417</v>
      </c>
      <c r="D32" s="797">
        <v>72.22</v>
      </c>
      <c r="E32" s="798">
        <v>46170</v>
      </c>
      <c r="F32" s="797">
        <v>9.1125846810052007</v>
      </c>
      <c r="G32" s="797">
        <v>10.124547001445</v>
      </c>
      <c r="H32" s="797">
        <v>9.4078659577254005</v>
      </c>
      <c r="I32" s="796" t="s">
        <v>617</v>
      </c>
      <c r="J32" s="796" t="s">
        <v>618</v>
      </c>
      <c r="K32" s="796" t="s">
        <v>270</v>
      </c>
      <c r="L32" s="796" t="s">
        <v>271</v>
      </c>
      <c r="M32" s="796" t="s">
        <v>258</v>
      </c>
      <c r="N32" s="796" t="s">
        <v>619</v>
      </c>
      <c r="O32" s="799">
        <v>1000</v>
      </c>
      <c r="P32" s="797">
        <v>1000</v>
      </c>
      <c r="Q32" s="798">
        <v>53110</v>
      </c>
      <c r="R32" s="796" t="s">
        <v>257</v>
      </c>
      <c r="S32" s="797">
        <v>5.875</v>
      </c>
      <c r="T32" s="797">
        <v>29.38</v>
      </c>
      <c r="U32" s="796" t="s">
        <v>620</v>
      </c>
      <c r="V32" s="797">
        <v>72.22</v>
      </c>
      <c r="W32" s="797">
        <v>76.52</v>
      </c>
      <c r="X32" s="796" t="s">
        <v>236</v>
      </c>
      <c r="Y32" s="796" t="s">
        <v>257</v>
      </c>
      <c r="Z32" s="796" t="s">
        <v>257</v>
      </c>
      <c r="AA32" s="796" t="s">
        <v>257</v>
      </c>
      <c r="AB32" s="796" t="s">
        <v>257</v>
      </c>
      <c r="AC32" s="797">
        <v>477.58935267113998</v>
      </c>
      <c r="AD32" s="284">
        <f t="shared" si="0"/>
        <v>4.2999999999999972</v>
      </c>
      <c r="AE32" s="284">
        <f t="shared" si="1"/>
        <v>74.37</v>
      </c>
      <c r="AF32" s="22">
        <f t="shared" si="2"/>
        <v>74.37</v>
      </c>
    </row>
    <row r="33" spans="1:32" x14ac:dyDescent="0.25">
      <c r="A33" s="796" t="s">
        <v>662</v>
      </c>
      <c r="B33" s="796" t="s">
        <v>257</v>
      </c>
      <c r="C33" s="796" t="s">
        <v>65</v>
      </c>
      <c r="D33" s="797">
        <v>99.96</v>
      </c>
      <c r="E33" s="798">
        <v>46222</v>
      </c>
      <c r="F33" s="797">
        <v>8.5568894295667999</v>
      </c>
      <c r="G33" s="797">
        <v>6.8399601230386002</v>
      </c>
      <c r="H33" s="797">
        <v>6.3883182409085997</v>
      </c>
      <c r="I33" s="796" t="s">
        <v>617</v>
      </c>
      <c r="J33" s="796" t="s">
        <v>618</v>
      </c>
      <c r="K33" s="796" t="s">
        <v>270</v>
      </c>
      <c r="L33" s="796" t="s">
        <v>271</v>
      </c>
      <c r="M33" s="796" t="s">
        <v>258</v>
      </c>
      <c r="N33" s="796" t="s">
        <v>619</v>
      </c>
      <c r="O33" s="799">
        <v>1000</v>
      </c>
      <c r="P33" s="797">
        <v>1000</v>
      </c>
      <c r="Q33" s="798">
        <v>49693</v>
      </c>
      <c r="R33" s="798">
        <v>49601</v>
      </c>
      <c r="S33" s="797">
        <v>8.375</v>
      </c>
      <c r="T33" s="797">
        <v>41.88</v>
      </c>
      <c r="U33" s="796" t="s">
        <v>620</v>
      </c>
      <c r="V33" s="797">
        <v>99.97</v>
      </c>
      <c r="W33" s="797">
        <v>104.15</v>
      </c>
      <c r="X33" s="796" t="s">
        <v>236</v>
      </c>
      <c r="Y33" s="796" t="s">
        <v>257</v>
      </c>
      <c r="Z33" s="796" t="s">
        <v>257</v>
      </c>
      <c r="AA33" s="796" t="s">
        <v>257</v>
      </c>
      <c r="AB33" s="796" t="s">
        <v>257</v>
      </c>
      <c r="AC33" s="797">
        <v>453.5275223914</v>
      </c>
      <c r="AD33" s="284">
        <f t="shared" si="0"/>
        <v>4.1800000000000068</v>
      </c>
      <c r="AE33" s="284">
        <f t="shared" si="1"/>
        <v>102.06</v>
      </c>
      <c r="AF33" s="22">
        <f t="shared" si="2"/>
        <v>102.06</v>
      </c>
    </row>
    <row r="34" spans="1:32" x14ac:dyDescent="0.25">
      <c r="A34" s="796" t="s">
        <v>663</v>
      </c>
      <c r="B34" s="796" t="s">
        <v>257</v>
      </c>
      <c r="C34" s="796" t="s">
        <v>73</v>
      </c>
      <c r="D34" s="797">
        <v>106.95</v>
      </c>
      <c r="E34" s="798">
        <v>46216</v>
      </c>
      <c r="F34" s="797">
        <v>7.7144915385355004</v>
      </c>
      <c r="G34" s="797">
        <v>5.3039182426333999</v>
      </c>
      <c r="H34" s="797">
        <v>4.9924422396379002</v>
      </c>
      <c r="I34" s="796" t="s">
        <v>617</v>
      </c>
      <c r="J34" s="796" t="s">
        <v>618</v>
      </c>
      <c r="K34" s="796" t="s">
        <v>270</v>
      </c>
      <c r="L34" s="796" t="s">
        <v>271</v>
      </c>
      <c r="M34" s="796" t="s">
        <v>258</v>
      </c>
      <c r="N34" s="796" t="s">
        <v>619</v>
      </c>
      <c r="O34" s="799">
        <v>1000</v>
      </c>
      <c r="P34" s="797">
        <v>1000</v>
      </c>
      <c r="Q34" s="798">
        <v>48592</v>
      </c>
      <c r="R34" s="798">
        <v>48500</v>
      </c>
      <c r="S34" s="797">
        <v>8.875</v>
      </c>
      <c r="T34" s="797">
        <v>44.38</v>
      </c>
      <c r="U34" s="796" t="s">
        <v>620</v>
      </c>
      <c r="V34" s="797">
        <v>106.94</v>
      </c>
      <c r="W34" s="797">
        <v>107.67</v>
      </c>
      <c r="X34" s="796" t="s">
        <v>236</v>
      </c>
      <c r="Y34" s="796" t="s">
        <v>257</v>
      </c>
      <c r="Z34" s="796" t="s">
        <v>257</v>
      </c>
      <c r="AA34" s="796" t="s">
        <v>257</v>
      </c>
      <c r="AB34" s="796" t="s">
        <v>257</v>
      </c>
      <c r="AC34" s="797">
        <v>385.51337083669</v>
      </c>
      <c r="AD34" s="284">
        <f t="shared" si="0"/>
        <v>0.73000000000000398</v>
      </c>
      <c r="AE34" s="284">
        <f t="shared" si="1"/>
        <v>107.30500000000001</v>
      </c>
      <c r="AF34" s="22">
        <f t="shared" si="2"/>
        <v>106.95</v>
      </c>
    </row>
    <row r="35" spans="1:32" s="22" customFormat="1" x14ac:dyDescent="0.25">
      <c r="A35" s="796" t="s">
        <v>664</v>
      </c>
      <c r="B35" s="796" t="s">
        <v>257</v>
      </c>
      <c r="C35" s="796" t="s">
        <v>100</v>
      </c>
      <c r="D35" s="797">
        <v>103.5</v>
      </c>
      <c r="E35" s="798">
        <v>46098</v>
      </c>
      <c r="F35" s="797">
        <v>6.9940199349574002</v>
      </c>
      <c r="G35" s="797">
        <v>6.8068904193583997</v>
      </c>
      <c r="H35" s="797">
        <v>6.3619353899371003</v>
      </c>
      <c r="I35" s="796" t="s">
        <v>617</v>
      </c>
      <c r="J35" s="796" t="s">
        <v>618</v>
      </c>
      <c r="K35" s="796" t="s">
        <v>302</v>
      </c>
      <c r="L35" s="796" t="s">
        <v>303</v>
      </c>
      <c r="M35" s="796" t="s">
        <v>295</v>
      </c>
      <c r="N35" s="796" t="s">
        <v>635</v>
      </c>
      <c r="O35" s="799">
        <v>100000</v>
      </c>
      <c r="P35" s="797">
        <v>100000</v>
      </c>
      <c r="Q35" s="796" t="s">
        <v>257</v>
      </c>
      <c r="R35" s="798">
        <v>49477</v>
      </c>
      <c r="S35" s="797">
        <v>7.375</v>
      </c>
      <c r="T35" s="797">
        <v>3687.5</v>
      </c>
      <c r="U35" s="796" t="s">
        <v>620</v>
      </c>
      <c r="V35" s="797">
        <v>103.795</v>
      </c>
      <c r="W35" s="797">
        <v>105.045</v>
      </c>
      <c r="X35" s="796" t="s">
        <v>621</v>
      </c>
      <c r="Y35" s="796" t="s">
        <v>257</v>
      </c>
      <c r="Z35" s="796" t="s">
        <v>257</v>
      </c>
      <c r="AA35" s="796" t="s">
        <v>257</v>
      </c>
      <c r="AB35" s="796" t="s">
        <v>257</v>
      </c>
      <c r="AC35" s="796" t="s">
        <v>257</v>
      </c>
      <c r="AD35" s="284">
        <f t="shared" si="0"/>
        <v>1.25</v>
      </c>
      <c r="AE35" s="284">
        <f t="shared" si="1"/>
        <v>104.42</v>
      </c>
      <c r="AF35" s="22">
        <f t="shared" si="2"/>
        <v>103.5</v>
      </c>
    </row>
    <row r="36" spans="1:32" x14ac:dyDescent="0.25">
      <c r="A36" s="796" t="s">
        <v>665</v>
      </c>
      <c r="B36" s="796" t="s">
        <v>257</v>
      </c>
      <c r="C36" s="796" t="s">
        <v>110</v>
      </c>
      <c r="D36" s="797">
        <v>102.26</v>
      </c>
      <c r="E36" s="798">
        <v>46214</v>
      </c>
      <c r="F36" s="797">
        <v>6.2620717136788997</v>
      </c>
      <c r="G36" s="797">
        <v>6.8341631293185996</v>
      </c>
      <c r="H36" s="797">
        <v>6.5207481370593001</v>
      </c>
      <c r="I36" s="796" t="s">
        <v>617</v>
      </c>
      <c r="J36" s="796" t="s">
        <v>618</v>
      </c>
      <c r="K36" s="796" t="s">
        <v>276</v>
      </c>
      <c r="L36" s="796" t="s">
        <v>310</v>
      </c>
      <c r="M36" s="796" t="s">
        <v>295</v>
      </c>
      <c r="N36" s="796" t="s">
        <v>619</v>
      </c>
      <c r="O36" s="799">
        <v>200000</v>
      </c>
      <c r="P36" s="797">
        <v>200000</v>
      </c>
      <c r="Q36" s="798">
        <v>49320</v>
      </c>
      <c r="R36" s="798">
        <v>49228</v>
      </c>
      <c r="S36" s="797">
        <v>6.5</v>
      </c>
      <c r="T36" s="797">
        <v>6500</v>
      </c>
      <c r="U36" s="796" t="s">
        <v>620</v>
      </c>
      <c r="V36" s="797">
        <v>102.21</v>
      </c>
      <c r="W36" s="797">
        <v>103.5</v>
      </c>
      <c r="X36" s="796" t="s">
        <v>236</v>
      </c>
      <c r="Y36" s="796" t="s">
        <v>257</v>
      </c>
      <c r="Z36" s="796" t="s">
        <v>257</v>
      </c>
      <c r="AA36" s="796" t="s">
        <v>257</v>
      </c>
      <c r="AB36" s="796" t="s">
        <v>257</v>
      </c>
      <c r="AC36" s="797">
        <v>224.10611027499999</v>
      </c>
      <c r="AD36" s="284">
        <f t="shared" si="0"/>
        <v>1.2900000000000063</v>
      </c>
      <c r="AE36" s="284">
        <f t="shared" si="1"/>
        <v>102.85499999999999</v>
      </c>
      <c r="AF36" s="22">
        <f t="shared" si="2"/>
        <v>102.26</v>
      </c>
    </row>
    <row r="37" spans="1:32" x14ac:dyDescent="0.25">
      <c r="A37" s="796" t="s">
        <v>666</v>
      </c>
      <c r="B37" s="796" t="s">
        <v>257</v>
      </c>
      <c r="C37" s="796" t="s">
        <v>126</v>
      </c>
      <c r="D37" s="797">
        <v>103.11</v>
      </c>
      <c r="E37" s="798">
        <v>46218</v>
      </c>
      <c r="F37" s="797">
        <v>5.5258684411071002</v>
      </c>
      <c r="G37" s="797">
        <v>1.6115983482267999</v>
      </c>
      <c r="H37" s="797">
        <v>1.5484181108926001</v>
      </c>
      <c r="I37" s="796" t="s">
        <v>617</v>
      </c>
      <c r="J37" s="796" t="s">
        <v>623</v>
      </c>
      <c r="K37" s="796" t="s">
        <v>306</v>
      </c>
      <c r="L37" s="796" t="s">
        <v>307</v>
      </c>
      <c r="M37" s="796" t="s">
        <v>315</v>
      </c>
      <c r="N37" s="796" t="s">
        <v>619</v>
      </c>
      <c r="O37" s="799">
        <v>2000</v>
      </c>
      <c r="P37" s="797">
        <v>2000</v>
      </c>
      <c r="Q37" s="798">
        <v>66856</v>
      </c>
      <c r="R37" s="798">
        <v>46675</v>
      </c>
      <c r="S37" s="797">
        <v>7.375</v>
      </c>
      <c r="T37" s="797">
        <v>73.75</v>
      </c>
      <c r="U37" s="796" t="s">
        <v>624</v>
      </c>
      <c r="V37" s="797">
        <v>102.47</v>
      </c>
      <c r="W37" s="797">
        <v>103.75</v>
      </c>
      <c r="X37" s="796" t="s">
        <v>621</v>
      </c>
      <c r="Y37" s="796" t="s">
        <v>257</v>
      </c>
      <c r="Z37" s="796" t="s">
        <v>257</v>
      </c>
      <c r="AA37" s="796" t="s">
        <v>257</v>
      </c>
      <c r="AB37" s="796" t="s">
        <v>257</v>
      </c>
      <c r="AC37" s="797">
        <v>195.24492000321999</v>
      </c>
      <c r="AD37" s="284">
        <f t="shared" si="0"/>
        <v>1.2800000000000011</v>
      </c>
      <c r="AE37" s="284">
        <f t="shared" si="1"/>
        <v>103.11</v>
      </c>
      <c r="AF37" s="22">
        <f t="shared" si="2"/>
        <v>103.11</v>
      </c>
    </row>
    <row r="38" spans="1:32" x14ac:dyDescent="0.25">
      <c r="A38" s="796" t="s">
        <v>667</v>
      </c>
      <c r="B38" s="796" t="s">
        <v>257</v>
      </c>
      <c r="C38" s="796" t="s">
        <v>107</v>
      </c>
      <c r="D38" s="797">
        <v>105.74</v>
      </c>
      <c r="E38" s="798">
        <v>46096</v>
      </c>
      <c r="F38" s="797">
        <v>5.7857028190716999</v>
      </c>
      <c r="G38" s="797">
        <v>3.323178280669</v>
      </c>
      <c r="H38" s="797">
        <v>3.1850556783933999</v>
      </c>
      <c r="I38" s="796" t="s">
        <v>617</v>
      </c>
      <c r="J38" s="796" t="s">
        <v>618</v>
      </c>
      <c r="K38" s="796" t="s">
        <v>306</v>
      </c>
      <c r="L38" s="796" t="s">
        <v>307</v>
      </c>
      <c r="M38" s="796" t="s">
        <v>315</v>
      </c>
      <c r="N38" s="796" t="s">
        <v>619</v>
      </c>
      <c r="O38" s="799">
        <v>2000</v>
      </c>
      <c r="P38" s="797">
        <v>2000</v>
      </c>
      <c r="Q38" s="798">
        <v>56688</v>
      </c>
      <c r="R38" s="798">
        <v>47467</v>
      </c>
      <c r="S38" s="797">
        <v>7.375</v>
      </c>
      <c r="T38" s="797">
        <v>73.75</v>
      </c>
      <c r="U38" s="796" t="s">
        <v>620</v>
      </c>
      <c r="V38" s="797">
        <v>105.78</v>
      </c>
      <c r="W38" s="797">
        <v>106.54</v>
      </c>
      <c r="X38" s="796" t="s">
        <v>621</v>
      </c>
      <c r="Y38" s="796" t="s">
        <v>257</v>
      </c>
      <c r="Z38" s="796" t="s">
        <v>257</v>
      </c>
      <c r="AA38" s="796" t="s">
        <v>257</v>
      </c>
      <c r="AB38" s="796" t="s">
        <v>257</v>
      </c>
      <c r="AC38" s="797">
        <v>212.16053187367001</v>
      </c>
      <c r="AD38" s="284">
        <f t="shared" si="0"/>
        <v>0.76000000000000512</v>
      </c>
      <c r="AE38" s="284">
        <f t="shared" si="1"/>
        <v>106.16</v>
      </c>
      <c r="AF38" s="22">
        <f t="shared" si="2"/>
        <v>105.74</v>
      </c>
    </row>
    <row r="39" spans="1:32" x14ac:dyDescent="0.25">
      <c r="A39" s="796" t="s">
        <v>669</v>
      </c>
      <c r="B39" s="796" t="s">
        <v>257</v>
      </c>
      <c r="C39" s="796" t="s">
        <v>116</v>
      </c>
      <c r="D39" s="797">
        <v>108.45</v>
      </c>
      <c r="E39" s="798">
        <v>46218</v>
      </c>
      <c r="F39" s="797">
        <v>6.1663848003222004</v>
      </c>
      <c r="G39" s="797">
        <v>5.3472588148940003</v>
      </c>
      <c r="H39" s="797">
        <v>5.1066317353001001</v>
      </c>
      <c r="I39" s="796" t="s">
        <v>617</v>
      </c>
      <c r="J39" s="796" t="s">
        <v>618</v>
      </c>
      <c r="K39" s="796" t="s">
        <v>306</v>
      </c>
      <c r="L39" s="796" t="s">
        <v>307</v>
      </c>
      <c r="M39" s="796" t="s">
        <v>315</v>
      </c>
      <c r="N39" s="796" t="s">
        <v>619</v>
      </c>
      <c r="O39" s="799">
        <v>2000</v>
      </c>
      <c r="P39" s="797">
        <v>2000</v>
      </c>
      <c r="Q39" s="798">
        <v>66856</v>
      </c>
      <c r="R39" s="798">
        <v>48502</v>
      </c>
      <c r="S39" s="797">
        <v>7.625</v>
      </c>
      <c r="T39" s="797">
        <v>76.25</v>
      </c>
      <c r="U39" s="796" t="s">
        <v>620</v>
      </c>
      <c r="V39" s="797">
        <v>108.25</v>
      </c>
      <c r="W39" s="797">
        <v>109.58</v>
      </c>
      <c r="X39" s="796" t="s">
        <v>621</v>
      </c>
      <c r="Y39" s="796" t="s">
        <v>257</v>
      </c>
      <c r="Z39" s="796" t="s">
        <v>257</v>
      </c>
      <c r="AA39" s="796" t="s">
        <v>257</v>
      </c>
      <c r="AB39" s="796" t="s">
        <v>257</v>
      </c>
      <c r="AC39" s="797">
        <v>230.24422590405999</v>
      </c>
      <c r="AD39" s="284">
        <f t="shared" si="0"/>
        <v>1.3299999999999983</v>
      </c>
      <c r="AE39" s="284">
        <f t="shared" si="1"/>
        <v>108.91499999999999</v>
      </c>
      <c r="AF39" s="22">
        <f t="shared" si="2"/>
        <v>108.45</v>
      </c>
    </row>
    <row r="40" spans="1:32" x14ac:dyDescent="0.25">
      <c r="A40" s="796" t="s">
        <v>670</v>
      </c>
      <c r="B40" s="796" t="s">
        <v>257</v>
      </c>
      <c r="C40" s="796" t="s">
        <v>671</v>
      </c>
      <c r="D40" s="797">
        <v>101.39749999999999</v>
      </c>
      <c r="E40" s="798">
        <v>46185</v>
      </c>
      <c r="F40" s="797">
        <v>4.2929464407279996</v>
      </c>
      <c r="G40" s="797">
        <v>2.2233559334303998</v>
      </c>
      <c r="H40" s="797">
        <v>2.1614461513286001</v>
      </c>
      <c r="I40" s="796" t="s">
        <v>617</v>
      </c>
      <c r="J40" s="796" t="s">
        <v>623</v>
      </c>
      <c r="K40" s="796" t="s">
        <v>323</v>
      </c>
      <c r="L40" s="796" t="s">
        <v>672</v>
      </c>
      <c r="M40" s="796" t="s">
        <v>295</v>
      </c>
      <c r="N40" s="796" t="s">
        <v>619</v>
      </c>
      <c r="O40" s="799">
        <v>1000</v>
      </c>
      <c r="P40" s="797">
        <v>1000</v>
      </c>
      <c r="Q40" s="798">
        <v>46916</v>
      </c>
      <c r="R40" s="796" t="s">
        <v>257</v>
      </c>
      <c r="S40" s="797">
        <v>4.875</v>
      </c>
      <c r="T40" s="797">
        <v>24.38</v>
      </c>
      <c r="U40" s="796" t="s">
        <v>624</v>
      </c>
      <c r="V40" s="797">
        <v>101.34</v>
      </c>
      <c r="W40" s="797">
        <v>101.455</v>
      </c>
      <c r="X40" s="796" t="s">
        <v>236</v>
      </c>
      <c r="Y40" s="796" t="s">
        <v>257</v>
      </c>
      <c r="Z40" s="796" t="s">
        <v>257</v>
      </c>
      <c r="AA40" s="796" t="s">
        <v>257</v>
      </c>
      <c r="AB40" s="796" t="s">
        <v>257</v>
      </c>
      <c r="AC40" s="797">
        <v>70.308962088605</v>
      </c>
      <c r="AD40" s="284">
        <f t="shared" si="0"/>
        <v>0.11499999999999488</v>
      </c>
      <c r="AE40" s="284">
        <f t="shared" si="1"/>
        <v>101.39750000000001</v>
      </c>
      <c r="AF40" s="22">
        <f t="shared" si="2"/>
        <v>101.39749999999999</v>
      </c>
    </row>
    <row r="41" spans="1:32" x14ac:dyDescent="0.25">
      <c r="A41" s="796" t="s">
        <v>673</v>
      </c>
      <c r="B41" s="796" t="s">
        <v>257</v>
      </c>
      <c r="C41" s="796" t="s">
        <v>367</v>
      </c>
      <c r="D41" s="797">
        <v>98.56</v>
      </c>
      <c r="E41" s="798">
        <v>46279</v>
      </c>
      <c r="F41" s="797">
        <v>5.9077023178959003</v>
      </c>
      <c r="G41" s="797">
        <v>10.036616741777999</v>
      </c>
      <c r="H41" s="797">
        <v>9.4508653030923</v>
      </c>
      <c r="I41" s="796" t="s">
        <v>617</v>
      </c>
      <c r="J41" s="796" t="s">
        <v>623</v>
      </c>
      <c r="K41" s="796" t="s">
        <v>460</v>
      </c>
      <c r="L41" s="796" t="s">
        <v>461</v>
      </c>
      <c r="M41" s="796" t="s">
        <v>295</v>
      </c>
      <c r="N41" s="796" t="s">
        <v>619</v>
      </c>
      <c r="O41" s="799">
        <v>50000</v>
      </c>
      <c r="P41" s="797">
        <v>50000</v>
      </c>
      <c r="Q41" s="798">
        <v>51393</v>
      </c>
      <c r="R41" s="796" t="s">
        <v>257</v>
      </c>
      <c r="S41" s="797">
        <v>5.75</v>
      </c>
      <c r="T41" s="797">
        <v>2875</v>
      </c>
      <c r="U41" s="796" t="s">
        <v>624</v>
      </c>
      <c r="V41" s="797">
        <v>98.45</v>
      </c>
      <c r="W41" s="797">
        <v>98.67</v>
      </c>
      <c r="X41" s="796" t="s">
        <v>236</v>
      </c>
      <c r="Y41" s="796" t="s">
        <v>257</v>
      </c>
      <c r="Z41" s="796" t="s">
        <v>257</v>
      </c>
      <c r="AA41" s="796" t="s">
        <v>257</v>
      </c>
      <c r="AB41" s="796" t="s">
        <v>257</v>
      </c>
      <c r="AC41" s="796" t="s">
        <v>257</v>
      </c>
      <c r="AD41" s="284">
        <f t="shared" si="0"/>
        <v>0.21999999999999886</v>
      </c>
      <c r="AE41" s="284">
        <f t="shared" si="1"/>
        <v>98.56</v>
      </c>
      <c r="AF41" s="22">
        <f t="shared" si="2"/>
        <v>98.56</v>
      </c>
    </row>
    <row r="42" spans="1:32" x14ac:dyDescent="0.25">
      <c r="A42" s="796" t="s">
        <v>674</v>
      </c>
      <c r="B42" s="796" t="s">
        <v>257</v>
      </c>
      <c r="C42" s="796" t="s">
        <v>57</v>
      </c>
      <c r="D42" s="797">
        <v>107.205</v>
      </c>
      <c r="E42" s="798">
        <v>46111</v>
      </c>
      <c r="F42" s="797">
        <v>7.3897381883935997</v>
      </c>
      <c r="G42" s="797">
        <v>5.6577995827625003</v>
      </c>
      <c r="H42" s="797">
        <v>5.3416464452680996</v>
      </c>
      <c r="I42" s="796" t="s">
        <v>617</v>
      </c>
      <c r="J42" s="796" t="s">
        <v>618</v>
      </c>
      <c r="K42" s="796" t="s">
        <v>265</v>
      </c>
      <c r="L42" s="796" t="s">
        <v>266</v>
      </c>
      <c r="M42" s="796" t="s">
        <v>264</v>
      </c>
      <c r="N42" s="796" t="s">
        <v>635</v>
      </c>
      <c r="O42" s="799">
        <v>1</v>
      </c>
      <c r="P42" s="797">
        <v>1</v>
      </c>
      <c r="Q42" s="798">
        <v>48852</v>
      </c>
      <c r="R42" s="798">
        <v>47391</v>
      </c>
      <c r="S42" s="797">
        <v>8.5</v>
      </c>
      <c r="T42" s="797">
        <v>4.2500000000000003E-2</v>
      </c>
      <c r="U42" s="796" t="s">
        <v>627</v>
      </c>
      <c r="V42" s="796" t="s">
        <v>257</v>
      </c>
      <c r="W42" s="796" t="s">
        <v>257</v>
      </c>
      <c r="X42" s="796" t="s">
        <v>236</v>
      </c>
      <c r="Y42" s="796" t="s">
        <v>257</v>
      </c>
      <c r="Z42" s="796" t="s">
        <v>257</v>
      </c>
      <c r="AA42" s="796" t="s">
        <v>257</v>
      </c>
      <c r="AB42" s="796" t="s">
        <v>257</v>
      </c>
      <c r="AC42" s="797">
        <v>351.57248237444003</v>
      </c>
      <c r="AD42" s="284" t="e">
        <f t="shared" si="0"/>
        <v>#VALUE!</v>
      </c>
      <c r="AE42" s="284" t="e">
        <f t="shared" si="1"/>
        <v>#DIV/0!</v>
      </c>
      <c r="AF42" s="22">
        <f t="shared" si="2"/>
        <v>107.205</v>
      </c>
    </row>
    <row r="43" spans="1:32" x14ac:dyDescent="0.25">
      <c r="A43" s="796" t="s">
        <v>675</v>
      </c>
      <c r="B43" s="796" t="s">
        <v>257</v>
      </c>
      <c r="C43" s="796" t="s">
        <v>159</v>
      </c>
      <c r="D43" s="797">
        <v>108.95</v>
      </c>
      <c r="E43" s="798">
        <v>46127</v>
      </c>
      <c r="F43" s="796" t="s">
        <v>257</v>
      </c>
      <c r="G43" s="796" t="s">
        <v>257</v>
      </c>
      <c r="H43" s="796" t="s">
        <v>257</v>
      </c>
      <c r="I43" s="796" t="s">
        <v>617</v>
      </c>
      <c r="J43" s="796" t="s">
        <v>618</v>
      </c>
      <c r="K43" s="796" t="s">
        <v>340</v>
      </c>
      <c r="L43" s="796" t="s">
        <v>341</v>
      </c>
      <c r="M43" s="796" t="s">
        <v>312</v>
      </c>
      <c r="N43" s="796" t="s">
        <v>635</v>
      </c>
      <c r="O43" s="799">
        <v>200000</v>
      </c>
      <c r="P43" s="797">
        <v>200000</v>
      </c>
      <c r="Q43" s="796" t="s">
        <v>257</v>
      </c>
      <c r="R43" s="798">
        <v>47953</v>
      </c>
      <c r="S43" s="796" t="s">
        <v>257</v>
      </c>
      <c r="T43" s="796" t="s">
        <v>257</v>
      </c>
      <c r="U43" s="796" t="s">
        <v>620</v>
      </c>
      <c r="V43" s="797">
        <v>108.95</v>
      </c>
      <c r="W43" s="797">
        <v>109.55</v>
      </c>
      <c r="X43" s="796" t="s">
        <v>257</v>
      </c>
      <c r="Y43" s="796" t="s">
        <v>257</v>
      </c>
      <c r="Z43" s="796" t="s">
        <v>257</v>
      </c>
      <c r="AA43" s="796" t="s">
        <v>257</v>
      </c>
      <c r="AB43" s="796" t="s">
        <v>257</v>
      </c>
      <c r="AC43" s="796" t="s">
        <v>257</v>
      </c>
      <c r="AD43" s="284">
        <f t="shared" si="0"/>
        <v>0.59999999999999432</v>
      </c>
      <c r="AE43" s="284">
        <f t="shared" si="1"/>
        <v>109.25</v>
      </c>
      <c r="AF43" s="22">
        <f t="shared" si="2"/>
        <v>108.95</v>
      </c>
    </row>
    <row r="44" spans="1:32" x14ac:dyDescent="0.25">
      <c r="A44" s="796" t="s">
        <v>934</v>
      </c>
      <c r="B44" s="796" t="s">
        <v>257</v>
      </c>
      <c r="C44" s="796" t="s">
        <v>371</v>
      </c>
      <c r="D44" s="797">
        <v>100.81</v>
      </c>
      <c r="E44" s="798">
        <v>46142</v>
      </c>
      <c r="F44" s="797">
        <v>5.5643368086331</v>
      </c>
      <c r="G44" s="797">
        <v>3.7372558443619002</v>
      </c>
      <c r="H44" s="797">
        <v>3.5305907994062999</v>
      </c>
      <c r="I44" s="796" t="s">
        <v>617</v>
      </c>
      <c r="J44" s="796" t="s">
        <v>618</v>
      </c>
      <c r="K44" s="796" t="s">
        <v>283</v>
      </c>
      <c r="L44" s="796" t="s">
        <v>935</v>
      </c>
      <c r="M44" s="796" t="s">
        <v>462</v>
      </c>
      <c r="N44" s="796" t="s">
        <v>619</v>
      </c>
      <c r="O44" s="799">
        <v>100000</v>
      </c>
      <c r="P44" s="797">
        <v>100000</v>
      </c>
      <c r="Q44" s="798">
        <v>47603</v>
      </c>
      <c r="R44" s="796" t="s">
        <v>257</v>
      </c>
      <c r="S44" s="797">
        <v>5.78</v>
      </c>
      <c r="T44" s="797">
        <v>5780</v>
      </c>
      <c r="U44" s="796" t="s">
        <v>620</v>
      </c>
      <c r="V44" s="797">
        <v>100.99</v>
      </c>
      <c r="W44" s="797">
        <v>101.25</v>
      </c>
      <c r="X44" s="796" t="s">
        <v>236</v>
      </c>
      <c r="Y44" s="796" t="s">
        <v>257</v>
      </c>
      <c r="Z44" s="796" t="s">
        <v>257</v>
      </c>
      <c r="AA44" s="796" t="s">
        <v>257</v>
      </c>
      <c r="AB44" s="796" t="s">
        <v>257</v>
      </c>
      <c r="AC44" s="796" t="s">
        <v>257</v>
      </c>
      <c r="AD44" s="284">
        <f t="shared" si="0"/>
        <v>0.26000000000000512</v>
      </c>
      <c r="AE44" s="284">
        <f t="shared" si="1"/>
        <v>101.12</v>
      </c>
      <c r="AF44" s="22">
        <f t="shared" si="2"/>
        <v>100.81</v>
      </c>
    </row>
    <row r="45" spans="1:32" x14ac:dyDescent="0.25">
      <c r="A45" s="796" t="s">
        <v>676</v>
      </c>
      <c r="B45" s="796" t="s">
        <v>257</v>
      </c>
      <c r="C45" s="796" t="s">
        <v>140</v>
      </c>
      <c r="D45" s="797">
        <v>96.76</v>
      </c>
      <c r="E45" s="798">
        <v>46113</v>
      </c>
      <c r="F45" s="797">
        <v>6.3037491608282998</v>
      </c>
      <c r="G45" s="797">
        <v>12.623614319629</v>
      </c>
      <c r="H45" s="797">
        <v>12.039972623098</v>
      </c>
      <c r="I45" s="796" t="s">
        <v>617</v>
      </c>
      <c r="J45" s="796" t="s">
        <v>618</v>
      </c>
      <c r="K45" s="796" t="s">
        <v>283</v>
      </c>
      <c r="L45" s="796" t="s">
        <v>329</v>
      </c>
      <c r="M45" s="796" t="s">
        <v>293</v>
      </c>
      <c r="N45" s="796" t="s">
        <v>619</v>
      </c>
      <c r="O45" s="799">
        <v>2000</v>
      </c>
      <c r="P45" s="797">
        <v>2000</v>
      </c>
      <c r="Q45" s="798">
        <v>54514</v>
      </c>
      <c r="R45" s="798">
        <v>54332</v>
      </c>
      <c r="S45" s="797">
        <v>5.95</v>
      </c>
      <c r="T45" s="797">
        <v>59.5</v>
      </c>
      <c r="U45" s="796" t="s">
        <v>648</v>
      </c>
      <c r="V45" s="797">
        <v>96.71</v>
      </c>
      <c r="W45" s="797">
        <v>97.97</v>
      </c>
      <c r="X45" s="796" t="s">
        <v>236</v>
      </c>
      <c r="Y45" s="796" t="s">
        <v>257</v>
      </c>
      <c r="Z45" s="796" t="s">
        <v>257</v>
      </c>
      <c r="AA45" s="796" t="s">
        <v>257</v>
      </c>
      <c r="AB45" s="796" t="s">
        <v>257</v>
      </c>
      <c r="AC45" s="797">
        <v>195.32204686876</v>
      </c>
      <c r="AD45" s="284">
        <f t="shared" si="0"/>
        <v>1.2600000000000051</v>
      </c>
      <c r="AE45" s="284">
        <f t="shared" si="1"/>
        <v>97.34</v>
      </c>
      <c r="AF45" s="22">
        <f t="shared" si="2"/>
        <v>96.76</v>
      </c>
    </row>
    <row r="46" spans="1:32" x14ac:dyDescent="0.25">
      <c r="A46" s="796" t="s">
        <v>677</v>
      </c>
      <c r="B46" s="796" t="s">
        <v>257</v>
      </c>
      <c r="C46" s="796" t="s">
        <v>138</v>
      </c>
      <c r="D46" s="797">
        <v>105.54</v>
      </c>
      <c r="E46" s="798">
        <v>46219</v>
      </c>
      <c r="F46" s="797">
        <v>5.7182399778897999</v>
      </c>
      <c r="G46" s="797">
        <v>6.3814476931259998</v>
      </c>
      <c r="H46" s="797">
        <v>6.0362787863860001</v>
      </c>
      <c r="I46" s="796" t="s">
        <v>617</v>
      </c>
      <c r="J46" s="796" t="s">
        <v>618</v>
      </c>
      <c r="K46" s="796" t="s">
        <v>302</v>
      </c>
      <c r="L46" s="796" t="s">
        <v>328</v>
      </c>
      <c r="M46" s="796" t="s">
        <v>327</v>
      </c>
      <c r="N46" s="796" t="s">
        <v>635</v>
      </c>
      <c r="O46" s="799">
        <v>100000</v>
      </c>
      <c r="P46" s="797">
        <v>100000</v>
      </c>
      <c r="Q46" s="796" t="s">
        <v>257</v>
      </c>
      <c r="R46" s="798">
        <v>48960</v>
      </c>
      <c r="S46" s="797">
        <v>6.5</v>
      </c>
      <c r="T46" s="797">
        <v>3250</v>
      </c>
      <c r="U46" s="796" t="s">
        <v>620</v>
      </c>
      <c r="V46" s="797">
        <v>105.43</v>
      </c>
      <c r="W46" s="797">
        <v>107.41</v>
      </c>
      <c r="X46" s="796" t="s">
        <v>621</v>
      </c>
      <c r="Y46" s="796" t="s">
        <v>257</v>
      </c>
      <c r="Z46" s="796" t="s">
        <v>257</v>
      </c>
      <c r="AA46" s="796" t="s">
        <v>257</v>
      </c>
      <c r="AB46" s="796" t="s">
        <v>257</v>
      </c>
      <c r="AC46" s="797">
        <v>316.55017257601997</v>
      </c>
      <c r="AD46" s="284">
        <f t="shared" si="0"/>
        <v>1.9799999999999898</v>
      </c>
      <c r="AE46" s="284">
        <f t="shared" si="1"/>
        <v>106.42</v>
      </c>
      <c r="AF46" s="22">
        <f t="shared" si="2"/>
        <v>106.42</v>
      </c>
    </row>
    <row r="47" spans="1:32" x14ac:dyDescent="0.25">
      <c r="A47" s="796" t="s">
        <v>678</v>
      </c>
      <c r="B47" s="796" t="s">
        <v>257</v>
      </c>
      <c r="C47" s="796" t="s">
        <v>969</v>
      </c>
      <c r="D47" s="797">
        <v>104.88</v>
      </c>
      <c r="E47" s="798">
        <v>46092</v>
      </c>
      <c r="F47" s="797">
        <v>6.2703426126663997</v>
      </c>
      <c r="G47" s="797">
        <v>6.1446028596649001</v>
      </c>
      <c r="H47" s="797">
        <v>5.8623548328588004</v>
      </c>
      <c r="I47" s="796" t="s">
        <v>617</v>
      </c>
      <c r="J47" s="796" t="s">
        <v>618</v>
      </c>
      <c r="K47" s="796" t="s">
        <v>294</v>
      </c>
      <c r="L47" s="796" t="s">
        <v>478</v>
      </c>
      <c r="M47" s="796" t="s">
        <v>321</v>
      </c>
      <c r="N47" s="796" t="s">
        <v>619</v>
      </c>
      <c r="O47" s="799">
        <v>200000</v>
      </c>
      <c r="P47" s="797">
        <v>200000</v>
      </c>
      <c r="Q47" s="796" t="s">
        <v>257</v>
      </c>
      <c r="R47" s="798">
        <v>49014</v>
      </c>
      <c r="S47" s="797">
        <v>6.95</v>
      </c>
      <c r="T47" s="797">
        <v>6950</v>
      </c>
      <c r="U47" s="796" t="s">
        <v>620</v>
      </c>
      <c r="V47" s="797">
        <v>104.79</v>
      </c>
      <c r="W47" s="797">
        <v>105.98</v>
      </c>
      <c r="X47" s="796" t="s">
        <v>621</v>
      </c>
      <c r="Y47" s="796" t="s">
        <v>257</v>
      </c>
      <c r="Z47" s="796" t="s">
        <v>257</v>
      </c>
      <c r="AA47" s="796" t="s">
        <v>257</v>
      </c>
      <c r="AB47" s="796" t="s">
        <v>257</v>
      </c>
      <c r="AC47" s="797">
        <v>232.18159378755999</v>
      </c>
      <c r="AD47" s="284">
        <f t="shared" si="0"/>
        <v>1.1899999999999977</v>
      </c>
      <c r="AE47" s="284">
        <f t="shared" si="1"/>
        <v>105.38500000000001</v>
      </c>
      <c r="AF47" s="22">
        <f t="shared" si="2"/>
        <v>104.88</v>
      </c>
    </row>
    <row r="48" spans="1:32" x14ac:dyDescent="0.25">
      <c r="A48" s="796" t="s">
        <v>678</v>
      </c>
      <c r="B48" s="796" t="s">
        <v>257</v>
      </c>
      <c r="C48" s="796" t="s">
        <v>477</v>
      </c>
      <c r="D48" s="797">
        <v>103.97</v>
      </c>
      <c r="E48" s="798">
        <v>46080</v>
      </c>
      <c r="F48" s="797">
        <v>6.1911503208737004</v>
      </c>
      <c r="G48" s="797">
        <v>4.5455730065989002</v>
      </c>
      <c r="H48" s="797">
        <v>4.3400094556825</v>
      </c>
      <c r="I48" s="796" t="s">
        <v>617</v>
      </c>
      <c r="J48" s="796" t="s">
        <v>618</v>
      </c>
      <c r="K48" s="796" t="s">
        <v>294</v>
      </c>
      <c r="L48" s="796" t="s">
        <v>478</v>
      </c>
      <c r="M48" s="796" t="s">
        <v>321</v>
      </c>
      <c r="N48" s="796" t="s">
        <v>619</v>
      </c>
      <c r="O48" s="799">
        <v>200000</v>
      </c>
      <c r="P48" s="797">
        <v>200000</v>
      </c>
      <c r="Q48" s="796" t="s">
        <v>257</v>
      </c>
      <c r="R48" s="798">
        <v>48087</v>
      </c>
      <c r="S48" s="797">
        <v>6.95</v>
      </c>
      <c r="T48" s="797">
        <v>6950</v>
      </c>
      <c r="U48" s="796" t="s">
        <v>627</v>
      </c>
      <c r="V48" s="796" t="s">
        <v>257</v>
      </c>
      <c r="W48" s="796" t="s">
        <v>257</v>
      </c>
      <c r="X48" s="796" t="s">
        <v>621</v>
      </c>
      <c r="Y48" s="796" t="s">
        <v>257</v>
      </c>
      <c r="Z48" s="796" t="s">
        <v>257</v>
      </c>
      <c r="AA48" s="796" t="s">
        <v>257</v>
      </c>
      <c r="AB48" s="796" t="s">
        <v>257</v>
      </c>
      <c r="AC48" s="797">
        <v>241.09021521045</v>
      </c>
      <c r="AD48" s="284" t="e">
        <f t="shared" si="0"/>
        <v>#VALUE!</v>
      </c>
      <c r="AE48" s="284" t="e">
        <f t="shared" si="1"/>
        <v>#DIV/0!</v>
      </c>
      <c r="AF48" s="22">
        <f t="shared" si="2"/>
        <v>103.97</v>
      </c>
    </row>
    <row r="49" spans="1:32" s="22" customFormat="1" x14ac:dyDescent="0.25">
      <c r="A49" s="796" t="s">
        <v>867</v>
      </c>
      <c r="B49" s="796" t="s">
        <v>257</v>
      </c>
      <c r="C49" s="796" t="s">
        <v>851</v>
      </c>
      <c r="D49" s="797">
        <v>103.47</v>
      </c>
      <c r="E49" s="798">
        <v>46178</v>
      </c>
      <c r="F49" s="797">
        <v>6.2200778742719001</v>
      </c>
      <c r="G49" s="797">
        <v>3.7431130043723</v>
      </c>
      <c r="H49" s="797">
        <v>3.5728656586760001</v>
      </c>
      <c r="I49" s="796" t="s">
        <v>617</v>
      </c>
      <c r="J49" s="796" t="s">
        <v>618</v>
      </c>
      <c r="K49" s="796" t="s">
        <v>294</v>
      </c>
      <c r="L49" s="796" t="s">
        <v>478</v>
      </c>
      <c r="M49" s="796" t="s">
        <v>321</v>
      </c>
      <c r="N49" s="796" t="s">
        <v>619</v>
      </c>
      <c r="O49" s="799">
        <v>200000</v>
      </c>
      <c r="P49" s="797">
        <v>200000</v>
      </c>
      <c r="Q49" s="796" t="s">
        <v>257</v>
      </c>
      <c r="R49" s="798">
        <v>47639</v>
      </c>
      <c r="S49" s="797">
        <v>7.05</v>
      </c>
      <c r="T49" s="797">
        <v>7050</v>
      </c>
      <c r="U49" s="796" t="s">
        <v>620</v>
      </c>
      <c r="V49" s="797">
        <v>103.42</v>
      </c>
      <c r="W49" s="797">
        <v>104.47</v>
      </c>
      <c r="X49" s="796" t="s">
        <v>621</v>
      </c>
      <c r="Y49" s="796" t="s">
        <v>257</v>
      </c>
      <c r="Z49" s="796" t="s">
        <v>257</v>
      </c>
      <c r="AA49" s="796" t="s">
        <v>257</v>
      </c>
      <c r="AB49" s="796" t="s">
        <v>257</v>
      </c>
      <c r="AC49" s="797">
        <v>251.86032970631999</v>
      </c>
      <c r="AD49" s="284">
        <f t="shared" si="0"/>
        <v>1.0499999999999972</v>
      </c>
      <c r="AE49" s="284">
        <f t="shared" si="1"/>
        <v>103.94499999999999</v>
      </c>
      <c r="AF49" s="22">
        <f t="shared" si="2"/>
        <v>103.47</v>
      </c>
    </row>
    <row r="50" spans="1:32" x14ac:dyDescent="0.25">
      <c r="A50" s="796" t="s">
        <v>1096</v>
      </c>
      <c r="B50" s="796" t="s">
        <v>257</v>
      </c>
      <c r="C50" s="796" t="s">
        <v>1068</v>
      </c>
      <c r="D50" s="797">
        <v>94.84</v>
      </c>
      <c r="E50" s="798">
        <v>46312</v>
      </c>
      <c r="F50" s="797">
        <v>11.777039622202</v>
      </c>
      <c r="G50" s="797">
        <v>3.1888789912819</v>
      </c>
      <c r="H50" s="797">
        <v>2.8450979001604999</v>
      </c>
      <c r="I50" s="796" t="s">
        <v>617</v>
      </c>
      <c r="J50" s="796" t="s">
        <v>618</v>
      </c>
      <c r="K50" s="796" t="s">
        <v>283</v>
      </c>
      <c r="L50" s="796" t="s">
        <v>468</v>
      </c>
      <c r="M50" s="796" t="s">
        <v>312</v>
      </c>
      <c r="N50" s="796" t="s">
        <v>619</v>
      </c>
      <c r="O50" s="799">
        <v>5000</v>
      </c>
      <c r="P50" s="797">
        <v>5000</v>
      </c>
      <c r="Q50" s="798">
        <v>47408</v>
      </c>
      <c r="R50" s="796" t="s">
        <v>257</v>
      </c>
      <c r="S50" s="797">
        <v>10</v>
      </c>
      <c r="T50" s="797">
        <v>500</v>
      </c>
      <c r="U50" s="796" t="s">
        <v>620</v>
      </c>
      <c r="V50" s="797">
        <v>94.84</v>
      </c>
      <c r="W50" s="797">
        <v>96.16</v>
      </c>
      <c r="X50" s="796" t="s">
        <v>236</v>
      </c>
      <c r="Y50" s="796" t="s">
        <v>257</v>
      </c>
      <c r="Z50" s="796" t="s">
        <v>257</v>
      </c>
      <c r="AA50" s="796" t="s">
        <v>257</v>
      </c>
      <c r="AB50" s="796" t="s">
        <v>257</v>
      </c>
      <c r="AC50" s="796" t="s">
        <v>257</v>
      </c>
      <c r="AD50" s="284">
        <f t="shared" si="0"/>
        <v>1.3199999999999932</v>
      </c>
      <c r="AE50" s="284">
        <f t="shared" si="1"/>
        <v>95.5</v>
      </c>
      <c r="AF50" s="22">
        <f t="shared" si="2"/>
        <v>94.84</v>
      </c>
    </row>
    <row r="51" spans="1:32" x14ac:dyDescent="0.25">
      <c r="A51" s="796" t="s">
        <v>679</v>
      </c>
      <c r="B51" s="796" t="s">
        <v>257</v>
      </c>
      <c r="C51" s="796" t="s">
        <v>509</v>
      </c>
      <c r="D51" s="797">
        <v>94.19</v>
      </c>
      <c r="E51" s="798">
        <v>46304</v>
      </c>
      <c r="F51" s="797">
        <v>12.217960920936999</v>
      </c>
      <c r="G51" s="797">
        <v>4.3723644170189004</v>
      </c>
      <c r="H51" s="797">
        <v>3.8856685956224002</v>
      </c>
      <c r="I51" s="796" t="s">
        <v>617</v>
      </c>
      <c r="J51" s="796" t="s">
        <v>618</v>
      </c>
      <c r="K51" s="796" t="s">
        <v>283</v>
      </c>
      <c r="L51" s="796" t="s">
        <v>468</v>
      </c>
      <c r="M51" s="796" t="s">
        <v>312</v>
      </c>
      <c r="N51" s="796" t="s">
        <v>619</v>
      </c>
      <c r="O51" s="799">
        <v>10000</v>
      </c>
      <c r="P51" s="797">
        <v>10000</v>
      </c>
      <c r="Q51" s="798">
        <v>48130</v>
      </c>
      <c r="R51" s="796" t="s">
        <v>257</v>
      </c>
      <c r="S51" s="797">
        <v>10.75</v>
      </c>
      <c r="T51" s="797">
        <v>1075</v>
      </c>
      <c r="U51" s="796" t="s">
        <v>620</v>
      </c>
      <c r="V51" s="797">
        <v>94.19</v>
      </c>
      <c r="W51" s="797">
        <v>97.15</v>
      </c>
      <c r="X51" s="796" t="s">
        <v>236</v>
      </c>
      <c r="Y51" s="796" t="s">
        <v>257</v>
      </c>
      <c r="Z51" s="796" t="s">
        <v>257</v>
      </c>
      <c r="AA51" s="796" t="s">
        <v>257</v>
      </c>
      <c r="AB51" s="796" t="s">
        <v>257</v>
      </c>
      <c r="AC51" s="796" t="s">
        <v>257</v>
      </c>
      <c r="AD51" s="284">
        <f t="shared" si="0"/>
        <v>2.960000000000008</v>
      </c>
      <c r="AE51" s="284">
        <f t="shared" si="1"/>
        <v>95.67</v>
      </c>
      <c r="AF51" s="22">
        <f t="shared" si="2"/>
        <v>95.67</v>
      </c>
    </row>
    <row r="52" spans="1:32" x14ac:dyDescent="0.25">
      <c r="A52" s="796" t="s">
        <v>680</v>
      </c>
      <c r="B52" s="796" t="s">
        <v>257</v>
      </c>
      <c r="C52" s="796" t="s">
        <v>453</v>
      </c>
      <c r="D52" s="797">
        <v>95.13</v>
      </c>
      <c r="E52" s="798">
        <v>46062</v>
      </c>
      <c r="F52" s="797">
        <v>11.506769889689</v>
      </c>
      <c r="G52" s="797">
        <v>2.5242148070306998</v>
      </c>
      <c r="H52" s="797">
        <v>2.2575472751593999</v>
      </c>
      <c r="I52" s="796" t="s">
        <v>617</v>
      </c>
      <c r="J52" s="796" t="s">
        <v>618</v>
      </c>
      <c r="K52" s="796" t="s">
        <v>283</v>
      </c>
      <c r="L52" s="796" t="s">
        <v>468</v>
      </c>
      <c r="M52" s="796" t="s">
        <v>312</v>
      </c>
      <c r="N52" s="796" t="s">
        <v>619</v>
      </c>
      <c r="O52" s="799">
        <v>5000</v>
      </c>
      <c r="P52" s="797">
        <v>5000</v>
      </c>
      <c r="Q52" s="798">
        <v>47158</v>
      </c>
      <c r="R52" s="796" t="s">
        <v>257</v>
      </c>
      <c r="S52" s="797">
        <v>9.5</v>
      </c>
      <c r="T52" s="797">
        <v>475</v>
      </c>
      <c r="U52" s="796" t="s">
        <v>620</v>
      </c>
      <c r="V52" s="797">
        <v>95.15</v>
      </c>
      <c r="W52" s="797">
        <v>97.65</v>
      </c>
      <c r="X52" s="796" t="s">
        <v>236</v>
      </c>
      <c r="Y52" s="796" t="s">
        <v>257</v>
      </c>
      <c r="Z52" s="796" t="s">
        <v>257</v>
      </c>
      <c r="AA52" s="796" t="s">
        <v>257</v>
      </c>
      <c r="AB52" s="796" t="s">
        <v>257</v>
      </c>
      <c r="AC52" s="796" t="s">
        <v>257</v>
      </c>
      <c r="AD52" s="284">
        <f t="shared" si="0"/>
        <v>2.5</v>
      </c>
      <c r="AE52" s="284">
        <f t="shared" si="1"/>
        <v>96.4</v>
      </c>
      <c r="AF52" s="22">
        <f t="shared" si="2"/>
        <v>96.4</v>
      </c>
    </row>
    <row r="53" spans="1:32" x14ac:dyDescent="0.25">
      <c r="A53" s="796" t="s">
        <v>681</v>
      </c>
      <c r="B53" s="796" t="s">
        <v>257</v>
      </c>
      <c r="C53" s="796" t="s">
        <v>448</v>
      </c>
      <c r="D53" s="797">
        <v>98.5</v>
      </c>
      <c r="E53" s="798">
        <v>46068</v>
      </c>
      <c r="F53" s="797">
        <v>11.599510026299001</v>
      </c>
      <c r="G53" s="797">
        <v>1.7617560161784001</v>
      </c>
      <c r="H53" s="797">
        <v>1.5786413540376001</v>
      </c>
      <c r="I53" s="796" t="s">
        <v>617</v>
      </c>
      <c r="J53" s="796" t="s">
        <v>618</v>
      </c>
      <c r="K53" s="796" t="s">
        <v>283</v>
      </c>
      <c r="L53" s="796" t="s">
        <v>467</v>
      </c>
      <c r="M53" s="796" t="s">
        <v>264</v>
      </c>
      <c r="N53" s="796" t="s">
        <v>619</v>
      </c>
      <c r="O53" s="799">
        <v>5000</v>
      </c>
      <c r="P53" s="797">
        <v>5000</v>
      </c>
      <c r="Q53" s="798">
        <v>46798</v>
      </c>
      <c r="R53" s="796" t="s">
        <v>257</v>
      </c>
      <c r="S53" s="797">
        <v>10.75</v>
      </c>
      <c r="T53" s="797">
        <v>537.5</v>
      </c>
      <c r="U53" s="796" t="s">
        <v>620</v>
      </c>
      <c r="V53" s="797">
        <v>98.51</v>
      </c>
      <c r="W53" s="797">
        <v>99.76</v>
      </c>
      <c r="X53" s="796" t="s">
        <v>236</v>
      </c>
      <c r="Y53" s="796" t="s">
        <v>257</v>
      </c>
      <c r="Z53" s="796" t="s">
        <v>257</v>
      </c>
      <c r="AA53" s="796" t="s">
        <v>257</v>
      </c>
      <c r="AB53" s="796" t="s">
        <v>257</v>
      </c>
      <c r="AC53" s="796" t="s">
        <v>257</v>
      </c>
      <c r="AD53" s="284">
        <f t="shared" si="0"/>
        <v>1.25</v>
      </c>
      <c r="AE53" s="284">
        <f t="shared" si="1"/>
        <v>99.135000000000005</v>
      </c>
      <c r="AF53" s="22">
        <f t="shared" si="2"/>
        <v>98.5</v>
      </c>
    </row>
    <row r="54" spans="1:32" x14ac:dyDescent="0.25">
      <c r="A54" s="796" t="s">
        <v>682</v>
      </c>
      <c r="B54" s="796" t="s">
        <v>257</v>
      </c>
      <c r="C54" s="796" t="s">
        <v>683</v>
      </c>
      <c r="D54" s="797">
        <v>57.63</v>
      </c>
      <c r="E54" s="798">
        <v>46065</v>
      </c>
      <c r="F54" s="797">
        <v>6.2417167228267996</v>
      </c>
      <c r="G54" s="797">
        <v>16.175778763722001</v>
      </c>
      <c r="H54" s="797">
        <v>15.436913920027999</v>
      </c>
      <c r="I54" s="796" t="s">
        <v>617</v>
      </c>
      <c r="J54" s="796" t="s">
        <v>618</v>
      </c>
      <c r="K54" s="796" t="s">
        <v>283</v>
      </c>
      <c r="L54" s="796" t="s">
        <v>336</v>
      </c>
      <c r="M54" s="796" t="s">
        <v>335</v>
      </c>
      <c r="N54" s="796" t="s">
        <v>619</v>
      </c>
      <c r="O54" s="799">
        <v>2000</v>
      </c>
      <c r="P54" s="797">
        <v>2000</v>
      </c>
      <c r="Q54" s="798">
        <v>59030</v>
      </c>
      <c r="R54" s="798">
        <v>58849</v>
      </c>
      <c r="S54" s="797">
        <v>3.2</v>
      </c>
      <c r="T54" s="797">
        <v>32</v>
      </c>
      <c r="U54" s="796" t="s">
        <v>620</v>
      </c>
      <c r="V54" s="797">
        <v>57.59</v>
      </c>
      <c r="W54" s="797">
        <v>58.44</v>
      </c>
      <c r="X54" s="796" t="s">
        <v>236</v>
      </c>
      <c r="Y54" s="796" t="s">
        <v>257</v>
      </c>
      <c r="Z54" s="796" t="s">
        <v>257</v>
      </c>
      <c r="AA54" s="796" t="s">
        <v>257</v>
      </c>
      <c r="AB54" s="796" t="s">
        <v>257</v>
      </c>
      <c r="AC54" s="797">
        <v>149.67608007605</v>
      </c>
      <c r="AD54" s="284">
        <f t="shared" si="0"/>
        <v>0.84999999999999432</v>
      </c>
      <c r="AE54" s="284">
        <f t="shared" si="1"/>
        <v>58.015000000000001</v>
      </c>
      <c r="AF54" s="22">
        <f t="shared" si="2"/>
        <v>57.63</v>
      </c>
    </row>
    <row r="55" spans="1:32" x14ac:dyDescent="0.25">
      <c r="A55" s="796" t="s">
        <v>684</v>
      </c>
      <c r="B55" s="796" t="s">
        <v>257</v>
      </c>
      <c r="C55" s="796" t="s">
        <v>112</v>
      </c>
      <c r="D55" s="797">
        <v>104.05</v>
      </c>
      <c r="E55" s="798">
        <v>46173</v>
      </c>
      <c r="F55" s="797">
        <v>5.9941956603169997</v>
      </c>
      <c r="G55" s="797">
        <v>8.6014817050767007</v>
      </c>
      <c r="H55" s="797">
        <v>8.2277587696466998</v>
      </c>
      <c r="I55" s="796" t="s">
        <v>617</v>
      </c>
      <c r="J55" s="796" t="s">
        <v>623</v>
      </c>
      <c r="K55" s="796" t="s">
        <v>265</v>
      </c>
      <c r="L55" s="796" t="s">
        <v>311</v>
      </c>
      <c r="M55" s="796" t="s">
        <v>254</v>
      </c>
      <c r="N55" s="796" t="s">
        <v>635</v>
      </c>
      <c r="O55" s="799">
        <v>1</v>
      </c>
      <c r="P55" s="797">
        <v>1</v>
      </c>
      <c r="Q55" s="798">
        <v>50556</v>
      </c>
      <c r="R55" s="798">
        <v>50374</v>
      </c>
      <c r="S55" s="797">
        <v>6.375</v>
      </c>
      <c r="T55" s="797">
        <v>3.1875000000000001E-2</v>
      </c>
      <c r="U55" s="796" t="s">
        <v>624</v>
      </c>
      <c r="V55" s="797">
        <v>103.8</v>
      </c>
      <c r="W55" s="797">
        <v>104.3</v>
      </c>
      <c r="X55" s="796" t="s">
        <v>236</v>
      </c>
      <c r="Y55" s="796" t="s">
        <v>257</v>
      </c>
      <c r="Z55" s="796" t="s">
        <v>257</v>
      </c>
      <c r="AA55" s="796" t="s">
        <v>257</v>
      </c>
      <c r="AB55" s="796" t="s">
        <v>257</v>
      </c>
      <c r="AC55" s="797">
        <v>179.60892336501001</v>
      </c>
      <c r="AD55" s="284">
        <f t="shared" si="0"/>
        <v>0.5</v>
      </c>
      <c r="AE55" s="284">
        <f t="shared" si="1"/>
        <v>104.05</v>
      </c>
      <c r="AF55" s="22">
        <f t="shared" si="2"/>
        <v>104.05</v>
      </c>
    </row>
    <row r="56" spans="1:32" x14ac:dyDescent="0.25">
      <c r="A56" s="796" t="s">
        <v>685</v>
      </c>
      <c r="B56" s="796" t="s">
        <v>257</v>
      </c>
      <c r="C56" s="796" t="s">
        <v>130</v>
      </c>
      <c r="D56" s="797">
        <v>74.03</v>
      </c>
      <c r="E56" s="798">
        <v>46115</v>
      </c>
      <c r="F56" s="797">
        <v>6.1781310367723004</v>
      </c>
      <c r="G56" s="797">
        <v>16.418110719238999</v>
      </c>
      <c r="H56" s="797">
        <v>15.677559844238999</v>
      </c>
      <c r="I56" s="796" t="s">
        <v>617</v>
      </c>
      <c r="J56" s="796" t="s">
        <v>618</v>
      </c>
      <c r="K56" s="796" t="s">
        <v>265</v>
      </c>
      <c r="L56" s="796" t="s">
        <v>265</v>
      </c>
      <c r="M56" s="796" t="s">
        <v>257</v>
      </c>
      <c r="N56" s="796" t="s">
        <v>619</v>
      </c>
      <c r="O56" s="799">
        <v>200000</v>
      </c>
      <c r="P56" s="797">
        <v>200000</v>
      </c>
      <c r="Q56" s="798">
        <v>80448</v>
      </c>
      <c r="R56" s="796" t="s">
        <v>257</v>
      </c>
      <c r="S56" s="797">
        <v>4.5</v>
      </c>
      <c r="T56" s="797">
        <v>4500</v>
      </c>
      <c r="U56" s="796" t="s">
        <v>620</v>
      </c>
      <c r="V56" s="797">
        <v>74.03</v>
      </c>
      <c r="W56" s="797">
        <v>75.06</v>
      </c>
      <c r="X56" s="796" t="s">
        <v>236</v>
      </c>
      <c r="Y56" s="796" t="s">
        <v>257</v>
      </c>
      <c r="Z56" s="796" t="s">
        <v>257</v>
      </c>
      <c r="AA56" s="796" t="s">
        <v>257</v>
      </c>
      <c r="AB56" s="796" t="s">
        <v>257</v>
      </c>
      <c r="AC56" s="797">
        <v>142.1233583959</v>
      </c>
      <c r="AD56" s="284">
        <f t="shared" si="0"/>
        <v>1.0300000000000011</v>
      </c>
      <c r="AE56" s="284">
        <f t="shared" si="1"/>
        <v>74.545000000000002</v>
      </c>
      <c r="AF56" s="22">
        <f t="shared" si="2"/>
        <v>74.03</v>
      </c>
    </row>
    <row r="57" spans="1:32" x14ac:dyDescent="0.25">
      <c r="A57" s="796" t="s">
        <v>686</v>
      </c>
      <c r="B57" s="796" t="s">
        <v>257</v>
      </c>
      <c r="C57" s="796" t="s">
        <v>59</v>
      </c>
      <c r="D57" s="797">
        <v>79.94</v>
      </c>
      <c r="E57" s="798">
        <v>46136</v>
      </c>
      <c r="F57" s="797">
        <v>8.5332920245307999</v>
      </c>
      <c r="G57" s="797">
        <v>10.717233920016</v>
      </c>
      <c r="H57" s="797">
        <v>10.011752328190999</v>
      </c>
      <c r="I57" s="796" t="s">
        <v>617</v>
      </c>
      <c r="J57" s="796" t="s">
        <v>618</v>
      </c>
      <c r="K57" s="796" t="s">
        <v>267</v>
      </c>
      <c r="L57" s="796" t="s">
        <v>268</v>
      </c>
      <c r="M57" s="796" t="s">
        <v>258</v>
      </c>
      <c r="N57" s="796" t="s">
        <v>619</v>
      </c>
      <c r="O57" s="799">
        <v>200000</v>
      </c>
      <c r="P57" s="797">
        <v>200000</v>
      </c>
      <c r="Q57" s="798">
        <v>54355</v>
      </c>
      <c r="R57" s="796" t="s">
        <v>257</v>
      </c>
      <c r="S57" s="797">
        <v>6.375</v>
      </c>
      <c r="T57" s="797">
        <v>6375</v>
      </c>
      <c r="U57" s="796" t="s">
        <v>620</v>
      </c>
      <c r="V57" s="797">
        <v>79.930000000000007</v>
      </c>
      <c r="W57" s="797">
        <v>101</v>
      </c>
      <c r="X57" s="796" t="s">
        <v>236</v>
      </c>
      <c r="Y57" s="796" t="s">
        <v>257</v>
      </c>
      <c r="Z57" s="796" t="s">
        <v>257</v>
      </c>
      <c r="AA57" s="796" t="s">
        <v>257</v>
      </c>
      <c r="AB57" s="796" t="s">
        <v>257</v>
      </c>
      <c r="AC57" s="797">
        <v>414.66074364683999</v>
      </c>
      <c r="AD57" s="284">
        <f t="shared" si="0"/>
        <v>21.069999999999993</v>
      </c>
      <c r="AE57" s="284">
        <f t="shared" si="1"/>
        <v>90.465000000000003</v>
      </c>
      <c r="AF57" s="22">
        <f t="shared" si="2"/>
        <v>90.465000000000003</v>
      </c>
    </row>
    <row r="58" spans="1:32" x14ac:dyDescent="0.25">
      <c r="A58" s="796" t="s">
        <v>951</v>
      </c>
      <c r="B58" s="796" t="s">
        <v>257</v>
      </c>
      <c r="C58" s="796" t="s">
        <v>161</v>
      </c>
      <c r="D58" s="797">
        <v>107.28</v>
      </c>
      <c r="E58" s="798">
        <v>46220</v>
      </c>
      <c r="F58" s="797">
        <v>5.6948311706363999</v>
      </c>
      <c r="G58" s="797">
        <v>6.3489504211929004</v>
      </c>
      <c r="H58" s="797">
        <v>6.0068693529042996</v>
      </c>
      <c r="I58" s="796" t="s">
        <v>617</v>
      </c>
      <c r="J58" s="796" t="s">
        <v>618</v>
      </c>
      <c r="K58" s="796" t="s">
        <v>302</v>
      </c>
      <c r="L58" s="796" t="s">
        <v>346</v>
      </c>
      <c r="M58" s="796" t="s">
        <v>327</v>
      </c>
      <c r="N58" s="796" t="s">
        <v>635</v>
      </c>
      <c r="O58" s="799">
        <v>100000</v>
      </c>
      <c r="P58" s="797">
        <v>100000</v>
      </c>
      <c r="Q58" s="796" t="s">
        <v>257</v>
      </c>
      <c r="R58" s="798">
        <v>48961</v>
      </c>
      <c r="S58" s="797">
        <v>6.75</v>
      </c>
      <c r="T58" s="797">
        <v>3375</v>
      </c>
      <c r="U58" s="796" t="s">
        <v>620</v>
      </c>
      <c r="V58" s="797">
        <v>107.25</v>
      </c>
      <c r="W58" s="797">
        <v>107.99</v>
      </c>
      <c r="X58" s="796" t="s">
        <v>621</v>
      </c>
      <c r="Y58" s="797">
        <v>70000000000</v>
      </c>
      <c r="Z58" s="798">
        <v>45597</v>
      </c>
      <c r="AA58" s="797">
        <v>100.45</v>
      </c>
      <c r="AB58" s="797">
        <v>6.83</v>
      </c>
      <c r="AC58" s="797">
        <v>314.57569031578998</v>
      </c>
      <c r="AD58" s="284">
        <f t="shared" si="0"/>
        <v>0.73999999999999488</v>
      </c>
      <c r="AE58" s="284">
        <f t="shared" si="1"/>
        <v>107.62</v>
      </c>
      <c r="AF58" s="22">
        <f t="shared" si="2"/>
        <v>107.28</v>
      </c>
    </row>
    <row r="59" spans="1:32" x14ac:dyDescent="0.25">
      <c r="A59" s="796" t="s">
        <v>942</v>
      </c>
      <c r="B59" s="796" t="s">
        <v>257</v>
      </c>
      <c r="C59" s="796" t="s">
        <v>940</v>
      </c>
      <c r="D59" s="797">
        <v>104.71</v>
      </c>
      <c r="E59" s="798">
        <v>46210</v>
      </c>
      <c r="F59" s="797">
        <v>6.5988381925946999</v>
      </c>
      <c r="G59" s="797">
        <v>4.1511695508862996</v>
      </c>
      <c r="H59" s="797">
        <v>3.9482838226935999</v>
      </c>
      <c r="I59" s="796" t="s">
        <v>617</v>
      </c>
      <c r="J59" s="796" t="s">
        <v>618</v>
      </c>
      <c r="K59" s="796" t="s">
        <v>323</v>
      </c>
      <c r="L59" s="796" t="s">
        <v>358</v>
      </c>
      <c r="M59" s="796" t="s">
        <v>357</v>
      </c>
      <c r="N59" s="796" t="s">
        <v>619</v>
      </c>
      <c r="O59" s="799">
        <v>2000</v>
      </c>
      <c r="P59" s="797">
        <v>2000</v>
      </c>
      <c r="Q59" s="798">
        <v>47855</v>
      </c>
      <c r="R59" s="798">
        <v>46575</v>
      </c>
      <c r="S59" s="797">
        <v>7.625</v>
      </c>
      <c r="T59" s="797">
        <v>76.25</v>
      </c>
      <c r="U59" s="796" t="s">
        <v>620</v>
      </c>
      <c r="V59" s="797">
        <v>104.62</v>
      </c>
      <c r="W59" s="797">
        <v>105.87</v>
      </c>
      <c r="X59" s="796" t="s">
        <v>236</v>
      </c>
      <c r="Y59" s="796" t="s">
        <v>257</v>
      </c>
      <c r="Z59" s="796" t="s">
        <v>257</v>
      </c>
      <c r="AA59" s="796" t="s">
        <v>257</v>
      </c>
      <c r="AB59" s="796" t="s">
        <v>257</v>
      </c>
      <c r="AC59" s="797">
        <v>285.82323790576999</v>
      </c>
      <c r="AD59" s="284">
        <f t="shared" si="0"/>
        <v>1.25</v>
      </c>
      <c r="AE59" s="284">
        <f t="shared" si="1"/>
        <v>105.245</v>
      </c>
      <c r="AF59" s="22">
        <f t="shared" si="2"/>
        <v>104.71</v>
      </c>
    </row>
    <row r="60" spans="1:32" x14ac:dyDescent="0.25">
      <c r="A60" s="796" t="s">
        <v>687</v>
      </c>
      <c r="B60" s="796" t="s">
        <v>257</v>
      </c>
      <c r="C60" s="796" t="s">
        <v>179</v>
      </c>
      <c r="D60" s="797">
        <v>104.51</v>
      </c>
      <c r="E60" s="798">
        <v>46127</v>
      </c>
      <c r="F60" s="797">
        <v>6.7355701270303001</v>
      </c>
      <c r="G60" s="797">
        <v>3.5538068851690001</v>
      </c>
      <c r="H60" s="797">
        <v>3.3757868251805001</v>
      </c>
      <c r="I60" s="796" t="s">
        <v>617</v>
      </c>
      <c r="J60" s="796" t="s">
        <v>618</v>
      </c>
      <c r="K60" s="796" t="s">
        <v>323</v>
      </c>
      <c r="L60" s="796" t="s">
        <v>358</v>
      </c>
      <c r="M60" s="796" t="s">
        <v>357</v>
      </c>
      <c r="N60" s="796" t="s">
        <v>619</v>
      </c>
      <c r="O60" s="799">
        <v>2000</v>
      </c>
      <c r="P60" s="797">
        <v>2000</v>
      </c>
      <c r="Q60" s="798">
        <v>47588</v>
      </c>
      <c r="R60" s="798">
        <v>46310</v>
      </c>
      <c r="S60" s="797">
        <v>7.875</v>
      </c>
      <c r="T60" s="797">
        <v>78.75</v>
      </c>
      <c r="U60" s="796" t="s">
        <v>620</v>
      </c>
      <c r="V60" s="797">
        <v>104.43</v>
      </c>
      <c r="W60" s="797">
        <v>110.37</v>
      </c>
      <c r="X60" s="796" t="s">
        <v>236</v>
      </c>
      <c r="Y60" s="796" t="s">
        <v>257</v>
      </c>
      <c r="Z60" s="796" t="s">
        <v>257</v>
      </c>
      <c r="AA60" s="796" t="s">
        <v>257</v>
      </c>
      <c r="AB60" s="796" t="s">
        <v>257</v>
      </c>
      <c r="AC60" s="797">
        <v>305.13717573418</v>
      </c>
      <c r="AD60" s="284">
        <f t="shared" si="0"/>
        <v>5.9399999999999977</v>
      </c>
      <c r="AE60" s="284">
        <f t="shared" si="1"/>
        <v>107.4</v>
      </c>
      <c r="AF60" s="22">
        <f t="shared" si="2"/>
        <v>107.4</v>
      </c>
    </row>
    <row r="61" spans="1:32" x14ac:dyDescent="0.25">
      <c r="A61" s="796" t="s">
        <v>688</v>
      </c>
      <c r="B61" s="796" t="s">
        <v>257</v>
      </c>
      <c r="C61" s="796" t="s">
        <v>63</v>
      </c>
      <c r="D61" s="797">
        <v>102.71</v>
      </c>
      <c r="E61" s="798">
        <v>46203</v>
      </c>
      <c r="F61" s="797">
        <v>6.1316051480388998</v>
      </c>
      <c r="G61" s="797">
        <v>3.8299760917604999</v>
      </c>
      <c r="H61" s="797">
        <v>3.6588254730809</v>
      </c>
      <c r="I61" s="796" t="s">
        <v>617</v>
      </c>
      <c r="J61" s="796" t="s">
        <v>633</v>
      </c>
      <c r="K61" s="796" t="s">
        <v>265</v>
      </c>
      <c r="L61" s="796" t="s">
        <v>269</v>
      </c>
      <c r="M61" s="796" t="s">
        <v>258</v>
      </c>
      <c r="N61" s="796" t="s">
        <v>635</v>
      </c>
      <c r="O61" s="799">
        <v>1</v>
      </c>
      <c r="P61" s="797">
        <v>1</v>
      </c>
      <c r="Q61" s="798">
        <v>47664</v>
      </c>
      <c r="R61" s="798">
        <v>47482</v>
      </c>
      <c r="S61" s="797">
        <v>6.75</v>
      </c>
      <c r="T61" s="797">
        <v>3.3750000000000002E-2</v>
      </c>
      <c r="U61" s="796" t="s">
        <v>624</v>
      </c>
      <c r="V61" s="796" t="s">
        <v>257</v>
      </c>
      <c r="W61" s="796" t="s">
        <v>257</v>
      </c>
      <c r="X61" s="796" t="s">
        <v>236</v>
      </c>
      <c r="Y61" s="796" t="s">
        <v>257</v>
      </c>
      <c r="Z61" s="796" t="s">
        <v>257</v>
      </c>
      <c r="AA61" s="796" t="s">
        <v>257</v>
      </c>
      <c r="AB61" s="796" t="s">
        <v>257</v>
      </c>
      <c r="AC61" s="797">
        <v>242.19999010542</v>
      </c>
      <c r="AD61" s="284" t="e">
        <f t="shared" si="0"/>
        <v>#VALUE!</v>
      </c>
      <c r="AE61" s="284" t="e">
        <f t="shared" si="1"/>
        <v>#DIV/0!</v>
      </c>
      <c r="AF61" s="22">
        <f t="shared" si="2"/>
        <v>102.71</v>
      </c>
    </row>
    <row r="62" spans="1:32" x14ac:dyDescent="0.25">
      <c r="A62" s="796" t="s">
        <v>689</v>
      </c>
      <c r="B62" s="796" t="s">
        <v>257</v>
      </c>
      <c r="C62" s="796" t="s">
        <v>374</v>
      </c>
      <c r="D62" s="797">
        <v>104.434</v>
      </c>
      <c r="E62" s="798">
        <v>46108</v>
      </c>
      <c r="F62" s="797">
        <v>6.4912424126937003</v>
      </c>
      <c r="G62" s="797">
        <v>3.7367629907350999</v>
      </c>
      <c r="H62" s="797">
        <v>3.5577221101760999</v>
      </c>
      <c r="I62" s="796" t="s">
        <v>617</v>
      </c>
      <c r="J62" s="796" t="s">
        <v>618</v>
      </c>
      <c r="K62" s="796" t="s">
        <v>294</v>
      </c>
      <c r="L62" s="796" t="s">
        <v>466</v>
      </c>
      <c r="M62" s="796" t="s">
        <v>312</v>
      </c>
      <c r="N62" s="796" t="s">
        <v>619</v>
      </c>
      <c r="O62" s="799">
        <v>200000</v>
      </c>
      <c r="P62" s="797">
        <v>200000</v>
      </c>
      <c r="Q62" s="796" t="s">
        <v>257</v>
      </c>
      <c r="R62" s="798">
        <v>47661</v>
      </c>
      <c r="S62" s="797">
        <v>7.5</v>
      </c>
      <c r="T62" s="797">
        <v>3750</v>
      </c>
      <c r="U62" s="796" t="s">
        <v>620</v>
      </c>
      <c r="V62" s="797">
        <v>104.48399999999999</v>
      </c>
      <c r="W62" s="797">
        <v>105.57599999999999</v>
      </c>
      <c r="X62" s="796" t="s">
        <v>621</v>
      </c>
      <c r="Y62" s="796" t="s">
        <v>257</v>
      </c>
      <c r="Z62" s="796" t="s">
        <v>257</v>
      </c>
      <c r="AA62" s="796" t="s">
        <v>257</v>
      </c>
      <c r="AB62" s="796" t="s">
        <v>257</v>
      </c>
      <c r="AC62" s="796" t="s">
        <v>257</v>
      </c>
      <c r="AD62" s="284">
        <f t="shared" si="0"/>
        <v>1.0919999999999987</v>
      </c>
      <c r="AE62" s="284">
        <f t="shared" si="1"/>
        <v>105.03</v>
      </c>
      <c r="AF62" s="22">
        <f t="shared" si="2"/>
        <v>104.434</v>
      </c>
    </row>
    <row r="63" spans="1:32" x14ac:dyDescent="0.25">
      <c r="A63" s="796" t="s">
        <v>690</v>
      </c>
      <c r="B63" s="796" t="s">
        <v>257</v>
      </c>
      <c r="C63" s="796" t="s">
        <v>691</v>
      </c>
      <c r="D63" s="797">
        <v>101</v>
      </c>
      <c r="E63" s="798">
        <v>46113</v>
      </c>
      <c r="F63" s="797">
        <v>5.6450038512814</v>
      </c>
      <c r="G63" s="797">
        <v>3.2547236512022</v>
      </c>
      <c r="H63" s="797">
        <v>3.1236007629884002</v>
      </c>
      <c r="I63" s="796" t="s">
        <v>617</v>
      </c>
      <c r="J63" s="796" t="s">
        <v>618</v>
      </c>
      <c r="K63" s="796" t="s">
        <v>283</v>
      </c>
      <c r="L63" s="796" t="s">
        <v>692</v>
      </c>
      <c r="M63" s="796" t="s">
        <v>693</v>
      </c>
      <c r="N63" s="796" t="s">
        <v>619</v>
      </c>
      <c r="O63" s="799">
        <v>2000</v>
      </c>
      <c r="P63" s="796" t="s">
        <v>257</v>
      </c>
      <c r="Q63" s="798">
        <v>47209</v>
      </c>
      <c r="R63" s="798">
        <v>46113</v>
      </c>
      <c r="S63" s="797">
        <v>5.875</v>
      </c>
      <c r="T63" s="797">
        <v>58.75</v>
      </c>
      <c r="U63" s="796" t="s">
        <v>627</v>
      </c>
      <c r="V63" s="796" t="s">
        <v>257</v>
      </c>
      <c r="W63" s="796" t="s">
        <v>257</v>
      </c>
      <c r="X63" s="796" t="s">
        <v>236</v>
      </c>
      <c r="Y63" s="796" t="s">
        <v>257</v>
      </c>
      <c r="Z63" s="796" t="s">
        <v>257</v>
      </c>
      <c r="AA63" s="796" t="s">
        <v>257</v>
      </c>
      <c r="AB63" s="796" t="s">
        <v>257</v>
      </c>
      <c r="AC63" s="797">
        <v>183.34471695645999</v>
      </c>
      <c r="AD63" s="284" t="e">
        <f t="shared" si="0"/>
        <v>#VALUE!</v>
      </c>
      <c r="AE63" s="284" t="e">
        <f t="shared" si="1"/>
        <v>#DIV/0!</v>
      </c>
      <c r="AF63" s="22">
        <f t="shared" si="2"/>
        <v>101</v>
      </c>
    </row>
    <row r="64" spans="1:32" x14ac:dyDescent="0.25">
      <c r="A64" s="796" t="s">
        <v>694</v>
      </c>
      <c r="B64" s="796" t="s">
        <v>257</v>
      </c>
      <c r="C64" s="796" t="s">
        <v>83</v>
      </c>
      <c r="D64" s="797">
        <v>79.295000000000002</v>
      </c>
      <c r="E64" s="798">
        <v>46100</v>
      </c>
      <c r="F64" s="797">
        <v>7.1110151636205003</v>
      </c>
      <c r="G64" s="797">
        <v>14.246495035096</v>
      </c>
      <c r="H64" s="797">
        <v>13.264340893016</v>
      </c>
      <c r="I64" s="796" t="s">
        <v>617</v>
      </c>
      <c r="J64" s="796" t="s">
        <v>623</v>
      </c>
      <c r="K64" s="796" t="s">
        <v>259</v>
      </c>
      <c r="L64" s="796" t="s">
        <v>259</v>
      </c>
      <c r="M64" s="796" t="s">
        <v>257</v>
      </c>
      <c r="N64" s="796" t="s">
        <v>619</v>
      </c>
      <c r="O64" s="799">
        <v>100000</v>
      </c>
      <c r="P64" s="797">
        <v>100000</v>
      </c>
      <c r="Q64" s="798">
        <v>78241</v>
      </c>
      <c r="R64" s="796" t="s">
        <v>257</v>
      </c>
      <c r="S64" s="797">
        <v>5.625</v>
      </c>
      <c r="T64" s="797">
        <v>5625</v>
      </c>
      <c r="U64" s="796" t="s">
        <v>624</v>
      </c>
      <c r="V64" s="797">
        <v>78.56</v>
      </c>
      <c r="W64" s="797">
        <v>80.03</v>
      </c>
      <c r="X64" s="796" t="s">
        <v>236</v>
      </c>
      <c r="Y64" s="796" t="s">
        <v>257</v>
      </c>
      <c r="Z64" s="796" t="s">
        <v>257</v>
      </c>
      <c r="AA64" s="796" t="s">
        <v>257</v>
      </c>
      <c r="AB64" s="796" t="s">
        <v>257</v>
      </c>
      <c r="AC64" s="796" t="s">
        <v>257</v>
      </c>
      <c r="AD64" s="284">
        <f t="shared" si="0"/>
        <v>1.4699999999999989</v>
      </c>
      <c r="AE64" s="284">
        <f t="shared" si="1"/>
        <v>79.295000000000002</v>
      </c>
      <c r="AF64" s="22">
        <f t="shared" si="2"/>
        <v>79.295000000000002</v>
      </c>
    </row>
    <row r="65" spans="1:32" x14ac:dyDescent="0.25">
      <c r="A65" s="796" t="s">
        <v>695</v>
      </c>
      <c r="B65" s="796" t="s">
        <v>257</v>
      </c>
      <c r="C65" s="796" t="s">
        <v>696</v>
      </c>
      <c r="D65" s="797">
        <v>99.974999999999994</v>
      </c>
      <c r="E65" s="798">
        <v>46068</v>
      </c>
      <c r="F65" s="797">
        <v>4.2408721780676002</v>
      </c>
      <c r="G65" s="797">
        <v>1.6333213490473999</v>
      </c>
      <c r="H65" s="797">
        <v>1.588634412954</v>
      </c>
      <c r="I65" s="796" t="s">
        <v>617</v>
      </c>
      <c r="J65" s="796" t="s">
        <v>623</v>
      </c>
      <c r="K65" s="796" t="s">
        <v>283</v>
      </c>
      <c r="L65" s="796" t="s">
        <v>697</v>
      </c>
      <c r="M65" s="796" t="s">
        <v>335</v>
      </c>
      <c r="N65" s="796" t="s">
        <v>619</v>
      </c>
      <c r="O65" s="799">
        <v>2000</v>
      </c>
      <c r="P65" s="796" t="s">
        <v>257</v>
      </c>
      <c r="Q65" s="798">
        <v>46433</v>
      </c>
      <c r="R65" s="798">
        <v>46371</v>
      </c>
      <c r="S65" s="797">
        <v>4.1849999999999996</v>
      </c>
      <c r="T65" s="797">
        <v>41.85</v>
      </c>
      <c r="U65" s="796" t="s">
        <v>624</v>
      </c>
      <c r="V65" s="797">
        <v>99.97</v>
      </c>
      <c r="W65" s="797">
        <v>99.98</v>
      </c>
      <c r="X65" s="796" t="s">
        <v>236</v>
      </c>
      <c r="Y65" s="796" t="s">
        <v>257</v>
      </c>
      <c r="Z65" s="796" t="s">
        <v>257</v>
      </c>
      <c r="AA65" s="796" t="s">
        <v>257</v>
      </c>
      <c r="AB65" s="796" t="s">
        <v>257</v>
      </c>
      <c r="AC65" s="797">
        <v>22.179481610812001</v>
      </c>
      <c r="AD65" s="284">
        <f t="shared" si="0"/>
        <v>1.0000000000005116E-2</v>
      </c>
      <c r="AE65" s="284">
        <f t="shared" si="1"/>
        <v>99.974999999999994</v>
      </c>
      <c r="AF65" s="22">
        <f t="shared" si="2"/>
        <v>99.974999999999994</v>
      </c>
    </row>
    <row r="66" spans="1:32" x14ac:dyDescent="0.25">
      <c r="A66" s="796" t="s">
        <v>698</v>
      </c>
      <c r="B66" s="796" t="s">
        <v>257</v>
      </c>
      <c r="C66" s="796" t="s">
        <v>118</v>
      </c>
      <c r="D66" s="797">
        <v>107.145</v>
      </c>
      <c r="E66" s="798">
        <v>46129</v>
      </c>
      <c r="F66" s="797">
        <v>5.5506284225071996</v>
      </c>
      <c r="G66" s="797">
        <v>4.7023405210235998</v>
      </c>
      <c r="H66" s="797">
        <v>4.5169326580922</v>
      </c>
      <c r="I66" s="796" t="s">
        <v>617</v>
      </c>
      <c r="J66" s="796" t="s">
        <v>618</v>
      </c>
      <c r="K66" s="796" t="s">
        <v>316</v>
      </c>
      <c r="L66" s="796" t="s">
        <v>699</v>
      </c>
      <c r="M66" s="796" t="s">
        <v>272</v>
      </c>
      <c r="N66" s="796" t="s">
        <v>619</v>
      </c>
      <c r="O66" s="799">
        <v>200000</v>
      </c>
      <c r="P66" s="797">
        <v>200000</v>
      </c>
      <c r="Q66" s="798">
        <v>48138</v>
      </c>
      <c r="R66" s="796" t="s">
        <v>257</v>
      </c>
      <c r="S66" s="797">
        <v>6.95</v>
      </c>
      <c r="T66" s="797">
        <v>6950</v>
      </c>
      <c r="U66" s="796" t="s">
        <v>627</v>
      </c>
      <c r="V66" s="796" t="s">
        <v>257</v>
      </c>
      <c r="W66" s="796" t="s">
        <v>257</v>
      </c>
      <c r="X66" s="796" t="s">
        <v>236</v>
      </c>
      <c r="Y66" s="796" t="s">
        <v>257</v>
      </c>
      <c r="Z66" s="796" t="s">
        <v>257</v>
      </c>
      <c r="AA66" s="796" t="s">
        <v>257</v>
      </c>
      <c r="AB66" s="796" t="s">
        <v>257</v>
      </c>
      <c r="AC66" s="797">
        <v>175.42675491825</v>
      </c>
      <c r="AD66" s="284" t="e">
        <f t="shared" si="0"/>
        <v>#VALUE!</v>
      </c>
      <c r="AE66" s="284" t="e">
        <f t="shared" si="1"/>
        <v>#DIV/0!</v>
      </c>
      <c r="AF66" s="22">
        <f t="shared" si="2"/>
        <v>107.145</v>
      </c>
    </row>
    <row r="67" spans="1:32" x14ac:dyDescent="0.25">
      <c r="A67" s="796" t="s">
        <v>700</v>
      </c>
      <c r="B67" s="796" t="s">
        <v>257</v>
      </c>
      <c r="C67" s="796" t="s">
        <v>128</v>
      </c>
      <c r="D67" s="797">
        <v>70.02</v>
      </c>
      <c r="E67" s="798">
        <v>46056</v>
      </c>
      <c r="F67" s="797">
        <v>6.5908891416267004</v>
      </c>
      <c r="G67" s="797">
        <v>13.372143006298</v>
      </c>
      <c r="H67" s="797">
        <v>12.719536654493</v>
      </c>
      <c r="I67" s="796" t="s">
        <v>617</v>
      </c>
      <c r="J67" s="796" t="s">
        <v>623</v>
      </c>
      <c r="K67" s="796" t="s">
        <v>273</v>
      </c>
      <c r="L67" s="796" t="s">
        <v>322</v>
      </c>
      <c r="M67" s="796" t="s">
        <v>321</v>
      </c>
      <c r="N67" s="796" t="s">
        <v>619</v>
      </c>
      <c r="O67" s="799">
        <v>200000</v>
      </c>
      <c r="P67" s="797">
        <v>200000</v>
      </c>
      <c r="Q67" s="798">
        <v>55003</v>
      </c>
      <c r="R67" s="798">
        <v>54822</v>
      </c>
      <c r="S67" s="797">
        <v>4.0270000000000001</v>
      </c>
      <c r="T67" s="797">
        <v>4027</v>
      </c>
      <c r="U67" s="796" t="s">
        <v>624</v>
      </c>
      <c r="V67" s="797">
        <v>69.75</v>
      </c>
      <c r="W67" s="797">
        <v>70.290000000000006</v>
      </c>
      <c r="X67" s="796" t="s">
        <v>236</v>
      </c>
      <c r="Y67" s="796" t="s">
        <v>257</v>
      </c>
      <c r="Z67" s="796" t="s">
        <v>257</v>
      </c>
      <c r="AA67" s="796" t="s">
        <v>257</v>
      </c>
      <c r="AB67" s="796" t="s">
        <v>257</v>
      </c>
      <c r="AC67" s="797">
        <v>200.76324757341001</v>
      </c>
      <c r="AD67" s="284">
        <f t="shared" ref="AD67:AD130" si="3">ABS(W67-V67)</f>
        <v>0.54000000000000625</v>
      </c>
      <c r="AE67" s="284">
        <f t="shared" ref="AE67:AE130" si="4">AVERAGE(V67:W67)</f>
        <v>70.02000000000001</v>
      </c>
      <c r="AF67" s="22">
        <f t="shared" ref="AF67:AF130" si="5">IFERROR(IF(AD67&gt;1.5,AE67,D67),D67)</f>
        <v>70.02</v>
      </c>
    </row>
    <row r="68" spans="1:32" x14ac:dyDescent="0.25">
      <c r="A68" s="796" t="s">
        <v>701</v>
      </c>
      <c r="B68" s="796" t="s">
        <v>257</v>
      </c>
      <c r="C68" s="796" t="s">
        <v>125</v>
      </c>
      <c r="D68" s="797">
        <v>80.19</v>
      </c>
      <c r="E68" s="798">
        <v>46222</v>
      </c>
      <c r="F68" s="797">
        <v>6.6984384271652999</v>
      </c>
      <c r="G68" s="797">
        <v>13.301310284783</v>
      </c>
      <c r="H68" s="797">
        <v>12.639407759102999</v>
      </c>
      <c r="I68" s="796" t="s">
        <v>617</v>
      </c>
      <c r="J68" s="796" t="s">
        <v>623</v>
      </c>
      <c r="K68" s="796" t="s">
        <v>273</v>
      </c>
      <c r="L68" s="796" t="s">
        <v>322</v>
      </c>
      <c r="M68" s="796" t="s">
        <v>321</v>
      </c>
      <c r="N68" s="796" t="s">
        <v>619</v>
      </c>
      <c r="O68" s="799">
        <v>200000</v>
      </c>
      <c r="P68" s="797">
        <v>200000</v>
      </c>
      <c r="Q68" s="798">
        <v>55537</v>
      </c>
      <c r="R68" s="798">
        <v>55353</v>
      </c>
      <c r="S68" s="797">
        <v>4.9870000000000001</v>
      </c>
      <c r="T68" s="797">
        <v>4987</v>
      </c>
      <c r="U68" s="796" t="s">
        <v>624</v>
      </c>
      <c r="V68" s="797">
        <v>79.959999999999994</v>
      </c>
      <c r="W68" s="797">
        <v>80.42</v>
      </c>
      <c r="X68" s="796" t="s">
        <v>236</v>
      </c>
      <c r="Y68" s="796" t="s">
        <v>257</v>
      </c>
      <c r="Z68" s="796" t="s">
        <v>257</v>
      </c>
      <c r="AA68" s="796" t="s">
        <v>257</v>
      </c>
      <c r="AB68" s="796" t="s">
        <v>257</v>
      </c>
      <c r="AC68" s="797">
        <v>211.98574578333</v>
      </c>
      <c r="AD68" s="284">
        <f t="shared" si="3"/>
        <v>0.46000000000000796</v>
      </c>
      <c r="AE68" s="284">
        <f t="shared" si="4"/>
        <v>80.19</v>
      </c>
      <c r="AF68" s="22">
        <f t="shared" si="5"/>
        <v>80.19</v>
      </c>
    </row>
    <row r="69" spans="1:32" x14ac:dyDescent="0.25">
      <c r="A69" s="796" t="s">
        <v>702</v>
      </c>
      <c r="B69" s="796" t="s">
        <v>257</v>
      </c>
      <c r="C69" s="796" t="s">
        <v>169</v>
      </c>
      <c r="D69" s="797">
        <v>101.64</v>
      </c>
      <c r="E69" s="798">
        <v>46106</v>
      </c>
      <c r="F69" s="797">
        <v>6.0407035809653999</v>
      </c>
      <c r="G69" s="797">
        <v>4.6878437199857999</v>
      </c>
      <c r="H69" s="797">
        <v>4.4821964585628997</v>
      </c>
      <c r="I69" s="796" t="s">
        <v>617</v>
      </c>
      <c r="J69" s="796" t="s">
        <v>618</v>
      </c>
      <c r="K69" s="796" t="s">
        <v>350</v>
      </c>
      <c r="L69" s="796" t="s">
        <v>351</v>
      </c>
      <c r="M69" s="796" t="s">
        <v>312</v>
      </c>
      <c r="N69" s="796" t="s">
        <v>619</v>
      </c>
      <c r="O69" s="799">
        <v>200000</v>
      </c>
      <c r="P69" s="797">
        <v>200000</v>
      </c>
      <c r="Q69" s="796" t="s">
        <v>257</v>
      </c>
      <c r="R69" s="798">
        <v>48116</v>
      </c>
      <c r="S69" s="797">
        <v>6.3</v>
      </c>
      <c r="T69" s="797">
        <v>6300</v>
      </c>
      <c r="U69" s="796" t="s">
        <v>620</v>
      </c>
      <c r="V69" s="797">
        <v>101.59</v>
      </c>
      <c r="W69" s="797">
        <v>102.69</v>
      </c>
      <c r="X69" s="796" t="s">
        <v>621</v>
      </c>
      <c r="Y69" s="796" t="s">
        <v>257</v>
      </c>
      <c r="Z69" s="796" t="s">
        <v>257</v>
      </c>
      <c r="AA69" s="796" t="s">
        <v>257</v>
      </c>
      <c r="AB69" s="796" t="s">
        <v>257</v>
      </c>
      <c r="AC69" s="797">
        <v>224.583955699</v>
      </c>
      <c r="AD69" s="284">
        <f t="shared" si="3"/>
        <v>1.0999999999999943</v>
      </c>
      <c r="AE69" s="284">
        <f t="shared" si="4"/>
        <v>102.14</v>
      </c>
      <c r="AF69" s="22">
        <f t="shared" si="5"/>
        <v>101.64</v>
      </c>
    </row>
    <row r="70" spans="1:32" x14ac:dyDescent="0.25">
      <c r="A70" s="796" t="s">
        <v>703</v>
      </c>
      <c r="B70" s="796" t="s">
        <v>257</v>
      </c>
      <c r="C70" s="796" t="s">
        <v>98</v>
      </c>
      <c r="D70" s="797">
        <v>102.91</v>
      </c>
      <c r="E70" s="798">
        <v>46137</v>
      </c>
      <c r="F70" s="797">
        <v>6.7058149295450002</v>
      </c>
      <c r="G70" s="797">
        <v>10.446439200152</v>
      </c>
      <c r="H70" s="797">
        <v>9.9259151345034997</v>
      </c>
      <c r="I70" s="796" t="s">
        <v>617</v>
      </c>
      <c r="J70" s="796" t="s">
        <v>618</v>
      </c>
      <c r="K70" s="796" t="s">
        <v>299</v>
      </c>
      <c r="L70" s="796" t="s">
        <v>300</v>
      </c>
      <c r="M70" s="796" t="s">
        <v>278</v>
      </c>
      <c r="N70" s="796" t="s">
        <v>619</v>
      </c>
      <c r="O70" s="799">
        <v>200000</v>
      </c>
      <c r="P70" s="797">
        <v>200000</v>
      </c>
      <c r="Q70" s="798">
        <v>52712</v>
      </c>
      <c r="R70" s="796" t="s">
        <v>257</v>
      </c>
      <c r="S70" s="797">
        <v>6.875</v>
      </c>
      <c r="T70" s="797">
        <v>6875</v>
      </c>
      <c r="U70" s="796" t="s">
        <v>620</v>
      </c>
      <c r="V70" s="797">
        <v>102.89</v>
      </c>
      <c r="W70" s="797">
        <v>104.4</v>
      </c>
      <c r="X70" s="796" t="s">
        <v>236</v>
      </c>
      <c r="Y70" s="796" t="s">
        <v>257</v>
      </c>
      <c r="Z70" s="796" t="s">
        <v>257</v>
      </c>
      <c r="AA70" s="796" t="s">
        <v>257</v>
      </c>
      <c r="AB70" s="796" t="s">
        <v>257</v>
      </c>
      <c r="AC70" s="797">
        <v>234.16934892930999</v>
      </c>
      <c r="AD70" s="284">
        <f t="shared" si="3"/>
        <v>1.5100000000000051</v>
      </c>
      <c r="AE70" s="284">
        <f t="shared" si="4"/>
        <v>103.64500000000001</v>
      </c>
      <c r="AF70" s="22">
        <f t="shared" si="5"/>
        <v>103.64500000000001</v>
      </c>
    </row>
    <row r="71" spans="1:32" x14ac:dyDescent="0.25">
      <c r="A71" s="796" t="s">
        <v>704</v>
      </c>
      <c r="B71" s="796" t="s">
        <v>257</v>
      </c>
      <c r="C71" s="796" t="s">
        <v>94</v>
      </c>
      <c r="D71" s="797">
        <v>108.58</v>
      </c>
      <c r="E71" s="798">
        <v>46144</v>
      </c>
      <c r="F71" s="797">
        <v>6.9266701323603002</v>
      </c>
      <c r="G71" s="797">
        <v>12.304013712762</v>
      </c>
      <c r="H71" s="797">
        <v>11.666783204473999</v>
      </c>
      <c r="I71" s="796" t="s">
        <v>617</v>
      </c>
      <c r="J71" s="796" t="s">
        <v>618</v>
      </c>
      <c r="K71" s="796" t="s">
        <v>299</v>
      </c>
      <c r="L71" s="796" t="s">
        <v>300</v>
      </c>
      <c r="M71" s="796" t="s">
        <v>278</v>
      </c>
      <c r="N71" s="796" t="s">
        <v>619</v>
      </c>
      <c r="O71" s="799">
        <v>200000</v>
      </c>
      <c r="P71" s="797">
        <v>200000</v>
      </c>
      <c r="Q71" s="798">
        <v>56371</v>
      </c>
      <c r="R71" s="798">
        <v>56190</v>
      </c>
      <c r="S71" s="797">
        <v>7.5</v>
      </c>
      <c r="T71" s="797">
        <v>7500</v>
      </c>
      <c r="U71" s="796" t="s">
        <v>620</v>
      </c>
      <c r="V71" s="797">
        <v>108.43</v>
      </c>
      <c r="W71" s="797">
        <v>109.75</v>
      </c>
      <c r="X71" s="796" t="s">
        <v>236</v>
      </c>
      <c r="Y71" s="796" t="s">
        <v>257</v>
      </c>
      <c r="Z71" s="796" t="s">
        <v>257</v>
      </c>
      <c r="AA71" s="796" t="s">
        <v>257</v>
      </c>
      <c r="AB71" s="796" t="s">
        <v>257</v>
      </c>
      <c r="AC71" s="797">
        <v>241.71812813029001</v>
      </c>
      <c r="AD71" s="284">
        <f t="shared" si="3"/>
        <v>1.3199999999999932</v>
      </c>
      <c r="AE71" s="284">
        <f t="shared" si="4"/>
        <v>109.09</v>
      </c>
      <c r="AF71" s="22">
        <f t="shared" si="5"/>
        <v>108.58</v>
      </c>
    </row>
    <row r="72" spans="1:32" x14ac:dyDescent="0.25">
      <c r="A72" s="796" t="s">
        <v>705</v>
      </c>
      <c r="B72" s="796" t="s">
        <v>257</v>
      </c>
      <c r="C72" s="796" t="s">
        <v>373</v>
      </c>
      <c r="D72" s="797">
        <v>88.62</v>
      </c>
      <c r="E72" s="798">
        <v>46278</v>
      </c>
      <c r="F72" s="797">
        <v>6.5255723679794997</v>
      </c>
      <c r="G72" s="797">
        <v>10.810405324267</v>
      </c>
      <c r="H72" s="797">
        <v>10.120451322671</v>
      </c>
      <c r="I72" s="796" t="s">
        <v>617</v>
      </c>
      <c r="J72" s="796" t="s">
        <v>618</v>
      </c>
      <c r="K72" s="796" t="s">
        <v>464</v>
      </c>
      <c r="L72" s="796" t="s">
        <v>465</v>
      </c>
      <c r="M72" s="796" t="s">
        <v>295</v>
      </c>
      <c r="N72" s="796" t="s">
        <v>619</v>
      </c>
      <c r="O72" s="799">
        <v>100000</v>
      </c>
      <c r="P72" s="797">
        <v>100000</v>
      </c>
      <c r="Q72" s="798">
        <v>52122</v>
      </c>
      <c r="R72" s="798">
        <v>52030</v>
      </c>
      <c r="S72" s="797">
        <v>5.375</v>
      </c>
      <c r="T72" s="797">
        <v>5375</v>
      </c>
      <c r="U72" s="796" t="s">
        <v>620</v>
      </c>
      <c r="V72" s="797">
        <v>89</v>
      </c>
      <c r="W72" s="797">
        <v>89.63</v>
      </c>
      <c r="X72" s="796" t="s">
        <v>236</v>
      </c>
      <c r="Y72" s="796" t="s">
        <v>257</v>
      </c>
      <c r="Z72" s="796" t="s">
        <v>257</v>
      </c>
      <c r="AA72" s="796" t="s">
        <v>257</v>
      </c>
      <c r="AB72" s="796" t="s">
        <v>257</v>
      </c>
      <c r="AC72" s="796" t="s">
        <v>257</v>
      </c>
      <c r="AD72" s="284">
        <f t="shared" si="3"/>
        <v>0.62999999999999545</v>
      </c>
      <c r="AE72" s="284">
        <f t="shared" si="4"/>
        <v>89.314999999999998</v>
      </c>
      <c r="AF72" s="22">
        <f t="shared" si="5"/>
        <v>88.62</v>
      </c>
    </row>
    <row r="73" spans="1:32" x14ac:dyDescent="0.25">
      <c r="A73" s="796" t="s">
        <v>706</v>
      </c>
      <c r="B73" s="796" t="s">
        <v>257</v>
      </c>
      <c r="C73" s="796" t="s">
        <v>147</v>
      </c>
      <c r="D73" s="797">
        <v>102.015</v>
      </c>
      <c r="E73" s="798">
        <v>46126</v>
      </c>
      <c r="F73" s="797">
        <v>6.1363167408386001</v>
      </c>
      <c r="G73" s="797">
        <v>12.986615094938999</v>
      </c>
      <c r="H73" s="797">
        <v>12.405729870188001</v>
      </c>
      <c r="I73" s="796" t="s">
        <v>617</v>
      </c>
      <c r="J73" s="796" t="s">
        <v>623</v>
      </c>
      <c r="K73" s="796" t="s">
        <v>333</v>
      </c>
      <c r="L73" s="796" t="s">
        <v>334</v>
      </c>
      <c r="M73" s="796" t="s">
        <v>332</v>
      </c>
      <c r="N73" s="796" t="s">
        <v>619</v>
      </c>
      <c r="O73" s="799">
        <v>200000</v>
      </c>
      <c r="P73" s="797">
        <v>200000</v>
      </c>
      <c r="Q73" s="798">
        <v>55623</v>
      </c>
      <c r="R73" s="798">
        <v>55440</v>
      </c>
      <c r="S73" s="797">
        <v>6.2</v>
      </c>
      <c r="T73" s="797">
        <v>6200</v>
      </c>
      <c r="U73" s="796" t="s">
        <v>624</v>
      </c>
      <c r="V73" s="797">
        <v>101.84</v>
      </c>
      <c r="W73" s="797">
        <v>102.19</v>
      </c>
      <c r="X73" s="796" t="s">
        <v>236</v>
      </c>
      <c r="Y73" s="796" t="s">
        <v>257</v>
      </c>
      <c r="Z73" s="796" t="s">
        <v>257</v>
      </c>
      <c r="AA73" s="796" t="s">
        <v>257</v>
      </c>
      <c r="AB73" s="796" t="s">
        <v>257</v>
      </c>
      <c r="AC73" s="797">
        <v>157.88772265494001</v>
      </c>
      <c r="AD73" s="284">
        <f t="shared" si="3"/>
        <v>0.34999999999999432</v>
      </c>
      <c r="AE73" s="284">
        <f t="shared" si="4"/>
        <v>102.015</v>
      </c>
      <c r="AF73" s="22">
        <f t="shared" si="5"/>
        <v>102.015</v>
      </c>
    </row>
    <row r="74" spans="1:32" x14ac:dyDescent="0.25">
      <c r="A74" s="796" t="s">
        <v>707</v>
      </c>
      <c r="B74" s="796" t="s">
        <v>257</v>
      </c>
      <c r="C74" s="796" t="s">
        <v>81</v>
      </c>
      <c r="D74" s="797">
        <v>102.77</v>
      </c>
      <c r="E74" s="798">
        <v>46109</v>
      </c>
      <c r="F74" s="797">
        <v>6.7435095301823003</v>
      </c>
      <c r="G74" s="797">
        <v>12.562563051952999</v>
      </c>
      <c r="H74" s="797">
        <v>11.932381791081999</v>
      </c>
      <c r="I74" s="796" t="s">
        <v>617</v>
      </c>
      <c r="J74" s="796" t="s">
        <v>618</v>
      </c>
      <c r="K74" s="796" t="s">
        <v>282</v>
      </c>
      <c r="L74" s="796" t="s">
        <v>282</v>
      </c>
      <c r="M74" s="796" t="s">
        <v>257</v>
      </c>
      <c r="N74" s="796" t="s">
        <v>619</v>
      </c>
      <c r="O74" s="799">
        <v>200000</v>
      </c>
      <c r="P74" s="797">
        <v>200000</v>
      </c>
      <c r="Q74" s="798">
        <v>56336</v>
      </c>
      <c r="R74" s="798">
        <v>56155</v>
      </c>
      <c r="S74" s="797">
        <v>6.8529999999999998</v>
      </c>
      <c r="T74" s="797">
        <v>6853</v>
      </c>
      <c r="U74" s="796" t="s">
        <v>620</v>
      </c>
      <c r="V74" s="797">
        <v>102.77</v>
      </c>
      <c r="W74" s="797">
        <v>103.2</v>
      </c>
      <c r="X74" s="796" t="s">
        <v>236</v>
      </c>
      <c r="Y74" s="796" t="s">
        <v>257</v>
      </c>
      <c r="Z74" s="796" t="s">
        <v>257</v>
      </c>
      <c r="AA74" s="796" t="s">
        <v>257</v>
      </c>
      <c r="AB74" s="796" t="s">
        <v>257</v>
      </c>
      <c r="AC74" s="797">
        <v>221.55184992437</v>
      </c>
      <c r="AD74" s="284">
        <f t="shared" si="3"/>
        <v>0.43000000000000682</v>
      </c>
      <c r="AE74" s="284">
        <f t="shared" si="4"/>
        <v>102.985</v>
      </c>
      <c r="AF74" s="22">
        <f t="shared" si="5"/>
        <v>102.77</v>
      </c>
    </row>
    <row r="75" spans="1:32" x14ac:dyDescent="0.25">
      <c r="A75" s="796" t="s">
        <v>708</v>
      </c>
      <c r="B75" s="796" t="s">
        <v>257</v>
      </c>
      <c r="C75" s="796" t="s">
        <v>61</v>
      </c>
      <c r="D75" s="797">
        <v>116</v>
      </c>
      <c r="E75" s="798">
        <v>46060</v>
      </c>
      <c r="F75" s="797">
        <v>7.1943489883528997</v>
      </c>
      <c r="G75" s="797">
        <v>5.0722131827707004</v>
      </c>
      <c r="H75" s="797">
        <v>4.7975109104360003</v>
      </c>
      <c r="I75" s="796" t="s">
        <v>617</v>
      </c>
      <c r="J75" s="796" t="s">
        <v>618</v>
      </c>
      <c r="K75" s="796" t="s">
        <v>259</v>
      </c>
      <c r="L75" s="796" t="s">
        <v>260</v>
      </c>
      <c r="M75" s="796" t="s">
        <v>258</v>
      </c>
      <c r="N75" s="796" t="s">
        <v>619</v>
      </c>
      <c r="O75" s="799">
        <v>1000</v>
      </c>
      <c r="P75" s="797">
        <v>1000</v>
      </c>
      <c r="Q75" s="798">
        <v>48617</v>
      </c>
      <c r="R75" s="796" t="s">
        <v>257</v>
      </c>
      <c r="S75" s="797">
        <v>10</v>
      </c>
      <c r="T75" s="797">
        <v>50</v>
      </c>
      <c r="U75" s="796" t="s">
        <v>620</v>
      </c>
      <c r="V75" s="797">
        <v>115.87</v>
      </c>
      <c r="W75" s="797">
        <v>116.48</v>
      </c>
      <c r="X75" s="796" t="s">
        <v>236</v>
      </c>
      <c r="Y75" s="796" t="s">
        <v>257</v>
      </c>
      <c r="Z75" s="796" t="s">
        <v>257</v>
      </c>
      <c r="AA75" s="796" t="s">
        <v>257</v>
      </c>
      <c r="AB75" s="796" t="s">
        <v>257</v>
      </c>
      <c r="AC75" s="797">
        <v>335.94211892750002</v>
      </c>
      <c r="AD75" s="284">
        <f t="shared" si="3"/>
        <v>0.60999999999999943</v>
      </c>
      <c r="AE75" s="284">
        <f t="shared" si="4"/>
        <v>116.17500000000001</v>
      </c>
      <c r="AF75" s="22">
        <f t="shared" si="5"/>
        <v>116</v>
      </c>
    </row>
    <row r="76" spans="1:32" x14ac:dyDescent="0.25">
      <c r="A76" s="796" t="s">
        <v>709</v>
      </c>
      <c r="B76" s="796" t="s">
        <v>257</v>
      </c>
      <c r="C76" s="796" t="s">
        <v>53</v>
      </c>
      <c r="D76" s="797">
        <v>89.832499999999996</v>
      </c>
      <c r="E76" s="798">
        <v>46226</v>
      </c>
      <c r="F76" s="797">
        <v>8.8962130711490008</v>
      </c>
      <c r="G76" s="797">
        <v>10.500883856841</v>
      </c>
      <c r="H76" s="797">
        <v>9.7769510671662996</v>
      </c>
      <c r="I76" s="796" t="s">
        <v>617</v>
      </c>
      <c r="J76" s="796" t="s">
        <v>623</v>
      </c>
      <c r="K76" s="796" t="s">
        <v>259</v>
      </c>
      <c r="L76" s="796" t="s">
        <v>260</v>
      </c>
      <c r="M76" s="796" t="s">
        <v>258</v>
      </c>
      <c r="N76" s="796" t="s">
        <v>619</v>
      </c>
      <c r="O76" s="799">
        <v>10000</v>
      </c>
      <c r="P76" s="797">
        <v>10000</v>
      </c>
      <c r="Q76" s="798">
        <v>54811</v>
      </c>
      <c r="R76" s="798">
        <v>54627</v>
      </c>
      <c r="S76" s="797">
        <v>7.69</v>
      </c>
      <c r="T76" s="797">
        <v>384.5</v>
      </c>
      <c r="U76" s="796" t="s">
        <v>624</v>
      </c>
      <c r="V76" s="797">
        <v>89.769000000000005</v>
      </c>
      <c r="W76" s="797">
        <v>89.896000000000001</v>
      </c>
      <c r="X76" s="796" t="s">
        <v>236</v>
      </c>
      <c r="Y76" s="796" t="s">
        <v>257</v>
      </c>
      <c r="Z76" s="796" t="s">
        <v>257</v>
      </c>
      <c r="AA76" s="796" t="s">
        <v>257</v>
      </c>
      <c r="AB76" s="796" t="s">
        <v>257</v>
      </c>
      <c r="AC76" s="797">
        <v>452.75175078257001</v>
      </c>
      <c r="AD76" s="284">
        <f t="shared" si="3"/>
        <v>0.12699999999999534</v>
      </c>
      <c r="AE76" s="284">
        <f t="shared" si="4"/>
        <v>89.83250000000001</v>
      </c>
      <c r="AF76" s="22">
        <f t="shared" si="5"/>
        <v>89.832499999999996</v>
      </c>
    </row>
    <row r="77" spans="1:32" x14ac:dyDescent="0.25">
      <c r="A77" s="796" t="s">
        <v>710</v>
      </c>
      <c r="B77" s="796" t="s">
        <v>257</v>
      </c>
      <c r="C77" s="796" t="s">
        <v>181</v>
      </c>
      <c r="D77" s="797">
        <v>98.82</v>
      </c>
      <c r="E77" s="798">
        <v>46216</v>
      </c>
      <c r="F77" s="797">
        <v>6.2682421595984996</v>
      </c>
      <c r="G77" s="797">
        <v>6.9289661955008004</v>
      </c>
      <c r="H77" s="797">
        <v>6.6108196525489999</v>
      </c>
      <c r="I77" s="796" t="s">
        <v>617</v>
      </c>
      <c r="J77" s="796" t="s">
        <v>618</v>
      </c>
      <c r="K77" s="796" t="s">
        <v>276</v>
      </c>
      <c r="L77" s="796" t="s">
        <v>292</v>
      </c>
      <c r="M77" s="796" t="s">
        <v>258</v>
      </c>
      <c r="N77" s="796" t="s">
        <v>619</v>
      </c>
      <c r="O77" s="799">
        <v>2000</v>
      </c>
      <c r="P77" s="797">
        <v>2000</v>
      </c>
      <c r="Q77" s="798">
        <v>49322</v>
      </c>
      <c r="R77" s="798">
        <v>49230</v>
      </c>
      <c r="S77" s="797">
        <v>6</v>
      </c>
      <c r="T77" s="797">
        <v>60</v>
      </c>
      <c r="U77" s="796" t="s">
        <v>620</v>
      </c>
      <c r="V77" s="797">
        <v>98.98</v>
      </c>
      <c r="W77" s="797">
        <v>99.72</v>
      </c>
      <c r="X77" s="796" t="s">
        <v>236</v>
      </c>
      <c r="Y77" s="796" t="s">
        <v>257</v>
      </c>
      <c r="Z77" s="796" t="s">
        <v>257</v>
      </c>
      <c r="AA77" s="796" t="s">
        <v>257</v>
      </c>
      <c r="AB77" s="796" t="s">
        <v>257</v>
      </c>
      <c r="AC77" s="797">
        <v>223.73752236183</v>
      </c>
      <c r="AD77" s="284">
        <f t="shared" si="3"/>
        <v>0.73999999999999488</v>
      </c>
      <c r="AE77" s="284">
        <f t="shared" si="4"/>
        <v>99.35</v>
      </c>
      <c r="AF77" s="22">
        <f t="shared" si="5"/>
        <v>98.82</v>
      </c>
    </row>
    <row r="78" spans="1:32" s="312" customFormat="1" x14ac:dyDescent="0.25">
      <c r="A78" s="796" t="s">
        <v>711</v>
      </c>
      <c r="B78" s="796" t="s">
        <v>257</v>
      </c>
      <c r="C78" s="796" t="s">
        <v>369</v>
      </c>
      <c r="D78" s="797">
        <v>101.989</v>
      </c>
      <c r="E78" s="798">
        <v>46403</v>
      </c>
      <c r="F78" s="797">
        <v>6.3116373787524997</v>
      </c>
      <c r="G78" s="797">
        <v>6.4463968395588997</v>
      </c>
      <c r="H78" s="797">
        <v>6.0471119549557999</v>
      </c>
      <c r="I78" s="796" t="s">
        <v>617</v>
      </c>
      <c r="J78" s="796" t="s">
        <v>623</v>
      </c>
      <c r="K78" s="796" t="s">
        <v>276</v>
      </c>
      <c r="L78" s="796" t="s">
        <v>292</v>
      </c>
      <c r="M78" s="796" t="s">
        <v>258</v>
      </c>
      <c r="N78" s="796" t="s">
        <v>619</v>
      </c>
      <c r="O78" s="799">
        <v>100000</v>
      </c>
      <c r="P78" s="797">
        <v>100000</v>
      </c>
      <c r="Q78" s="798">
        <v>48960</v>
      </c>
      <c r="R78" s="796" t="s">
        <v>257</v>
      </c>
      <c r="S78" s="797">
        <v>6.625</v>
      </c>
      <c r="T78" s="797">
        <v>6625</v>
      </c>
      <c r="U78" s="796" t="s">
        <v>624</v>
      </c>
      <c r="V78" s="797">
        <v>101.95</v>
      </c>
      <c r="W78" s="797">
        <v>102.02800000000001</v>
      </c>
      <c r="X78" s="796" t="s">
        <v>236</v>
      </c>
      <c r="Y78" s="796" t="s">
        <v>257</v>
      </c>
      <c r="Z78" s="796" t="s">
        <v>257</v>
      </c>
      <c r="AA78" s="796" t="s">
        <v>257</v>
      </c>
      <c r="AB78" s="796" t="s">
        <v>257</v>
      </c>
      <c r="AC78" s="796" t="s">
        <v>257</v>
      </c>
      <c r="AD78" s="316">
        <f t="shared" si="3"/>
        <v>7.8000000000002956E-2</v>
      </c>
      <c r="AE78" s="316">
        <f t="shared" si="4"/>
        <v>101.989</v>
      </c>
      <c r="AF78" s="312">
        <f t="shared" si="5"/>
        <v>101.989</v>
      </c>
    </row>
    <row r="79" spans="1:32" x14ac:dyDescent="0.25">
      <c r="A79" s="796" t="s">
        <v>712</v>
      </c>
      <c r="B79" s="796" t="s">
        <v>257</v>
      </c>
      <c r="C79" s="796" t="s">
        <v>89</v>
      </c>
      <c r="D79" s="797">
        <v>93.92</v>
      </c>
      <c r="E79" s="798">
        <v>46178</v>
      </c>
      <c r="F79" s="797">
        <v>7.4262050454438002</v>
      </c>
      <c r="G79" s="797">
        <v>13.853596739178</v>
      </c>
      <c r="H79" s="797">
        <v>13.075029318086999</v>
      </c>
      <c r="I79" s="796" t="s">
        <v>617</v>
      </c>
      <c r="J79" s="796" t="s">
        <v>618</v>
      </c>
      <c r="K79" s="796" t="s">
        <v>276</v>
      </c>
      <c r="L79" s="796" t="s">
        <v>292</v>
      </c>
      <c r="M79" s="796" t="s">
        <v>258</v>
      </c>
      <c r="N79" s="796" t="s">
        <v>619</v>
      </c>
      <c r="O79" s="799">
        <v>2000</v>
      </c>
      <c r="P79" s="797">
        <v>2000</v>
      </c>
      <c r="Q79" s="798">
        <v>78684</v>
      </c>
      <c r="R79" s="796" t="s">
        <v>257</v>
      </c>
      <c r="S79" s="797">
        <v>6.85</v>
      </c>
      <c r="T79" s="797">
        <v>68.5</v>
      </c>
      <c r="U79" s="796" t="s">
        <v>620</v>
      </c>
      <c r="V79" s="797">
        <v>94.09</v>
      </c>
      <c r="W79" s="797">
        <v>94.94</v>
      </c>
      <c r="X79" s="796" t="s">
        <v>236</v>
      </c>
      <c r="Y79" s="796" t="s">
        <v>257</v>
      </c>
      <c r="Z79" s="796" t="s">
        <v>257</v>
      </c>
      <c r="AA79" s="796" t="s">
        <v>257</v>
      </c>
      <c r="AB79" s="796" t="s">
        <v>257</v>
      </c>
      <c r="AC79" s="797">
        <v>281.19654960512003</v>
      </c>
      <c r="AD79" s="284">
        <f t="shared" si="3"/>
        <v>0.84999999999999432</v>
      </c>
      <c r="AE79" s="284">
        <f t="shared" si="4"/>
        <v>94.515000000000001</v>
      </c>
      <c r="AF79" s="22">
        <f t="shared" si="5"/>
        <v>93.92</v>
      </c>
    </row>
    <row r="80" spans="1:32" x14ac:dyDescent="0.25">
      <c r="A80" s="796" t="s">
        <v>713</v>
      </c>
      <c r="B80" s="796" t="s">
        <v>257</v>
      </c>
      <c r="C80" s="796" t="s">
        <v>105</v>
      </c>
      <c r="D80" s="797">
        <v>103.99</v>
      </c>
      <c r="E80" s="798">
        <v>46098</v>
      </c>
      <c r="F80" s="797">
        <v>6.978600608981</v>
      </c>
      <c r="G80" s="797">
        <v>10.118927408444</v>
      </c>
      <c r="H80" s="797">
        <v>9.5902058995835002</v>
      </c>
      <c r="I80" s="796" t="s">
        <v>617</v>
      </c>
      <c r="J80" s="796" t="s">
        <v>618</v>
      </c>
      <c r="K80" s="796" t="s">
        <v>276</v>
      </c>
      <c r="L80" s="796" t="s">
        <v>292</v>
      </c>
      <c r="M80" s="796" t="s">
        <v>258</v>
      </c>
      <c r="N80" s="796" t="s">
        <v>619</v>
      </c>
      <c r="O80" s="799">
        <v>2000</v>
      </c>
      <c r="P80" s="797">
        <v>2000</v>
      </c>
      <c r="Q80" s="798">
        <v>52673</v>
      </c>
      <c r="R80" s="796" t="s">
        <v>257</v>
      </c>
      <c r="S80" s="797">
        <v>7.25</v>
      </c>
      <c r="T80" s="797">
        <v>72.5</v>
      </c>
      <c r="U80" s="796" t="s">
        <v>620</v>
      </c>
      <c r="V80" s="797">
        <v>104</v>
      </c>
      <c r="W80" s="797">
        <v>104.01</v>
      </c>
      <c r="X80" s="796" t="s">
        <v>236</v>
      </c>
      <c r="Y80" s="796" t="s">
        <v>257</v>
      </c>
      <c r="Z80" s="796" t="s">
        <v>257</v>
      </c>
      <c r="AA80" s="796" t="s">
        <v>257</v>
      </c>
      <c r="AB80" s="796" t="s">
        <v>257</v>
      </c>
      <c r="AC80" s="797">
        <v>264.23941972671997</v>
      </c>
      <c r="AD80" s="284">
        <f t="shared" si="3"/>
        <v>1.0000000000005116E-2</v>
      </c>
      <c r="AE80" s="284">
        <f t="shared" si="4"/>
        <v>104.005</v>
      </c>
      <c r="AF80" s="22">
        <f t="shared" si="5"/>
        <v>103.99</v>
      </c>
    </row>
    <row r="81" spans="1:32" x14ac:dyDescent="0.25">
      <c r="A81" s="796" t="s">
        <v>714</v>
      </c>
      <c r="B81" s="796" t="s">
        <v>257</v>
      </c>
      <c r="C81" s="796" t="s">
        <v>155</v>
      </c>
      <c r="D81" s="797">
        <v>115.815</v>
      </c>
      <c r="E81" s="798">
        <v>46110</v>
      </c>
      <c r="F81" s="796" t="s">
        <v>257</v>
      </c>
      <c r="G81" s="796" t="s">
        <v>257</v>
      </c>
      <c r="H81" s="796" t="s">
        <v>257</v>
      </c>
      <c r="I81" s="796" t="s">
        <v>617</v>
      </c>
      <c r="J81" s="796" t="s">
        <v>623</v>
      </c>
      <c r="K81" s="796" t="s">
        <v>309</v>
      </c>
      <c r="L81" s="796" t="s">
        <v>343</v>
      </c>
      <c r="M81" s="796" t="s">
        <v>312</v>
      </c>
      <c r="N81" s="796" t="s">
        <v>619</v>
      </c>
      <c r="O81" s="799">
        <v>25</v>
      </c>
      <c r="P81" s="797">
        <v>25</v>
      </c>
      <c r="Q81" s="796" t="s">
        <v>257</v>
      </c>
      <c r="R81" s="796" t="s">
        <v>257</v>
      </c>
      <c r="S81" s="796" t="s">
        <v>257</v>
      </c>
      <c r="T81" s="796" t="s">
        <v>257</v>
      </c>
      <c r="U81" s="796" t="s">
        <v>624</v>
      </c>
      <c r="V81" s="797">
        <v>115.72</v>
      </c>
      <c r="W81" s="797">
        <v>115.91</v>
      </c>
      <c r="X81" s="796" t="s">
        <v>257</v>
      </c>
      <c r="Y81" s="796" t="s">
        <v>257</v>
      </c>
      <c r="Z81" s="796" t="s">
        <v>257</v>
      </c>
      <c r="AA81" s="796" t="s">
        <v>257</v>
      </c>
      <c r="AB81" s="796" t="s">
        <v>257</v>
      </c>
      <c r="AC81" s="796" t="s">
        <v>257</v>
      </c>
      <c r="AD81" s="284">
        <f t="shared" si="3"/>
        <v>0.18999999999999773</v>
      </c>
      <c r="AE81" s="284">
        <f t="shared" si="4"/>
        <v>115.815</v>
      </c>
      <c r="AF81" s="22">
        <f t="shared" si="5"/>
        <v>115.815</v>
      </c>
    </row>
    <row r="82" spans="1:32" x14ac:dyDescent="0.25">
      <c r="A82" s="796" t="s">
        <v>715</v>
      </c>
      <c r="B82" s="796" t="s">
        <v>257</v>
      </c>
      <c r="C82" s="796" t="s">
        <v>716</v>
      </c>
      <c r="D82" s="797">
        <v>101.06</v>
      </c>
      <c r="E82" s="798">
        <v>46188</v>
      </c>
      <c r="F82" s="797">
        <v>3.1666837984498</v>
      </c>
      <c r="G82" s="797">
        <v>0.37534246575342001</v>
      </c>
      <c r="H82" s="797">
        <v>0.36382139265687002</v>
      </c>
      <c r="I82" s="796" t="s">
        <v>617</v>
      </c>
      <c r="J82" s="796" t="s">
        <v>618</v>
      </c>
      <c r="K82" s="796" t="s">
        <v>340</v>
      </c>
      <c r="L82" s="796" t="s">
        <v>347</v>
      </c>
      <c r="M82" s="796" t="s">
        <v>312</v>
      </c>
      <c r="N82" s="796" t="s">
        <v>619</v>
      </c>
      <c r="O82" s="799">
        <v>200000</v>
      </c>
      <c r="P82" s="797">
        <v>200000</v>
      </c>
      <c r="Q82" s="796" t="s">
        <v>257</v>
      </c>
      <c r="R82" s="798">
        <v>46188</v>
      </c>
      <c r="S82" s="797">
        <v>6</v>
      </c>
      <c r="T82" s="797">
        <v>6000</v>
      </c>
      <c r="U82" s="796" t="s">
        <v>620</v>
      </c>
      <c r="V82" s="797">
        <v>100.92</v>
      </c>
      <c r="W82" s="797">
        <v>101.26</v>
      </c>
      <c r="X82" s="796" t="s">
        <v>621</v>
      </c>
      <c r="Y82" s="796" t="s">
        <v>257</v>
      </c>
      <c r="Z82" s="796" t="s">
        <v>257</v>
      </c>
      <c r="AA82" s="796" t="s">
        <v>257</v>
      </c>
      <c r="AB82" s="796" t="s">
        <v>257</v>
      </c>
      <c r="AC82" s="797">
        <v>119.72806369925</v>
      </c>
      <c r="AD82" s="284">
        <f t="shared" si="3"/>
        <v>0.34000000000000341</v>
      </c>
      <c r="AE82" s="284">
        <f t="shared" si="4"/>
        <v>101.09</v>
      </c>
      <c r="AF82" s="22">
        <f t="shared" si="5"/>
        <v>101.06</v>
      </c>
    </row>
    <row r="83" spans="1:32" x14ac:dyDescent="0.25">
      <c r="A83" s="796" t="s">
        <v>717</v>
      </c>
      <c r="B83" s="796" t="s">
        <v>257</v>
      </c>
      <c r="C83" s="796" t="s">
        <v>718</v>
      </c>
      <c r="D83" s="797">
        <v>99.5</v>
      </c>
      <c r="E83" s="798">
        <v>46188</v>
      </c>
      <c r="F83" s="796" t="s">
        <v>257</v>
      </c>
      <c r="G83" s="796" t="s">
        <v>257</v>
      </c>
      <c r="H83" s="796" t="s">
        <v>257</v>
      </c>
      <c r="I83" s="796" t="s">
        <v>617</v>
      </c>
      <c r="J83" s="796" t="s">
        <v>618</v>
      </c>
      <c r="K83" s="796" t="s">
        <v>340</v>
      </c>
      <c r="L83" s="796" t="s">
        <v>347</v>
      </c>
      <c r="M83" s="796" t="s">
        <v>312</v>
      </c>
      <c r="N83" s="796" t="s">
        <v>619</v>
      </c>
      <c r="O83" s="799">
        <v>200000</v>
      </c>
      <c r="P83" s="796" t="s">
        <v>257</v>
      </c>
      <c r="Q83" s="796" t="s">
        <v>257</v>
      </c>
      <c r="R83" s="796" t="s">
        <v>257</v>
      </c>
      <c r="S83" s="796" t="s">
        <v>257</v>
      </c>
      <c r="T83" s="796" t="s">
        <v>257</v>
      </c>
      <c r="U83" s="796" t="s">
        <v>620</v>
      </c>
      <c r="V83" s="797">
        <v>99.5</v>
      </c>
      <c r="W83" s="797">
        <v>100.5</v>
      </c>
      <c r="X83" s="796" t="s">
        <v>257</v>
      </c>
      <c r="Y83" s="796" t="s">
        <v>257</v>
      </c>
      <c r="Z83" s="796" t="s">
        <v>257</v>
      </c>
      <c r="AA83" s="796" t="s">
        <v>257</v>
      </c>
      <c r="AB83" s="796" t="s">
        <v>257</v>
      </c>
      <c r="AC83" s="796" t="s">
        <v>257</v>
      </c>
      <c r="AD83" s="284">
        <f t="shared" si="3"/>
        <v>1</v>
      </c>
      <c r="AE83" s="284">
        <f t="shared" si="4"/>
        <v>100</v>
      </c>
      <c r="AF83" s="22">
        <f t="shared" si="5"/>
        <v>99.5</v>
      </c>
    </row>
    <row r="84" spans="1:32" x14ac:dyDescent="0.25">
      <c r="A84" s="796" t="s">
        <v>719</v>
      </c>
      <c r="B84" s="796" t="s">
        <v>257</v>
      </c>
      <c r="C84" s="796" t="s">
        <v>164</v>
      </c>
      <c r="D84" s="797">
        <v>106.92</v>
      </c>
      <c r="E84" s="798">
        <v>46188</v>
      </c>
      <c r="F84" s="797">
        <v>5.4537615291904</v>
      </c>
      <c r="G84" s="797">
        <v>3.4334181048079002</v>
      </c>
      <c r="H84" s="797">
        <v>3.2558517164487002</v>
      </c>
      <c r="I84" s="796" t="s">
        <v>617</v>
      </c>
      <c r="J84" s="796" t="s">
        <v>618</v>
      </c>
      <c r="K84" s="796" t="s">
        <v>340</v>
      </c>
      <c r="L84" s="796" t="s">
        <v>347</v>
      </c>
      <c r="M84" s="796" t="s">
        <v>312</v>
      </c>
      <c r="N84" s="796" t="s">
        <v>619</v>
      </c>
      <c r="O84" s="799">
        <v>200000</v>
      </c>
      <c r="P84" s="797">
        <v>200000</v>
      </c>
      <c r="Q84" s="796" t="s">
        <v>257</v>
      </c>
      <c r="R84" s="798">
        <v>47467</v>
      </c>
      <c r="S84" s="797">
        <v>7.375</v>
      </c>
      <c r="T84" s="797">
        <v>7375</v>
      </c>
      <c r="U84" s="796" t="s">
        <v>620</v>
      </c>
      <c r="V84" s="797">
        <v>106.95</v>
      </c>
      <c r="W84" s="797">
        <v>107.94</v>
      </c>
      <c r="X84" s="796" t="s">
        <v>621</v>
      </c>
      <c r="Y84" s="796" t="s">
        <v>257</v>
      </c>
      <c r="Z84" s="796" t="s">
        <v>257</v>
      </c>
      <c r="AA84" s="796" t="s">
        <v>257</v>
      </c>
      <c r="AB84" s="796" t="s">
        <v>257</v>
      </c>
      <c r="AC84" s="797">
        <v>324.83821031142998</v>
      </c>
      <c r="AD84" s="284">
        <f t="shared" si="3"/>
        <v>0.98999999999999488</v>
      </c>
      <c r="AE84" s="284">
        <f t="shared" si="4"/>
        <v>107.44499999999999</v>
      </c>
      <c r="AF84" s="22">
        <f t="shared" si="5"/>
        <v>106.92</v>
      </c>
    </row>
    <row r="85" spans="1:32" x14ac:dyDescent="0.25">
      <c r="A85" s="796" t="s">
        <v>720</v>
      </c>
      <c r="B85" s="796" t="s">
        <v>257</v>
      </c>
      <c r="C85" s="796" t="s">
        <v>87</v>
      </c>
      <c r="D85" s="797">
        <v>111.49</v>
      </c>
      <c r="E85" s="798">
        <v>46127</v>
      </c>
      <c r="F85" s="797">
        <v>5.8561214730527</v>
      </c>
      <c r="G85" s="797">
        <v>2.7505657401522998</v>
      </c>
      <c r="H85" s="797">
        <v>2.6344891568776001</v>
      </c>
      <c r="I85" s="796" t="s">
        <v>617</v>
      </c>
      <c r="J85" s="796" t="s">
        <v>618</v>
      </c>
      <c r="K85" s="796" t="s">
        <v>287</v>
      </c>
      <c r="L85" s="796" t="s">
        <v>288</v>
      </c>
      <c r="M85" s="796" t="s">
        <v>286</v>
      </c>
      <c r="N85" s="796" t="s">
        <v>619</v>
      </c>
      <c r="O85" s="799">
        <v>200000</v>
      </c>
      <c r="P85" s="797">
        <v>200000</v>
      </c>
      <c r="Q85" s="798">
        <v>47223</v>
      </c>
      <c r="R85" s="796" t="s">
        <v>257</v>
      </c>
      <c r="S85" s="797">
        <v>9.75</v>
      </c>
      <c r="T85" s="797">
        <v>9750</v>
      </c>
      <c r="U85" s="796" t="s">
        <v>620</v>
      </c>
      <c r="V85" s="797">
        <v>111.49</v>
      </c>
      <c r="W85" s="797">
        <v>112.65</v>
      </c>
      <c r="X85" s="796" t="s">
        <v>236</v>
      </c>
      <c r="Y85" s="796" t="s">
        <v>257</v>
      </c>
      <c r="Z85" s="796" t="s">
        <v>257</v>
      </c>
      <c r="AA85" s="796" t="s">
        <v>257</v>
      </c>
      <c r="AB85" s="796" t="s">
        <v>257</v>
      </c>
      <c r="AC85" s="797">
        <v>223.60620059623</v>
      </c>
      <c r="AD85" s="284">
        <f t="shared" si="3"/>
        <v>1.1600000000000108</v>
      </c>
      <c r="AE85" s="284">
        <f t="shared" si="4"/>
        <v>112.07</v>
      </c>
      <c r="AF85" s="22">
        <f t="shared" si="5"/>
        <v>111.49</v>
      </c>
    </row>
    <row r="86" spans="1:32" x14ac:dyDescent="0.25">
      <c r="A86" s="796" t="s">
        <v>721</v>
      </c>
      <c r="B86" s="796" t="s">
        <v>257</v>
      </c>
      <c r="C86" s="796" t="s">
        <v>167</v>
      </c>
      <c r="D86" s="797">
        <v>99.02</v>
      </c>
      <c r="E86" s="798">
        <v>46105</v>
      </c>
      <c r="F86" s="797">
        <v>5.9754686417230998</v>
      </c>
      <c r="G86" s="797">
        <v>6.9935218003364001</v>
      </c>
      <c r="H86" s="797">
        <v>6.6908447194841001</v>
      </c>
      <c r="I86" s="796" t="s">
        <v>617</v>
      </c>
      <c r="J86" s="796" t="s">
        <v>618</v>
      </c>
      <c r="K86" s="796" t="s">
        <v>349</v>
      </c>
      <c r="L86" s="796" t="s">
        <v>349</v>
      </c>
      <c r="M86" s="796" t="s">
        <v>257</v>
      </c>
      <c r="N86" s="796" t="s">
        <v>619</v>
      </c>
      <c r="O86" s="799">
        <v>2000</v>
      </c>
      <c r="P86" s="797">
        <v>2000</v>
      </c>
      <c r="Q86" s="798">
        <v>49392</v>
      </c>
      <c r="R86" s="796" t="s">
        <v>257</v>
      </c>
      <c r="S86" s="797">
        <v>5.75</v>
      </c>
      <c r="T86" s="797">
        <v>57.5</v>
      </c>
      <c r="U86" s="796" t="s">
        <v>620</v>
      </c>
      <c r="V86" s="797">
        <v>98.91</v>
      </c>
      <c r="W86" s="797">
        <v>99.47</v>
      </c>
      <c r="X86" s="796" t="s">
        <v>236</v>
      </c>
      <c r="Y86" s="796" t="s">
        <v>257</v>
      </c>
      <c r="Z86" s="796" t="s">
        <v>257</v>
      </c>
      <c r="AA86" s="796" t="s">
        <v>257</v>
      </c>
      <c r="AB86" s="796" t="s">
        <v>257</v>
      </c>
      <c r="AC86" s="797">
        <v>193.79086593023999</v>
      </c>
      <c r="AD86" s="284">
        <f t="shared" si="3"/>
        <v>0.56000000000000227</v>
      </c>
      <c r="AE86" s="284">
        <f t="shared" si="4"/>
        <v>99.19</v>
      </c>
      <c r="AF86" s="22">
        <f t="shared" si="5"/>
        <v>99.02</v>
      </c>
    </row>
    <row r="87" spans="1:32" x14ac:dyDescent="0.25">
      <c r="A87" s="796" t="s">
        <v>972</v>
      </c>
      <c r="B87" s="796" t="s">
        <v>257</v>
      </c>
      <c r="C87" s="796" t="s">
        <v>966</v>
      </c>
      <c r="D87" s="797">
        <v>104.22</v>
      </c>
      <c r="E87" s="798">
        <v>46158</v>
      </c>
      <c r="F87" s="797">
        <v>6.1532865669965</v>
      </c>
      <c r="G87" s="797">
        <v>7.3431002850876999</v>
      </c>
      <c r="H87" s="797">
        <v>7.0135254685200001</v>
      </c>
      <c r="I87" s="796" t="s">
        <v>617</v>
      </c>
      <c r="J87" s="796" t="s">
        <v>618</v>
      </c>
      <c r="K87" s="796" t="s">
        <v>349</v>
      </c>
      <c r="L87" s="796" t="s">
        <v>349</v>
      </c>
      <c r="M87" s="796" t="s">
        <v>257</v>
      </c>
      <c r="N87" s="796" t="s">
        <v>619</v>
      </c>
      <c r="O87" s="799">
        <v>2000</v>
      </c>
      <c r="P87" s="797">
        <v>2000</v>
      </c>
      <c r="Q87" s="798">
        <v>49811</v>
      </c>
      <c r="R87" s="796" t="s">
        <v>257</v>
      </c>
      <c r="S87" s="797">
        <v>6.625</v>
      </c>
      <c r="T87" s="797">
        <v>110.42</v>
      </c>
      <c r="U87" s="796" t="s">
        <v>620</v>
      </c>
      <c r="V87" s="797">
        <v>104.25</v>
      </c>
      <c r="W87" s="797">
        <v>104.89</v>
      </c>
      <c r="X87" s="796" t="s">
        <v>236</v>
      </c>
      <c r="Y87" s="796" t="s">
        <v>257</v>
      </c>
      <c r="Z87" s="796" t="s">
        <v>257</v>
      </c>
      <c r="AA87" s="796" t="s">
        <v>257</v>
      </c>
      <c r="AB87" s="796" t="s">
        <v>257</v>
      </c>
      <c r="AC87" s="797">
        <v>207.97682921364</v>
      </c>
      <c r="AD87" s="284">
        <f t="shared" si="3"/>
        <v>0.64000000000000057</v>
      </c>
      <c r="AE87" s="284">
        <f t="shared" si="4"/>
        <v>104.57</v>
      </c>
      <c r="AF87" s="22">
        <f t="shared" si="5"/>
        <v>104.22</v>
      </c>
    </row>
    <row r="88" spans="1:32" x14ac:dyDescent="0.25">
      <c r="A88" s="796" t="s">
        <v>722</v>
      </c>
      <c r="B88" s="796" t="s">
        <v>257</v>
      </c>
      <c r="C88" s="796" t="s">
        <v>177</v>
      </c>
      <c r="D88" s="797">
        <v>96.947000000000003</v>
      </c>
      <c r="E88" s="798">
        <v>46142</v>
      </c>
      <c r="F88" s="797">
        <v>7.8305273619426004</v>
      </c>
      <c r="G88" s="797">
        <v>6.3965355117931999</v>
      </c>
      <c r="H88" s="797">
        <v>6.0144158073359</v>
      </c>
      <c r="I88" s="796" t="s">
        <v>617</v>
      </c>
      <c r="J88" s="796" t="s">
        <v>623</v>
      </c>
      <c r="K88" s="796" t="s">
        <v>283</v>
      </c>
      <c r="L88" s="796" t="s">
        <v>356</v>
      </c>
      <c r="M88" s="796" t="s">
        <v>327</v>
      </c>
      <c r="N88" s="796" t="s">
        <v>619</v>
      </c>
      <c r="O88" s="799">
        <v>2000</v>
      </c>
      <c r="P88" s="797">
        <v>2000</v>
      </c>
      <c r="Q88" s="798">
        <v>49247</v>
      </c>
      <c r="R88" s="798">
        <v>49155</v>
      </c>
      <c r="S88" s="797">
        <v>7.2</v>
      </c>
      <c r="T88" s="797">
        <v>72</v>
      </c>
      <c r="U88" s="796" t="s">
        <v>656</v>
      </c>
      <c r="V88" s="796" t="s">
        <v>257</v>
      </c>
      <c r="W88" s="796" t="s">
        <v>257</v>
      </c>
      <c r="X88" s="796" t="s">
        <v>236</v>
      </c>
      <c r="Y88" s="796" t="s">
        <v>257</v>
      </c>
      <c r="Z88" s="796" t="s">
        <v>257</v>
      </c>
      <c r="AA88" s="796" t="s">
        <v>257</v>
      </c>
      <c r="AB88" s="796" t="s">
        <v>257</v>
      </c>
      <c r="AC88" s="797">
        <v>385.53824588497997</v>
      </c>
      <c r="AD88" s="284" t="e">
        <f t="shared" si="3"/>
        <v>#VALUE!</v>
      </c>
      <c r="AE88" s="284" t="e">
        <f t="shared" si="4"/>
        <v>#DIV/0!</v>
      </c>
      <c r="AF88" s="22">
        <f t="shared" si="5"/>
        <v>96.947000000000003</v>
      </c>
    </row>
    <row r="89" spans="1:32" x14ac:dyDescent="0.25">
      <c r="A89" s="796" t="s">
        <v>723</v>
      </c>
      <c r="B89" s="796" t="s">
        <v>257</v>
      </c>
      <c r="C89" s="796" t="s">
        <v>71</v>
      </c>
      <c r="D89" s="797">
        <v>81.97</v>
      </c>
      <c r="E89" s="798">
        <v>46099</v>
      </c>
      <c r="F89" s="797">
        <v>10.333595454097001</v>
      </c>
      <c r="G89" s="797">
        <v>4.3041227572237997</v>
      </c>
      <c r="H89" s="797">
        <v>3.9551890083910002</v>
      </c>
      <c r="I89" s="796" t="s">
        <v>617</v>
      </c>
      <c r="J89" s="796" t="s">
        <v>618</v>
      </c>
      <c r="K89" s="796" t="s">
        <v>273</v>
      </c>
      <c r="L89" s="796" t="s">
        <v>279</v>
      </c>
      <c r="M89" s="796" t="s">
        <v>278</v>
      </c>
      <c r="N89" s="796" t="s">
        <v>619</v>
      </c>
      <c r="O89" s="799">
        <v>200000</v>
      </c>
      <c r="P89" s="797">
        <v>200000</v>
      </c>
      <c r="Q89" s="798">
        <v>47925</v>
      </c>
      <c r="R89" s="798">
        <v>47835</v>
      </c>
      <c r="S89" s="797">
        <v>5.5</v>
      </c>
      <c r="T89" s="797">
        <v>5500</v>
      </c>
      <c r="U89" s="796" t="s">
        <v>620</v>
      </c>
      <c r="V89" s="797">
        <v>81.97</v>
      </c>
      <c r="W89" s="797">
        <v>89.01</v>
      </c>
      <c r="X89" s="796" t="s">
        <v>236</v>
      </c>
      <c r="Y89" s="796" t="s">
        <v>257</v>
      </c>
      <c r="Z89" s="796" t="s">
        <v>257</v>
      </c>
      <c r="AA89" s="796" t="s">
        <v>257</v>
      </c>
      <c r="AB89" s="796" t="s">
        <v>257</v>
      </c>
      <c r="AC89" s="797">
        <v>657.77909751077004</v>
      </c>
      <c r="AD89" s="284">
        <f t="shared" si="3"/>
        <v>7.0400000000000063</v>
      </c>
      <c r="AE89" s="284">
        <f t="shared" si="4"/>
        <v>85.490000000000009</v>
      </c>
      <c r="AF89" s="22">
        <f t="shared" si="5"/>
        <v>85.490000000000009</v>
      </c>
    </row>
    <row r="90" spans="1:32" x14ac:dyDescent="0.25">
      <c r="A90" s="796" t="s">
        <v>724</v>
      </c>
      <c r="B90" s="796" t="s">
        <v>257</v>
      </c>
      <c r="C90" s="796" t="s">
        <v>67</v>
      </c>
      <c r="D90" s="797">
        <v>96.131</v>
      </c>
      <c r="E90" s="798">
        <v>46158</v>
      </c>
      <c r="F90" s="797">
        <v>5.7236419765758004</v>
      </c>
      <c r="G90" s="797">
        <v>3.4470128475577999</v>
      </c>
      <c r="H90" s="797">
        <v>3.3056825896808002</v>
      </c>
      <c r="I90" s="796" t="s">
        <v>617</v>
      </c>
      <c r="J90" s="796" t="s">
        <v>618</v>
      </c>
      <c r="K90" s="796" t="s">
        <v>273</v>
      </c>
      <c r="L90" s="796" t="s">
        <v>274</v>
      </c>
      <c r="M90" s="796" t="s">
        <v>272</v>
      </c>
      <c r="N90" s="796" t="s">
        <v>619</v>
      </c>
      <c r="O90" s="799">
        <v>200000</v>
      </c>
      <c r="P90" s="797">
        <v>200000</v>
      </c>
      <c r="Q90" s="798">
        <v>47438</v>
      </c>
      <c r="R90" s="798">
        <v>46342</v>
      </c>
      <c r="S90" s="797">
        <v>4.5</v>
      </c>
      <c r="T90" s="797">
        <v>4500</v>
      </c>
      <c r="U90" s="796" t="s">
        <v>631</v>
      </c>
      <c r="V90" s="796" t="s">
        <v>257</v>
      </c>
      <c r="W90" s="796" t="s">
        <v>257</v>
      </c>
      <c r="X90" s="796" t="s">
        <v>236</v>
      </c>
      <c r="Y90" s="796" t="s">
        <v>257</v>
      </c>
      <c r="Z90" s="796" t="s">
        <v>257</v>
      </c>
      <c r="AA90" s="796" t="s">
        <v>257</v>
      </c>
      <c r="AB90" s="796" t="s">
        <v>257</v>
      </c>
      <c r="AC90" s="797">
        <v>204.88912383869001</v>
      </c>
      <c r="AD90" s="284" t="e">
        <f t="shared" si="3"/>
        <v>#VALUE!</v>
      </c>
      <c r="AE90" s="284" t="e">
        <f t="shared" si="4"/>
        <v>#DIV/0!</v>
      </c>
      <c r="AF90" s="22">
        <f t="shared" si="5"/>
        <v>96.131</v>
      </c>
    </row>
    <row r="91" spans="1:32" x14ac:dyDescent="0.25">
      <c r="A91" s="796" t="s">
        <v>725</v>
      </c>
      <c r="B91" s="796" t="s">
        <v>257</v>
      </c>
      <c r="C91" s="796" t="s">
        <v>726</v>
      </c>
      <c r="D91" s="797">
        <v>100.74</v>
      </c>
      <c r="E91" s="798">
        <v>46116</v>
      </c>
      <c r="F91" s="797">
        <v>5.3002190727505001</v>
      </c>
      <c r="G91" s="797">
        <v>5.1840231101101004</v>
      </c>
      <c r="H91" s="797">
        <v>4.9914648586367001</v>
      </c>
      <c r="I91" s="796" t="s">
        <v>617</v>
      </c>
      <c r="J91" s="796" t="s">
        <v>623</v>
      </c>
      <c r="K91" s="796" t="s">
        <v>259</v>
      </c>
      <c r="L91" s="796" t="s">
        <v>727</v>
      </c>
      <c r="M91" s="796" t="s">
        <v>308</v>
      </c>
      <c r="N91" s="796" t="s">
        <v>619</v>
      </c>
      <c r="O91" s="799">
        <v>200000</v>
      </c>
      <c r="P91" s="797">
        <v>200000</v>
      </c>
      <c r="Q91" s="798">
        <v>48308</v>
      </c>
      <c r="R91" s="798">
        <v>48217</v>
      </c>
      <c r="S91" s="797">
        <v>5.375</v>
      </c>
      <c r="T91" s="797">
        <v>5375</v>
      </c>
      <c r="U91" s="796" t="s">
        <v>624</v>
      </c>
      <c r="V91" s="797">
        <v>100.47</v>
      </c>
      <c r="W91" s="797">
        <v>101.01</v>
      </c>
      <c r="X91" s="796" t="s">
        <v>236</v>
      </c>
      <c r="Y91" s="796" t="s">
        <v>257</v>
      </c>
      <c r="Z91" s="796" t="s">
        <v>257</v>
      </c>
      <c r="AA91" s="796" t="s">
        <v>257</v>
      </c>
      <c r="AB91" s="796" t="s">
        <v>257</v>
      </c>
      <c r="AC91" s="797">
        <v>145.35215520053001</v>
      </c>
      <c r="AD91" s="284">
        <f t="shared" si="3"/>
        <v>0.54000000000000625</v>
      </c>
      <c r="AE91" s="284">
        <f t="shared" si="4"/>
        <v>100.74000000000001</v>
      </c>
      <c r="AF91" s="22">
        <f t="shared" si="5"/>
        <v>100.74</v>
      </c>
    </row>
    <row r="92" spans="1:32" x14ac:dyDescent="0.25">
      <c r="A92" s="796" t="s">
        <v>1075</v>
      </c>
      <c r="B92" s="796" t="s">
        <v>257</v>
      </c>
      <c r="C92" s="796" t="s">
        <v>1070</v>
      </c>
      <c r="D92" s="797">
        <v>102.79</v>
      </c>
      <c r="E92" s="798">
        <v>46098</v>
      </c>
      <c r="F92" s="797">
        <v>5.6054011456539001</v>
      </c>
      <c r="G92" s="797">
        <v>5.1100470214174996</v>
      </c>
      <c r="H92" s="797">
        <v>4.8789128411054001</v>
      </c>
      <c r="I92" s="796" t="s">
        <v>617</v>
      </c>
      <c r="J92" s="796" t="s">
        <v>618</v>
      </c>
      <c r="K92" s="796" t="s">
        <v>302</v>
      </c>
      <c r="L92" s="796" t="s">
        <v>470</v>
      </c>
      <c r="M92" s="796" t="s">
        <v>312</v>
      </c>
      <c r="N92" s="796" t="s">
        <v>635</v>
      </c>
      <c r="O92" s="799">
        <v>100000</v>
      </c>
      <c r="P92" s="797">
        <v>100000</v>
      </c>
      <c r="Q92" s="796" t="s">
        <v>257</v>
      </c>
      <c r="R92" s="798">
        <v>48290</v>
      </c>
      <c r="S92" s="797">
        <v>6.125</v>
      </c>
      <c r="T92" s="797">
        <v>3062.5</v>
      </c>
      <c r="U92" s="796" t="s">
        <v>620</v>
      </c>
      <c r="V92" s="797">
        <v>102.72</v>
      </c>
      <c r="W92" s="797">
        <v>103.72</v>
      </c>
      <c r="X92" s="796" t="s">
        <v>621</v>
      </c>
      <c r="Y92" s="796" t="s">
        <v>257</v>
      </c>
      <c r="Z92" s="796" t="s">
        <v>257</v>
      </c>
      <c r="AA92" s="796" t="s">
        <v>257</v>
      </c>
      <c r="AB92" s="796" t="s">
        <v>257</v>
      </c>
      <c r="AC92" s="797">
        <v>319.52532633396999</v>
      </c>
      <c r="AD92" s="284">
        <f t="shared" si="3"/>
        <v>1</v>
      </c>
      <c r="AE92" s="284">
        <f t="shared" si="4"/>
        <v>103.22</v>
      </c>
      <c r="AF92" s="22">
        <f t="shared" si="5"/>
        <v>102.79</v>
      </c>
    </row>
    <row r="93" spans="1:32" x14ac:dyDescent="0.25">
      <c r="A93" s="796" t="s">
        <v>728</v>
      </c>
      <c r="B93" s="796" t="s">
        <v>257</v>
      </c>
      <c r="C93" s="796" t="s">
        <v>457</v>
      </c>
      <c r="D93" s="797">
        <v>110.11</v>
      </c>
      <c r="E93" s="798">
        <v>46106</v>
      </c>
      <c r="F93" s="797">
        <v>6.9760062103326996</v>
      </c>
      <c r="G93" s="797">
        <v>5.9180436861542001</v>
      </c>
      <c r="H93" s="797">
        <v>5.6089575129149001</v>
      </c>
      <c r="I93" s="796" t="s">
        <v>617</v>
      </c>
      <c r="J93" s="796" t="s">
        <v>618</v>
      </c>
      <c r="K93" s="796" t="s">
        <v>302</v>
      </c>
      <c r="L93" s="796" t="s">
        <v>470</v>
      </c>
      <c r="M93" s="796" t="s">
        <v>312</v>
      </c>
      <c r="N93" s="796" t="s">
        <v>619</v>
      </c>
      <c r="O93" s="799">
        <v>200000</v>
      </c>
      <c r="P93" s="797">
        <v>200000</v>
      </c>
      <c r="Q93" s="796" t="s">
        <v>257</v>
      </c>
      <c r="R93" s="798">
        <v>49028</v>
      </c>
      <c r="S93" s="797">
        <v>8.5</v>
      </c>
      <c r="T93" s="797">
        <v>8500</v>
      </c>
      <c r="U93" s="796" t="s">
        <v>620</v>
      </c>
      <c r="V93" s="797">
        <v>110.15</v>
      </c>
      <c r="W93" s="797">
        <v>111.46</v>
      </c>
      <c r="X93" s="796" t="s">
        <v>621</v>
      </c>
      <c r="Y93" s="796" t="s">
        <v>257</v>
      </c>
      <c r="Z93" s="796" t="s">
        <v>257</v>
      </c>
      <c r="AA93" s="796" t="s">
        <v>257</v>
      </c>
      <c r="AB93" s="796" t="s">
        <v>257</v>
      </c>
      <c r="AC93" s="797">
        <v>305.15002168216</v>
      </c>
      <c r="AD93" s="284">
        <f t="shared" si="3"/>
        <v>1.3099999999999881</v>
      </c>
      <c r="AE93" s="284">
        <f t="shared" si="4"/>
        <v>110.80500000000001</v>
      </c>
      <c r="AF93" s="22">
        <f t="shared" si="5"/>
        <v>110.11</v>
      </c>
    </row>
    <row r="94" spans="1:32" x14ac:dyDescent="0.25">
      <c r="A94" s="796" t="s">
        <v>730</v>
      </c>
      <c r="B94" s="796" t="s">
        <v>257</v>
      </c>
      <c r="C94" s="796" t="s">
        <v>120</v>
      </c>
      <c r="D94" s="797">
        <v>100.92</v>
      </c>
      <c r="E94" s="798">
        <v>46211</v>
      </c>
      <c r="F94" s="797">
        <v>6.9089839676354003</v>
      </c>
      <c r="G94" s="797">
        <v>4.5415147132425</v>
      </c>
      <c r="H94" s="797">
        <v>4.3070199861556997</v>
      </c>
      <c r="I94" s="796" t="s">
        <v>617</v>
      </c>
      <c r="J94" s="796" t="s">
        <v>618</v>
      </c>
      <c r="K94" s="796" t="s">
        <v>287</v>
      </c>
      <c r="L94" s="796" t="s">
        <v>729</v>
      </c>
      <c r="M94" s="796" t="s">
        <v>321</v>
      </c>
      <c r="N94" s="796" t="s">
        <v>619</v>
      </c>
      <c r="O94" s="799">
        <v>200000</v>
      </c>
      <c r="P94" s="797">
        <v>200000</v>
      </c>
      <c r="Q94" s="798">
        <v>48037</v>
      </c>
      <c r="R94" s="798">
        <v>47946</v>
      </c>
      <c r="S94" s="797">
        <v>7</v>
      </c>
      <c r="T94" s="797">
        <v>7000</v>
      </c>
      <c r="U94" s="796" t="s">
        <v>620</v>
      </c>
      <c r="V94" s="797">
        <v>100.96</v>
      </c>
      <c r="W94" s="797">
        <v>102.3</v>
      </c>
      <c r="X94" s="796" t="s">
        <v>236</v>
      </c>
      <c r="Y94" s="796" t="s">
        <v>257</v>
      </c>
      <c r="Z94" s="796" t="s">
        <v>257</v>
      </c>
      <c r="AA94" s="796" t="s">
        <v>257</v>
      </c>
      <c r="AB94" s="796" t="s">
        <v>257</v>
      </c>
      <c r="AC94" s="797">
        <v>312.91506116524999</v>
      </c>
      <c r="AD94" s="284">
        <f t="shared" si="3"/>
        <v>1.3400000000000034</v>
      </c>
      <c r="AE94" s="284">
        <f t="shared" si="4"/>
        <v>101.63</v>
      </c>
      <c r="AF94" s="22">
        <f t="shared" si="5"/>
        <v>100.92</v>
      </c>
    </row>
    <row r="95" spans="1:32" x14ac:dyDescent="0.25">
      <c r="A95" s="796" t="s">
        <v>973</v>
      </c>
      <c r="B95" s="796" t="s">
        <v>257</v>
      </c>
      <c r="C95" s="796" t="s">
        <v>971</v>
      </c>
      <c r="D95" s="797">
        <v>103.25</v>
      </c>
      <c r="E95" s="798">
        <v>46213</v>
      </c>
      <c r="F95" s="797">
        <v>7.1459476973448997</v>
      </c>
      <c r="G95" s="797">
        <v>6.8582359064674003</v>
      </c>
      <c r="H95" s="797">
        <v>6.4897360398431001</v>
      </c>
      <c r="I95" s="796" t="s">
        <v>617</v>
      </c>
      <c r="J95" s="796" t="s">
        <v>618</v>
      </c>
      <c r="K95" s="796" t="s">
        <v>287</v>
      </c>
      <c r="L95" s="796" t="s">
        <v>729</v>
      </c>
      <c r="M95" s="796" t="s">
        <v>321</v>
      </c>
      <c r="N95" s="796" t="s">
        <v>619</v>
      </c>
      <c r="O95" s="799">
        <v>200000</v>
      </c>
      <c r="P95" s="797">
        <v>200000</v>
      </c>
      <c r="Q95" s="798">
        <v>49500</v>
      </c>
      <c r="R95" s="798">
        <v>49410</v>
      </c>
      <c r="S95" s="797">
        <v>7.5</v>
      </c>
      <c r="T95" s="797">
        <v>7500</v>
      </c>
      <c r="U95" s="796" t="s">
        <v>620</v>
      </c>
      <c r="V95" s="797">
        <v>103.24</v>
      </c>
      <c r="W95" s="797">
        <v>104.63</v>
      </c>
      <c r="X95" s="796" t="s">
        <v>236</v>
      </c>
      <c r="Y95" s="796" t="s">
        <v>257</v>
      </c>
      <c r="Z95" s="796" t="s">
        <v>257</v>
      </c>
      <c r="AA95" s="796" t="s">
        <v>257</v>
      </c>
      <c r="AB95" s="796" t="s">
        <v>257</v>
      </c>
      <c r="AC95" s="797">
        <v>312.24313384568001</v>
      </c>
      <c r="AD95" s="284">
        <f t="shared" si="3"/>
        <v>1.3900000000000006</v>
      </c>
      <c r="AE95" s="284">
        <f t="shared" si="4"/>
        <v>103.935</v>
      </c>
      <c r="AF95" s="22">
        <f t="shared" si="5"/>
        <v>103.25</v>
      </c>
    </row>
    <row r="96" spans="1:32" x14ac:dyDescent="0.25">
      <c r="A96" s="796" t="s">
        <v>2290</v>
      </c>
      <c r="B96" s="796" t="s">
        <v>257</v>
      </c>
      <c r="C96" s="796" t="s">
        <v>1180</v>
      </c>
      <c r="D96" s="797">
        <v>92.78</v>
      </c>
      <c r="E96" s="798">
        <v>46141</v>
      </c>
      <c r="F96" s="797">
        <v>9.6358257503963003</v>
      </c>
      <c r="G96" s="797">
        <v>6.4185868250375</v>
      </c>
      <c r="H96" s="797">
        <v>5.9357731104155</v>
      </c>
      <c r="I96" s="796" t="s">
        <v>617</v>
      </c>
      <c r="J96" s="796" t="s">
        <v>618</v>
      </c>
      <c r="K96" s="796" t="s">
        <v>287</v>
      </c>
      <c r="L96" s="796" t="s">
        <v>729</v>
      </c>
      <c r="M96" s="796" t="s">
        <v>321</v>
      </c>
      <c r="N96" s="796" t="s">
        <v>619</v>
      </c>
      <c r="O96" s="799">
        <v>200000</v>
      </c>
      <c r="P96" s="797">
        <v>200000</v>
      </c>
      <c r="Q96" s="798">
        <v>60569</v>
      </c>
      <c r="R96" s="798">
        <v>49519</v>
      </c>
      <c r="S96" s="797">
        <v>8.25</v>
      </c>
      <c r="T96" s="797">
        <v>8250</v>
      </c>
      <c r="U96" s="796" t="s">
        <v>620</v>
      </c>
      <c r="V96" s="797">
        <v>92.74</v>
      </c>
      <c r="W96" s="797">
        <v>94.01</v>
      </c>
      <c r="X96" s="796" t="s">
        <v>621</v>
      </c>
      <c r="Y96" s="796" t="s">
        <v>257</v>
      </c>
      <c r="Z96" s="796" t="s">
        <v>257</v>
      </c>
      <c r="AA96" s="796" t="s">
        <v>257</v>
      </c>
      <c r="AB96" s="796" t="s">
        <v>257</v>
      </c>
      <c r="AC96" s="797">
        <v>565.83572646794005</v>
      </c>
      <c r="AD96" s="284">
        <f t="shared" si="3"/>
        <v>1.2700000000000102</v>
      </c>
      <c r="AE96" s="284">
        <f t="shared" si="4"/>
        <v>93.375</v>
      </c>
      <c r="AF96" s="22">
        <f t="shared" si="5"/>
        <v>92.78</v>
      </c>
    </row>
    <row r="97" spans="1:32" x14ac:dyDescent="0.25">
      <c r="A97" s="796" t="s">
        <v>731</v>
      </c>
      <c r="B97" s="796" t="s">
        <v>257</v>
      </c>
      <c r="C97" s="796" t="s">
        <v>450</v>
      </c>
      <c r="D97" s="797">
        <v>106.07</v>
      </c>
      <c r="E97" s="798">
        <v>46161</v>
      </c>
      <c r="F97" s="797">
        <v>6.4144774817904002</v>
      </c>
      <c r="G97" s="797">
        <v>7.6197566198936997</v>
      </c>
      <c r="H97" s="797">
        <v>7.2599018063776999</v>
      </c>
      <c r="I97" s="796" t="s">
        <v>617</v>
      </c>
      <c r="J97" s="796" t="s">
        <v>618</v>
      </c>
      <c r="K97" s="796" t="s">
        <v>273</v>
      </c>
      <c r="L97" s="796" t="s">
        <v>273</v>
      </c>
      <c r="M97" s="796" t="s">
        <v>257</v>
      </c>
      <c r="N97" s="796" t="s">
        <v>619</v>
      </c>
      <c r="O97" s="799">
        <v>200000</v>
      </c>
      <c r="P97" s="797">
        <v>200000</v>
      </c>
      <c r="Q97" s="798">
        <v>49998</v>
      </c>
      <c r="R97" s="796" t="s">
        <v>257</v>
      </c>
      <c r="S97" s="797">
        <v>7.1</v>
      </c>
      <c r="T97" s="797">
        <v>7100</v>
      </c>
      <c r="U97" s="796" t="s">
        <v>620</v>
      </c>
      <c r="V97" s="797">
        <v>106.03</v>
      </c>
      <c r="W97" s="797">
        <v>106.55</v>
      </c>
      <c r="X97" s="796" t="s">
        <v>236</v>
      </c>
      <c r="Y97" s="796" t="s">
        <v>257</v>
      </c>
      <c r="Z97" s="796" t="s">
        <v>257</v>
      </c>
      <c r="AA97" s="796" t="s">
        <v>257</v>
      </c>
      <c r="AB97" s="796" t="s">
        <v>257</v>
      </c>
      <c r="AC97" s="797">
        <v>231.28786561234</v>
      </c>
      <c r="AD97" s="284">
        <f t="shared" si="3"/>
        <v>0.51999999999999602</v>
      </c>
      <c r="AE97" s="284">
        <f t="shared" si="4"/>
        <v>106.28999999999999</v>
      </c>
      <c r="AF97" s="22">
        <f t="shared" si="5"/>
        <v>106.07</v>
      </c>
    </row>
    <row r="98" spans="1:32" x14ac:dyDescent="0.25">
      <c r="A98" s="796" t="s">
        <v>732</v>
      </c>
      <c r="B98" s="796" t="s">
        <v>257</v>
      </c>
      <c r="C98" s="796" t="s">
        <v>733</v>
      </c>
      <c r="D98" s="797">
        <v>101.57</v>
      </c>
      <c r="E98" s="798">
        <v>46220</v>
      </c>
      <c r="F98" s="797">
        <v>4.3038662316174001</v>
      </c>
      <c r="G98" s="797">
        <v>1.2625040091969999</v>
      </c>
      <c r="H98" s="797">
        <v>1.2272208436262999</v>
      </c>
      <c r="I98" s="796" t="s">
        <v>617</v>
      </c>
      <c r="J98" s="796" t="s">
        <v>623</v>
      </c>
      <c r="K98" s="796" t="s">
        <v>276</v>
      </c>
      <c r="L98" s="796" t="s">
        <v>734</v>
      </c>
      <c r="M98" s="796" t="s">
        <v>735</v>
      </c>
      <c r="N98" s="796" t="s">
        <v>619</v>
      </c>
      <c r="O98" s="799">
        <v>2000</v>
      </c>
      <c r="P98" s="796" t="s">
        <v>257</v>
      </c>
      <c r="Q98" s="798">
        <v>46404</v>
      </c>
      <c r="R98" s="796" t="s">
        <v>257</v>
      </c>
      <c r="S98" s="797">
        <v>5.5</v>
      </c>
      <c r="T98" s="797">
        <v>55</v>
      </c>
      <c r="U98" s="796" t="s">
        <v>624</v>
      </c>
      <c r="V98" s="797">
        <v>101.32</v>
      </c>
      <c r="W98" s="797">
        <v>101.82</v>
      </c>
      <c r="X98" s="796" t="s">
        <v>236</v>
      </c>
      <c r="Y98" s="796" t="s">
        <v>257</v>
      </c>
      <c r="Z98" s="796" t="s">
        <v>257</v>
      </c>
      <c r="AA98" s="796" t="s">
        <v>257</v>
      </c>
      <c r="AB98" s="796" t="s">
        <v>257</v>
      </c>
      <c r="AC98" s="797">
        <v>67.092704913088994</v>
      </c>
      <c r="AD98" s="284">
        <f t="shared" si="3"/>
        <v>0.5</v>
      </c>
      <c r="AE98" s="284">
        <f t="shared" si="4"/>
        <v>101.57</v>
      </c>
      <c r="AF98" s="22">
        <f t="shared" si="5"/>
        <v>101.57</v>
      </c>
    </row>
    <row r="99" spans="1:32" x14ac:dyDescent="0.25">
      <c r="A99" s="796" t="s">
        <v>736</v>
      </c>
      <c r="B99" s="796" t="s">
        <v>257</v>
      </c>
      <c r="C99" s="796" t="s">
        <v>737</v>
      </c>
      <c r="D99" s="797">
        <v>100.2805</v>
      </c>
      <c r="E99" s="798">
        <v>46076</v>
      </c>
      <c r="F99" s="797">
        <v>4.4953471071406002</v>
      </c>
      <c r="G99" s="797">
        <v>1.4979106095221999</v>
      </c>
      <c r="H99" s="797">
        <v>1.4295545198313999</v>
      </c>
      <c r="I99" s="796" t="s">
        <v>617</v>
      </c>
      <c r="J99" s="796" t="s">
        <v>623</v>
      </c>
      <c r="K99" s="796" t="s">
        <v>738</v>
      </c>
      <c r="L99" s="796" t="s">
        <v>739</v>
      </c>
      <c r="M99" s="796" t="s">
        <v>312</v>
      </c>
      <c r="N99" s="796" t="s">
        <v>619</v>
      </c>
      <c r="O99" s="799">
        <v>100000</v>
      </c>
      <c r="P99" s="797">
        <v>100000</v>
      </c>
      <c r="Q99" s="798">
        <v>48449</v>
      </c>
      <c r="R99" s="798">
        <v>46622</v>
      </c>
      <c r="S99" s="797">
        <v>4.625</v>
      </c>
      <c r="T99" s="797">
        <v>2312.5</v>
      </c>
      <c r="U99" s="796" t="s">
        <v>624</v>
      </c>
      <c r="V99" s="797">
        <v>100.105</v>
      </c>
      <c r="W99" s="797">
        <v>100.456</v>
      </c>
      <c r="X99" s="796" t="s">
        <v>621</v>
      </c>
      <c r="Y99" s="796" t="s">
        <v>257</v>
      </c>
      <c r="Z99" s="796" t="s">
        <v>257</v>
      </c>
      <c r="AA99" s="796" t="s">
        <v>257</v>
      </c>
      <c r="AB99" s="796" t="s">
        <v>257</v>
      </c>
      <c r="AC99" s="796" t="s">
        <v>257</v>
      </c>
      <c r="AD99" s="284">
        <f t="shared" si="3"/>
        <v>0.35099999999999909</v>
      </c>
      <c r="AE99" s="284">
        <f t="shared" si="4"/>
        <v>100.2805</v>
      </c>
      <c r="AF99" s="22">
        <f t="shared" si="5"/>
        <v>100.2805</v>
      </c>
    </row>
    <row r="100" spans="1:32" x14ac:dyDescent="0.25">
      <c r="A100" s="796" t="s">
        <v>740</v>
      </c>
      <c r="B100" s="796" t="s">
        <v>257</v>
      </c>
      <c r="C100" s="796" t="s">
        <v>741</v>
      </c>
      <c r="D100" s="797">
        <v>105.06</v>
      </c>
      <c r="E100" s="798">
        <v>46157</v>
      </c>
      <c r="F100" s="797">
        <v>5.0209094549796998</v>
      </c>
      <c r="G100" s="797">
        <v>2.1943021528344002</v>
      </c>
      <c r="H100" s="797">
        <v>2.0836867659189</v>
      </c>
      <c r="I100" s="796" t="s">
        <v>617</v>
      </c>
      <c r="J100" s="796" t="s">
        <v>633</v>
      </c>
      <c r="K100" s="796" t="s">
        <v>738</v>
      </c>
      <c r="L100" s="796" t="s">
        <v>742</v>
      </c>
      <c r="M100" s="796" t="s">
        <v>312</v>
      </c>
      <c r="N100" s="796" t="s">
        <v>619</v>
      </c>
      <c r="O100" s="799">
        <v>100000</v>
      </c>
      <c r="P100" s="797">
        <v>100000</v>
      </c>
      <c r="Q100" s="798">
        <v>48533</v>
      </c>
      <c r="R100" s="798">
        <v>46706</v>
      </c>
      <c r="S100" s="797">
        <v>7.2720000000000002</v>
      </c>
      <c r="T100" s="797">
        <v>3636</v>
      </c>
      <c r="U100" s="796" t="s">
        <v>634</v>
      </c>
      <c r="V100" s="796" t="s">
        <v>257</v>
      </c>
      <c r="W100" s="796" t="s">
        <v>257</v>
      </c>
      <c r="X100" s="796" t="s">
        <v>621</v>
      </c>
      <c r="Y100" s="796" t="s">
        <v>257</v>
      </c>
      <c r="Z100" s="796" t="s">
        <v>257</v>
      </c>
      <c r="AA100" s="796" t="s">
        <v>257</v>
      </c>
      <c r="AB100" s="796" t="s">
        <v>257</v>
      </c>
      <c r="AC100" s="796" t="s">
        <v>257</v>
      </c>
      <c r="AD100" s="284" t="e">
        <f t="shared" si="3"/>
        <v>#VALUE!</v>
      </c>
      <c r="AE100" s="284" t="e">
        <f t="shared" si="4"/>
        <v>#DIV/0!</v>
      </c>
      <c r="AF100" s="22">
        <f t="shared" si="5"/>
        <v>105.06</v>
      </c>
    </row>
    <row r="101" spans="1:32" x14ac:dyDescent="0.25">
      <c r="A101" s="796" t="s">
        <v>743</v>
      </c>
      <c r="B101" s="796" t="s">
        <v>257</v>
      </c>
      <c r="C101" s="796" t="s">
        <v>744</v>
      </c>
      <c r="D101" s="797">
        <v>100.995</v>
      </c>
      <c r="E101" s="798">
        <v>46249</v>
      </c>
      <c r="F101" s="797">
        <v>3.9333657257599</v>
      </c>
      <c r="G101" s="797">
        <v>1.4799632915622001</v>
      </c>
      <c r="H101" s="797">
        <v>1.4437311125261001</v>
      </c>
      <c r="I101" s="796" t="s">
        <v>617</v>
      </c>
      <c r="J101" s="796" t="s">
        <v>623</v>
      </c>
      <c r="K101" s="796" t="s">
        <v>354</v>
      </c>
      <c r="L101" s="796" t="s">
        <v>745</v>
      </c>
      <c r="M101" s="796" t="s">
        <v>327</v>
      </c>
      <c r="N101" s="796" t="s">
        <v>619</v>
      </c>
      <c r="O101" s="799">
        <v>200000</v>
      </c>
      <c r="P101" s="797">
        <v>200000</v>
      </c>
      <c r="Q101" s="796" t="s">
        <v>257</v>
      </c>
      <c r="R101" s="798">
        <v>46614</v>
      </c>
      <c r="S101" s="797">
        <v>4.625</v>
      </c>
      <c r="T101" s="797">
        <v>9250</v>
      </c>
      <c r="U101" s="796" t="s">
        <v>624</v>
      </c>
      <c r="V101" s="797">
        <v>100.88</v>
      </c>
      <c r="W101" s="797">
        <v>101.11</v>
      </c>
      <c r="X101" s="796" t="s">
        <v>621</v>
      </c>
      <c r="Y101" s="796" t="s">
        <v>257</v>
      </c>
      <c r="Z101" s="796" t="s">
        <v>257</v>
      </c>
      <c r="AA101" s="796" t="s">
        <v>257</v>
      </c>
      <c r="AB101" s="796" t="s">
        <v>257</v>
      </c>
      <c r="AC101" s="797">
        <v>36.001543943401003</v>
      </c>
      <c r="AD101" s="284">
        <f t="shared" si="3"/>
        <v>0.23000000000000398</v>
      </c>
      <c r="AE101" s="284">
        <f t="shared" si="4"/>
        <v>100.995</v>
      </c>
      <c r="AF101" s="22">
        <f t="shared" si="5"/>
        <v>100.995</v>
      </c>
    </row>
    <row r="102" spans="1:32" x14ac:dyDescent="0.25">
      <c r="A102" s="796" t="s">
        <v>746</v>
      </c>
      <c r="B102" s="796" t="s">
        <v>257</v>
      </c>
      <c r="C102" s="796" t="s">
        <v>747</v>
      </c>
      <c r="D102" s="797">
        <v>100</v>
      </c>
      <c r="E102" s="798">
        <v>46127</v>
      </c>
      <c r="F102" s="797">
        <v>5.4445431424104997</v>
      </c>
      <c r="G102" s="797">
        <v>1.5129334257689999</v>
      </c>
      <c r="H102" s="797">
        <v>1.4547423169581</v>
      </c>
      <c r="I102" s="796" t="s">
        <v>617</v>
      </c>
      <c r="J102" s="796" t="s">
        <v>623</v>
      </c>
      <c r="K102" s="796" t="s">
        <v>283</v>
      </c>
      <c r="L102" s="796" t="s">
        <v>748</v>
      </c>
      <c r="M102" s="796" t="s">
        <v>308</v>
      </c>
      <c r="N102" s="796" t="s">
        <v>635</v>
      </c>
      <c r="O102" s="799">
        <v>1000</v>
      </c>
      <c r="P102" s="796" t="s">
        <v>257</v>
      </c>
      <c r="Q102" s="798">
        <v>46492</v>
      </c>
      <c r="R102" s="796" t="s">
        <v>257</v>
      </c>
      <c r="S102" s="797">
        <v>5.375</v>
      </c>
      <c r="T102" s="797">
        <v>26.88</v>
      </c>
      <c r="U102" s="796" t="s">
        <v>624</v>
      </c>
      <c r="V102" s="797">
        <v>100</v>
      </c>
      <c r="W102" s="797">
        <v>100</v>
      </c>
      <c r="X102" s="796" t="s">
        <v>236</v>
      </c>
      <c r="Y102" s="796" t="s">
        <v>257</v>
      </c>
      <c r="Z102" s="796" t="s">
        <v>257</v>
      </c>
      <c r="AA102" s="796" t="s">
        <v>257</v>
      </c>
      <c r="AB102" s="796" t="s">
        <v>257</v>
      </c>
      <c r="AC102" s="797">
        <v>177.02229294372</v>
      </c>
      <c r="AD102" s="284">
        <f t="shared" si="3"/>
        <v>0</v>
      </c>
      <c r="AE102" s="284">
        <f t="shared" si="4"/>
        <v>100</v>
      </c>
      <c r="AF102" s="22">
        <f t="shared" si="5"/>
        <v>100</v>
      </c>
    </row>
    <row r="103" spans="1:32" x14ac:dyDescent="0.25">
      <c r="A103" s="796" t="s">
        <v>749</v>
      </c>
      <c r="B103" s="796" t="s">
        <v>257</v>
      </c>
      <c r="C103" s="796" t="s">
        <v>750</v>
      </c>
      <c r="D103" s="797">
        <v>100.0275</v>
      </c>
      <c r="E103" s="798">
        <v>46089</v>
      </c>
      <c r="F103" s="797">
        <v>4.1155909532321999</v>
      </c>
      <c r="G103" s="797">
        <v>1.0636158888992999</v>
      </c>
      <c r="H103" s="797">
        <v>1.0357606597893001</v>
      </c>
      <c r="I103" s="796" t="s">
        <v>617</v>
      </c>
      <c r="J103" s="796" t="s">
        <v>623</v>
      </c>
      <c r="K103" s="796" t="s">
        <v>290</v>
      </c>
      <c r="L103" s="796" t="s">
        <v>751</v>
      </c>
      <c r="M103" s="796" t="s">
        <v>308</v>
      </c>
      <c r="N103" s="796" t="s">
        <v>619</v>
      </c>
      <c r="O103" s="799">
        <v>150000</v>
      </c>
      <c r="P103" s="797">
        <v>150000</v>
      </c>
      <c r="Q103" s="798">
        <v>46454</v>
      </c>
      <c r="R103" s="796" t="s">
        <v>257</v>
      </c>
      <c r="S103" s="797">
        <v>4.1029999999999998</v>
      </c>
      <c r="T103" s="797">
        <v>3077.25</v>
      </c>
      <c r="U103" s="796" t="s">
        <v>624</v>
      </c>
      <c r="V103" s="797">
        <v>100.015</v>
      </c>
      <c r="W103" s="797">
        <v>100.04</v>
      </c>
      <c r="X103" s="796" t="s">
        <v>236</v>
      </c>
      <c r="Y103" s="796" t="s">
        <v>257</v>
      </c>
      <c r="Z103" s="796" t="s">
        <v>257</v>
      </c>
      <c r="AA103" s="796" t="s">
        <v>257</v>
      </c>
      <c r="AB103" s="796" t="s">
        <v>257</v>
      </c>
      <c r="AC103" s="797">
        <v>53.200626665201</v>
      </c>
      <c r="AD103" s="284">
        <f t="shared" si="3"/>
        <v>2.5000000000005684E-2</v>
      </c>
      <c r="AE103" s="284">
        <f t="shared" si="4"/>
        <v>100.0275</v>
      </c>
      <c r="AF103" s="22">
        <f t="shared" si="5"/>
        <v>100.0275</v>
      </c>
    </row>
    <row r="104" spans="1:32" x14ac:dyDescent="0.25">
      <c r="A104" s="796" t="s">
        <v>752</v>
      </c>
      <c r="B104" s="796" t="s">
        <v>257</v>
      </c>
      <c r="C104" s="796" t="s">
        <v>753</v>
      </c>
      <c r="D104" s="797">
        <v>100.205</v>
      </c>
      <c r="E104" s="798">
        <v>46151</v>
      </c>
      <c r="F104" s="797">
        <v>4.6299822061146996</v>
      </c>
      <c r="G104" s="797">
        <v>1.2262634904928</v>
      </c>
      <c r="H104" s="797">
        <v>1.1882778737469999</v>
      </c>
      <c r="I104" s="796" t="s">
        <v>617</v>
      </c>
      <c r="J104" s="796" t="s">
        <v>623</v>
      </c>
      <c r="K104" s="796" t="s">
        <v>265</v>
      </c>
      <c r="L104" s="796" t="s">
        <v>754</v>
      </c>
      <c r="M104" s="796" t="s">
        <v>643</v>
      </c>
      <c r="N104" s="796" t="s">
        <v>619</v>
      </c>
      <c r="O104" s="799">
        <v>200000</v>
      </c>
      <c r="P104" s="797">
        <v>200000</v>
      </c>
      <c r="Q104" s="798">
        <v>46516</v>
      </c>
      <c r="R104" s="798">
        <v>46427</v>
      </c>
      <c r="S104" s="797">
        <v>4.75</v>
      </c>
      <c r="T104" s="797">
        <v>4750</v>
      </c>
      <c r="U104" s="796" t="s">
        <v>624</v>
      </c>
      <c r="V104" s="797">
        <v>100.08</v>
      </c>
      <c r="W104" s="797">
        <v>100.33</v>
      </c>
      <c r="X104" s="796" t="s">
        <v>236</v>
      </c>
      <c r="Y104" s="796" t="s">
        <v>257</v>
      </c>
      <c r="Z104" s="796" t="s">
        <v>257</v>
      </c>
      <c r="AA104" s="796" t="s">
        <v>257</v>
      </c>
      <c r="AB104" s="796" t="s">
        <v>257</v>
      </c>
      <c r="AC104" s="797">
        <v>105.24519661943999</v>
      </c>
      <c r="AD104" s="284">
        <f t="shared" si="3"/>
        <v>0.25</v>
      </c>
      <c r="AE104" s="284">
        <f t="shared" si="4"/>
        <v>100.205</v>
      </c>
      <c r="AF104" s="22">
        <f t="shared" si="5"/>
        <v>100.205</v>
      </c>
    </row>
    <row r="105" spans="1:32" x14ac:dyDescent="0.25">
      <c r="A105" s="796" t="s">
        <v>755</v>
      </c>
      <c r="B105" s="796" t="s">
        <v>257</v>
      </c>
      <c r="C105" s="796" t="s">
        <v>756</v>
      </c>
      <c r="D105" s="797">
        <v>104.55</v>
      </c>
      <c r="E105" s="798">
        <v>46054</v>
      </c>
      <c r="F105" s="797">
        <v>5.6310373139258001</v>
      </c>
      <c r="G105" s="797">
        <v>7.4385437163616004</v>
      </c>
      <c r="H105" s="797">
        <v>7.1398113805505004</v>
      </c>
      <c r="I105" s="796" t="s">
        <v>617</v>
      </c>
      <c r="J105" s="796" t="s">
        <v>618</v>
      </c>
      <c r="K105" s="796" t="s">
        <v>265</v>
      </c>
      <c r="L105" s="796" t="s">
        <v>754</v>
      </c>
      <c r="M105" s="796" t="s">
        <v>643</v>
      </c>
      <c r="N105" s="796" t="s">
        <v>619</v>
      </c>
      <c r="O105" s="799">
        <v>2000</v>
      </c>
      <c r="P105" s="797">
        <v>2000</v>
      </c>
      <c r="Q105" s="798">
        <v>49706</v>
      </c>
      <c r="R105" s="796" t="s">
        <v>257</v>
      </c>
      <c r="S105" s="797">
        <v>6.15</v>
      </c>
      <c r="T105" s="797">
        <v>61.5</v>
      </c>
      <c r="U105" s="796" t="s">
        <v>648</v>
      </c>
      <c r="V105" s="797">
        <v>104.34</v>
      </c>
      <c r="W105" s="797">
        <v>105.87</v>
      </c>
      <c r="X105" s="796" t="s">
        <v>236</v>
      </c>
      <c r="Y105" s="796" t="s">
        <v>257</v>
      </c>
      <c r="Z105" s="796" t="s">
        <v>257</v>
      </c>
      <c r="AA105" s="796" t="s">
        <v>257</v>
      </c>
      <c r="AB105" s="796" t="s">
        <v>257</v>
      </c>
      <c r="AC105" s="797">
        <v>168.33193374516</v>
      </c>
      <c r="AD105" s="284">
        <f t="shared" si="3"/>
        <v>1.5300000000000011</v>
      </c>
      <c r="AE105" s="284">
        <f t="shared" si="4"/>
        <v>105.105</v>
      </c>
      <c r="AF105" s="22">
        <f t="shared" si="5"/>
        <v>105.105</v>
      </c>
    </row>
    <row r="106" spans="1:32" x14ac:dyDescent="0.25">
      <c r="A106" s="796" t="s">
        <v>757</v>
      </c>
      <c r="B106" s="796" t="s">
        <v>257</v>
      </c>
      <c r="C106" s="796" t="s">
        <v>758</v>
      </c>
      <c r="D106" s="797">
        <v>95.7</v>
      </c>
      <c r="E106" s="798">
        <v>46162</v>
      </c>
      <c r="F106" s="797">
        <v>5.7955891554147003</v>
      </c>
      <c r="G106" s="797">
        <v>12.87238960735</v>
      </c>
      <c r="H106" s="797">
        <v>12.336216377763</v>
      </c>
      <c r="I106" s="796" t="s">
        <v>617</v>
      </c>
      <c r="J106" s="796" t="s">
        <v>623</v>
      </c>
      <c r="K106" s="796" t="s">
        <v>759</v>
      </c>
      <c r="L106" s="796" t="s">
        <v>760</v>
      </c>
      <c r="M106" s="796" t="s">
        <v>258</v>
      </c>
      <c r="N106" s="796" t="s">
        <v>619</v>
      </c>
      <c r="O106" s="799">
        <v>200000</v>
      </c>
      <c r="P106" s="797">
        <v>200000</v>
      </c>
      <c r="Q106" s="798">
        <v>54382</v>
      </c>
      <c r="R106" s="796" t="s">
        <v>257</v>
      </c>
      <c r="S106" s="797">
        <v>5.375</v>
      </c>
      <c r="T106" s="797">
        <v>5375</v>
      </c>
      <c r="U106" s="796" t="s">
        <v>624</v>
      </c>
      <c r="V106" s="797">
        <v>95.57</v>
      </c>
      <c r="W106" s="797">
        <v>95.83</v>
      </c>
      <c r="X106" s="796" t="s">
        <v>236</v>
      </c>
      <c r="Y106" s="796" t="s">
        <v>257</v>
      </c>
      <c r="Z106" s="796" t="s">
        <v>257</v>
      </c>
      <c r="AA106" s="796" t="s">
        <v>257</v>
      </c>
      <c r="AB106" s="796" t="s">
        <v>257</v>
      </c>
      <c r="AC106" s="797">
        <v>124.59730442724999</v>
      </c>
      <c r="AD106" s="284">
        <f t="shared" si="3"/>
        <v>0.26000000000000512</v>
      </c>
      <c r="AE106" s="284">
        <f t="shared" si="4"/>
        <v>95.699999999999989</v>
      </c>
      <c r="AF106" s="22">
        <f t="shared" si="5"/>
        <v>95.7</v>
      </c>
    </row>
    <row r="107" spans="1:32" x14ac:dyDescent="0.25">
      <c r="A107" s="796" t="s">
        <v>761</v>
      </c>
      <c r="B107" s="796" t="s">
        <v>257</v>
      </c>
      <c r="C107" s="796" t="s">
        <v>114</v>
      </c>
      <c r="D107" s="797">
        <v>104.41</v>
      </c>
      <c r="E107" s="798">
        <v>46053</v>
      </c>
      <c r="F107" s="797">
        <v>5.9727672865499004</v>
      </c>
      <c r="G107" s="797">
        <v>3.0420375914854998</v>
      </c>
      <c r="H107" s="797">
        <v>2.9104534991047002</v>
      </c>
      <c r="I107" s="796" t="s">
        <v>617</v>
      </c>
      <c r="J107" s="796" t="s">
        <v>618</v>
      </c>
      <c r="K107" s="796" t="s">
        <v>306</v>
      </c>
      <c r="L107" s="796" t="s">
        <v>313</v>
      </c>
      <c r="M107" s="796" t="s">
        <v>312</v>
      </c>
      <c r="N107" s="796" t="s">
        <v>619</v>
      </c>
      <c r="O107" s="799">
        <v>200000</v>
      </c>
      <c r="P107" s="797">
        <v>200000</v>
      </c>
      <c r="Q107" s="798">
        <v>67419</v>
      </c>
      <c r="R107" s="798">
        <v>47330</v>
      </c>
      <c r="S107" s="797">
        <v>7.25</v>
      </c>
      <c r="T107" s="797">
        <v>3625</v>
      </c>
      <c r="U107" s="796" t="s">
        <v>620</v>
      </c>
      <c r="V107" s="797">
        <v>104.33</v>
      </c>
      <c r="W107" s="797">
        <v>105.52</v>
      </c>
      <c r="X107" s="796" t="s">
        <v>621</v>
      </c>
      <c r="Y107" s="796" t="s">
        <v>257</v>
      </c>
      <c r="Z107" s="796" t="s">
        <v>257</v>
      </c>
      <c r="AA107" s="796" t="s">
        <v>257</v>
      </c>
      <c r="AB107" s="796" t="s">
        <v>257</v>
      </c>
      <c r="AC107" s="797">
        <v>233.14773920907999</v>
      </c>
      <c r="AD107" s="284">
        <f t="shared" si="3"/>
        <v>1.1899999999999977</v>
      </c>
      <c r="AE107" s="284">
        <f t="shared" si="4"/>
        <v>104.925</v>
      </c>
      <c r="AF107" s="22">
        <f t="shared" si="5"/>
        <v>104.41</v>
      </c>
    </row>
    <row r="108" spans="1:32" x14ac:dyDescent="0.25">
      <c r="A108" s="796" t="s">
        <v>762</v>
      </c>
      <c r="B108" s="796" t="s">
        <v>257</v>
      </c>
      <c r="C108" s="796" t="s">
        <v>143</v>
      </c>
      <c r="D108" s="797">
        <v>104.86199999999999</v>
      </c>
      <c r="E108" s="798">
        <v>46053</v>
      </c>
      <c r="F108" s="797">
        <v>5.2980887390755003</v>
      </c>
      <c r="G108" s="797">
        <v>1.6035263780843001</v>
      </c>
      <c r="H108" s="797">
        <v>1.5439953348141999</v>
      </c>
      <c r="I108" s="796" t="s">
        <v>617</v>
      </c>
      <c r="J108" s="796" t="s">
        <v>623</v>
      </c>
      <c r="K108" s="796" t="s">
        <v>306</v>
      </c>
      <c r="L108" s="796" t="s">
        <v>313</v>
      </c>
      <c r="M108" s="796" t="s">
        <v>312</v>
      </c>
      <c r="N108" s="796" t="s">
        <v>619</v>
      </c>
      <c r="O108" s="799">
        <v>200000</v>
      </c>
      <c r="P108" s="797">
        <v>200000</v>
      </c>
      <c r="Q108" s="798">
        <v>66780</v>
      </c>
      <c r="R108" s="798">
        <v>46691</v>
      </c>
      <c r="S108" s="797">
        <v>8.125</v>
      </c>
      <c r="T108" s="797">
        <v>4062.5</v>
      </c>
      <c r="U108" s="796" t="s">
        <v>624</v>
      </c>
      <c r="V108" s="797">
        <v>104.684</v>
      </c>
      <c r="W108" s="797">
        <v>105.04</v>
      </c>
      <c r="X108" s="796" t="s">
        <v>621</v>
      </c>
      <c r="Y108" s="796" t="s">
        <v>257</v>
      </c>
      <c r="Z108" s="796" t="s">
        <v>257</v>
      </c>
      <c r="AA108" s="796" t="s">
        <v>257</v>
      </c>
      <c r="AB108" s="796" t="s">
        <v>257</v>
      </c>
      <c r="AC108" s="797">
        <v>172.47141305552</v>
      </c>
      <c r="AD108" s="284">
        <f t="shared" si="3"/>
        <v>0.35600000000000875</v>
      </c>
      <c r="AE108" s="284">
        <f t="shared" si="4"/>
        <v>104.86199999999999</v>
      </c>
      <c r="AF108" s="22">
        <f t="shared" si="5"/>
        <v>104.86199999999999</v>
      </c>
    </row>
    <row r="109" spans="1:32" x14ac:dyDescent="0.25">
      <c r="A109" s="796" t="s">
        <v>763</v>
      </c>
      <c r="B109" s="796" t="s">
        <v>257</v>
      </c>
      <c r="C109" s="796" t="s">
        <v>764</v>
      </c>
      <c r="D109" s="797">
        <v>100.188</v>
      </c>
      <c r="E109" s="798">
        <v>46068</v>
      </c>
      <c r="F109" s="797">
        <v>5.5922701097393004</v>
      </c>
      <c r="G109" s="797">
        <v>0.52293496252341998</v>
      </c>
      <c r="H109" s="797">
        <v>0.50211814516632003</v>
      </c>
      <c r="I109" s="796" t="s">
        <v>617</v>
      </c>
      <c r="J109" s="796" t="s">
        <v>618</v>
      </c>
      <c r="K109" s="796" t="s">
        <v>306</v>
      </c>
      <c r="L109" s="796" t="s">
        <v>765</v>
      </c>
      <c r="M109" s="796" t="s">
        <v>315</v>
      </c>
      <c r="N109" s="796" t="s">
        <v>619</v>
      </c>
      <c r="O109" s="799">
        <v>1000</v>
      </c>
      <c r="P109" s="797">
        <v>1000</v>
      </c>
      <c r="Q109" s="798">
        <v>64512</v>
      </c>
      <c r="R109" s="798">
        <v>46249</v>
      </c>
      <c r="S109" s="797">
        <v>5.875</v>
      </c>
      <c r="T109" s="797">
        <v>29.38</v>
      </c>
      <c r="U109" s="796" t="s">
        <v>627</v>
      </c>
      <c r="V109" s="796" t="s">
        <v>257</v>
      </c>
      <c r="W109" s="796" t="s">
        <v>257</v>
      </c>
      <c r="X109" s="796" t="s">
        <v>621</v>
      </c>
      <c r="Y109" s="796" t="s">
        <v>257</v>
      </c>
      <c r="Z109" s="796" t="s">
        <v>257</v>
      </c>
      <c r="AA109" s="796" t="s">
        <v>257</v>
      </c>
      <c r="AB109" s="796" t="s">
        <v>257</v>
      </c>
      <c r="AC109" s="797">
        <v>196.50698297894999</v>
      </c>
      <c r="AD109" s="284" t="e">
        <f t="shared" si="3"/>
        <v>#VALUE!</v>
      </c>
      <c r="AE109" s="284" t="e">
        <f t="shared" si="4"/>
        <v>#DIV/0!</v>
      </c>
      <c r="AF109" s="22">
        <f t="shared" si="5"/>
        <v>100.188</v>
      </c>
    </row>
    <row r="110" spans="1:32" x14ac:dyDescent="0.25">
      <c r="A110" s="796" t="s">
        <v>766</v>
      </c>
      <c r="B110" s="796" t="s">
        <v>257</v>
      </c>
      <c r="C110" s="796" t="s">
        <v>108</v>
      </c>
      <c r="D110" s="797">
        <v>103.62</v>
      </c>
      <c r="E110" s="798">
        <v>46162</v>
      </c>
      <c r="F110" s="797">
        <v>6.2390740359871</v>
      </c>
      <c r="G110" s="797">
        <v>2.9233625819276998</v>
      </c>
      <c r="H110" s="797">
        <v>2.7899008598343999</v>
      </c>
      <c r="I110" s="796" t="s">
        <v>617</v>
      </c>
      <c r="J110" s="796" t="s">
        <v>618</v>
      </c>
      <c r="K110" s="796" t="s">
        <v>281</v>
      </c>
      <c r="L110" s="796" t="s">
        <v>767</v>
      </c>
      <c r="M110" s="796" t="s">
        <v>308</v>
      </c>
      <c r="N110" s="796" t="s">
        <v>619</v>
      </c>
      <c r="O110" s="799">
        <v>200000</v>
      </c>
      <c r="P110" s="797">
        <v>200000</v>
      </c>
      <c r="Q110" s="798">
        <v>47258</v>
      </c>
      <c r="R110" s="798">
        <v>47169</v>
      </c>
      <c r="S110" s="797">
        <v>7.375</v>
      </c>
      <c r="T110" s="797">
        <v>7375</v>
      </c>
      <c r="U110" s="796" t="s">
        <v>620</v>
      </c>
      <c r="V110" s="797">
        <v>103.53</v>
      </c>
      <c r="W110" s="797">
        <v>104.78</v>
      </c>
      <c r="X110" s="796" t="s">
        <v>236</v>
      </c>
      <c r="Y110" s="796" t="s">
        <v>257</v>
      </c>
      <c r="Z110" s="796" t="s">
        <v>257</v>
      </c>
      <c r="AA110" s="796" t="s">
        <v>257</v>
      </c>
      <c r="AB110" s="796" t="s">
        <v>257</v>
      </c>
      <c r="AC110" s="797">
        <v>260.67551697610003</v>
      </c>
      <c r="AD110" s="284">
        <f t="shared" si="3"/>
        <v>1.25</v>
      </c>
      <c r="AE110" s="284">
        <f t="shared" si="4"/>
        <v>104.155</v>
      </c>
      <c r="AF110" s="22">
        <f t="shared" si="5"/>
        <v>103.62</v>
      </c>
    </row>
    <row r="111" spans="1:32" x14ac:dyDescent="0.25">
      <c r="A111" s="796" t="s">
        <v>768</v>
      </c>
      <c r="B111" s="796" t="s">
        <v>257</v>
      </c>
      <c r="C111" s="796" t="s">
        <v>184</v>
      </c>
      <c r="D111" s="797">
        <v>105.81</v>
      </c>
      <c r="E111" s="798">
        <v>46227</v>
      </c>
      <c r="F111" s="797">
        <v>6.5682747673122002</v>
      </c>
      <c r="G111" s="797">
        <v>4.8754398854663004</v>
      </c>
      <c r="H111" s="797">
        <v>4.6384858337184998</v>
      </c>
      <c r="I111" s="796" t="s">
        <v>617</v>
      </c>
      <c r="J111" s="796" t="s">
        <v>618</v>
      </c>
      <c r="K111" s="796" t="s">
        <v>281</v>
      </c>
      <c r="L111" s="796" t="s">
        <v>359</v>
      </c>
      <c r="M111" s="796" t="s">
        <v>308</v>
      </c>
      <c r="N111" s="796" t="s">
        <v>619</v>
      </c>
      <c r="O111" s="799">
        <v>200000</v>
      </c>
      <c r="P111" s="797">
        <v>200000</v>
      </c>
      <c r="Q111" s="798">
        <v>48237</v>
      </c>
      <c r="R111" s="798">
        <v>48145</v>
      </c>
      <c r="S111" s="797">
        <v>7.65</v>
      </c>
      <c r="T111" s="797">
        <v>7650</v>
      </c>
      <c r="U111" s="796" t="s">
        <v>620</v>
      </c>
      <c r="V111" s="797">
        <v>105.69</v>
      </c>
      <c r="W111" s="797">
        <v>106.89</v>
      </c>
      <c r="X111" s="796" t="s">
        <v>236</v>
      </c>
      <c r="Y111" s="796" t="s">
        <v>257</v>
      </c>
      <c r="Z111" s="796" t="s">
        <v>257</v>
      </c>
      <c r="AA111" s="796" t="s">
        <v>257</v>
      </c>
      <c r="AB111" s="796" t="s">
        <v>257</v>
      </c>
      <c r="AC111" s="797">
        <v>275.39469812197001</v>
      </c>
      <c r="AD111" s="284">
        <f t="shared" si="3"/>
        <v>1.2000000000000028</v>
      </c>
      <c r="AE111" s="284">
        <f t="shared" si="4"/>
        <v>106.28999999999999</v>
      </c>
      <c r="AF111" s="22">
        <f t="shared" si="5"/>
        <v>105.81</v>
      </c>
    </row>
    <row r="112" spans="1:32" x14ac:dyDescent="0.25">
      <c r="A112" s="796" t="s">
        <v>769</v>
      </c>
      <c r="B112" s="796" t="s">
        <v>257</v>
      </c>
      <c r="C112" s="796" t="s">
        <v>75</v>
      </c>
      <c r="D112" s="797">
        <v>91.09</v>
      </c>
      <c r="E112" s="798">
        <v>46070</v>
      </c>
      <c r="F112" s="797">
        <v>7.6524650613769003</v>
      </c>
      <c r="G112" s="797">
        <v>10.217624045335</v>
      </c>
      <c r="H112" s="797">
        <v>9.6231289125638</v>
      </c>
      <c r="I112" s="796" t="s">
        <v>617</v>
      </c>
      <c r="J112" s="796" t="s">
        <v>618</v>
      </c>
      <c r="K112" s="796" t="s">
        <v>281</v>
      </c>
      <c r="L112" s="796" t="s">
        <v>281</v>
      </c>
      <c r="M112" s="796" t="s">
        <v>257</v>
      </c>
      <c r="N112" s="796" t="s">
        <v>619</v>
      </c>
      <c r="O112" s="799">
        <v>200000</v>
      </c>
      <c r="P112" s="797">
        <v>200000</v>
      </c>
      <c r="Q112" s="798">
        <v>53010</v>
      </c>
      <c r="R112" s="796" t="s">
        <v>257</v>
      </c>
      <c r="S112" s="797">
        <v>6.625</v>
      </c>
      <c r="T112" s="797">
        <v>6625</v>
      </c>
      <c r="U112" s="796" t="s">
        <v>620</v>
      </c>
      <c r="V112" s="797">
        <v>91.07</v>
      </c>
      <c r="W112" s="797">
        <v>91.68</v>
      </c>
      <c r="X112" s="796" t="s">
        <v>236</v>
      </c>
      <c r="Y112" s="796" t="s">
        <v>257</v>
      </c>
      <c r="Z112" s="796" t="s">
        <v>257</v>
      </c>
      <c r="AA112" s="796" t="s">
        <v>257</v>
      </c>
      <c r="AB112" s="796" t="s">
        <v>257</v>
      </c>
      <c r="AC112" s="797">
        <v>330.77743719586999</v>
      </c>
      <c r="AD112" s="284">
        <f t="shared" si="3"/>
        <v>0.61000000000001364</v>
      </c>
      <c r="AE112" s="284">
        <f t="shared" si="4"/>
        <v>91.375</v>
      </c>
      <c r="AF112" s="22">
        <f t="shared" si="5"/>
        <v>91.09</v>
      </c>
    </row>
    <row r="113" spans="1:32" s="24" customFormat="1" x14ac:dyDescent="0.25">
      <c r="A113" s="796" t="s">
        <v>770</v>
      </c>
      <c r="B113" s="796" t="s">
        <v>257</v>
      </c>
      <c r="C113" s="796" t="s">
        <v>103</v>
      </c>
      <c r="D113" s="797">
        <v>104.29</v>
      </c>
      <c r="E113" s="798">
        <v>46220</v>
      </c>
      <c r="F113" s="797">
        <v>6.4056650892590001</v>
      </c>
      <c r="G113" s="797">
        <v>5.2369433085901003</v>
      </c>
      <c r="H113" s="797">
        <v>4.9900337805008004</v>
      </c>
      <c r="I113" s="796" t="s">
        <v>617</v>
      </c>
      <c r="J113" s="796" t="s">
        <v>618</v>
      </c>
      <c r="K113" s="796" t="s">
        <v>281</v>
      </c>
      <c r="L113" s="796" t="s">
        <v>281</v>
      </c>
      <c r="M113" s="796" t="s">
        <v>257</v>
      </c>
      <c r="N113" s="796" t="s">
        <v>619</v>
      </c>
      <c r="O113" s="799">
        <v>200000</v>
      </c>
      <c r="P113" s="797">
        <v>200000</v>
      </c>
      <c r="Q113" s="798">
        <v>48412</v>
      </c>
      <c r="R113" s="796" t="s">
        <v>257</v>
      </c>
      <c r="S113" s="797">
        <v>7.125</v>
      </c>
      <c r="T113" s="797">
        <v>7125</v>
      </c>
      <c r="U113" s="796" t="s">
        <v>620</v>
      </c>
      <c r="V113" s="797">
        <v>103.955</v>
      </c>
      <c r="W113" s="797">
        <v>104.7</v>
      </c>
      <c r="X113" s="796" t="s">
        <v>236</v>
      </c>
      <c r="Y113" s="796" t="s">
        <v>257</v>
      </c>
      <c r="Z113" s="796" t="s">
        <v>257</v>
      </c>
      <c r="AA113" s="796" t="s">
        <v>257</v>
      </c>
      <c r="AB113" s="796" t="s">
        <v>257</v>
      </c>
      <c r="AC113" s="797">
        <v>255.33839307591001</v>
      </c>
      <c r="AD113" s="314">
        <f t="shared" si="3"/>
        <v>0.74500000000000455</v>
      </c>
      <c r="AE113" s="314">
        <f t="shared" si="4"/>
        <v>104.3275</v>
      </c>
      <c r="AF113" s="24">
        <f t="shared" si="5"/>
        <v>104.29</v>
      </c>
    </row>
    <row r="114" spans="1:32" s="233" customFormat="1" x14ac:dyDescent="0.25">
      <c r="A114" s="796" t="s">
        <v>773</v>
      </c>
      <c r="B114" s="796" t="s">
        <v>257</v>
      </c>
      <c r="C114" s="796" t="s">
        <v>173</v>
      </c>
      <c r="D114" s="797">
        <v>102.02</v>
      </c>
      <c r="E114" s="798">
        <v>46091</v>
      </c>
      <c r="F114" s="797">
        <v>6.3109816889437003</v>
      </c>
      <c r="G114" s="797">
        <v>3.1417189293616001</v>
      </c>
      <c r="H114" s="797">
        <v>2.9962604651809999</v>
      </c>
      <c r="I114" s="796" t="s">
        <v>617</v>
      </c>
      <c r="J114" s="796" t="s">
        <v>618</v>
      </c>
      <c r="K114" s="796" t="s">
        <v>354</v>
      </c>
      <c r="L114" s="796" t="s">
        <v>355</v>
      </c>
      <c r="M114" s="796" t="s">
        <v>312</v>
      </c>
      <c r="N114" s="796" t="s">
        <v>619</v>
      </c>
      <c r="O114" s="799">
        <v>200000</v>
      </c>
      <c r="P114" s="797">
        <v>200000</v>
      </c>
      <c r="Q114" s="796" t="s">
        <v>257</v>
      </c>
      <c r="R114" s="798">
        <v>47371</v>
      </c>
      <c r="S114" s="797">
        <v>6.85</v>
      </c>
      <c r="T114" s="797">
        <v>6850</v>
      </c>
      <c r="U114" s="796" t="s">
        <v>620</v>
      </c>
      <c r="V114" s="797">
        <v>101.97</v>
      </c>
      <c r="W114" s="797">
        <v>102.59</v>
      </c>
      <c r="X114" s="796" t="s">
        <v>621</v>
      </c>
      <c r="Y114" s="796" t="s">
        <v>257</v>
      </c>
      <c r="Z114" s="796" t="s">
        <v>257</v>
      </c>
      <c r="AA114" s="796" t="s">
        <v>257</v>
      </c>
      <c r="AB114" s="796" t="s">
        <v>257</v>
      </c>
      <c r="AC114" s="797">
        <v>266.18417352839998</v>
      </c>
      <c r="AD114" s="284">
        <f t="shared" si="3"/>
        <v>0.62000000000000455</v>
      </c>
      <c r="AE114" s="284">
        <f t="shared" si="4"/>
        <v>102.28</v>
      </c>
      <c r="AF114" s="22">
        <f t="shared" si="5"/>
        <v>102.02</v>
      </c>
    </row>
    <row r="115" spans="1:32" s="22" customFormat="1" x14ac:dyDescent="0.25">
      <c r="A115" s="796" t="s">
        <v>774</v>
      </c>
      <c r="B115" s="796" t="s">
        <v>257</v>
      </c>
      <c r="C115" s="796" t="s">
        <v>775</v>
      </c>
      <c r="D115" s="797">
        <v>100.375</v>
      </c>
      <c r="E115" s="796" t="s">
        <v>257</v>
      </c>
      <c r="F115" s="797">
        <v>6.3863105159613003</v>
      </c>
      <c r="G115" s="797">
        <v>0.85479452054795002</v>
      </c>
      <c r="H115" s="797">
        <v>0.81464115304256002</v>
      </c>
      <c r="I115" s="796" t="s">
        <v>617</v>
      </c>
      <c r="J115" s="796" t="s">
        <v>618</v>
      </c>
      <c r="K115" s="796" t="s">
        <v>354</v>
      </c>
      <c r="L115" s="796" t="s">
        <v>355</v>
      </c>
      <c r="M115" s="796" t="s">
        <v>312</v>
      </c>
      <c r="N115" s="796" t="s">
        <v>635</v>
      </c>
      <c r="O115" s="799">
        <v>1000</v>
      </c>
      <c r="P115" s="796" t="s">
        <v>257</v>
      </c>
      <c r="Q115" s="796" t="s">
        <v>257</v>
      </c>
      <c r="R115" s="796" t="s">
        <v>257</v>
      </c>
      <c r="S115" s="796" t="s">
        <v>257</v>
      </c>
      <c r="T115" s="796" t="s">
        <v>257</v>
      </c>
      <c r="U115" s="796" t="s">
        <v>648</v>
      </c>
      <c r="V115" s="797">
        <v>100.38500000000001</v>
      </c>
      <c r="W115" s="797">
        <v>100.605</v>
      </c>
      <c r="X115" s="796" t="s">
        <v>621</v>
      </c>
      <c r="Y115" s="796" t="s">
        <v>257</v>
      </c>
      <c r="Z115" s="796" t="s">
        <v>257</v>
      </c>
      <c r="AA115" s="796" t="s">
        <v>257</v>
      </c>
      <c r="AB115" s="796" t="s">
        <v>257</v>
      </c>
      <c r="AC115" s="797">
        <v>240.00139741963</v>
      </c>
      <c r="AD115" s="284">
        <f t="shared" si="3"/>
        <v>0.21999999999999886</v>
      </c>
      <c r="AE115" s="284">
        <f t="shared" si="4"/>
        <v>100.495</v>
      </c>
      <c r="AF115" s="22">
        <f t="shared" si="5"/>
        <v>100.375</v>
      </c>
    </row>
    <row r="116" spans="1:32" x14ac:dyDescent="0.25">
      <c r="A116" s="796" t="s">
        <v>776</v>
      </c>
      <c r="B116" s="796" t="s">
        <v>257</v>
      </c>
      <c r="C116" s="796" t="s">
        <v>777</v>
      </c>
      <c r="D116" s="797">
        <v>99.96</v>
      </c>
      <c r="E116" s="796" t="s">
        <v>257</v>
      </c>
      <c r="F116" s="796" t="s">
        <v>257</v>
      </c>
      <c r="G116" s="796" t="s">
        <v>257</v>
      </c>
      <c r="H116" s="796" t="s">
        <v>257</v>
      </c>
      <c r="I116" s="796" t="s">
        <v>617</v>
      </c>
      <c r="J116" s="796" t="s">
        <v>623</v>
      </c>
      <c r="K116" s="796" t="s">
        <v>354</v>
      </c>
      <c r="L116" s="796" t="s">
        <v>355</v>
      </c>
      <c r="M116" s="796" t="s">
        <v>312</v>
      </c>
      <c r="N116" s="796" t="s">
        <v>619</v>
      </c>
      <c r="O116" s="799">
        <v>200000</v>
      </c>
      <c r="P116" s="796" t="s">
        <v>257</v>
      </c>
      <c r="Q116" s="796" t="s">
        <v>257</v>
      </c>
      <c r="R116" s="796" t="s">
        <v>257</v>
      </c>
      <c r="S116" s="796" t="s">
        <v>257</v>
      </c>
      <c r="T116" s="796" t="s">
        <v>257</v>
      </c>
      <c r="U116" s="796" t="s">
        <v>624</v>
      </c>
      <c r="V116" s="797">
        <v>99.92</v>
      </c>
      <c r="W116" s="797">
        <v>100</v>
      </c>
      <c r="X116" s="796" t="s">
        <v>257</v>
      </c>
      <c r="Y116" s="796" t="s">
        <v>257</v>
      </c>
      <c r="Z116" s="796" t="s">
        <v>257</v>
      </c>
      <c r="AA116" s="796" t="s">
        <v>257</v>
      </c>
      <c r="AB116" s="796" t="s">
        <v>257</v>
      </c>
      <c r="AC116" s="796" t="s">
        <v>257</v>
      </c>
      <c r="AD116" s="284">
        <f t="shared" si="3"/>
        <v>7.9999999999998295E-2</v>
      </c>
      <c r="AE116" s="284">
        <f t="shared" si="4"/>
        <v>99.960000000000008</v>
      </c>
      <c r="AF116" s="22">
        <f t="shared" si="5"/>
        <v>99.96</v>
      </c>
    </row>
    <row r="117" spans="1:32" x14ac:dyDescent="0.25">
      <c r="A117" s="796" t="s">
        <v>776</v>
      </c>
      <c r="B117" s="796" t="s">
        <v>257</v>
      </c>
      <c r="C117" s="796" t="s">
        <v>2337</v>
      </c>
      <c r="D117" s="797">
        <v>101.08</v>
      </c>
      <c r="E117" s="798">
        <v>46211</v>
      </c>
      <c r="F117" s="797">
        <v>6.9648206800238999</v>
      </c>
      <c r="G117" s="797">
        <v>7.2127374521896002</v>
      </c>
      <c r="H117" s="797">
        <v>6.8367471798263004</v>
      </c>
      <c r="I117" s="796" t="s">
        <v>617</v>
      </c>
      <c r="J117" s="796" t="s">
        <v>618</v>
      </c>
      <c r="K117" s="796" t="s">
        <v>354</v>
      </c>
      <c r="L117" s="796" t="s">
        <v>355</v>
      </c>
      <c r="M117" s="796" t="s">
        <v>312</v>
      </c>
      <c r="N117" s="796" t="s">
        <v>619</v>
      </c>
      <c r="O117" s="799">
        <v>200000</v>
      </c>
      <c r="P117" s="797">
        <v>200000</v>
      </c>
      <c r="Q117" s="796" t="s">
        <v>257</v>
      </c>
      <c r="R117" s="798">
        <v>49682</v>
      </c>
      <c r="S117" s="797">
        <v>7</v>
      </c>
      <c r="T117" s="797">
        <v>7000</v>
      </c>
      <c r="U117" s="796" t="s">
        <v>620</v>
      </c>
      <c r="V117" s="797">
        <v>100.9</v>
      </c>
      <c r="W117" s="797">
        <v>101.85</v>
      </c>
      <c r="X117" s="796" t="s">
        <v>621</v>
      </c>
      <c r="Y117" s="796" t="s">
        <v>257</v>
      </c>
      <c r="Z117" s="796" t="s">
        <v>257</v>
      </c>
      <c r="AA117" s="796" t="s">
        <v>257</v>
      </c>
      <c r="AB117" s="796" t="s">
        <v>257</v>
      </c>
      <c r="AC117" s="797">
        <v>290.46528677749001</v>
      </c>
      <c r="AD117" s="284">
        <f t="shared" si="3"/>
        <v>0.94999999999998863</v>
      </c>
      <c r="AE117" s="284">
        <f t="shared" si="4"/>
        <v>101.375</v>
      </c>
      <c r="AF117" s="22">
        <f t="shared" si="5"/>
        <v>101.08</v>
      </c>
    </row>
    <row r="118" spans="1:32" x14ac:dyDescent="0.25">
      <c r="A118" s="796" t="s">
        <v>778</v>
      </c>
      <c r="B118" s="796" t="s">
        <v>257</v>
      </c>
      <c r="C118" s="796" t="s">
        <v>361</v>
      </c>
      <c r="D118" s="797">
        <v>102.4</v>
      </c>
      <c r="E118" s="798">
        <v>46063</v>
      </c>
      <c r="F118" s="797">
        <v>6.8637030965069998</v>
      </c>
      <c r="G118" s="797">
        <v>6.2691390387074</v>
      </c>
      <c r="H118" s="797">
        <v>5.9479600931523997</v>
      </c>
      <c r="I118" s="796" t="s">
        <v>617</v>
      </c>
      <c r="J118" s="796" t="s">
        <v>618</v>
      </c>
      <c r="K118" s="796" t="s">
        <v>354</v>
      </c>
      <c r="L118" s="796" t="s">
        <v>355</v>
      </c>
      <c r="M118" s="796" t="s">
        <v>312</v>
      </c>
      <c r="N118" s="796" t="s">
        <v>619</v>
      </c>
      <c r="O118" s="799">
        <v>200000</v>
      </c>
      <c r="P118" s="797">
        <v>200000</v>
      </c>
      <c r="Q118" s="796" t="s">
        <v>257</v>
      </c>
      <c r="R118" s="798">
        <v>49166</v>
      </c>
      <c r="S118" s="797">
        <v>7.125</v>
      </c>
      <c r="T118" s="797">
        <v>7125</v>
      </c>
      <c r="U118" s="796" t="s">
        <v>620</v>
      </c>
      <c r="V118" s="797">
        <v>102.43</v>
      </c>
      <c r="W118" s="797">
        <v>102.72</v>
      </c>
      <c r="X118" s="796" t="s">
        <v>621</v>
      </c>
      <c r="Y118" s="796" t="s">
        <v>257</v>
      </c>
      <c r="Z118" s="796" t="s">
        <v>257</v>
      </c>
      <c r="AA118" s="796" t="s">
        <v>257</v>
      </c>
      <c r="AB118" s="796" t="s">
        <v>257</v>
      </c>
      <c r="AC118" s="797">
        <v>290.20031482192002</v>
      </c>
      <c r="AD118" s="284">
        <f t="shared" si="3"/>
        <v>0.28999999999999204</v>
      </c>
      <c r="AE118" s="284">
        <f t="shared" si="4"/>
        <v>102.575</v>
      </c>
      <c r="AF118" s="22">
        <f t="shared" si="5"/>
        <v>102.4</v>
      </c>
    </row>
    <row r="119" spans="1:32" x14ac:dyDescent="0.25">
      <c r="A119" s="796" t="s">
        <v>779</v>
      </c>
      <c r="B119" s="796" t="s">
        <v>257</v>
      </c>
      <c r="C119" s="796" t="s">
        <v>780</v>
      </c>
      <c r="D119" s="797">
        <v>79.073999999999998</v>
      </c>
      <c r="E119" s="798">
        <v>46157</v>
      </c>
      <c r="F119" s="797">
        <v>4.9809547358615998</v>
      </c>
      <c r="G119" s="797">
        <v>14.995702749517999</v>
      </c>
      <c r="H119" s="797">
        <v>14.245184682983</v>
      </c>
      <c r="I119" s="796" t="s">
        <v>617</v>
      </c>
      <c r="J119" s="796" t="s">
        <v>623</v>
      </c>
      <c r="K119" s="796" t="s">
        <v>283</v>
      </c>
      <c r="L119" s="796" t="s">
        <v>283</v>
      </c>
      <c r="M119" s="796" t="s">
        <v>257</v>
      </c>
      <c r="N119" s="796" t="s">
        <v>635</v>
      </c>
      <c r="O119" s="799">
        <v>100</v>
      </c>
      <c r="P119" s="797">
        <v>100</v>
      </c>
      <c r="Q119" s="798">
        <v>54377</v>
      </c>
      <c r="R119" s="796" t="s">
        <v>257</v>
      </c>
      <c r="S119" s="797">
        <v>3.375</v>
      </c>
      <c r="T119" s="797">
        <v>1.6875</v>
      </c>
      <c r="U119" s="796" t="s">
        <v>624</v>
      </c>
      <c r="V119" s="797">
        <v>79.063999999999993</v>
      </c>
      <c r="W119" s="797">
        <v>79.084000000000003</v>
      </c>
      <c r="X119" s="796" t="s">
        <v>236</v>
      </c>
      <c r="Y119" s="796" t="s">
        <v>257</v>
      </c>
      <c r="Z119" s="796" t="s">
        <v>257</v>
      </c>
      <c r="AA119" s="796" t="s">
        <v>257</v>
      </c>
      <c r="AB119" s="796" t="s">
        <v>257</v>
      </c>
      <c r="AC119" s="797">
        <v>31.266805995898999</v>
      </c>
      <c r="AD119" s="284">
        <f t="shared" si="3"/>
        <v>2.0000000000010232E-2</v>
      </c>
      <c r="AE119" s="284">
        <f t="shared" si="4"/>
        <v>79.073999999999998</v>
      </c>
      <c r="AF119" s="22">
        <f t="shared" si="5"/>
        <v>79.073999999999998</v>
      </c>
    </row>
    <row r="120" spans="1:32" x14ac:dyDescent="0.25">
      <c r="A120" s="796" t="s">
        <v>781</v>
      </c>
      <c r="B120" s="796" t="s">
        <v>257</v>
      </c>
      <c r="C120" s="796" t="s">
        <v>782</v>
      </c>
      <c r="D120" s="797">
        <v>97.698499999999996</v>
      </c>
      <c r="E120" s="798">
        <v>46157</v>
      </c>
      <c r="F120" s="797">
        <v>4.5522625330895998</v>
      </c>
      <c r="G120" s="797">
        <v>10.158055984884999</v>
      </c>
      <c r="H120" s="797">
        <v>9.6892228710539001</v>
      </c>
      <c r="I120" s="796" t="s">
        <v>617</v>
      </c>
      <c r="J120" s="796" t="s">
        <v>623</v>
      </c>
      <c r="K120" s="796" t="s">
        <v>283</v>
      </c>
      <c r="L120" s="796" t="s">
        <v>283</v>
      </c>
      <c r="M120" s="796" t="s">
        <v>257</v>
      </c>
      <c r="N120" s="796" t="s">
        <v>635</v>
      </c>
      <c r="O120" s="799">
        <v>100</v>
      </c>
      <c r="P120" s="797">
        <v>100</v>
      </c>
      <c r="Q120" s="798">
        <v>50905</v>
      </c>
      <c r="R120" s="796" t="s">
        <v>257</v>
      </c>
      <c r="S120" s="797">
        <v>4.25</v>
      </c>
      <c r="T120" s="797">
        <v>2.13</v>
      </c>
      <c r="U120" s="796" t="s">
        <v>624</v>
      </c>
      <c r="V120" s="797">
        <v>97.697000000000003</v>
      </c>
      <c r="W120" s="797">
        <v>97.7</v>
      </c>
      <c r="X120" s="796" t="s">
        <v>236</v>
      </c>
      <c r="Y120" s="796" t="s">
        <v>257</v>
      </c>
      <c r="Z120" s="796" t="s">
        <v>257</v>
      </c>
      <c r="AA120" s="796" t="s">
        <v>257</v>
      </c>
      <c r="AB120" s="796" t="s">
        <v>257</v>
      </c>
      <c r="AC120" s="797">
        <v>22.709913564857999</v>
      </c>
      <c r="AD120" s="284">
        <f t="shared" si="3"/>
        <v>3.0000000000001137E-3</v>
      </c>
      <c r="AE120" s="284">
        <f t="shared" si="4"/>
        <v>97.698499999999996</v>
      </c>
      <c r="AF120" s="22">
        <f t="shared" si="5"/>
        <v>97.698499999999996</v>
      </c>
    </row>
    <row r="121" spans="1:32" x14ac:dyDescent="0.25">
      <c r="A121" s="796" t="s">
        <v>783</v>
      </c>
      <c r="B121" s="796" t="s">
        <v>257</v>
      </c>
      <c r="C121" s="796" t="s">
        <v>784</v>
      </c>
      <c r="D121" s="797">
        <v>100.05</v>
      </c>
      <c r="E121" s="798">
        <v>46068</v>
      </c>
      <c r="F121" s="797">
        <v>4.3632500964184997</v>
      </c>
      <c r="G121" s="797">
        <v>0.53184353766213999</v>
      </c>
      <c r="H121" s="797">
        <v>0.50960806334678999</v>
      </c>
      <c r="I121" s="796" t="s">
        <v>617</v>
      </c>
      <c r="J121" s="796" t="s">
        <v>618</v>
      </c>
      <c r="K121" s="796" t="s">
        <v>283</v>
      </c>
      <c r="L121" s="796" t="s">
        <v>283</v>
      </c>
      <c r="M121" s="796" t="s">
        <v>257</v>
      </c>
      <c r="N121" s="796" t="s">
        <v>635</v>
      </c>
      <c r="O121" s="799">
        <v>100</v>
      </c>
      <c r="P121" s="797">
        <v>100</v>
      </c>
      <c r="Q121" s="798">
        <v>46249</v>
      </c>
      <c r="R121" s="796" t="s">
        <v>257</v>
      </c>
      <c r="S121" s="797">
        <v>4.375</v>
      </c>
      <c r="T121" s="797">
        <v>2.19</v>
      </c>
      <c r="U121" s="796" t="s">
        <v>620</v>
      </c>
      <c r="V121" s="797">
        <v>100.07</v>
      </c>
      <c r="W121" s="797">
        <v>100.71</v>
      </c>
      <c r="X121" s="796" t="s">
        <v>236</v>
      </c>
      <c r="Y121" s="796" t="s">
        <v>257</v>
      </c>
      <c r="Z121" s="796" t="s">
        <v>257</v>
      </c>
      <c r="AA121" s="796" t="s">
        <v>257</v>
      </c>
      <c r="AB121" s="796" t="s">
        <v>257</v>
      </c>
      <c r="AC121" s="797">
        <v>73.624371224303005</v>
      </c>
      <c r="AD121" s="284">
        <f t="shared" si="3"/>
        <v>0.64000000000000057</v>
      </c>
      <c r="AE121" s="284">
        <f t="shared" si="4"/>
        <v>100.38999999999999</v>
      </c>
      <c r="AF121" s="22">
        <f t="shared" si="5"/>
        <v>100.05</v>
      </c>
    </row>
    <row r="122" spans="1:32" x14ac:dyDescent="0.25">
      <c r="A122" s="796" t="s">
        <v>785</v>
      </c>
      <c r="B122" s="796" t="s">
        <v>257</v>
      </c>
      <c r="C122" s="796" t="s">
        <v>85</v>
      </c>
      <c r="D122" s="797">
        <v>104.78</v>
      </c>
      <c r="E122" s="798">
        <v>46211</v>
      </c>
      <c r="F122" s="797">
        <v>7.4726004649617996</v>
      </c>
      <c r="G122" s="796" t="s">
        <v>257</v>
      </c>
      <c r="H122" s="796" t="s">
        <v>257</v>
      </c>
      <c r="I122" s="796" t="s">
        <v>617</v>
      </c>
      <c r="J122" s="796" t="s">
        <v>618</v>
      </c>
      <c r="K122" s="796" t="s">
        <v>281</v>
      </c>
      <c r="L122" s="796" t="s">
        <v>285</v>
      </c>
      <c r="M122" s="796" t="s">
        <v>284</v>
      </c>
      <c r="N122" s="796" t="s">
        <v>619</v>
      </c>
      <c r="O122" s="799">
        <v>200000</v>
      </c>
      <c r="P122" s="797">
        <v>200000</v>
      </c>
      <c r="Q122" s="798">
        <v>48037</v>
      </c>
      <c r="R122" s="796" t="s">
        <v>257</v>
      </c>
      <c r="S122" s="797">
        <v>7.875</v>
      </c>
      <c r="T122" s="797">
        <v>7875</v>
      </c>
      <c r="U122" s="796" t="s">
        <v>620</v>
      </c>
      <c r="V122" s="797">
        <v>104.71</v>
      </c>
      <c r="W122" s="797">
        <v>106.06</v>
      </c>
      <c r="X122" s="796" t="s">
        <v>668</v>
      </c>
      <c r="Y122" s="796" t="s">
        <v>257</v>
      </c>
      <c r="Z122" s="796" t="s">
        <v>257</v>
      </c>
      <c r="AA122" s="796" t="s">
        <v>257</v>
      </c>
      <c r="AB122" s="796" t="s">
        <v>257</v>
      </c>
      <c r="AC122" s="796" t="s">
        <v>257</v>
      </c>
      <c r="AD122" s="284">
        <f t="shared" si="3"/>
        <v>1.3500000000000085</v>
      </c>
      <c r="AE122" s="284">
        <f t="shared" si="4"/>
        <v>105.38499999999999</v>
      </c>
      <c r="AF122" s="22">
        <f t="shared" si="5"/>
        <v>104.78</v>
      </c>
    </row>
    <row r="123" spans="1:32" x14ac:dyDescent="0.25">
      <c r="A123" s="796" t="s">
        <v>786</v>
      </c>
      <c r="B123" s="796" t="s">
        <v>257</v>
      </c>
      <c r="C123" s="796" t="s">
        <v>787</v>
      </c>
      <c r="D123" s="797">
        <v>100.63</v>
      </c>
      <c r="E123" s="798">
        <v>46124</v>
      </c>
      <c r="F123" s="797">
        <v>4.1196712874542003</v>
      </c>
      <c r="G123" s="797">
        <v>1.1532564371941001</v>
      </c>
      <c r="H123" s="797">
        <v>1.1230095843104999</v>
      </c>
      <c r="I123" s="796" t="s">
        <v>617</v>
      </c>
      <c r="J123" s="796" t="s">
        <v>623</v>
      </c>
      <c r="K123" s="796" t="s">
        <v>460</v>
      </c>
      <c r="L123" s="796" t="s">
        <v>788</v>
      </c>
      <c r="M123" s="796" t="s">
        <v>312</v>
      </c>
      <c r="N123" s="796" t="s">
        <v>619</v>
      </c>
      <c r="O123" s="799">
        <v>200000</v>
      </c>
      <c r="P123" s="797">
        <v>200000</v>
      </c>
      <c r="Q123" s="798">
        <v>46489</v>
      </c>
      <c r="R123" s="796" t="s">
        <v>257</v>
      </c>
      <c r="S123" s="797">
        <v>4.625</v>
      </c>
      <c r="T123" s="797">
        <v>4625</v>
      </c>
      <c r="U123" s="796" t="s">
        <v>624</v>
      </c>
      <c r="V123" s="797">
        <v>100.6</v>
      </c>
      <c r="W123" s="797">
        <v>100.66</v>
      </c>
      <c r="X123" s="796" t="s">
        <v>236</v>
      </c>
      <c r="Y123" s="796" t="s">
        <v>257</v>
      </c>
      <c r="Z123" s="796" t="s">
        <v>257</v>
      </c>
      <c r="AA123" s="796" t="s">
        <v>257</v>
      </c>
      <c r="AB123" s="796" t="s">
        <v>257</v>
      </c>
      <c r="AC123" s="797">
        <v>53.977352997668</v>
      </c>
      <c r="AD123" s="284">
        <f t="shared" si="3"/>
        <v>6.0000000000002274E-2</v>
      </c>
      <c r="AE123" s="284">
        <f t="shared" si="4"/>
        <v>100.63</v>
      </c>
      <c r="AF123" s="22">
        <f t="shared" si="5"/>
        <v>100.63</v>
      </c>
    </row>
    <row r="124" spans="1:32" x14ac:dyDescent="0.25">
      <c r="A124" s="796" t="s">
        <v>789</v>
      </c>
      <c r="B124" s="796" t="s">
        <v>257</v>
      </c>
      <c r="C124" s="796" t="s">
        <v>790</v>
      </c>
      <c r="D124" s="797">
        <v>99.69</v>
      </c>
      <c r="E124" s="798">
        <v>46298</v>
      </c>
      <c r="F124" s="797">
        <v>0.61760675830642997</v>
      </c>
      <c r="G124" s="797">
        <v>3.2100469845647002</v>
      </c>
      <c r="H124" s="797">
        <v>3.1903432092908002</v>
      </c>
      <c r="I124" s="796" t="s">
        <v>617</v>
      </c>
      <c r="J124" s="796" t="s">
        <v>618</v>
      </c>
      <c r="K124" s="796" t="s">
        <v>309</v>
      </c>
      <c r="L124" s="796" t="s">
        <v>791</v>
      </c>
      <c r="M124" s="796" t="s">
        <v>792</v>
      </c>
      <c r="N124" s="796" t="s">
        <v>635</v>
      </c>
      <c r="O124" s="799">
        <v>100000</v>
      </c>
      <c r="P124" s="796" t="s">
        <v>257</v>
      </c>
      <c r="Q124" s="796" t="s">
        <v>257</v>
      </c>
      <c r="R124" s="798">
        <v>46937</v>
      </c>
      <c r="S124" s="797">
        <v>7.25</v>
      </c>
      <c r="T124" s="797">
        <v>72.5</v>
      </c>
      <c r="U124" s="796" t="s">
        <v>620</v>
      </c>
      <c r="V124" s="797">
        <v>99.66</v>
      </c>
      <c r="W124" s="797">
        <v>102.66</v>
      </c>
      <c r="X124" s="796" t="s">
        <v>621</v>
      </c>
      <c r="Y124" s="796" t="s">
        <v>257</v>
      </c>
      <c r="Z124" s="796" t="s">
        <v>257</v>
      </c>
      <c r="AA124" s="796" t="s">
        <v>257</v>
      </c>
      <c r="AB124" s="796" t="s">
        <v>257</v>
      </c>
      <c r="AC124" s="797">
        <v>-120.55012010617</v>
      </c>
      <c r="AD124" s="284">
        <f t="shared" si="3"/>
        <v>3</v>
      </c>
      <c r="AE124" s="284">
        <f t="shared" si="4"/>
        <v>101.16</v>
      </c>
      <c r="AF124" s="22">
        <f t="shared" si="5"/>
        <v>101.16</v>
      </c>
    </row>
    <row r="125" spans="1:32" x14ac:dyDescent="0.25">
      <c r="A125" s="796" t="s">
        <v>793</v>
      </c>
      <c r="B125" s="796" t="s">
        <v>257</v>
      </c>
      <c r="C125" s="796" t="s">
        <v>794</v>
      </c>
      <c r="D125" s="797">
        <v>102.24425100000001</v>
      </c>
      <c r="E125" s="798">
        <v>46127</v>
      </c>
      <c r="F125" s="797">
        <v>5.0254277829514997</v>
      </c>
      <c r="G125" s="797">
        <v>2.3558656048743001</v>
      </c>
      <c r="H125" s="797">
        <v>2.2742930078170001</v>
      </c>
      <c r="I125" s="796" t="s">
        <v>617</v>
      </c>
      <c r="J125" s="796" t="s">
        <v>618</v>
      </c>
      <c r="K125" s="796" t="s">
        <v>283</v>
      </c>
      <c r="L125" s="796" t="s">
        <v>795</v>
      </c>
      <c r="M125" s="796" t="s">
        <v>796</v>
      </c>
      <c r="N125" s="796" t="s">
        <v>635</v>
      </c>
      <c r="O125" s="799">
        <v>1000</v>
      </c>
      <c r="P125" s="797">
        <v>325.60624999999999</v>
      </c>
      <c r="Q125" s="798">
        <v>47223</v>
      </c>
      <c r="R125" s="796" t="s">
        <v>257</v>
      </c>
      <c r="S125" s="797">
        <v>5.875</v>
      </c>
      <c r="T125" s="797">
        <v>4.78</v>
      </c>
      <c r="U125" s="796" t="s">
        <v>627</v>
      </c>
      <c r="V125" s="796" t="s">
        <v>257</v>
      </c>
      <c r="W125" s="796" t="s">
        <v>257</v>
      </c>
      <c r="X125" s="796" t="s">
        <v>236</v>
      </c>
      <c r="Y125" s="796" t="s">
        <v>257</v>
      </c>
      <c r="Z125" s="796" t="s">
        <v>257</v>
      </c>
      <c r="AA125" s="796" t="s">
        <v>257</v>
      </c>
      <c r="AB125" s="796" t="s">
        <v>257</v>
      </c>
      <c r="AC125" s="797">
        <v>142.91442448241</v>
      </c>
      <c r="AD125" s="284" t="e">
        <f t="shared" si="3"/>
        <v>#VALUE!</v>
      </c>
      <c r="AE125" s="284" t="e">
        <f t="shared" si="4"/>
        <v>#DIV/0!</v>
      </c>
      <c r="AF125" s="22">
        <f t="shared" si="5"/>
        <v>102.24425100000001</v>
      </c>
    </row>
    <row r="126" spans="1:32" x14ac:dyDescent="0.25">
      <c r="A126" s="796" t="s">
        <v>797</v>
      </c>
      <c r="B126" s="796" t="s">
        <v>257</v>
      </c>
      <c r="C126" s="796" t="s">
        <v>121</v>
      </c>
      <c r="D126" s="797">
        <v>100.27249999999999</v>
      </c>
      <c r="E126" s="798">
        <v>46082</v>
      </c>
      <c r="F126" s="797">
        <v>6.8886981819972997</v>
      </c>
      <c r="G126" s="797">
        <v>2.7214123732341</v>
      </c>
      <c r="H126" s="797">
        <v>2.5813858847907998</v>
      </c>
      <c r="I126" s="796" t="s">
        <v>617</v>
      </c>
      <c r="J126" s="796" t="s">
        <v>623</v>
      </c>
      <c r="K126" s="796" t="s">
        <v>283</v>
      </c>
      <c r="L126" s="796" t="s">
        <v>798</v>
      </c>
      <c r="M126" s="796" t="s">
        <v>275</v>
      </c>
      <c r="N126" s="796" t="s">
        <v>619</v>
      </c>
      <c r="O126" s="799">
        <v>1000</v>
      </c>
      <c r="P126" s="797">
        <v>1000</v>
      </c>
      <c r="Q126" s="798">
        <v>47178</v>
      </c>
      <c r="R126" s="798">
        <v>46082</v>
      </c>
      <c r="S126" s="797">
        <v>6.875</v>
      </c>
      <c r="T126" s="797">
        <v>34.380000000000003</v>
      </c>
      <c r="U126" s="796" t="s">
        <v>624</v>
      </c>
      <c r="V126" s="797">
        <v>100.23</v>
      </c>
      <c r="W126" s="797">
        <v>100.315</v>
      </c>
      <c r="X126" s="796" t="s">
        <v>236</v>
      </c>
      <c r="Y126" s="796" t="s">
        <v>257</v>
      </c>
      <c r="Z126" s="796" t="s">
        <v>257</v>
      </c>
      <c r="AA126" s="796" t="s">
        <v>257</v>
      </c>
      <c r="AB126" s="796" t="s">
        <v>257</v>
      </c>
      <c r="AC126" s="797">
        <v>327.06056004901001</v>
      </c>
      <c r="AD126" s="284">
        <f t="shared" si="3"/>
        <v>8.4999999999993747E-2</v>
      </c>
      <c r="AE126" s="284">
        <f t="shared" si="4"/>
        <v>100.27250000000001</v>
      </c>
      <c r="AF126" s="22">
        <f t="shared" si="5"/>
        <v>100.27249999999999</v>
      </c>
    </row>
    <row r="127" spans="1:32" x14ac:dyDescent="0.25">
      <c r="A127" s="796" t="s">
        <v>799</v>
      </c>
      <c r="B127" s="796" t="s">
        <v>257</v>
      </c>
      <c r="C127" s="796" t="s">
        <v>153</v>
      </c>
      <c r="D127" s="797">
        <v>113.705</v>
      </c>
      <c r="E127" s="798">
        <v>46152</v>
      </c>
      <c r="F127" s="797">
        <v>5.5211032536013001</v>
      </c>
      <c r="G127" s="797">
        <v>9.1875614821510005</v>
      </c>
      <c r="H127" s="797">
        <v>8.8277758813316005</v>
      </c>
      <c r="I127" s="796" t="s">
        <v>617</v>
      </c>
      <c r="J127" s="796" t="s">
        <v>623</v>
      </c>
      <c r="K127" s="796" t="s">
        <v>276</v>
      </c>
      <c r="L127" s="796" t="s">
        <v>339</v>
      </c>
      <c r="M127" s="796" t="s">
        <v>275</v>
      </c>
      <c r="N127" s="796" t="s">
        <v>619</v>
      </c>
      <c r="O127" s="799">
        <v>2000</v>
      </c>
      <c r="P127" s="797">
        <v>2000</v>
      </c>
      <c r="Q127" s="798">
        <v>51084</v>
      </c>
      <c r="R127" s="796" t="s">
        <v>257</v>
      </c>
      <c r="S127" s="797">
        <v>6.875</v>
      </c>
      <c r="T127" s="797">
        <v>68.75</v>
      </c>
      <c r="U127" s="796" t="s">
        <v>624</v>
      </c>
      <c r="V127" s="797">
        <v>113.31</v>
      </c>
      <c r="W127" s="797">
        <v>114.1</v>
      </c>
      <c r="X127" s="796" t="s">
        <v>236</v>
      </c>
      <c r="Y127" s="796" t="s">
        <v>257</v>
      </c>
      <c r="Z127" s="796" t="s">
        <v>257</v>
      </c>
      <c r="AA127" s="796" t="s">
        <v>257</v>
      </c>
      <c r="AB127" s="796" t="s">
        <v>257</v>
      </c>
      <c r="AC127" s="797">
        <v>126.79838630371999</v>
      </c>
      <c r="AD127" s="284">
        <f t="shared" si="3"/>
        <v>0.78999999999999204</v>
      </c>
      <c r="AE127" s="284">
        <f t="shared" si="4"/>
        <v>113.705</v>
      </c>
      <c r="AF127" s="22">
        <f t="shared" si="5"/>
        <v>113.705</v>
      </c>
    </row>
    <row r="128" spans="1:32" s="22" customFormat="1" x14ac:dyDescent="0.25">
      <c r="A128" s="796" t="s">
        <v>800</v>
      </c>
      <c r="B128" s="796" t="s">
        <v>257</v>
      </c>
      <c r="C128" s="796" t="s">
        <v>801</v>
      </c>
      <c r="D128" s="797">
        <v>99.218000000000004</v>
      </c>
      <c r="E128" s="798">
        <v>46218</v>
      </c>
      <c r="F128" s="797">
        <v>7.8377910287801997</v>
      </c>
      <c r="G128" s="797">
        <v>4.3108055426474001</v>
      </c>
      <c r="H128" s="797">
        <v>3.9974905842582</v>
      </c>
      <c r="I128" s="796" t="s">
        <v>617</v>
      </c>
      <c r="J128" s="796" t="s">
        <v>802</v>
      </c>
      <c r="K128" s="796" t="s">
        <v>803</v>
      </c>
      <c r="L128" s="796" t="s">
        <v>804</v>
      </c>
      <c r="M128" s="796" t="s">
        <v>258</v>
      </c>
      <c r="N128" s="796" t="s">
        <v>619</v>
      </c>
      <c r="O128" s="799">
        <v>200000</v>
      </c>
      <c r="P128" s="797">
        <v>200000</v>
      </c>
      <c r="Q128" s="798">
        <v>46767</v>
      </c>
      <c r="R128" s="798">
        <v>46736</v>
      </c>
      <c r="S128" s="797">
        <v>7.5</v>
      </c>
      <c r="T128" s="797">
        <v>7500</v>
      </c>
      <c r="U128" s="796" t="s">
        <v>805</v>
      </c>
      <c r="V128" s="796" t="s">
        <v>257</v>
      </c>
      <c r="W128" s="796" t="s">
        <v>257</v>
      </c>
      <c r="X128" s="796" t="s">
        <v>236</v>
      </c>
      <c r="Y128" s="796" t="s">
        <v>257</v>
      </c>
      <c r="Z128" s="796" t="s">
        <v>257</v>
      </c>
      <c r="AA128" s="796" t="s">
        <v>257</v>
      </c>
      <c r="AB128" s="796" t="s">
        <v>257</v>
      </c>
      <c r="AC128" s="796" t="s">
        <v>257</v>
      </c>
      <c r="AD128" s="284" t="e">
        <f t="shared" si="3"/>
        <v>#VALUE!</v>
      </c>
      <c r="AE128" s="284" t="e">
        <f t="shared" si="4"/>
        <v>#DIV/0!</v>
      </c>
      <c r="AF128" s="22">
        <f t="shared" si="5"/>
        <v>99.218000000000004</v>
      </c>
    </row>
    <row r="129" spans="1:32" x14ac:dyDescent="0.25">
      <c r="A129" s="796" t="s">
        <v>806</v>
      </c>
      <c r="B129" s="796" t="s">
        <v>257</v>
      </c>
      <c r="C129" s="796" t="s">
        <v>55</v>
      </c>
      <c r="D129" s="797">
        <v>106.986</v>
      </c>
      <c r="E129" s="798">
        <v>46098</v>
      </c>
      <c r="F129" s="797">
        <v>8.7730933983638995</v>
      </c>
      <c r="G129" s="797">
        <v>2.9668787556959</v>
      </c>
      <c r="H129" s="797">
        <v>2.7654682891695002</v>
      </c>
      <c r="I129" s="796" t="s">
        <v>617</v>
      </c>
      <c r="J129" s="796" t="s">
        <v>618</v>
      </c>
      <c r="K129" s="796" t="s">
        <v>262</v>
      </c>
      <c r="L129" s="796" t="s">
        <v>263</v>
      </c>
      <c r="M129" s="796" t="s">
        <v>261</v>
      </c>
      <c r="N129" s="796" t="s">
        <v>619</v>
      </c>
      <c r="O129" s="799">
        <v>200000</v>
      </c>
      <c r="P129" s="797">
        <v>200000</v>
      </c>
      <c r="Q129" s="798">
        <v>47378</v>
      </c>
      <c r="R129" s="798">
        <v>46282</v>
      </c>
      <c r="S129" s="797">
        <v>10.875</v>
      </c>
      <c r="T129" s="797">
        <v>10875</v>
      </c>
      <c r="U129" s="796" t="s">
        <v>631</v>
      </c>
      <c r="V129" s="796" t="s">
        <v>257</v>
      </c>
      <c r="W129" s="796" t="s">
        <v>257</v>
      </c>
      <c r="X129" s="796" t="s">
        <v>236</v>
      </c>
      <c r="Y129" s="796" t="s">
        <v>257</v>
      </c>
      <c r="Z129" s="796" t="s">
        <v>257</v>
      </c>
      <c r="AA129" s="796" t="s">
        <v>257</v>
      </c>
      <c r="AB129" s="796" t="s">
        <v>257</v>
      </c>
      <c r="AC129" s="797">
        <v>513.75343975293003</v>
      </c>
      <c r="AD129" s="284" t="e">
        <f t="shared" si="3"/>
        <v>#VALUE!</v>
      </c>
      <c r="AE129" s="284" t="e">
        <f t="shared" si="4"/>
        <v>#DIV/0!</v>
      </c>
      <c r="AF129" s="22">
        <f t="shared" si="5"/>
        <v>106.986</v>
      </c>
    </row>
    <row r="130" spans="1:32" x14ac:dyDescent="0.25">
      <c r="A130" s="796" t="s">
        <v>807</v>
      </c>
      <c r="B130" s="796" t="s">
        <v>257</v>
      </c>
      <c r="C130" s="796" t="s">
        <v>163</v>
      </c>
      <c r="D130" s="797">
        <v>110.9</v>
      </c>
      <c r="E130" s="798">
        <v>46176</v>
      </c>
      <c r="F130" s="797">
        <v>9.0119851126569994</v>
      </c>
      <c r="G130" s="797">
        <v>4.3890660133332</v>
      </c>
      <c r="H130" s="797">
        <v>4.0821431321697998</v>
      </c>
      <c r="I130" s="796" t="s">
        <v>617</v>
      </c>
      <c r="J130" s="796" t="s">
        <v>618</v>
      </c>
      <c r="K130" s="796" t="s">
        <v>262</v>
      </c>
      <c r="L130" s="796" t="s">
        <v>263</v>
      </c>
      <c r="M130" s="796" t="s">
        <v>261</v>
      </c>
      <c r="N130" s="796" t="s">
        <v>619</v>
      </c>
      <c r="O130" s="799">
        <v>200000</v>
      </c>
      <c r="P130" s="797">
        <v>200000</v>
      </c>
      <c r="Q130" s="798">
        <v>48185</v>
      </c>
      <c r="R130" s="798">
        <v>46724</v>
      </c>
      <c r="S130" s="797">
        <v>11.25</v>
      </c>
      <c r="T130" s="797">
        <v>11250</v>
      </c>
      <c r="U130" s="796" t="s">
        <v>620</v>
      </c>
      <c r="V130" s="797">
        <v>110.87</v>
      </c>
      <c r="W130" s="797">
        <v>111.56</v>
      </c>
      <c r="X130" s="796" t="s">
        <v>236</v>
      </c>
      <c r="Y130" s="796" t="s">
        <v>257</v>
      </c>
      <c r="Z130" s="796" t="s">
        <v>257</v>
      </c>
      <c r="AA130" s="796" t="s">
        <v>257</v>
      </c>
      <c r="AB130" s="796" t="s">
        <v>257</v>
      </c>
      <c r="AC130" s="797">
        <v>524.76390568500995</v>
      </c>
      <c r="AD130" s="284">
        <f t="shared" si="3"/>
        <v>0.68999999999999773</v>
      </c>
      <c r="AE130" s="284">
        <f t="shared" si="4"/>
        <v>111.215</v>
      </c>
      <c r="AF130" s="22">
        <f t="shared" si="5"/>
        <v>110.9</v>
      </c>
    </row>
    <row r="131" spans="1:32" x14ac:dyDescent="0.25">
      <c r="A131" s="796" t="s">
        <v>808</v>
      </c>
      <c r="B131" s="796" t="s">
        <v>257</v>
      </c>
      <c r="C131" s="796" t="s">
        <v>809</v>
      </c>
      <c r="D131" s="797">
        <v>92.81</v>
      </c>
      <c r="E131" s="798">
        <v>46224</v>
      </c>
      <c r="F131" s="796" t="s">
        <v>257</v>
      </c>
      <c r="G131" s="797">
        <v>1.0958904109603001E-2</v>
      </c>
      <c r="H131" s="796" t="s">
        <v>257</v>
      </c>
      <c r="I131" s="796" t="s">
        <v>617</v>
      </c>
      <c r="J131" s="796" t="s">
        <v>618</v>
      </c>
      <c r="K131" s="796" t="s">
        <v>262</v>
      </c>
      <c r="L131" s="796" t="s">
        <v>263</v>
      </c>
      <c r="M131" s="796" t="s">
        <v>261</v>
      </c>
      <c r="N131" s="796" t="s">
        <v>619</v>
      </c>
      <c r="O131" s="799">
        <v>200000</v>
      </c>
      <c r="P131" s="796" t="s">
        <v>257</v>
      </c>
      <c r="Q131" s="798">
        <v>46408</v>
      </c>
      <c r="R131" s="796" t="s">
        <v>257</v>
      </c>
      <c r="S131" s="796" t="s">
        <v>257</v>
      </c>
      <c r="T131" s="797">
        <v>6521.25</v>
      </c>
      <c r="U131" s="796" t="s">
        <v>620</v>
      </c>
      <c r="V131" s="797">
        <v>92.78</v>
      </c>
      <c r="W131" s="797">
        <v>93.85</v>
      </c>
      <c r="X131" s="796" t="s">
        <v>257</v>
      </c>
      <c r="Y131" s="796" t="s">
        <v>257</v>
      </c>
      <c r="Z131" s="796" t="s">
        <v>257</v>
      </c>
      <c r="AA131" s="796" t="s">
        <v>257</v>
      </c>
      <c r="AB131" s="796" t="s">
        <v>257</v>
      </c>
      <c r="AC131" s="796" t="s">
        <v>257</v>
      </c>
      <c r="AD131" s="284">
        <f t="shared" ref="AD131:AD194" si="6">ABS(W131-V131)</f>
        <v>1.0699999999999932</v>
      </c>
      <c r="AE131" s="284">
        <f t="shared" ref="AE131:AE194" si="7">AVERAGE(V131:W131)</f>
        <v>93.314999999999998</v>
      </c>
      <c r="AF131" s="22">
        <f t="shared" ref="AF131:AF194" si="8">IFERROR(IF(AD131&gt;1.5,AE131,D131),D131)</f>
        <v>92.81</v>
      </c>
    </row>
    <row r="132" spans="1:32" x14ac:dyDescent="0.25">
      <c r="A132" s="796" t="s">
        <v>810</v>
      </c>
      <c r="B132" s="796" t="s">
        <v>257</v>
      </c>
      <c r="C132" s="796" t="s">
        <v>811</v>
      </c>
      <c r="D132" s="797">
        <v>99.37</v>
      </c>
      <c r="E132" s="798">
        <v>46062</v>
      </c>
      <c r="F132" s="797">
        <v>14.592918185633</v>
      </c>
      <c r="G132" s="797">
        <v>2.8283995830353001</v>
      </c>
      <c r="H132" s="797">
        <v>2.5024957527760998</v>
      </c>
      <c r="I132" s="796" t="s">
        <v>617</v>
      </c>
      <c r="J132" s="796" t="s">
        <v>618</v>
      </c>
      <c r="K132" s="796" t="s">
        <v>262</v>
      </c>
      <c r="L132" s="796" t="s">
        <v>263</v>
      </c>
      <c r="M132" s="796" t="s">
        <v>261</v>
      </c>
      <c r="N132" s="796" t="s">
        <v>619</v>
      </c>
      <c r="O132" s="799">
        <v>200000</v>
      </c>
      <c r="P132" s="796" t="s">
        <v>257</v>
      </c>
      <c r="Q132" s="798">
        <v>47096</v>
      </c>
      <c r="R132" s="796" t="s">
        <v>257</v>
      </c>
      <c r="S132" s="797">
        <v>13.875</v>
      </c>
      <c r="T132" s="797">
        <v>6705.3104000000003</v>
      </c>
      <c r="U132" s="796" t="s">
        <v>620</v>
      </c>
      <c r="V132" s="797">
        <v>99.15</v>
      </c>
      <c r="W132" s="797">
        <v>100.05</v>
      </c>
      <c r="X132" s="796" t="s">
        <v>236</v>
      </c>
      <c r="Y132" s="796" t="s">
        <v>257</v>
      </c>
      <c r="Z132" s="796" t="s">
        <v>257</v>
      </c>
      <c r="AA132" s="796" t="s">
        <v>257</v>
      </c>
      <c r="AB132" s="796" t="s">
        <v>257</v>
      </c>
      <c r="AC132" s="797">
        <v>1091.9673494468</v>
      </c>
      <c r="AD132" s="284">
        <f t="shared" si="6"/>
        <v>0.89999999999999147</v>
      </c>
      <c r="AE132" s="284">
        <f t="shared" si="7"/>
        <v>99.6</v>
      </c>
      <c r="AF132" s="22">
        <f t="shared" si="8"/>
        <v>99.37</v>
      </c>
    </row>
    <row r="133" spans="1:32" x14ac:dyDescent="0.25">
      <c r="A133" s="796" t="s">
        <v>1076</v>
      </c>
      <c r="B133" s="796" t="s">
        <v>257</v>
      </c>
      <c r="C133" s="796" t="s">
        <v>1055</v>
      </c>
      <c r="D133" s="797">
        <v>104.15</v>
      </c>
      <c r="E133" s="798">
        <v>46127</v>
      </c>
      <c r="F133" s="797">
        <v>8.4738426645331995</v>
      </c>
      <c r="G133" s="797">
        <v>5.0044373008093004</v>
      </c>
      <c r="H133" s="797">
        <v>4.6775731824338997</v>
      </c>
      <c r="I133" s="796" t="s">
        <v>617</v>
      </c>
      <c r="J133" s="796" t="s">
        <v>618</v>
      </c>
      <c r="K133" s="796" t="s">
        <v>262</v>
      </c>
      <c r="L133" s="796" t="s">
        <v>263</v>
      </c>
      <c r="M133" s="796" t="s">
        <v>261</v>
      </c>
      <c r="N133" s="796" t="s">
        <v>619</v>
      </c>
      <c r="O133" s="799">
        <v>200000</v>
      </c>
      <c r="P133" s="797">
        <v>200000</v>
      </c>
      <c r="Q133" s="798">
        <v>48502</v>
      </c>
      <c r="R133" s="798">
        <v>46675</v>
      </c>
      <c r="S133" s="797">
        <v>9.125</v>
      </c>
      <c r="T133" s="797">
        <v>9125</v>
      </c>
      <c r="U133" s="796" t="s">
        <v>620</v>
      </c>
      <c r="V133" s="797">
        <v>104.15</v>
      </c>
      <c r="W133" s="797">
        <v>105.63</v>
      </c>
      <c r="X133" s="796" t="s">
        <v>236</v>
      </c>
      <c r="Y133" s="796" t="s">
        <v>257</v>
      </c>
      <c r="Z133" s="796" t="s">
        <v>257</v>
      </c>
      <c r="AA133" s="796" t="s">
        <v>257</v>
      </c>
      <c r="AB133" s="796" t="s">
        <v>257</v>
      </c>
      <c r="AC133" s="797">
        <v>464.60282975890999</v>
      </c>
      <c r="AD133" s="284">
        <f t="shared" si="6"/>
        <v>1.4799999999999898</v>
      </c>
      <c r="AE133" s="284">
        <f t="shared" si="7"/>
        <v>104.89</v>
      </c>
      <c r="AF133" s="22">
        <f t="shared" si="8"/>
        <v>104.15</v>
      </c>
    </row>
    <row r="134" spans="1:32" x14ac:dyDescent="0.25">
      <c r="A134" s="796" t="s">
        <v>812</v>
      </c>
      <c r="B134" s="796" t="s">
        <v>257</v>
      </c>
      <c r="C134" s="796" t="s">
        <v>813</v>
      </c>
      <c r="D134" s="797">
        <v>99.44</v>
      </c>
      <c r="E134" s="798">
        <v>46135</v>
      </c>
      <c r="F134" s="797">
        <v>10.078181028549</v>
      </c>
      <c r="G134" s="797">
        <v>0.94076388439199998</v>
      </c>
      <c r="H134" s="797">
        <v>0.86650237180573997</v>
      </c>
      <c r="I134" s="796" t="s">
        <v>617</v>
      </c>
      <c r="J134" s="796" t="s">
        <v>618</v>
      </c>
      <c r="K134" s="796" t="s">
        <v>262</v>
      </c>
      <c r="L134" s="796" t="s">
        <v>263</v>
      </c>
      <c r="M134" s="796" t="s">
        <v>261</v>
      </c>
      <c r="N134" s="796" t="s">
        <v>619</v>
      </c>
      <c r="O134" s="799">
        <v>200000</v>
      </c>
      <c r="P134" s="796" t="s">
        <v>257</v>
      </c>
      <c r="Q134" s="798">
        <v>46135</v>
      </c>
      <c r="R134" s="796" t="s">
        <v>257</v>
      </c>
      <c r="S134" s="797">
        <v>9.25</v>
      </c>
      <c r="T134" s="797">
        <v>9250</v>
      </c>
      <c r="U134" s="796" t="s">
        <v>620</v>
      </c>
      <c r="V134" s="797">
        <v>99.47</v>
      </c>
      <c r="W134" s="797">
        <v>107.22</v>
      </c>
      <c r="X134" s="796" t="s">
        <v>236</v>
      </c>
      <c r="Y134" s="796" t="s">
        <v>257</v>
      </c>
      <c r="Z134" s="796" t="s">
        <v>257</v>
      </c>
      <c r="AA134" s="796" t="s">
        <v>257</v>
      </c>
      <c r="AB134" s="796" t="s">
        <v>257</v>
      </c>
      <c r="AC134" s="797">
        <v>601.47968478553003</v>
      </c>
      <c r="AD134" s="284">
        <f t="shared" si="6"/>
        <v>7.75</v>
      </c>
      <c r="AE134" s="284">
        <f t="shared" si="7"/>
        <v>103.345</v>
      </c>
      <c r="AF134" s="22">
        <f t="shared" si="8"/>
        <v>103.345</v>
      </c>
    </row>
    <row r="135" spans="1:32" x14ac:dyDescent="0.25">
      <c r="A135" s="796" t="s">
        <v>814</v>
      </c>
      <c r="B135" s="796" t="s">
        <v>257</v>
      </c>
      <c r="C135" s="796" t="s">
        <v>186</v>
      </c>
      <c r="D135" s="797">
        <v>107.59</v>
      </c>
      <c r="E135" s="798">
        <v>46136</v>
      </c>
      <c r="F135" s="797">
        <v>8.6005081786376003</v>
      </c>
      <c r="G135" s="797">
        <v>5.2205576973622003</v>
      </c>
      <c r="H135" s="797">
        <v>4.8738864411687999</v>
      </c>
      <c r="I135" s="796" t="s">
        <v>617</v>
      </c>
      <c r="J135" s="796" t="s">
        <v>618</v>
      </c>
      <c r="K135" s="796" t="s">
        <v>262</v>
      </c>
      <c r="L135" s="796" t="s">
        <v>263</v>
      </c>
      <c r="M135" s="796" t="s">
        <v>261</v>
      </c>
      <c r="N135" s="796" t="s">
        <v>619</v>
      </c>
      <c r="O135" s="799">
        <v>200000</v>
      </c>
      <c r="P135" s="797">
        <v>200000</v>
      </c>
      <c r="Q135" s="798">
        <v>48693</v>
      </c>
      <c r="R135" s="798">
        <v>46776</v>
      </c>
      <c r="S135" s="797">
        <v>9.85</v>
      </c>
      <c r="T135" s="797">
        <v>9850</v>
      </c>
      <c r="U135" s="796" t="s">
        <v>620</v>
      </c>
      <c r="V135" s="797">
        <v>107.59</v>
      </c>
      <c r="W135" s="797">
        <v>108.14</v>
      </c>
      <c r="X135" s="796" t="s">
        <v>236</v>
      </c>
      <c r="Y135" s="796" t="s">
        <v>257</v>
      </c>
      <c r="Z135" s="796" t="s">
        <v>257</v>
      </c>
      <c r="AA135" s="796" t="s">
        <v>257</v>
      </c>
      <c r="AB135" s="796" t="s">
        <v>257</v>
      </c>
      <c r="AC135" s="797">
        <v>474.99566764887999</v>
      </c>
      <c r="AD135" s="284">
        <f t="shared" si="6"/>
        <v>0.54999999999999716</v>
      </c>
      <c r="AE135" s="284">
        <f t="shared" si="7"/>
        <v>107.86500000000001</v>
      </c>
      <c r="AF135" s="22">
        <f t="shared" si="8"/>
        <v>107.59</v>
      </c>
    </row>
    <row r="136" spans="1:32" x14ac:dyDescent="0.25">
      <c r="A136" s="796" t="s">
        <v>815</v>
      </c>
      <c r="B136" s="796" t="s">
        <v>257</v>
      </c>
      <c r="C136" s="796" t="s">
        <v>816</v>
      </c>
      <c r="D136" s="797">
        <v>100.33</v>
      </c>
      <c r="E136" s="798">
        <v>46181</v>
      </c>
      <c r="F136" s="797">
        <v>4.5417961113059002</v>
      </c>
      <c r="G136" s="797">
        <v>3.0884909288940001</v>
      </c>
      <c r="H136" s="797">
        <v>2.9953442094162002</v>
      </c>
      <c r="I136" s="796" t="s">
        <v>617</v>
      </c>
      <c r="J136" s="796" t="s">
        <v>623</v>
      </c>
      <c r="K136" s="796" t="s">
        <v>297</v>
      </c>
      <c r="L136" s="796" t="s">
        <v>817</v>
      </c>
      <c r="M136" s="796" t="s">
        <v>293</v>
      </c>
      <c r="N136" s="796" t="s">
        <v>619</v>
      </c>
      <c r="O136" s="799">
        <v>200000</v>
      </c>
      <c r="P136" s="797">
        <v>200000</v>
      </c>
      <c r="Q136" s="798">
        <v>47277</v>
      </c>
      <c r="R136" s="798">
        <v>47216</v>
      </c>
      <c r="S136" s="797">
        <v>4.5999999999999996</v>
      </c>
      <c r="T136" s="797">
        <v>4600</v>
      </c>
      <c r="U136" s="796" t="s">
        <v>624</v>
      </c>
      <c r="V136" s="797">
        <v>100.11</v>
      </c>
      <c r="W136" s="797">
        <v>100.55</v>
      </c>
      <c r="X136" s="796" t="s">
        <v>236</v>
      </c>
      <c r="Y136" s="796" t="s">
        <v>257</v>
      </c>
      <c r="Z136" s="796" t="s">
        <v>257</v>
      </c>
      <c r="AA136" s="796" t="s">
        <v>257</v>
      </c>
      <c r="AB136" s="796" t="s">
        <v>257</v>
      </c>
      <c r="AC136" s="797">
        <v>89.688224576913996</v>
      </c>
      <c r="AD136" s="284">
        <f t="shared" si="6"/>
        <v>0.43999999999999773</v>
      </c>
      <c r="AE136" s="284">
        <f t="shared" si="7"/>
        <v>100.33</v>
      </c>
      <c r="AF136" s="22">
        <f t="shared" si="8"/>
        <v>100.33</v>
      </c>
    </row>
    <row r="137" spans="1:32" x14ac:dyDescent="0.25">
      <c r="A137" s="796" t="s">
        <v>818</v>
      </c>
      <c r="B137" s="796" t="s">
        <v>257</v>
      </c>
      <c r="C137" s="796" t="s">
        <v>819</v>
      </c>
      <c r="D137" s="797">
        <v>101</v>
      </c>
      <c r="E137" s="798">
        <v>46155</v>
      </c>
      <c r="F137" s="797">
        <v>4.4104677500514997</v>
      </c>
      <c r="G137" s="797">
        <v>2.5853487134536</v>
      </c>
      <c r="H137" s="797">
        <v>2.5105302092400001</v>
      </c>
      <c r="I137" s="796" t="s">
        <v>617</v>
      </c>
      <c r="J137" s="796" t="s">
        <v>623</v>
      </c>
      <c r="K137" s="796" t="s">
        <v>297</v>
      </c>
      <c r="L137" s="796" t="s">
        <v>820</v>
      </c>
      <c r="M137" s="796" t="s">
        <v>293</v>
      </c>
      <c r="N137" s="796" t="s">
        <v>619</v>
      </c>
      <c r="O137" s="799">
        <v>200000</v>
      </c>
      <c r="P137" s="797">
        <v>200000</v>
      </c>
      <c r="Q137" s="798">
        <v>47070</v>
      </c>
      <c r="R137" s="796" t="s">
        <v>257</v>
      </c>
      <c r="S137" s="797">
        <v>4.75</v>
      </c>
      <c r="T137" s="797">
        <v>4750</v>
      </c>
      <c r="U137" s="796" t="s">
        <v>624</v>
      </c>
      <c r="V137" s="797">
        <v>100.96</v>
      </c>
      <c r="W137" s="797">
        <v>101.04</v>
      </c>
      <c r="X137" s="796" t="s">
        <v>236</v>
      </c>
      <c r="Y137" s="796" t="s">
        <v>257</v>
      </c>
      <c r="Z137" s="796" t="s">
        <v>257</v>
      </c>
      <c r="AA137" s="796" t="s">
        <v>257</v>
      </c>
      <c r="AB137" s="796" t="s">
        <v>257</v>
      </c>
      <c r="AC137" s="797">
        <v>80.113474245638002</v>
      </c>
      <c r="AD137" s="284">
        <f t="shared" si="6"/>
        <v>8.0000000000012506E-2</v>
      </c>
      <c r="AE137" s="284">
        <f t="shared" si="7"/>
        <v>101</v>
      </c>
      <c r="AF137" s="22">
        <f t="shared" si="8"/>
        <v>101</v>
      </c>
    </row>
    <row r="138" spans="1:32" x14ac:dyDescent="0.25">
      <c r="A138" s="796" t="s">
        <v>821</v>
      </c>
      <c r="B138" s="796" t="s">
        <v>257</v>
      </c>
      <c r="C138" s="796" t="s">
        <v>822</v>
      </c>
      <c r="D138" s="797">
        <v>83.442499999999995</v>
      </c>
      <c r="E138" s="798">
        <v>46127</v>
      </c>
      <c r="F138" s="797">
        <v>8.0518311495139994</v>
      </c>
      <c r="G138" s="797">
        <v>3.8499383547296002</v>
      </c>
      <c r="H138" s="797">
        <v>3.6125345394343999</v>
      </c>
      <c r="I138" s="796" t="s">
        <v>617</v>
      </c>
      <c r="J138" s="796" t="s">
        <v>623</v>
      </c>
      <c r="K138" s="796" t="s">
        <v>283</v>
      </c>
      <c r="L138" s="796" t="s">
        <v>823</v>
      </c>
      <c r="M138" s="796" t="s">
        <v>824</v>
      </c>
      <c r="N138" s="796" t="s">
        <v>619</v>
      </c>
      <c r="O138" s="799">
        <v>2000</v>
      </c>
      <c r="P138" s="797">
        <v>2000</v>
      </c>
      <c r="Q138" s="798">
        <v>47588</v>
      </c>
      <c r="R138" s="798">
        <v>47498</v>
      </c>
      <c r="S138" s="797">
        <v>3.2</v>
      </c>
      <c r="T138" s="797">
        <v>32</v>
      </c>
      <c r="U138" s="796" t="s">
        <v>624</v>
      </c>
      <c r="V138" s="797">
        <v>83.135000000000005</v>
      </c>
      <c r="W138" s="797">
        <v>83.75</v>
      </c>
      <c r="X138" s="796" t="s">
        <v>236</v>
      </c>
      <c r="Y138" s="796" t="s">
        <v>257</v>
      </c>
      <c r="Z138" s="796" t="s">
        <v>257</v>
      </c>
      <c r="AA138" s="796" t="s">
        <v>257</v>
      </c>
      <c r="AB138" s="796" t="s">
        <v>257</v>
      </c>
      <c r="AC138" s="797">
        <v>434.03407638973999</v>
      </c>
      <c r="AD138" s="284">
        <f t="shared" si="6"/>
        <v>0.61499999999999488</v>
      </c>
      <c r="AE138" s="284">
        <f t="shared" si="7"/>
        <v>83.442499999999995</v>
      </c>
      <c r="AF138" s="22">
        <f t="shared" si="8"/>
        <v>83.442499999999995</v>
      </c>
    </row>
    <row r="139" spans="1:32" x14ac:dyDescent="0.25">
      <c r="A139" s="796" t="s">
        <v>825</v>
      </c>
      <c r="B139" s="796" t="s">
        <v>257</v>
      </c>
      <c r="C139" s="796" t="s">
        <v>102</v>
      </c>
      <c r="D139" s="797">
        <v>58.598999999999997</v>
      </c>
      <c r="E139" s="798">
        <v>46096</v>
      </c>
      <c r="F139" s="797">
        <v>9.6675348102897001</v>
      </c>
      <c r="G139" s="797">
        <v>10.834692202085</v>
      </c>
      <c r="H139" s="797">
        <v>10.016796727698001</v>
      </c>
      <c r="I139" s="796" t="s">
        <v>617</v>
      </c>
      <c r="J139" s="796" t="s">
        <v>633</v>
      </c>
      <c r="K139" s="796" t="s">
        <v>283</v>
      </c>
      <c r="L139" s="796" t="s">
        <v>305</v>
      </c>
      <c r="M139" s="796" t="s">
        <v>304</v>
      </c>
      <c r="N139" s="796" t="s">
        <v>619</v>
      </c>
      <c r="O139" s="799">
        <v>2000</v>
      </c>
      <c r="P139" s="797">
        <v>2000</v>
      </c>
      <c r="Q139" s="798">
        <v>59245</v>
      </c>
      <c r="R139" s="798">
        <v>59064</v>
      </c>
      <c r="S139" s="797">
        <v>5.391</v>
      </c>
      <c r="T139" s="797">
        <v>53.91</v>
      </c>
      <c r="U139" s="796" t="s">
        <v>624</v>
      </c>
      <c r="V139" s="796" t="s">
        <v>257</v>
      </c>
      <c r="W139" s="796" t="s">
        <v>257</v>
      </c>
      <c r="X139" s="796" t="s">
        <v>236</v>
      </c>
      <c r="Y139" s="796" t="s">
        <v>257</v>
      </c>
      <c r="Z139" s="796" t="s">
        <v>257</v>
      </c>
      <c r="AA139" s="796" t="s">
        <v>257</v>
      </c>
      <c r="AB139" s="796" t="s">
        <v>257</v>
      </c>
      <c r="AC139" s="797">
        <v>527.12093610686998</v>
      </c>
      <c r="AD139" s="284" t="e">
        <f t="shared" si="6"/>
        <v>#VALUE!</v>
      </c>
      <c r="AE139" s="284" t="e">
        <f t="shared" si="7"/>
        <v>#DIV/0!</v>
      </c>
      <c r="AF139" s="22">
        <f t="shared" si="8"/>
        <v>58.598999999999997</v>
      </c>
    </row>
    <row r="140" spans="1:32" x14ac:dyDescent="0.25">
      <c r="A140" s="796" t="s">
        <v>826</v>
      </c>
      <c r="B140" s="796" t="s">
        <v>257</v>
      </c>
      <c r="C140" s="796" t="s">
        <v>827</v>
      </c>
      <c r="D140" s="797">
        <v>95.173500000000004</v>
      </c>
      <c r="E140" s="798">
        <v>46357</v>
      </c>
      <c r="F140" s="797">
        <v>5.2036073105157996</v>
      </c>
      <c r="G140" s="797">
        <v>7.3973172610785998</v>
      </c>
      <c r="H140" s="797">
        <v>7.0122177369426</v>
      </c>
      <c r="I140" s="796" t="s">
        <v>617</v>
      </c>
      <c r="J140" s="796" t="s">
        <v>623</v>
      </c>
      <c r="K140" s="796" t="s">
        <v>283</v>
      </c>
      <c r="L140" s="796" t="s">
        <v>828</v>
      </c>
      <c r="M140" s="796" t="s">
        <v>792</v>
      </c>
      <c r="N140" s="796" t="s">
        <v>619</v>
      </c>
      <c r="O140" s="799">
        <v>100000</v>
      </c>
      <c r="P140" s="797">
        <v>100000</v>
      </c>
      <c r="Q140" s="798">
        <v>49279</v>
      </c>
      <c r="R140" s="798">
        <v>49188</v>
      </c>
      <c r="S140" s="797">
        <v>4.5</v>
      </c>
      <c r="T140" s="797">
        <v>4500</v>
      </c>
      <c r="U140" s="796" t="s">
        <v>624</v>
      </c>
      <c r="V140" s="797">
        <v>94.998999999999995</v>
      </c>
      <c r="W140" s="797">
        <v>95.347999999999999</v>
      </c>
      <c r="X140" s="796" t="s">
        <v>236</v>
      </c>
      <c r="Y140" s="796" t="s">
        <v>257</v>
      </c>
      <c r="Z140" s="796" t="s">
        <v>257</v>
      </c>
      <c r="AA140" s="796" t="s">
        <v>257</v>
      </c>
      <c r="AB140" s="796" t="s">
        <v>257</v>
      </c>
      <c r="AC140" s="796" t="s">
        <v>257</v>
      </c>
      <c r="AD140" s="284">
        <f t="shared" si="6"/>
        <v>0.34900000000000375</v>
      </c>
      <c r="AE140" s="284">
        <f t="shared" si="7"/>
        <v>95.17349999999999</v>
      </c>
      <c r="AF140" s="22">
        <f t="shared" si="8"/>
        <v>95.173500000000004</v>
      </c>
    </row>
    <row r="141" spans="1:32" x14ac:dyDescent="0.25">
      <c r="A141" s="796" t="s">
        <v>829</v>
      </c>
      <c r="B141" s="796" t="s">
        <v>257</v>
      </c>
      <c r="C141" s="796" t="s">
        <v>830</v>
      </c>
      <c r="D141" s="797">
        <v>100.736</v>
      </c>
      <c r="E141" s="798">
        <v>46346</v>
      </c>
      <c r="F141" s="797">
        <v>4.5165613762517003</v>
      </c>
      <c r="G141" s="797">
        <v>2.6759983867360999</v>
      </c>
      <c r="H141" s="797">
        <v>2.5533627212696</v>
      </c>
      <c r="I141" s="796" t="s">
        <v>617</v>
      </c>
      <c r="J141" s="796" t="s">
        <v>623</v>
      </c>
      <c r="K141" s="796" t="s">
        <v>283</v>
      </c>
      <c r="L141" s="796" t="s">
        <v>828</v>
      </c>
      <c r="M141" s="796" t="s">
        <v>792</v>
      </c>
      <c r="N141" s="796" t="s">
        <v>619</v>
      </c>
      <c r="O141" s="799">
        <v>100000</v>
      </c>
      <c r="P141" s="797">
        <v>100000</v>
      </c>
      <c r="Q141" s="798">
        <v>47077</v>
      </c>
      <c r="R141" s="798">
        <v>46985</v>
      </c>
      <c r="S141" s="797">
        <v>4.8</v>
      </c>
      <c r="T141" s="797">
        <v>4800</v>
      </c>
      <c r="U141" s="796" t="s">
        <v>624</v>
      </c>
      <c r="V141" s="797">
        <v>100.67</v>
      </c>
      <c r="W141" s="797">
        <v>100.80200000000001</v>
      </c>
      <c r="X141" s="796" t="s">
        <v>236</v>
      </c>
      <c r="Y141" s="796" t="s">
        <v>257</v>
      </c>
      <c r="Z141" s="796" t="s">
        <v>257</v>
      </c>
      <c r="AA141" s="796" t="s">
        <v>257</v>
      </c>
      <c r="AB141" s="796" t="s">
        <v>257</v>
      </c>
      <c r="AC141" s="796" t="s">
        <v>257</v>
      </c>
      <c r="AD141" s="284">
        <f t="shared" si="6"/>
        <v>0.132000000000005</v>
      </c>
      <c r="AE141" s="284">
        <f t="shared" si="7"/>
        <v>100.736</v>
      </c>
      <c r="AF141" s="22">
        <f t="shared" si="8"/>
        <v>100.736</v>
      </c>
    </row>
    <row r="142" spans="1:32" x14ac:dyDescent="0.25">
      <c r="A142" s="796" t="s">
        <v>831</v>
      </c>
      <c r="B142" s="796" t="s">
        <v>257</v>
      </c>
      <c r="C142" s="796" t="s">
        <v>151</v>
      </c>
      <c r="D142" s="797">
        <v>93.73</v>
      </c>
      <c r="E142" s="798">
        <v>46093</v>
      </c>
      <c r="F142" s="797">
        <v>6.2637911011840002</v>
      </c>
      <c r="G142" s="797">
        <v>13.484539463820999</v>
      </c>
      <c r="H142" s="797">
        <v>12.865929770126</v>
      </c>
      <c r="I142" s="796" t="s">
        <v>617</v>
      </c>
      <c r="J142" s="796" t="s">
        <v>618</v>
      </c>
      <c r="K142" s="796" t="s">
        <v>337</v>
      </c>
      <c r="L142" s="796" t="s">
        <v>338</v>
      </c>
      <c r="M142" s="796" t="s">
        <v>258</v>
      </c>
      <c r="N142" s="796" t="s">
        <v>619</v>
      </c>
      <c r="O142" s="799">
        <v>2000</v>
      </c>
      <c r="P142" s="797">
        <v>2000</v>
      </c>
      <c r="Q142" s="798">
        <v>56504</v>
      </c>
      <c r="R142" s="798">
        <v>56320</v>
      </c>
      <c r="S142" s="797">
        <v>5.7</v>
      </c>
      <c r="T142" s="797">
        <v>57</v>
      </c>
      <c r="U142" s="796" t="s">
        <v>620</v>
      </c>
      <c r="V142" s="797">
        <v>93.84</v>
      </c>
      <c r="W142" s="797">
        <v>95.11</v>
      </c>
      <c r="X142" s="796" t="s">
        <v>236</v>
      </c>
      <c r="Y142" s="796" t="s">
        <v>257</v>
      </c>
      <c r="Z142" s="796" t="s">
        <v>257</v>
      </c>
      <c r="AA142" s="796" t="s">
        <v>257</v>
      </c>
      <c r="AB142" s="796" t="s">
        <v>257</v>
      </c>
      <c r="AC142" s="797">
        <v>167.31772185174</v>
      </c>
      <c r="AD142" s="284">
        <f t="shared" si="6"/>
        <v>1.269999999999996</v>
      </c>
      <c r="AE142" s="284">
        <f t="shared" si="7"/>
        <v>94.474999999999994</v>
      </c>
      <c r="AF142" s="22">
        <f t="shared" si="8"/>
        <v>93.73</v>
      </c>
    </row>
    <row r="143" spans="1:32" x14ac:dyDescent="0.25">
      <c r="A143" s="796" t="s">
        <v>832</v>
      </c>
      <c r="B143" s="796" t="s">
        <v>257</v>
      </c>
      <c r="C143" s="796" t="s">
        <v>833</v>
      </c>
      <c r="D143" s="797">
        <v>90.486199999999997</v>
      </c>
      <c r="E143" s="798">
        <v>46068</v>
      </c>
      <c r="F143" s="797">
        <v>4.6456956606414996</v>
      </c>
      <c r="G143" s="797">
        <v>5.0357717993162003</v>
      </c>
      <c r="H143" s="797">
        <v>4.8790473818094</v>
      </c>
      <c r="I143" s="796" t="s">
        <v>617</v>
      </c>
      <c r="J143" s="796" t="s">
        <v>623</v>
      </c>
      <c r="K143" s="796" t="s">
        <v>306</v>
      </c>
      <c r="L143" s="796" t="s">
        <v>834</v>
      </c>
      <c r="M143" s="796" t="s">
        <v>272</v>
      </c>
      <c r="N143" s="796" t="s">
        <v>619</v>
      </c>
      <c r="O143" s="799">
        <v>1000</v>
      </c>
      <c r="P143" s="797">
        <v>1000</v>
      </c>
      <c r="Q143" s="798">
        <v>48075</v>
      </c>
      <c r="R143" s="798">
        <v>47983</v>
      </c>
      <c r="S143" s="797">
        <v>2.63</v>
      </c>
      <c r="T143" s="797">
        <v>13.15</v>
      </c>
      <c r="U143" s="796" t="s">
        <v>624</v>
      </c>
      <c r="V143" s="797">
        <v>90.002600000000001</v>
      </c>
      <c r="W143" s="797">
        <v>90.969800000000006</v>
      </c>
      <c r="X143" s="796" t="s">
        <v>236</v>
      </c>
      <c r="Y143" s="796" t="s">
        <v>257</v>
      </c>
      <c r="Z143" s="796" t="s">
        <v>257</v>
      </c>
      <c r="AA143" s="796" t="s">
        <v>257</v>
      </c>
      <c r="AB143" s="796" t="s">
        <v>257</v>
      </c>
      <c r="AC143" s="797">
        <v>81.459472708603002</v>
      </c>
      <c r="AD143" s="284">
        <f t="shared" si="6"/>
        <v>0.96720000000000539</v>
      </c>
      <c r="AE143" s="284">
        <f t="shared" si="7"/>
        <v>90.486199999999997</v>
      </c>
      <c r="AF143" s="22">
        <f t="shared" si="8"/>
        <v>90.486199999999997</v>
      </c>
    </row>
    <row r="144" spans="1:32" x14ac:dyDescent="0.25">
      <c r="A144" s="796" t="s">
        <v>835</v>
      </c>
      <c r="B144" s="796" t="s">
        <v>257</v>
      </c>
      <c r="C144" s="796" t="s">
        <v>836</v>
      </c>
      <c r="D144" s="797">
        <v>101.1015</v>
      </c>
      <c r="E144" s="798">
        <v>46174</v>
      </c>
      <c r="F144" s="797">
        <v>4.2928260779678</v>
      </c>
      <c r="G144" s="797">
        <v>2.1958317242367</v>
      </c>
      <c r="H144" s="797">
        <v>2.1346908227502999</v>
      </c>
      <c r="I144" s="796" t="s">
        <v>617</v>
      </c>
      <c r="J144" s="796" t="s">
        <v>623</v>
      </c>
      <c r="K144" s="796" t="s">
        <v>803</v>
      </c>
      <c r="L144" s="796" t="s">
        <v>837</v>
      </c>
      <c r="M144" s="796" t="s">
        <v>254</v>
      </c>
      <c r="N144" s="796" t="s">
        <v>619</v>
      </c>
      <c r="O144" s="799">
        <v>2000</v>
      </c>
      <c r="P144" s="797">
        <v>2000</v>
      </c>
      <c r="Q144" s="798">
        <v>46905</v>
      </c>
      <c r="R144" s="798">
        <v>46813</v>
      </c>
      <c r="S144" s="797">
        <v>4.75</v>
      </c>
      <c r="T144" s="797">
        <v>47.5</v>
      </c>
      <c r="U144" s="796" t="s">
        <v>624</v>
      </c>
      <c r="V144" s="797">
        <v>101.093</v>
      </c>
      <c r="W144" s="797">
        <v>101.11</v>
      </c>
      <c r="X144" s="796" t="s">
        <v>236</v>
      </c>
      <c r="Y144" s="796" t="s">
        <v>257</v>
      </c>
      <c r="Z144" s="796" t="s">
        <v>257</v>
      </c>
      <c r="AA144" s="796" t="s">
        <v>257</v>
      </c>
      <c r="AB144" s="796" t="s">
        <v>257</v>
      </c>
      <c r="AC144" s="797">
        <v>70.419286385920003</v>
      </c>
      <c r="AD144" s="284">
        <f t="shared" si="6"/>
        <v>1.6999999999995907E-2</v>
      </c>
      <c r="AE144" s="284">
        <f t="shared" si="7"/>
        <v>101.1015</v>
      </c>
      <c r="AF144" s="22">
        <f t="shared" si="8"/>
        <v>101.1015</v>
      </c>
    </row>
    <row r="145" spans="1:32" x14ac:dyDescent="0.25">
      <c r="A145" s="796" t="s">
        <v>838</v>
      </c>
      <c r="B145" s="796" t="s">
        <v>257</v>
      </c>
      <c r="C145" s="796" t="s">
        <v>839</v>
      </c>
      <c r="D145" s="797">
        <v>99.628500000000003</v>
      </c>
      <c r="E145" s="798">
        <v>46165</v>
      </c>
      <c r="F145" s="797">
        <v>5.2703115123402</v>
      </c>
      <c r="G145" s="797">
        <v>5.6061702850085</v>
      </c>
      <c r="H145" s="797">
        <v>5.3109493071109997</v>
      </c>
      <c r="I145" s="796" t="s">
        <v>617</v>
      </c>
      <c r="J145" s="796" t="s">
        <v>623</v>
      </c>
      <c r="K145" s="796" t="s">
        <v>354</v>
      </c>
      <c r="L145" s="796" t="s">
        <v>840</v>
      </c>
      <c r="M145" s="796" t="s">
        <v>327</v>
      </c>
      <c r="N145" s="796" t="s">
        <v>619</v>
      </c>
      <c r="O145" s="799">
        <v>100000</v>
      </c>
      <c r="P145" s="797">
        <v>100000</v>
      </c>
      <c r="Q145" s="798">
        <v>55846</v>
      </c>
      <c r="R145" s="798">
        <v>48449</v>
      </c>
      <c r="S145" s="797">
        <v>5.125</v>
      </c>
      <c r="T145" s="797">
        <v>2562.5</v>
      </c>
      <c r="U145" s="796" t="s">
        <v>624</v>
      </c>
      <c r="V145" s="797">
        <v>99.343999999999994</v>
      </c>
      <c r="W145" s="797">
        <v>99.912999999999997</v>
      </c>
      <c r="X145" s="796" t="s">
        <v>621</v>
      </c>
      <c r="Y145" s="796" t="s">
        <v>257</v>
      </c>
      <c r="Z145" s="796" t="s">
        <v>257</v>
      </c>
      <c r="AA145" s="796" t="s">
        <v>257</v>
      </c>
      <c r="AB145" s="796" t="s">
        <v>257</v>
      </c>
      <c r="AC145" s="796" t="s">
        <v>257</v>
      </c>
      <c r="AD145" s="284">
        <f t="shared" si="6"/>
        <v>0.56900000000000261</v>
      </c>
      <c r="AE145" s="284">
        <f t="shared" si="7"/>
        <v>99.628500000000003</v>
      </c>
      <c r="AF145" s="22">
        <f t="shared" si="8"/>
        <v>99.628500000000003</v>
      </c>
    </row>
    <row r="146" spans="1:32" x14ac:dyDescent="0.25">
      <c r="A146" s="796" t="s">
        <v>936</v>
      </c>
      <c r="B146" s="796" t="s">
        <v>257</v>
      </c>
      <c r="C146" s="796" t="s">
        <v>841</v>
      </c>
      <c r="D146" s="797">
        <v>99.924999999999997</v>
      </c>
      <c r="E146" s="796" t="s">
        <v>257</v>
      </c>
      <c r="F146" s="797">
        <v>12.282452630329001</v>
      </c>
      <c r="G146" s="796" t="s">
        <v>257</v>
      </c>
      <c r="H146" s="797">
        <v>7.3200913318704998E-3</v>
      </c>
      <c r="I146" s="796" t="s">
        <v>617</v>
      </c>
      <c r="J146" s="796" t="s">
        <v>623</v>
      </c>
      <c r="K146" s="796" t="s">
        <v>283</v>
      </c>
      <c r="L146" s="796" t="s">
        <v>935</v>
      </c>
      <c r="M146" s="796" t="s">
        <v>462</v>
      </c>
      <c r="N146" s="796" t="s">
        <v>619</v>
      </c>
      <c r="O146" s="799">
        <v>100000</v>
      </c>
      <c r="P146" s="796" t="s">
        <v>257</v>
      </c>
      <c r="Q146" s="798">
        <v>45457</v>
      </c>
      <c r="R146" s="796" t="s">
        <v>257</v>
      </c>
      <c r="S146" s="796" t="s">
        <v>257</v>
      </c>
      <c r="T146" s="796" t="s">
        <v>257</v>
      </c>
      <c r="U146" s="796" t="s">
        <v>624</v>
      </c>
      <c r="V146" s="797">
        <v>99.84</v>
      </c>
      <c r="W146" s="797">
        <v>100.01</v>
      </c>
      <c r="X146" s="796" t="s">
        <v>236</v>
      </c>
      <c r="Y146" s="796" t="s">
        <v>257</v>
      </c>
      <c r="Z146" s="796" t="s">
        <v>257</v>
      </c>
      <c r="AA146" s="796" t="s">
        <v>257</v>
      </c>
      <c r="AB146" s="796" t="s">
        <v>257</v>
      </c>
      <c r="AC146" s="796" t="s">
        <v>257</v>
      </c>
      <c r="AD146" s="284">
        <f t="shared" si="6"/>
        <v>0.17000000000000171</v>
      </c>
      <c r="AE146" s="284">
        <f t="shared" si="7"/>
        <v>99.925000000000011</v>
      </c>
      <c r="AF146" s="22">
        <f t="shared" si="8"/>
        <v>99.924999999999997</v>
      </c>
    </row>
    <row r="147" spans="1:32" x14ac:dyDescent="0.25">
      <c r="A147" s="796" t="s">
        <v>984</v>
      </c>
      <c r="B147" s="796" t="s">
        <v>257</v>
      </c>
      <c r="C147" s="796" t="s">
        <v>50</v>
      </c>
      <c r="D147" s="797">
        <v>73.599999999999994</v>
      </c>
      <c r="E147" s="796" t="s">
        <v>257</v>
      </c>
      <c r="F147" s="796" t="s">
        <v>257</v>
      </c>
      <c r="G147" s="796" t="s">
        <v>257</v>
      </c>
      <c r="H147" s="796" t="s">
        <v>257</v>
      </c>
      <c r="I147" s="796" t="s">
        <v>617</v>
      </c>
      <c r="J147" s="796" t="s">
        <v>623</v>
      </c>
      <c r="K147" s="796" t="s">
        <v>255</v>
      </c>
      <c r="L147" s="796" t="s">
        <v>256</v>
      </c>
      <c r="M147" s="796" t="s">
        <v>254</v>
      </c>
      <c r="N147" s="796" t="s">
        <v>619</v>
      </c>
      <c r="O147" s="799">
        <v>100000</v>
      </c>
      <c r="P147" s="796" t="s">
        <v>257</v>
      </c>
      <c r="Q147" s="798">
        <v>45873</v>
      </c>
      <c r="R147" s="796" t="s">
        <v>257</v>
      </c>
      <c r="S147" s="796" t="s">
        <v>257</v>
      </c>
      <c r="T147" s="796" t="s">
        <v>257</v>
      </c>
      <c r="U147" s="796" t="s">
        <v>624</v>
      </c>
      <c r="V147" s="797">
        <v>71.099999999999994</v>
      </c>
      <c r="W147" s="797">
        <v>76.099999999999994</v>
      </c>
      <c r="X147" s="796" t="s">
        <v>257</v>
      </c>
      <c r="Y147" s="796" t="s">
        <v>257</v>
      </c>
      <c r="Z147" s="796" t="s">
        <v>257</v>
      </c>
      <c r="AA147" s="796" t="s">
        <v>257</v>
      </c>
      <c r="AB147" s="796" t="s">
        <v>257</v>
      </c>
      <c r="AC147" s="797">
        <v>1.1977767914204E+50</v>
      </c>
      <c r="AD147" s="284">
        <f t="shared" si="6"/>
        <v>5</v>
      </c>
      <c r="AE147" s="284">
        <f t="shared" si="7"/>
        <v>73.599999999999994</v>
      </c>
      <c r="AF147" s="22">
        <f t="shared" si="8"/>
        <v>73.599999999999994</v>
      </c>
    </row>
    <row r="148" spans="1:32" x14ac:dyDescent="0.25">
      <c r="A148" s="796" t="s">
        <v>771</v>
      </c>
      <c r="B148" s="796" t="s">
        <v>257</v>
      </c>
      <c r="C148" s="796" t="s">
        <v>772</v>
      </c>
      <c r="D148" s="797">
        <v>100</v>
      </c>
      <c r="E148" s="796" t="s">
        <v>257</v>
      </c>
      <c r="F148" s="797">
        <v>4.1252754448635001</v>
      </c>
      <c r="G148" s="796" t="s">
        <v>257</v>
      </c>
      <c r="H148" s="797">
        <v>2.6677267031563999E-3</v>
      </c>
      <c r="I148" s="796" t="s">
        <v>617</v>
      </c>
      <c r="J148" s="796" t="s">
        <v>623</v>
      </c>
      <c r="K148" s="796" t="s">
        <v>354</v>
      </c>
      <c r="L148" s="796" t="s">
        <v>355</v>
      </c>
      <c r="M148" s="796" t="s">
        <v>312</v>
      </c>
      <c r="N148" s="796" t="s">
        <v>619</v>
      </c>
      <c r="O148" s="799">
        <v>200000</v>
      </c>
      <c r="P148" s="796" t="s">
        <v>257</v>
      </c>
      <c r="Q148" s="798">
        <v>45924</v>
      </c>
      <c r="R148" s="796" t="s">
        <v>257</v>
      </c>
      <c r="S148" s="796" t="s">
        <v>257</v>
      </c>
      <c r="T148" s="796" t="s">
        <v>257</v>
      </c>
      <c r="U148" s="796" t="s">
        <v>624</v>
      </c>
      <c r="V148" s="797">
        <v>100</v>
      </c>
      <c r="W148" s="797">
        <v>100</v>
      </c>
      <c r="X148" s="796" t="s">
        <v>236</v>
      </c>
      <c r="Y148" s="796" t="s">
        <v>257</v>
      </c>
      <c r="Z148" s="796" t="s">
        <v>257</v>
      </c>
      <c r="AA148" s="796" t="s">
        <v>257</v>
      </c>
      <c r="AB148" s="796" t="s">
        <v>257</v>
      </c>
      <c r="AC148" s="797">
        <v>15.032487005007001</v>
      </c>
      <c r="AD148" s="284">
        <f t="shared" si="6"/>
        <v>0</v>
      </c>
      <c r="AE148" s="284">
        <f t="shared" si="7"/>
        <v>100</v>
      </c>
      <c r="AF148" s="22">
        <f t="shared" si="8"/>
        <v>100</v>
      </c>
    </row>
    <row r="149" spans="1:32" x14ac:dyDescent="0.25">
      <c r="A149" s="796" t="s">
        <v>868</v>
      </c>
      <c r="B149" s="796" t="s">
        <v>257</v>
      </c>
      <c r="C149" s="796" t="s">
        <v>559</v>
      </c>
      <c r="D149" s="797">
        <v>99.97</v>
      </c>
      <c r="E149" s="796" t="s">
        <v>257</v>
      </c>
      <c r="F149" s="797">
        <v>3.6661445567447002</v>
      </c>
      <c r="G149" s="796" t="s">
        <v>257</v>
      </c>
      <c r="H149" s="797">
        <v>8.0386256949796994E-3</v>
      </c>
      <c r="I149" s="796" t="s">
        <v>617</v>
      </c>
      <c r="J149" s="796" t="s">
        <v>618</v>
      </c>
      <c r="K149" s="796" t="s">
        <v>283</v>
      </c>
      <c r="L149" s="796" t="s">
        <v>283</v>
      </c>
      <c r="M149" s="796" t="s">
        <v>257</v>
      </c>
      <c r="N149" s="796" t="s">
        <v>635</v>
      </c>
      <c r="O149" s="799">
        <v>100</v>
      </c>
      <c r="P149" s="796" t="s">
        <v>257</v>
      </c>
      <c r="Q149" s="798">
        <v>45855</v>
      </c>
      <c r="R149" s="796" t="s">
        <v>257</v>
      </c>
      <c r="S149" s="796" t="s">
        <v>257</v>
      </c>
      <c r="T149" s="796" t="s">
        <v>257</v>
      </c>
      <c r="U149" s="796" t="s">
        <v>869</v>
      </c>
      <c r="V149" s="797">
        <v>99.97</v>
      </c>
      <c r="W149" s="797">
        <v>100.02</v>
      </c>
      <c r="X149" s="796" t="s">
        <v>236</v>
      </c>
      <c r="Y149" s="796" t="s">
        <v>257</v>
      </c>
      <c r="Z149" s="796" t="s">
        <v>257</v>
      </c>
      <c r="AA149" s="796" t="s">
        <v>257</v>
      </c>
      <c r="AB149" s="796" t="s">
        <v>257</v>
      </c>
      <c r="AC149" s="797">
        <v>-97.142504516363999</v>
      </c>
      <c r="AD149" s="284">
        <f t="shared" si="6"/>
        <v>4.9999999999997158E-2</v>
      </c>
      <c r="AE149" s="284">
        <f t="shared" si="7"/>
        <v>99.995000000000005</v>
      </c>
      <c r="AF149" s="22">
        <f t="shared" si="8"/>
        <v>99.97</v>
      </c>
    </row>
    <row r="150" spans="1:32" x14ac:dyDescent="0.25">
      <c r="A150" s="796" t="s">
        <v>870</v>
      </c>
      <c r="B150" s="796" t="s">
        <v>257</v>
      </c>
      <c r="C150" s="796" t="s">
        <v>558</v>
      </c>
      <c r="D150" s="797">
        <v>100</v>
      </c>
      <c r="E150" s="796" t="s">
        <v>257</v>
      </c>
      <c r="F150" s="796" t="s">
        <v>257</v>
      </c>
      <c r="G150" s="796" t="s">
        <v>257</v>
      </c>
      <c r="H150" s="797">
        <v>2.7777777777778E-3</v>
      </c>
      <c r="I150" s="796" t="s">
        <v>617</v>
      </c>
      <c r="J150" s="796" t="s">
        <v>618</v>
      </c>
      <c r="K150" s="796" t="s">
        <v>283</v>
      </c>
      <c r="L150" s="796" t="s">
        <v>283</v>
      </c>
      <c r="M150" s="796" t="s">
        <v>257</v>
      </c>
      <c r="N150" s="796" t="s">
        <v>635</v>
      </c>
      <c r="O150" s="799">
        <v>100</v>
      </c>
      <c r="P150" s="796" t="s">
        <v>257</v>
      </c>
      <c r="Q150" s="798">
        <v>45811</v>
      </c>
      <c r="R150" s="796" t="s">
        <v>257</v>
      </c>
      <c r="S150" s="796" t="s">
        <v>257</v>
      </c>
      <c r="T150" s="796" t="s">
        <v>257</v>
      </c>
      <c r="U150" s="796" t="s">
        <v>871</v>
      </c>
      <c r="V150" s="796" t="s">
        <v>257</v>
      </c>
      <c r="W150" s="797">
        <v>99.988221999999993</v>
      </c>
      <c r="X150" s="796" t="s">
        <v>257</v>
      </c>
      <c r="Y150" s="796" t="s">
        <v>257</v>
      </c>
      <c r="Z150" s="796" t="s">
        <v>257</v>
      </c>
      <c r="AA150" s="796" t="s">
        <v>257</v>
      </c>
      <c r="AB150" s="796" t="s">
        <v>257</v>
      </c>
      <c r="AC150" s="797">
        <v>-457.11984308557999</v>
      </c>
      <c r="AD150" s="284" t="e">
        <f t="shared" si="6"/>
        <v>#VALUE!</v>
      </c>
      <c r="AE150" s="284">
        <f t="shared" si="7"/>
        <v>99.988221999999993</v>
      </c>
      <c r="AF150" s="22">
        <f t="shared" si="8"/>
        <v>100</v>
      </c>
    </row>
    <row r="151" spans="1:32" x14ac:dyDescent="0.25">
      <c r="A151" s="796" t="s">
        <v>842</v>
      </c>
      <c r="B151" s="796" t="s">
        <v>257</v>
      </c>
      <c r="C151" s="796" t="s">
        <v>843</v>
      </c>
      <c r="D151" s="797">
        <v>100</v>
      </c>
      <c r="E151" s="796" t="s">
        <v>257</v>
      </c>
      <c r="F151" s="797">
        <v>-0.45044135387929002</v>
      </c>
      <c r="G151" s="796" t="s">
        <v>257</v>
      </c>
      <c r="H151" s="797">
        <v>5.5042454525333004E-3</v>
      </c>
      <c r="I151" s="796" t="s">
        <v>617</v>
      </c>
      <c r="J151" s="796" t="s">
        <v>623</v>
      </c>
      <c r="K151" s="796" t="s">
        <v>283</v>
      </c>
      <c r="L151" s="796" t="s">
        <v>283</v>
      </c>
      <c r="M151" s="796" t="s">
        <v>257</v>
      </c>
      <c r="N151" s="796" t="s">
        <v>635</v>
      </c>
      <c r="O151" s="799">
        <v>100</v>
      </c>
      <c r="P151" s="796" t="s">
        <v>257</v>
      </c>
      <c r="Q151" s="798">
        <v>45382</v>
      </c>
      <c r="R151" s="796" t="s">
        <v>257</v>
      </c>
      <c r="S151" s="796" t="s">
        <v>257</v>
      </c>
      <c r="T151" s="796" t="s">
        <v>257</v>
      </c>
      <c r="U151" s="796" t="s">
        <v>624</v>
      </c>
      <c r="V151" s="797">
        <v>99.799899999999994</v>
      </c>
      <c r="W151" s="797">
        <v>100.20010000000001</v>
      </c>
      <c r="X151" s="796" t="s">
        <v>236</v>
      </c>
      <c r="Y151" s="796" t="s">
        <v>257</v>
      </c>
      <c r="Z151" s="796" t="s">
        <v>257</v>
      </c>
      <c r="AA151" s="796" t="s">
        <v>257</v>
      </c>
      <c r="AB151" s="796" t="s">
        <v>257</v>
      </c>
      <c r="AC151" s="796" t="s">
        <v>257</v>
      </c>
      <c r="AD151" s="284">
        <f t="shared" si="6"/>
        <v>0.40020000000001232</v>
      </c>
      <c r="AE151" s="284">
        <f t="shared" si="7"/>
        <v>100</v>
      </c>
      <c r="AF151" s="22">
        <f t="shared" si="8"/>
        <v>100</v>
      </c>
    </row>
    <row r="152" spans="1:32" x14ac:dyDescent="0.25">
      <c r="A152" s="796" t="s">
        <v>844</v>
      </c>
      <c r="B152" s="796" t="s">
        <v>257</v>
      </c>
      <c r="C152" s="796" t="s">
        <v>845</v>
      </c>
      <c r="D152" s="797">
        <v>99.655000000000001</v>
      </c>
      <c r="E152" s="796" t="s">
        <v>257</v>
      </c>
      <c r="F152" s="797">
        <v>252.25325140293</v>
      </c>
      <c r="G152" s="796" t="s">
        <v>257</v>
      </c>
      <c r="H152" s="797">
        <v>7.7777167889458998E-4</v>
      </c>
      <c r="I152" s="796" t="s">
        <v>617</v>
      </c>
      <c r="J152" s="796" t="s">
        <v>623</v>
      </c>
      <c r="K152" s="796" t="s">
        <v>283</v>
      </c>
      <c r="L152" s="796" t="s">
        <v>283</v>
      </c>
      <c r="M152" s="796" t="s">
        <v>257</v>
      </c>
      <c r="N152" s="796" t="s">
        <v>635</v>
      </c>
      <c r="O152" s="799">
        <v>100</v>
      </c>
      <c r="P152" s="796" t="s">
        <v>257</v>
      </c>
      <c r="Q152" s="798">
        <v>45535</v>
      </c>
      <c r="R152" s="796" t="s">
        <v>257</v>
      </c>
      <c r="S152" s="796" t="s">
        <v>257</v>
      </c>
      <c r="T152" s="796" t="s">
        <v>257</v>
      </c>
      <c r="U152" s="796" t="s">
        <v>624</v>
      </c>
      <c r="V152" s="797">
        <v>99.31</v>
      </c>
      <c r="W152" s="797">
        <v>100</v>
      </c>
      <c r="X152" s="796" t="s">
        <v>236</v>
      </c>
      <c r="Y152" s="796" t="s">
        <v>257</v>
      </c>
      <c r="Z152" s="796" t="s">
        <v>257</v>
      </c>
      <c r="AA152" s="796" t="s">
        <v>257</v>
      </c>
      <c r="AB152" s="796" t="s">
        <v>257</v>
      </c>
      <c r="AC152" s="797">
        <v>24674.581407439</v>
      </c>
      <c r="AD152" s="284">
        <f t="shared" si="6"/>
        <v>0.68999999999999773</v>
      </c>
      <c r="AE152" s="284">
        <f t="shared" si="7"/>
        <v>99.655000000000001</v>
      </c>
      <c r="AF152" s="22">
        <f t="shared" si="8"/>
        <v>99.655000000000001</v>
      </c>
    </row>
    <row r="153" spans="1:32" x14ac:dyDescent="0.25">
      <c r="AD153" s="284">
        <f t="shared" si="6"/>
        <v>0</v>
      </c>
      <c r="AE153" s="284" t="e">
        <f t="shared" si="7"/>
        <v>#DIV/0!</v>
      </c>
      <c r="AF153" s="22">
        <f t="shared" si="8"/>
        <v>0</v>
      </c>
    </row>
    <row r="154" spans="1:32" x14ac:dyDescent="0.25">
      <c r="AD154" s="284">
        <f t="shared" si="6"/>
        <v>0</v>
      </c>
      <c r="AE154" s="284" t="e">
        <f t="shared" si="7"/>
        <v>#DIV/0!</v>
      </c>
      <c r="AF154" s="22">
        <f t="shared" si="8"/>
        <v>0</v>
      </c>
    </row>
    <row r="155" spans="1:32" x14ac:dyDescent="0.25">
      <c r="AD155" s="284">
        <f t="shared" si="6"/>
        <v>0</v>
      </c>
      <c r="AE155" s="284" t="e">
        <f t="shared" si="7"/>
        <v>#DIV/0!</v>
      </c>
      <c r="AF155" s="22">
        <f t="shared" si="8"/>
        <v>0</v>
      </c>
    </row>
    <row r="156" spans="1:32" x14ac:dyDescent="0.25">
      <c r="AD156" s="284">
        <f t="shared" si="6"/>
        <v>0</v>
      </c>
      <c r="AE156" s="284" t="e">
        <f t="shared" si="7"/>
        <v>#DIV/0!</v>
      </c>
      <c r="AF156" s="22">
        <f t="shared" si="8"/>
        <v>0</v>
      </c>
    </row>
    <row r="157" spans="1:32" x14ac:dyDescent="0.25">
      <c r="AD157" s="284">
        <f t="shared" si="6"/>
        <v>0</v>
      </c>
      <c r="AE157" s="284" t="e">
        <f t="shared" si="7"/>
        <v>#DIV/0!</v>
      </c>
      <c r="AF157" s="22">
        <f t="shared" si="8"/>
        <v>0</v>
      </c>
    </row>
    <row r="158" spans="1:32" x14ac:dyDescent="0.25">
      <c r="AD158" s="284">
        <f t="shared" si="6"/>
        <v>0</v>
      </c>
      <c r="AE158" s="284" t="e">
        <f t="shared" si="7"/>
        <v>#DIV/0!</v>
      </c>
      <c r="AF158" s="22">
        <f t="shared" si="8"/>
        <v>0</v>
      </c>
    </row>
    <row r="159" spans="1:32" x14ac:dyDescent="0.25">
      <c r="AD159" s="284">
        <f t="shared" si="6"/>
        <v>0</v>
      </c>
      <c r="AE159" s="284" t="e">
        <f t="shared" si="7"/>
        <v>#DIV/0!</v>
      </c>
      <c r="AF159" s="22">
        <f t="shared" si="8"/>
        <v>0</v>
      </c>
    </row>
    <row r="160" spans="1:32" x14ac:dyDescent="0.25">
      <c r="AD160" s="284">
        <f t="shared" si="6"/>
        <v>0</v>
      </c>
      <c r="AE160" s="284" t="e">
        <f t="shared" si="7"/>
        <v>#DIV/0!</v>
      </c>
      <c r="AF160" s="22">
        <f t="shared" si="8"/>
        <v>0</v>
      </c>
    </row>
    <row r="161" spans="30:32" x14ac:dyDescent="0.25">
      <c r="AD161" s="284">
        <f t="shared" si="6"/>
        <v>0</v>
      </c>
      <c r="AE161" s="284" t="e">
        <f t="shared" si="7"/>
        <v>#DIV/0!</v>
      </c>
      <c r="AF161" s="22">
        <f t="shared" si="8"/>
        <v>0</v>
      </c>
    </row>
    <row r="162" spans="30:32" x14ac:dyDescent="0.25">
      <c r="AD162" s="284">
        <f t="shared" si="6"/>
        <v>0</v>
      </c>
      <c r="AE162" s="284" t="e">
        <f t="shared" si="7"/>
        <v>#DIV/0!</v>
      </c>
      <c r="AF162" s="22">
        <f t="shared" si="8"/>
        <v>0</v>
      </c>
    </row>
    <row r="163" spans="30:32" x14ac:dyDescent="0.25">
      <c r="AD163" s="284">
        <f t="shared" si="6"/>
        <v>0</v>
      </c>
      <c r="AE163" s="284" t="e">
        <f t="shared" si="7"/>
        <v>#DIV/0!</v>
      </c>
      <c r="AF163" s="22">
        <f t="shared" si="8"/>
        <v>0</v>
      </c>
    </row>
    <row r="164" spans="30:32" x14ac:dyDescent="0.25">
      <c r="AD164" s="284">
        <f t="shared" si="6"/>
        <v>0</v>
      </c>
      <c r="AE164" s="284" t="e">
        <f t="shared" si="7"/>
        <v>#DIV/0!</v>
      </c>
      <c r="AF164" s="22">
        <f t="shared" si="8"/>
        <v>0</v>
      </c>
    </row>
    <row r="165" spans="30:32" x14ac:dyDescent="0.25">
      <c r="AD165" s="284">
        <f t="shared" si="6"/>
        <v>0</v>
      </c>
      <c r="AE165" s="284" t="e">
        <f t="shared" si="7"/>
        <v>#DIV/0!</v>
      </c>
      <c r="AF165" s="22">
        <f t="shared" si="8"/>
        <v>0</v>
      </c>
    </row>
    <row r="166" spans="30:32" x14ac:dyDescent="0.25">
      <c r="AD166" s="284">
        <f t="shared" si="6"/>
        <v>0</v>
      </c>
      <c r="AE166" s="284" t="e">
        <f t="shared" si="7"/>
        <v>#DIV/0!</v>
      </c>
      <c r="AF166" s="22">
        <f t="shared" si="8"/>
        <v>0</v>
      </c>
    </row>
    <row r="167" spans="30:32" x14ac:dyDescent="0.25">
      <c r="AD167" s="284">
        <f t="shared" si="6"/>
        <v>0</v>
      </c>
      <c r="AE167" s="284" t="e">
        <f t="shared" si="7"/>
        <v>#DIV/0!</v>
      </c>
      <c r="AF167" s="22">
        <f t="shared" si="8"/>
        <v>0</v>
      </c>
    </row>
    <row r="168" spans="30:32" x14ac:dyDescent="0.25">
      <c r="AD168" s="284">
        <f t="shared" si="6"/>
        <v>0</v>
      </c>
      <c r="AE168" s="284" t="e">
        <f t="shared" si="7"/>
        <v>#DIV/0!</v>
      </c>
      <c r="AF168" s="22">
        <f t="shared" si="8"/>
        <v>0</v>
      </c>
    </row>
    <row r="169" spans="30:32" x14ac:dyDescent="0.25">
      <c r="AD169" s="284">
        <f t="shared" si="6"/>
        <v>0</v>
      </c>
      <c r="AE169" s="284" t="e">
        <f t="shared" si="7"/>
        <v>#DIV/0!</v>
      </c>
      <c r="AF169" s="22">
        <f t="shared" si="8"/>
        <v>0</v>
      </c>
    </row>
    <row r="170" spans="30:32" x14ac:dyDescent="0.25">
      <c r="AD170" s="284">
        <f t="shared" si="6"/>
        <v>0</v>
      </c>
      <c r="AE170" s="284" t="e">
        <f t="shared" si="7"/>
        <v>#DIV/0!</v>
      </c>
      <c r="AF170" s="22">
        <f t="shared" si="8"/>
        <v>0</v>
      </c>
    </row>
    <row r="171" spans="30:32" x14ac:dyDescent="0.25">
      <c r="AD171" s="284">
        <f t="shared" si="6"/>
        <v>0</v>
      </c>
      <c r="AE171" s="284" t="e">
        <f t="shared" si="7"/>
        <v>#DIV/0!</v>
      </c>
      <c r="AF171" s="22">
        <f t="shared" si="8"/>
        <v>0</v>
      </c>
    </row>
    <row r="172" spans="30:32" x14ac:dyDescent="0.25">
      <c r="AD172" s="284">
        <f t="shared" si="6"/>
        <v>0</v>
      </c>
      <c r="AE172" s="284" t="e">
        <f t="shared" si="7"/>
        <v>#DIV/0!</v>
      </c>
      <c r="AF172" s="22">
        <f t="shared" si="8"/>
        <v>0</v>
      </c>
    </row>
    <row r="173" spans="30:32" x14ac:dyDescent="0.25">
      <c r="AD173" s="284">
        <f t="shared" si="6"/>
        <v>0</v>
      </c>
      <c r="AE173" s="284" t="e">
        <f t="shared" si="7"/>
        <v>#DIV/0!</v>
      </c>
      <c r="AF173" s="22">
        <f t="shared" si="8"/>
        <v>0</v>
      </c>
    </row>
    <row r="174" spans="30:32" x14ac:dyDescent="0.25">
      <c r="AD174" s="284">
        <f t="shared" si="6"/>
        <v>0</v>
      </c>
      <c r="AE174" s="284" t="e">
        <f t="shared" si="7"/>
        <v>#DIV/0!</v>
      </c>
      <c r="AF174" s="22">
        <f t="shared" si="8"/>
        <v>0</v>
      </c>
    </row>
    <row r="175" spans="30:32" x14ac:dyDescent="0.25">
      <c r="AD175" s="284">
        <f t="shared" si="6"/>
        <v>0</v>
      </c>
      <c r="AE175" s="284" t="e">
        <f t="shared" si="7"/>
        <v>#DIV/0!</v>
      </c>
      <c r="AF175" s="22">
        <f t="shared" si="8"/>
        <v>0</v>
      </c>
    </row>
    <row r="176" spans="30:32" x14ac:dyDescent="0.25">
      <c r="AD176" s="284">
        <f t="shared" si="6"/>
        <v>0</v>
      </c>
      <c r="AE176" s="284" t="e">
        <f t="shared" si="7"/>
        <v>#DIV/0!</v>
      </c>
      <c r="AF176" s="22">
        <f t="shared" si="8"/>
        <v>0</v>
      </c>
    </row>
    <row r="177" spans="1:32" x14ac:dyDescent="0.25">
      <c r="AD177" s="284">
        <f t="shared" si="6"/>
        <v>0</v>
      </c>
      <c r="AE177" s="284" t="e">
        <f t="shared" si="7"/>
        <v>#DIV/0!</v>
      </c>
      <c r="AF177" s="22">
        <f t="shared" si="8"/>
        <v>0</v>
      </c>
    </row>
    <row r="178" spans="1:32" x14ac:dyDescent="0.25">
      <c r="AD178" s="284">
        <f t="shared" si="6"/>
        <v>0</v>
      </c>
      <c r="AE178" s="284" t="e">
        <f t="shared" si="7"/>
        <v>#DIV/0!</v>
      </c>
      <c r="AF178" s="22">
        <f t="shared" si="8"/>
        <v>0</v>
      </c>
    </row>
    <row r="179" spans="1:32" x14ac:dyDescent="0.25">
      <c r="AD179" s="284">
        <f t="shared" si="6"/>
        <v>0</v>
      </c>
      <c r="AE179" s="284" t="e">
        <f t="shared" si="7"/>
        <v>#DIV/0!</v>
      </c>
      <c r="AF179" s="22">
        <f t="shared" si="8"/>
        <v>0</v>
      </c>
    </row>
    <row r="180" spans="1:32" x14ac:dyDescent="0.25">
      <c r="AD180" s="284">
        <f t="shared" si="6"/>
        <v>0</v>
      </c>
      <c r="AE180" s="284" t="e">
        <f t="shared" si="7"/>
        <v>#DIV/0!</v>
      </c>
      <c r="AF180" s="22">
        <f t="shared" si="8"/>
        <v>0</v>
      </c>
    </row>
    <row r="181" spans="1:32" x14ac:dyDescent="0.25">
      <c r="AD181" s="284">
        <f t="shared" si="6"/>
        <v>0</v>
      </c>
      <c r="AE181" s="284" t="e">
        <f t="shared" si="7"/>
        <v>#DIV/0!</v>
      </c>
      <c r="AF181" s="22">
        <f t="shared" si="8"/>
        <v>0</v>
      </c>
    </row>
    <row r="182" spans="1:32" s="24" customFormat="1" x14ac:dyDescent="0.2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 s="314">
        <f t="shared" si="6"/>
        <v>0</v>
      </c>
      <c r="AE182" s="314" t="e">
        <f t="shared" si="7"/>
        <v>#DIV/0!</v>
      </c>
      <c r="AF182" s="24">
        <f t="shared" si="8"/>
        <v>0</v>
      </c>
    </row>
    <row r="183" spans="1:32" x14ac:dyDescent="0.25">
      <c r="AD183" s="284">
        <f t="shared" si="6"/>
        <v>0</v>
      </c>
      <c r="AE183" s="284" t="e">
        <f t="shared" si="7"/>
        <v>#DIV/0!</v>
      </c>
      <c r="AF183" s="22">
        <f t="shared" si="8"/>
        <v>0</v>
      </c>
    </row>
    <row r="184" spans="1:32" x14ac:dyDescent="0.25">
      <c r="AD184" s="284">
        <f t="shared" si="6"/>
        <v>0</v>
      </c>
      <c r="AE184" s="284" t="e">
        <f t="shared" si="7"/>
        <v>#DIV/0!</v>
      </c>
      <c r="AF184" s="22">
        <f t="shared" si="8"/>
        <v>0</v>
      </c>
    </row>
    <row r="185" spans="1:32" x14ac:dyDescent="0.25">
      <c r="AD185" s="284">
        <f t="shared" si="6"/>
        <v>0</v>
      </c>
      <c r="AE185" s="284" t="e">
        <f t="shared" si="7"/>
        <v>#DIV/0!</v>
      </c>
      <c r="AF185" s="22">
        <f t="shared" si="8"/>
        <v>0</v>
      </c>
    </row>
    <row r="186" spans="1:32" x14ac:dyDescent="0.25">
      <c r="AD186" s="284">
        <f t="shared" si="6"/>
        <v>0</v>
      </c>
      <c r="AE186" s="284" t="e">
        <f t="shared" si="7"/>
        <v>#DIV/0!</v>
      </c>
      <c r="AF186" s="22">
        <f t="shared" si="8"/>
        <v>0</v>
      </c>
    </row>
    <row r="187" spans="1:32" x14ac:dyDescent="0.25">
      <c r="AD187" s="284">
        <f t="shared" si="6"/>
        <v>0</v>
      </c>
      <c r="AE187" s="284" t="e">
        <f t="shared" si="7"/>
        <v>#DIV/0!</v>
      </c>
      <c r="AF187" s="22">
        <f t="shared" si="8"/>
        <v>0</v>
      </c>
    </row>
    <row r="188" spans="1:32" x14ac:dyDescent="0.25">
      <c r="AD188" s="284">
        <f t="shared" si="6"/>
        <v>0</v>
      </c>
      <c r="AE188" s="284" t="e">
        <f t="shared" si="7"/>
        <v>#DIV/0!</v>
      </c>
      <c r="AF188" s="22">
        <f t="shared" si="8"/>
        <v>0</v>
      </c>
    </row>
    <row r="189" spans="1:32" x14ac:dyDescent="0.25">
      <c r="AD189" s="284">
        <f t="shared" si="6"/>
        <v>0</v>
      </c>
      <c r="AE189" s="284" t="e">
        <f t="shared" si="7"/>
        <v>#DIV/0!</v>
      </c>
      <c r="AF189" s="22">
        <f t="shared" si="8"/>
        <v>0</v>
      </c>
    </row>
    <row r="190" spans="1:32" x14ac:dyDescent="0.25">
      <c r="AD190" s="284">
        <f t="shared" si="6"/>
        <v>0</v>
      </c>
      <c r="AE190" s="284" t="e">
        <f t="shared" si="7"/>
        <v>#DIV/0!</v>
      </c>
      <c r="AF190" s="22">
        <f t="shared" si="8"/>
        <v>0</v>
      </c>
    </row>
    <row r="191" spans="1:32" x14ac:dyDescent="0.25">
      <c r="AD191" s="284">
        <f t="shared" si="6"/>
        <v>0</v>
      </c>
      <c r="AE191" s="284" t="e">
        <f t="shared" si="7"/>
        <v>#DIV/0!</v>
      </c>
      <c r="AF191" s="22">
        <f t="shared" si="8"/>
        <v>0</v>
      </c>
    </row>
    <row r="192" spans="1:32" x14ac:dyDescent="0.25">
      <c r="AD192" s="284">
        <f t="shared" si="6"/>
        <v>0</v>
      </c>
      <c r="AE192" s="284" t="e">
        <f t="shared" si="7"/>
        <v>#DIV/0!</v>
      </c>
      <c r="AF192" s="22">
        <f t="shared" si="8"/>
        <v>0</v>
      </c>
    </row>
    <row r="193" spans="1:32" x14ac:dyDescent="0.25">
      <c r="AD193" s="284">
        <f t="shared" si="6"/>
        <v>0</v>
      </c>
      <c r="AE193" s="284" t="e">
        <f t="shared" si="7"/>
        <v>#DIV/0!</v>
      </c>
      <c r="AF193" s="22">
        <f t="shared" si="8"/>
        <v>0</v>
      </c>
    </row>
    <row r="194" spans="1:32" s="24" customFormat="1" x14ac:dyDescent="0.2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 s="314">
        <f t="shared" si="6"/>
        <v>0</v>
      </c>
      <c r="AE194" s="314" t="e">
        <f t="shared" si="7"/>
        <v>#DIV/0!</v>
      </c>
      <c r="AF194" s="24">
        <f t="shared" si="8"/>
        <v>0</v>
      </c>
    </row>
    <row r="195" spans="1:32" x14ac:dyDescent="0.25">
      <c r="AD195" s="284">
        <f t="shared" ref="AD195:AD245" si="9">ABS(W195-V195)</f>
        <v>0</v>
      </c>
      <c r="AE195" s="284" t="e">
        <f t="shared" ref="AE195:AE245" si="10">AVERAGE(V195:W195)</f>
        <v>#DIV/0!</v>
      </c>
      <c r="AF195" s="22">
        <f t="shared" ref="AF195:AF245" si="11">IFERROR(IF(AD195&gt;1.5,AE195,D195),D195)</f>
        <v>0</v>
      </c>
    </row>
    <row r="196" spans="1:32" x14ac:dyDescent="0.25">
      <c r="AD196" s="284">
        <f t="shared" si="9"/>
        <v>0</v>
      </c>
      <c r="AE196" s="284" t="e">
        <f t="shared" si="10"/>
        <v>#DIV/0!</v>
      </c>
      <c r="AF196" s="22">
        <f t="shared" si="11"/>
        <v>0</v>
      </c>
    </row>
    <row r="197" spans="1:32" x14ac:dyDescent="0.25">
      <c r="AD197" s="284">
        <f t="shared" si="9"/>
        <v>0</v>
      </c>
      <c r="AE197" s="284" t="e">
        <f t="shared" si="10"/>
        <v>#DIV/0!</v>
      </c>
      <c r="AF197" s="22">
        <f t="shared" si="11"/>
        <v>0</v>
      </c>
    </row>
    <row r="198" spans="1:32" x14ac:dyDescent="0.25">
      <c r="AD198" s="284">
        <f t="shared" si="9"/>
        <v>0</v>
      </c>
      <c r="AE198" s="284" t="e">
        <f t="shared" si="10"/>
        <v>#DIV/0!</v>
      </c>
      <c r="AF198" s="22">
        <f t="shared" si="11"/>
        <v>0</v>
      </c>
    </row>
    <row r="199" spans="1:32" x14ac:dyDescent="0.25">
      <c r="AD199" s="284">
        <f t="shared" si="9"/>
        <v>0</v>
      </c>
      <c r="AE199" s="284" t="e">
        <f t="shared" si="10"/>
        <v>#DIV/0!</v>
      </c>
      <c r="AF199" s="22">
        <f t="shared" si="11"/>
        <v>0</v>
      </c>
    </row>
    <row r="200" spans="1:32" x14ac:dyDescent="0.25">
      <c r="AD200" s="284">
        <f t="shared" si="9"/>
        <v>0</v>
      </c>
      <c r="AE200" s="284" t="e">
        <f t="shared" si="10"/>
        <v>#DIV/0!</v>
      </c>
      <c r="AF200" s="22">
        <f t="shared" si="11"/>
        <v>0</v>
      </c>
    </row>
    <row r="201" spans="1:32" x14ac:dyDescent="0.25">
      <c r="AD201" s="284">
        <f t="shared" si="9"/>
        <v>0</v>
      </c>
      <c r="AE201" s="284" t="e">
        <f t="shared" si="10"/>
        <v>#DIV/0!</v>
      </c>
      <c r="AF201" s="22">
        <f t="shared" si="11"/>
        <v>0</v>
      </c>
    </row>
    <row r="202" spans="1:32" x14ac:dyDescent="0.25">
      <c r="AD202" s="284">
        <f t="shared" si="9"/>
        <v>0</v>
      </c>
      <c r="AE202" s="284" t="e">
        <f t="shared" si="10"/>
        <v>#DIV/0!</v>
      </c>
      <c r="AF202" s="22">
        <f t="shared" si="11"/>
        <v>0</v>
      </c>
    </row>
    <row r="203" spans="1:32" x14ac:dyDescent="0.25">
      <c r="AD203" s="284">
        <f t="shared" si="9"/>
        <v>0</v>
      </c>
      <c r="AE203" s="284" t="e">
        <f t="shared" si="10"/>
        <v>#DIV/0!</v>
      </c>
      <c r="AF203" s="22">
        <f t="shared" si="11"/>
        <v>0</v>
      </c>
    </row>
    <row r="204" spans="1:32" x14ac:dyDescent="0.25">
      <c r="AD204" s="284">
        <f t="shared" si="9"/>
        <v>0</v>
      </c>
      <c r="AE204" s="284" t="e">
        <f t="shared" si="10"/>
        <v>#DIV/0!</v>
      </c>
      <c r="AF204" s="22">
        <f t="shared" si="11"/>
        <v>0</v>
      </c>
    </row>
    <row r="205" spans="1:32" x14ac:dyDescent="0.25">
      <c r="AD205" s="284">
        <f t="shared" si="9"/>
        <v>0</v>
      </c>
      <c r="AE205" s="284" t="e">
        <f t="shared" si="10"/>
        <v>#DIV/0!</v>
      </c>
      <c r="AF205" s="22">
        <f t="shared" si="11"/>
        <v>0</v>
      </c>
    </row>
    <row r="206" spans="1:32" x14ac:dyDescent="0.25">
      <c r="AD206" s="284">
        <f t="shared" si="9"/>
        <v>0</v>
      </c>
      <c r="AE206" s="284" t="e">
        <f t="shared" si="10"/>
        <v>#DIV/0!</v>
      </c>
      <c r="AF206" s="22">
        <f t="shared" si="11"/>
        <v>0</v>
      </c>
    </row>
    <row r="207" spans="1:32" x14ac:dyDescent="0.25">
      <c r="AD207" s="284">
        <f t="shared" si="9"/>
        <v>0</v>
      </c>
      <c r="AE207" s="284" t="e">
        <f t="shared" si="10"/>
        <v>#DIV/0!</v>
      </c>
      <c r="AF207" s="22">
        <f t="shared" si="11"/>
        <v>0</v>
      </c>
    </row>
    <row r="208" spans="1:32" x14ac:dyDescent="0.25">
      <c r="AD208" s="284">
        <f t="shared" si="9"/>
        <v>0</v>
      </c>
      <c r="AE208" s="284" t="e">
        <f t="shared" si="10"/>
        <v>#DIV/0!</v>
      </c>
      <c r="AF208" s="22">
        <f t="shared" si="11"/>
        <v>0</v>
      </c>
    </row>
    <row r="209" spans="30:32" x14ac:dyDescent="0.25">
      <c r="AD209" s="284">
        <f t="shared" si="9"/>
        <v>0</v>
      </c>
      <c r="AE209" s="284" t="e">
        <f t="shared" si="10"/>
        <v>#DIV/0!</v>
      </c>
      <c r="AF209" s="22">
        <f t="shared" si="11"/>
        <v>0</v>
      </c>
    </row>
    <row r="210" spans="30:32" x14ac:dyDescent="0.25">
      <c r="AD210" s="284">
        <f t="shared" si="9"/>
        <v>0</v>
      </c>
      <c r="AE210" s="284" t="e">
        <f t="shared" si="10"/>
        <v>#DIV/0!</v>
      </c>
      <c r="AF210" s="22">
        <f t="shared" si="11"/>
        <v>0</v>
      </c>
    </row>
    <row r="211" spans="30:32" x14ac:dyDescent="0.25">
      <c r="AD211" s="284">
        <f t="shared" si="9"/>
        <v>0</v>
      </c>
      <c r="AE211" s="284" t="e">
        <f t="shared" si="10"/>
        <v>#DIV/0!</v>
      </c>
      <c r="AF211" s="22">
        <f t="shared" si="11"/>
        <v>0</v>
      </c>
    </row>
    <row r="212" spans="30:32" x14ac:dyDescent="0.25">
      <c r="AD212" s="284">
        <f t="shared" si="9"/>
        <v>0</v>
      </c>
      <c r="AE212" s="284" t="e">
        <f t="shared" si="10"/>
        <v>#DIV/0!</v>
      </c>
      <c r="AF212" s="22">
        <f t="shared" si="11"/>
        <v>0</v>
      </c>
    </row>
    <row r="213" spans="30:32" x14ac:dyDescent="0.25">
      <c r="AD213" s="284">
        <f t="shared" si="9"/>
        <v>0</v>
      </c>
      <c r="AE213" s="284" t="e">
        <f t="shared" si="10"/>
        <v>#DIV/0!</v>
      </c>
      <c r="AF213" s="22">
        <f t="shared" si="11"/>
        <v>0</v>
      </c>
    </row>
    <row r="214" spans="30:32" x14ac:dyDescent="0.25">
      <c r="AD214" s="284">
        <f t="shared" si="9"/>
        <v>0</v>
      </c>
      <c r="AE214" s="284" t="e">
        <f t="shared" si="10"/>
        <v>#DIV/0!</v>
      </c>
      <c r="AF214" s="22">
        <f t="shared" si="11"/>
        <v>0</v>
      </c>
    </row>
    <row r="215" spans="30:32" x14ac:dyDescent="0.25">
      <c r="AD215" s="284">
        <f t="shared" si="9"/>
        <v>0</v>
      </c>
      <c r="AE215" s="284" t="e">
        <f t="shared" si="10"/>
        <v>#DIV/0!</v>
      </c>
      <c r="AF215" s="22">
        <f t="shared" si="11"/>
        <v>0</v>
      </c>
    </row>
    <row r="216" spans="30:32" x14ac:dyDescent="0.25">
      <c r="AD216" s="284">
        <f t="shared" si="9"/>
        <v>0</v>
      </c>
      <c r="AE216" s="284" t="e">
        <f t="shared" si="10"/>
        <v>#DIV/0!</v>
      </c>
      <c r="AF216" s="22">
        <f t="shared" si="11"/>
        <v>0</v>
      </c>
    </row>
    <row r="217" spans="30:32" x14ac:dyDescent="0.25">
      <c r="AD217" s="284">
        <f t="shared" si="9"/>
        <v>0</v>
      </c>
      <c r="AE217" s="284" t="e">
        <f t="shared" si="10"/>
        <v>#DIV/0!</v>
      </c>
      <c r="AF217" s="22">
        <f t="shared" si="11"/>
        <v>0</v>
      </c>
    </row>
    <row r="218" spans="30:32" x14ac:dyDescent="0.25">
      <c r="AD218" s="284">
        <f t="shared" si="9"/>
        <v>0</v>
      </c>
      <c r="AE218" s="284" t="e">
        <f t="shared" si="10"/>
        <v>#DIV/0!</v>
      </c>
      <c r="AF218" s="22">
        <f t="shared" si="11"/>
        <v>0</v>
      </c>
    </row>
    <row r="219" spans="30:32" x14ac:dyDescent="0.25">
      <c r="AD219" s="284">
        <f t="shared" si="9"/>
        <v>0</v>
      </c>
      <c r="AE219" s="284" t="e">
        <f t="shared" si="10"/>
        <v>#DIV/0!</v>
      </c>
      <c r="AF219" s="22">
        <f t="shared" si="11"/>
        <v>0</v>
      </c>
    </row>
    <row r="220" spans="30:32" x14ac:dyDescent="0.25">
      <c r="AD220" s="284">
        <f t="shared" si="9"/>
        <v>0</v>
      </c>
      <c r="AE220" s="284" t="e">
        <f t="shared" si="10"/>
        <v>#DIV/0!</v>
      </c>
      <c r="AF220" s="22">
        <f t="shared" si="11"/>
        <v>0</v>
      </c>
    </row>
    <row r="221" spans="30:32" x14ac:dyDescent="0.25">
      <c r="AD221" s="284">
        <f t="shared" si="9"/>
        <v>0</v>
      </c>
      <c r="AE221" s="284" t="e">
        <f t="shared" si="10"/>
        <v>#DIV/0!</v>
      </c>
      <c r="AF221" s="22">
        <f t="shared" si="11"/>
        <v>0</v>
      </c>
    </row>
    <row r="222" spans="30:32" x14ac:dyDescent="0.25">
      <c r="AD222" s="284">
        <f t="shared" si="9"/>
        <v>0</v>
      </c>
      <c r="AE222" s="284" t="e">
        <f t="shared" si="10"/>
        <v>#DIV/0!</v>
      </c>
      <c r="AF222" s="22">
        <f t="shared" si="11"/>
        <v>0</v>
      </c>
    </row>
    <row r="223" spans="30:32" x14ac:dyDescent="0.25">
      <c r="AD223" s="284">
        <f t="shared" si="9"/>
        <v>0</v>
      </c>
      <c r="AE223" s="284" t="e">
        <f t="shared" si="10"/>
        <v>#DIV/0!</v>
      </c>
      <c r="AF223" s="22">
        <f t="shared" si="11"/>
        <v>0</v>
      </c>
    </row>
    <row r="224" spans="30:32" x14ac:dyDescent="0.25">
      <c r="AD224" s="284">
        <f t="shared" si="9"/>
        <v>0</v>
      </c>
      <c r="AE224" s="284" t="e">
        <f t="shared" si="10"/>
        <v>#DIV/0!</v>
      </c>
      <c r="AF224" s="22">
        <f t="shared" si="11"/>
        <v>0</v>
      </c>
    </row>
    <row r="225" spans="30:32" x14ac:dyDescent="0.25">
      <c r="AD225" s="284">
        <f t="shared" si="9"/>
        <v>0</v>
      </c>
      <c r="AE225" s="284" t="e">
        <f t="shared" si="10"/>
        <v>#DIV/0!</v>
      </c>
      <c r="AF225" s="22">
        <f t="shared" si="11"/>
        <v>0</v>
      </c>
    </row>
    <row r="226" spans="30:32" x14ac:dyDescent="0.25">
      <c r="AD226" s="284">
        <f t="shared" si="9"/>
        <v>0</v>
      </c>
      <c r="AE226" s="284" t="e">
        <f t="shared" si="10"/>
        <v>#DIV/0!</v>
      </c>
      <c r="AF226" s="22">
        <f t="shared" si="11"/>
        <v>0</v>
      </c>
    </row>
    <row r="227" spans="30:32" x14ac:dyDescent="0.25">
      <c r="AD227" s="284">
        <f t="shared" si="9"/>
        <v>0</v>
      </c>
      <c r="AE227" s="284" t="e">
        <f t="shared" si="10"/>
        <v>#DIV/0!</v>
      </c>
      <c r="AF227" s="22">
        <f t="shared" si="11"/>
        <v>0</v>
      </c>
    </row>
    <row r="228" spans="30:32" x14ac:dyDescent="0.25">
      <c r="AD228" s="284">
        <f t="shared" si="9"/>
        <v>0</v>
      </c>
      <c r="AE228" s="284" t="e">
        <f t="shared" si="10"/>
        <v>#DIV/0!</v>
      </c>
      <c r="AF228" s="22">
        <f t="shared" si="11"/>
        <v>0</v>
      </c>
    </row>
    <row r="229" spans="30:32" x14ac:dyDescent="0.25">
      <c r="AD229" s="284">
        <f t="shared" si="9"/>
        <v>0</v>
      </c>
      <c r="AE229" s="284" t="e">
        <f t="shared" si="10"/>
        <v>#DIV/0!</v>
      </c>
      <c r="AF229" s="22">
        <f t="shared" si="11"/>
        <v>0</v>
      </c>
    </row>
    <row r="230" spans="30:32" x14ac:dyDescent="0.25">
      <c r="AD230" s="284">
        <f t="shared" si="9"/>
        <v>0</v>
      </c>
      <c r="AE230" s="284" t="e">
        <f t="shared" si="10"/>
        <v>#DIV/0!</v>
      </c>
      <c r="AF230" s="22">
        <f t="shared" si="11"/>
        <v>0</v>
      </c>
    </row>
    <row r="231" spans="30:32" x14ac:dyDescent="0.25">
      <c r="AD231" s="284">
        <f t="shared" si="9"/>
        <v>0</v>
      </c>
      <c r="AE231" s="284" t="e">
        <f t="shared" si="10"/>
        <v>#DIV/0!</v>
      </c>
      <c r="AF231" s="22">
        <f t="shared" si="11"/>
        <v>0</v>
      </c>
    </row>
    <row r="232" spans="30:32" x14ac:dyDescent="0.25">
      <c r="AD232" s="284">
        <f t="shared" si="9"/>
        <v>0</v>
      </c>
      <c r="AE232" s="284" t="e">
        <f t="shared" si="10"/>
        <v>#DIV/0!</v>
      </c>
      <c r="AF232" s="22">
        <f t="shared" si="11"/>
        <v>0</v>
      </c>
    </row>
    <row r="233" spans="30:32" x14ac:dyDescent="0.25">
      <c r="AD233" s="284">
        <f t="shared" si="9"/>
        <v>0</v>
      </c>
      <c r="AE233" s="284" t="e">
        <f t="shared" si="10"/>
        <v>#DIV/0!</v>
      </c>
      <c r="AF233" s="22">
        <f t="shared" si="11"/>
        <v>0</v>
      </c>
    </row>
    <row r="234" spans="30:32" x14ac:dyDescent="0.25">
      <c r="AD234" s="284">
        <f t="shared" si="9"/>
        <v>0</v>
      </c>
      <c r="AE234" s="284" t="e">
        <f t="shared" si="10"/>
        <v>#DIV/0!</v>
      </c>
      <c r="AF234" s="22">
        <f t="shared" si="11"/>
        <v>0</v>
      </c>
    </row>
    <row r="235" spans="30:32" x14ac:dyDescent="0.25">
      <c r="AD235" s="284">
        <f t="shared" si="9"/>
        <v>0</v>
      </c>
      <c r="AE235" s="284" t="e">
        <f t="shared" si="10"/>
        <v>#DIV/0!</v>
      </c>
      <c r="AF235" s="22">
        <f t="shared" si="11"/>
        <v>0</v>
      </c>
    </row>
    <row r="236" spans="30:32" x14ac:dyDescent="0.25">
      <c r="AD236" s="284">
        <f t="shared" si="9"/>
        <v>0</v>
      </c>
      <c r="AE236" s="284" t="e">
        <f t="shared" si="10"/>
        <v>#DIV/0!</v>
      </c>
      <c r="AF236" s="22">
        <f t="shared" si="11"/>
        <v>0</v>
      </c>
    </row>
    <row r="237" spans="30:32" x14ac:dyDescent="0.25">
      <c r="AD237" s="284">
        <f t="shared" si="9"/>
        <v>0</v>
      </c>
      <c r="AE237" s="284" t="e">
        <f t="shared" si="10"/>
        <v>#DIV/0!</v>
      </c>
      <c r="AF237" s="22">
        <f t="shared" si="11"/>
        <v>0</v>
      </c>
    </row>
    <row r="238" spans="30:32" x14ac:dyDescent="0.25">
      <c r="AD238" s="284">
        <f t="shared" si="9"/>
        <v>0</v>
      </c>
      <c r="AE238" s="284" t="e">
        <f t="shared" si="10"/>
        <v>#DIV/0!</v>
      </c>
      <c r="AF238" s="22">
        <f t="shared" si="11"/>
        <v>0</v>
      </c>
    </row>
    <row r="239" spans="30:32" x14ac:dyDescent="0.25">
      <c r="AD239" s="284">
        <f t="shared" si="9"/>
        <v>0</v>
      </c>
      <c r="AE239" s="284" t="e">
        <f t="shared" si="10"/>
        <v>#DIV/0!</v>
      </c>
      <c r="AF239" s="22">
        <f t="shared" si="11"/>
        <v>0</v>
      </c>
    </row>
    <row r="240" spans="30:32" x14ac:dyDescent="0.25">
      <c r="AD240" s="284">
        <f t="shared" si="9"/>
        <v>0</v>
      </c>
      <c r="AE240" s="284" t="e">
        <f t="shared" si="10"/>
        <v>#DIV/0!</v>
      </c>
      <c r="AF240" s="22">
        <f t="shared" si="11"/>
        <v>0</v>
      </c>
    </row>
    <row r="241" spans="30:32" x14ac:dyDescent="0.25">
      <c r="AD241" s="284">
        <f t="shared" si="9"/>
        <v>0</v>
      </c>
      <c r="AE241" s="284" t="e">
        <f t="shared" si="10"/>
        <v>#DIV/0!</v>
      </c>
      <c r="AF241" s="22">
        <f t="shared" si="11"/>
        <v>0</v>
      </c>
    </row>
    <row r="242" spans="30:32" x14ac:dyDescent="0.25">
      <c r="AD242" s="284">
        <f t="shared" si="9"/>
        <v>0</v>
      </c>
      <c r="AE242" s="284" t="e">
        <f t="shared" si="10"/>
        <v>#DIV/0!</v>
      </c>
      <c r="AF242" s="22">
        <f t="shared" si="11"/>
        <v>0</v>
      </c>
    </row>
    <row r="243" spans="30:32" x14ac:dyDescent="0.25">
      <c r="AD243" s="284">
        <f t="shared" si="9"/>
        <v>0</v>
      </c>
      <c r="AE243" s="284" t="e">
        <f t="shared" si="10"/>
        <v>#DIV/0!</v>
      </c>
      <c r="AF243" s="22">
        <f t="shared" si="11"/>
        <v>0</v>
      </c>
    </row>
    <row r="244" spans="30:32" x14ac:dyDescent="0.25">
      <c r="AD244" s="284">
        <f t="shared" si="9"/>
        <v>0</v>
      </c>
      <c r="AE244" s="284" t="e">
        <f t="shared" si="10"/>
        <v>#DIV/0!</v>
      </c>
      <c r="AF244" s="22">
        <f t="shared" si="11"/>
        <v>0</v>
      </c>
    </row>
    <row r="245" spans="30:32" x14ac:dyDescent="0.25">
      <c r="AD245" s="284">
        <f t="shared" si="9"/>
        <v>0</v>
      </c>
      <c r="AE245" s="284" t="e">
        <f t="shared" si="10"/>
        <v>#DIV/0!</v>
      </c>
      <c r="AF245" s="22">
        <f t="shared" si="11"/>
        <v>0</v>
      </c>
    </row>
  </sheetData>
  <autoFilter ref="A1:AF248" xr:uid="{4CE73FC9-ADA6-458E-AE50-1A2F9BC08F8B}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ADD6A-F376-44DC-9DC9-F6D681DB55B1}">
  <sheetPr codeName="Sheet18">
    <tabColor theme="2" tint="-9.9978637043366805E-2"/>
    <outlinePr summaryBelow="0"/>
  </sheetPr>
  <dimension ref="A1:K21"/>
  <sheetViews>
    <sheetView zoomScale="130" zoomScaleNormal="130" workbookViewId="0">
      <pane ySplit="1" topLeftCell="A19" activePane="bottomLeft" state="frozen"/>
      <selection activeCell="Q31" sqref="Q31"/>
      <selection pane="bottomLeft" activeCell="G21" sqref="G21"/>
    </sheetView>
  </sheetViews>
  <sheetFormatPr defaultColWidth="9.140625" defaultRowHeight="15" outlineLevelRow="2" x14ac:dyDescent="0.25"/>
  <cols>
    <col min="1" max="1" width="19.140625" style="276" customWidth="1"/>
    <col min="2" max="2" width="12.42578125" style="276" customWidth="1"/>
    <col min="3" max="3" width="19.140625" style="276" customWidth="1"/>
    <col min="4" max="4" width="11.140625" style="276" customWidth="1"/>
    <col min="5" max="8" width="19.140625" style="276" customWidth="1"/>
    <col min="9" max="9" width="15.85546875" style="276" customWidth="1"/>
    <col min="10" max="10" width="9.140625" style="343"/>
    <col min="11" max="11" width="13.140625" style="343" customWidth="1"/>
    <col min="12" max="13" width="11.42578125" style="343" bestFit="1" customWidth="1"/>
    <col min="14" max="14" width="12.5703125" style="343" bestFit="1" customWidth="1"/>
    <col min="15" max="16384" width="9.140625" style="343"/>
  </cols>
  <sheetData>
    <row r="1" spans="1:11" s="276" customFormat="1" ht="30" x14ac:dyDescent="0.25">
      <c r="B1" s="276" t="s">
        <v>228</v>
      </c>
      <c r="C1" s="276" t="s">
        <v>232</v>
      </c>
      <c r="D1" s="276" t="s">
        <v>574</v>
      </c>
      <c r="E1" s="276" t="s">
        <v>575</v>
      </c>
      <c r="F1" s="276" t="s">
        <v>576</v>
      </c>
      <c r="G1" s="276" t="s">
        <v>577</v>
      </c>
      <c r="H1" s="276" t="s">
        <v>578</v>
      </c>
      <c r="I1" s="276" t="s">
        <v>386</v>
      </c>
    </row>
    <row r="2" spans="1:11" s="276" customFormat="1" ht="30" x14ac:dyDescent="0.25">
      <c r="A2" s="39" t="s">
        <v>579</v>
      </c>
      <c r="C2" s="40"/>
      <c r="D2" s="39"/>
      <c r="E2" s="39"/>
      <c r="F2" s="69">
        <v>13729927.77</v>
      </c>
      <c r="G2" s="69">
        <v>11932943.469999999</v>
      </c>
      <c r="H2" s="69">
        <v>11192.04</v>
      </c>
      <c r="I2" s="69">
        <v>-1796984.3</v>
      </c>
    </row>
    <row r="3" spans="1:11" s="276" customFormat="1" ht="30" outlineLevel="1" x14ac:dyDescent="0.25">
      <c r="A3" s="39" t="s">
        <v>580</v>
      </c>
      <c r="C3" s="40"/>
      <c r="D3" s="39"/>
      <c r="E3" s="39"/>
      <c r="F3" s="69">
        <v>7037126.4800000004</v>
      </c>
      <c r="G3" s="69">
        <v>5555354.7299999995</v>
      </c>
      <c r="H3" s="69">
        <v>7093.15</v>
      </c>
      <c r="I3" s="69">
        <v>-1481771.75</v>
      </c>
    </row>
    <row r="4" spans="1:11" s="276" customFormat="1" ht="180" outlineLevel="2" x14ac:dyDescent="0.25">
      <c r="B4" s="39" t="s">
        <v>2358</v>
      </c>
      <c r="C4" s="40">
        <v>729636.69400000002</v>
      </c>
      <c r="D4" s="39" t="s">
        <v>191</v>
      </c>
      <c r="E4" s="39" t="s">
        <v>18</v>
      </c>
      <c r="F4" s="69">
        <v>6530413.6200000001</v>
      </c>
      <c r="G4" s="69">
        <v>5202309.63</v>
      </c>
      <c r="H4" s="69">
        <v>0</v>
      </c>
      <c r="I4" s="69">
        <v>-1328103.99</v>
      </c>
    </row>
    <row r="5" spans="1:11" s="276" customFormat="1" ht="90" outlineLevel="2" x14ac:dyDescent="0.25">
      <c r="B5" s="39" t="s">
        <v>985</v>
      </c>
      <c r="C5" s="40">
        <v>500000</v>
      </c>
      <c r="D5" s="39" t="s">
        <v>986</v>
      </c>
      <c r="E5" s="39" t="s">
        <v>18</v>
      </c>
      <c r="F5" s="69">
        <v>506712.86</v>
      </c>
      <c r="G5" s="69">
        <v>353045.1</v>
      </c>
      <c r="H5" s="69">
        <v>7093.15</v>
      </c>
      <c r="I5" s="69">
        <v>-153667.76</v>
      </c>
    </row>
    <row r="6" spans="1:11" s="276" customFormat="1" ht="45" outlineLevel="1" x14ac:dyDescent="0.25">
      <c r="A6" s="39" t="s">
        <v>581</v>
      </c>
      <c r="C6" s="40"/>
      <c r="D6" s="39"/>
      <c r="E6" s="39"/>
      <c r="F6" s="69">
        <v>201000</v>
      </c>
      <c r="G6" s="69">
        <v>1980</v>
      </c>
      <c r="H6" s="69">
        <v>4098.8900000000003</v>
      </c>
      <c r="I6" s="69">
        <v>-199020</v>
      </c>
    </row>
    <row r="7" spans="1:11" s="276" customFormat="1" ht="165" outlineLevel="2" x14ac:dyDescent="0.25">
      <c r="B7" s="39" t="s">
        <v>582</v>
      </c>
      <c r="C7" s="40">
        <v>200000</v>
      </c>
      <c r="D7" s="39" t="s">
        <v>583</v>
      </c>
      <c r="E7" s="39" t="s">
        <v>18</v>
      </c>
      <c r="F7" s="69">
        <v>201000</v>
      </c>
      <c r="G7" s="69">
        <v>1980</v>
      </c>
      <c r="H7" s="69">
        <v>4098.8900000000003</v>
      </c>
      <c r="I7" s="69">
        <v>-199020</v>
      </c>
    </row>
    <row r="8" spans="1:11" s="276" customFormat="1" ht="30" outlineLevel="1" x14ac:dyDescent="0.25">
      <c r="A8" s="39" t="s">
        <v>584</v>
      </c>
      <c r="C8" s="40"/>
      <c r="D8" s="39"/>
      <c r="E8" s="39"/>
      <c r="F8" s="69">
        <v>6491801.29</v>
      </c>
      <c r="G8" s="69">
        <v>6375608.7400000002</v>
      </c>
      <c r="H8" s="69">
        <v>0</v>
      </c>
      <c r="I8" s="69">
        <v>-116192.55</v>
      </c>
    </row>
    <row r="9" spans="1:11" s="276" customFormat="1" ht="135" outlineLevel="2" x14ac:dyDescent="0.25">
      <c r="B9" s="39" t="s">
        <v>585</v>
      </c>
      <c r="C9" s="40">
        <v>567730.07499999995</v>
      </c>
      <c r="D9" s="39" t="s">
        <v>189</v>
      </c>
      <c r="E9" s="39" t="s">
        <v>18</v>
      </c>
      <c r="F9" s="69">
        <v>6491801.29</v>
      </c>
      <c r="G9" s="69">
        <v>6375608.7400000002</v>
      </c>
      <c r="H9" s="69">
        <v>0</v>
      </c>
      <c r="I9" s="69">
        <v>-116192.55</v>
      </c>
    </row>
    <row r="10" spans="1:11" s="276" customFormat="1" x14ac:dyDescent="0.25">
      <c r="A10" s="39" t="s">
        <v>586</v>
      </c>
      <c r="C10" s="40"/>
      <c r="D10" s="39"/>
      <c r="E10" s="39"/>
      <c r="F10" s="69">
        <v>2659847.77</v>
      </c>
      <c r="G10" s="69">
        <v>2732776.31</v>
      </c>
      <c r="H10" s="69">
        <v>0</v>
      </c>
      <c r="I10" s="69">
        <v>72928.539999999994</v>
      </c>
    </row>
    <row r="11" spans="1:11" s="276" customFormat="1" ht="30" outlineLevel="1" x14ac:dyDescent="0.25">
      <c r="A11" s="39" t="s">
        <v>584</v>
      </c>
      <c r="C11" s="40"/>
      <c r="D11" s="39"/>
      <c r="E11" s="39"/>
      <c r="F11" s="69">
        <v>2659847.77</v>
      </c>
      <c r="G11" s="69">
        <v>2732776.31</v>
      </c>
      <c r="H11" s="69">
        <v>0</v>
      </c>
      <c r="I11" s="69">
        <v>72928.539999999994</v>
      </c>
    </row>
    <row r="12" spans="1:11" s="276" customFormat="1" ht="75" outlineLevel="2" x14ac:dyDescent="0.25">
      <c r="B12" s="39" t="s">
        <v>391</v>
      </c>
      <c r="C12" s="40">
        <v>17290</v>
      </c>
      <c r="D12" s="39" t="s">
        <v>588</v>
      </c>
      <c r="E12" s="39" t="s">
        <v>18</v>
      </c>
      <c r="F12" s="69">
        <v>1109273.21</v>
      </c>
      <c r="G12" s="69">
        <v>1337191.31</v>
      </c>
      <c r="H12" s="69">
        <v>0</v>
      </c>
      <c r="I12" s="69">
        <v>227918.1</v>
      </c>
      <c r="J12" s="807"/>
      <c r="K12" s="807"/>
    </row>
    <row r="13" spans="1:11" s="276" customFormat="1" ht="45" outlineLevel="2" x14ac:dyDescent="0.25">
      <c r="B13" s="39" t="s">
        <v>390</v>
      </c>
      <c r="C13" s="40">
        <v>23649</v>
      </c>
      <c r="D13" s="39" t="s">
        <v>587</v>
      </c>
      <c r="E13" s="39" t="s">
        <v>18</v>
      </c>
      <c r="F13" s="69">
        <v>799252.24</v>
      </c>
      <c r="G13" s="69">
        <v>636158.1</v>
      </c>
      <c r="H13" s="69">
        <v>0</v>
      </c>
      <c r="I13" s="69">
        <v>-163094.14000000001</v>
      </c>
      <c r="J13" s="807"/>
      <c r="K13" s="807"/>
    </row>
    <row r="14" spans="1:11" s="276" customFormat="1" ht="90" x14ac:dyDescent="0.25">
      <c r="B14" s="39" t="s">
        <v>2511</v>
      </c>
      <c r="C14" s="40">
        <v>10750</v>
      </c>
      <c r="D14" s="39" t="s">
        <v>2512</v>
      </c>
      <c r="E14" s="39" t="s">
        <v>18</v>
      </c>
      <c r="F14" s="69">
        <v>500013.03</v>
      </c>
      <c r="G14" s="69">
        <v>495790</v>
      </c>
      <c r="H14" s="69">
        <v>0</v>
      </c>
      <c r="I14" s="69">
        <v>-4223.03</v>
      </c>
      <c r="J14" s="807"/>
      <c r="K14" s="807"/>
    </row>
    <row r="15" spans="1:11" s="276" customFormat="1" ht="45" outlineLevel="1" x14ac:dyDescent="0.25">
      <c r="B15" s="39" t="s">
        <v>2286</v>
      </c>
      <c r="C15" s="40">
        <v>1840</v>
      </c>
      <c r="D15" s="39" t="s">
        <v>2287</v>
      </c>
      <c r="E15" s="39" t="s">
        <v>18</v>
      </c>
      <c r="F15" s="69">
        <v>199651.81</v>
      </c>
      <c r="G15" s="69">
        <v>214948.8</v>
      </c>
      <c r="H15" s="69">
        <v>0</v>
      </c>
      <c r="I15" s="69">
        <v>15296.99</v>
      </c>
      <c r="J15" s="807"/>
      <c r="K15" s="807"/>
    </row>
    <row r="16" spans="1:11" s="276" customFormat="1" ht="60" outlineLevel="2" x14ac:dyDescent="0.25">
      <c r="B16" s="39" t="s">
        <v>2288</v>
      </c>
      <c r="C16" s="40">
        <v>1630</v>
      </c>
      <c r="D16" s="39" t="s">
        <v>2289</v>
      </c>
      <c r="E16" s="39" t="s">
        <v>18</v>
      </c>
      <c r="F16" s="69">
        <v>51657.48</v>
      </c>
      <c r="G16" s="69">
        <v>48688.1</v>
      </c>
      <c r="H16" s="69">
        <v>0</v>
      </c>
      <c r="I16" s="69">
        <v>-2969.38</v>
      </c>
    </row>
    <row r="17" spans="1:11" s="276" customFormat="1" ht="45" outlineLevel="2" x14ac:dyDescent="0.25">
      <c r="A17" s="39" t="s">
        <v>589</v>
      </c>
      <c r="C17" s="40"/>
      <c r="D17" s="39"/>
      <c r="E17" s="39"/>
      <c r="F17" s="69">
        <v>5070968.3599999994</v>
      </c>
      <c r="G17" s="69">
        <v>4911401.3599999994</v>
      </c>
      <c r="H17" s="69">
        <v>0</v>
      </c>
      <c r="I17" s="69">
        <v>-159567</v>
      </c>
    </row>
    <row r="18" spans="1:11" ht="30" x14ac:dyDescent="0.25">
      <c r="A18" s="39" t="s">
        <v>590</v>
      </c>
      <c r="C18" s="40"/>
      <c r="D18" s="39"/>
      <c r="E18" s="39"/>
      <c r="F18" s="69">
        <v>5070968.3599999994</v>
      </c>
      <c r="G18" s="69">
        <v>4911401.3599999994</v>
      </c>
      <c r="H18" s="69">
        <v>0</v>
      </c>
      <c r="I18" s="69">
        <v>-159567</v>
      </c>
      <c r="K18" s="276"/>
    </row>
    <row r="19" spans="1:11" ht="180" x14ac:dyDescent="0.25">
      <c r="B19" s="39" t="s">
        <v>2360</v>
      </c>
      <c r="C19" s="40">
        <v>2991.43</v>
      </c>
      <c r="D19" s="39" t="s">
        <v>591</v>
      </c>
      <c r="E19" s="39" t="s">
        <v>18</v>
      </c>
      <c r="F19" s="69">
        <v>3065240.48</v>
      </c>
      <c r="G19" s="69">
        <v>2985431.88</v>
      </c>
      <c r="H19" s="69">
        <v>0</v>
      </c>
      <c r="I19" s="69">
        <v>-79808.600000000006</v>
      </c>
      <c r="K19" s="276"/>
    </row>
    <row r="20" spans="1:11" ht="210" x14ac:dyDescent="0.25">
      <c r="B20" s="39" t="s">
        <v>2359</v>
      </c>
      <c r="C20" s="40">
        <v>1929.8389999999999</v>
      </c>
      <c r="D20" s="39" t="s">
        <v>383</v>
      </c>
      <c r="E20" s="39" t="s">
        <v>18</v>
      </c>
      <c r="F20" s="69">
        <v>2005727.88</v>
      </c>
      <c r="G20" s="69">
        <v>1925969.48</v>
      </c>
      <c r="H20" s="69">
        <v>0</v>
      </c>
      <c r="I20" s="69">
        <v>-79758.399999999994</v>
      </c>
      <c r="K20" s="276"/>
    </row>
    <row r="21" spans="1:11" x14ac:dyDescent="0.25">
      <c r="G21" s="1024">
        <f>SUM(G19:G20)</f>
        <v>4911401.3599999994</v>
      </c>
      <c r="K21" s="276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B5AC7-56E3-454E-8584-7494EBD83D79}">
  <sheetPr codeName="Sheet19">
    <tabColor theme="2" tint="-9.9978637043366805E-2"/>
  </sheetPr>
  <dimension ref="A1:S473"/>
  <sheetViews>
    <sheetView zoomScaleNormal="100" workbookViewId="0">
      <pane ySplit="1" topLeftCell="A23" activePane="bottomLeft" state="frozen"/>
      <selection activeCell="Q31" sqref="Q31"/>
      <selection pane="bottomLeft" activeCell="C40" sqref="C40"/>
    </sheetView>
  </sheetViews>
  <sheetFormatPr defaultRowHeight="15" x14ac:dyDescent="0.25"/>
  <cols>
    <col min="1" max="1" width="28.7109375" style="220" customWidth="1"/>
    <col min="2" max="2" width="9.5703125" bestFit="1" customWidth="1"/>
    <col min="3" max="3" width="57.28515625" bestFit="1" customWidth="1"/>
    <col min="4" max="4" width="24.7109375" bestFit="1" customWidth="1"/>
    <col min="5" max="5" width="14" bestFit="1" customWidth="1"/>
    <col min="6" max="6" width="7.85546875" bestFit="1" customWidth="1"/>
    <col min="7" max="7" width="14.42578125" bestFit="1" customWidth="1"/>
    <col min="8" max="8" width="10" bestFit="1" customWidth="1"/>
    <col min="9" max="9" width="6.85546875" bestFit="1" customWidth="1"/>
    <col min="10" max="10" width="8.85546875" bestFit="1" customWidth="1"/>
    <col min="11" max="11" width="12.28515625" bestFit="1" customWidth="1"/>
    <col min="12" max="12" width="10.7109375" bestFit="1" customWidth="1"/>
    <col min="13" max="13" width="12.28515625" bestFit="1" customWidth="1"/>
    <col min="14" max="14" width="14" bestFit="1" customWidth="1"/>
    <col min="15" max="15" width="13.85546875" bestFit="1" customWidth="1"/>
    <col min="16" max="16" width="13.140625" bestFit="1" customWidth="1"/>
    <col min="17" max="17" width="11.140625" bestFit="1" customWidth="1"/>
    <col min="18" max="18" width="17" bestFit="1" customWidth="1"/>
  </cols>
  <sheetData>
    <row r="1" spans="1:19" s="22" customFormat="1" x14ac:dyDescent="0.25">
      <c r="A1" s="656" t="str">
        <f>VLOOKUP(D1,Bonds!D:I,6,0)</f>
        <v>Quantity</v>
      </c>
      <c r="B1" s="960" t="s">
        <v>375</v>
      </c>
      <c r="C1" s="960" t="s">
        <v>228</v>
      </c>
      <c r="D1" s="960" t="s">
        <v>230</v>
      </c>
      <c r="E1" s="960" t="s">
        <v>232</v>
      </c>
      <c r="F1" s="960" t="s">
        <v>231</v>
      </c>
      <c r="G1" s="960" t="s">
        <v>482</v>
      </c>
      <c r="H1" s="960" t="s">
        <v>236</v>
      </c>
      <c r="I1" s="960" t="s">
        <v>483</v>
      </c>
      <c r="J1" s="960" t="s">
        <v>240</v>
      </c>
      <c r="K1" s="960" t="s">
        <v>376</v>
      </c>
      <c r="L1" s="960" t="s">
        <v>243</v>
      </c>
      <c r="M1" s="960" t="s">
        <v>376</v>
      </c>
      <c r="N1" s="960" t="s">
        <v>484</v>
      </c>
      <c r="O1" s="960" t="s">
        <v>485</v>
      </c>
      <c r="P1" s="960" t="s">
        <v>486</v>
      </c>
      <c r="Q1" s="960" t="s">
        <v>487</v>
      </c>
      <c r="R1" s="960" t="s">
        <v>246</v>
      </c>
      <c r="S1" s="960" t="s">
        <v>488</v>
      </c>
    </row>
    <row r="2" spans="1:19" s="22" customFormat="1" x14ac:dyDescent="0.25">
      <c r="A2" s="656" t="e">
        <f>VLOOKUP(D2,Bonds!D:I,6,0)</f>
        <v>#N/A</v>
      </c>
      <c r="B2" s="960" t="s">
        <v>2250</v>
      </c>
      <c r="C2" s="960" t="s">
        <v>2251</v>
      </c>
      <c r="D2" s="960" t="s">
        <v>2252</v>
      </c>
      <c r="E2" s="961">
        <v>168000</v>
      </c>
      <c r="F2" s="960" t="s">
        <v>18</v>
      </c>
      <c r="G2" s="960" t="s">
        <v>18</v>
      </c>
      <c r="H2" s="960" t="s">
        <v>2253</v>
      </c>
      <c r="I2" s="960" t="s">
        <v>257</v>
      </c>
      <c r="J2" s="962">
        <v>0.9972171428571428</v>
      </c>
      <c r="K2" s="960" t="s">
        <v>459</v>
      </c>
      <c r="L2" s="962">
        <v>0.99871661</v>
      </c>
      <c r="M2" s="960" t="s">
        <v>459</v>
      </c>
      <c r="N2" s="961">
        <v>167784.39</v>
      </c>
      <c r="O2" s="961">
        <v>0</v>
      </c>
      <c r="P2" s="962">
        <v>1.5036487253098623E-3</v>
      </c>
      <c r="Q2" s="961">
        <v>251.91</v>
      </c>
      <c r="R2" s="961">
        <v>167784.39</v>
      </c>
      <c r="S2" s="962">
        <v>4.0263783968879268E-3</v>
      </c>
    </row>
    <row r="3" spans="1:19" s="22" customFormat="1" x14ac:dyDescent="0.25">
      <c r="A3" s="220" t="e">
        <f>VLOOKUP(D3,Bonds!D:I,6,0)</f>
        <v>#N/A</v>
      </c>
      <c r="B3" s="960" t="s">
        <v>2250</v>
      </c>
      <c r="C3" s="960" t="s">
        <v>489</v>
      </c>
      <c r="D3" s="960" t="s">
        <v>490</v>
      </c>
      <c r="E3" s="961">
        <v>0</v>
      </c>
      <c r="F3" s="960" t="s">
        <v>24</v>
      </c>
      <c r="G3" s="960" t="s">
        <v>24</v>
      </c>
      <c r="H3" s="960" t="s">
        <v>257</v>
      </c>
      <c r="I3" s="960" t="s">
        <v>257</v>
      </c>
      <c r="J3" s="960" t="s">
        <v>459</v>
      </c>
      <c r="K3" s="960" t="s">
        <v>257</v>
      </c>
      <c r="L3" s="960" t="s">
        <v>459</v>
      </c>
      <c r="M3" s="963">
        <v>0.77569999999999995</v>
      </c>
      <c r="N3" s="961">
        <v>-8.5500000000000007</v>
      </c>
      <c r="O3" s="961">
        <v>-8.5500000000000007</v>
      </c>
      <c r="P3" s="960" t="s">
        <v>459</v>
      </c>
      <c r="Q3" s="960" t="s">
        <v>459</v>
      </c>
      <c r="R3" s="961">
        <v>-11.02</v>
      </c>
      <c r="S3" s="962">
        <v>-2.6445064367254275E-7</v>
      </c>
    </row>
    <row r="4" spans="1:19" s="22" customFormat="1" x14ac:dyDescent="0.25">
      <c r="A4" s="220" t="e">
        <f>VLOOKUP(D4,Bonds!D:I,6,0)</f>
        <v>#N/A</v>
      </c>
      <c r="B4" s="960" t="s">
        <v>2250</v>
      </c>
      <c r="C4" s="960" t="s">
        <v>491</v>
      </c>
      <c r="D4" s="960" t="s">
        <v>492</v>
      </c>
      <c r="E4" s="961">
        <v>32445.54</v>
      </c>
      <c r="F4" s="960" t="s">
        <v>21</v>
      </c>
      <c r="G4" s="960" t="s">
        <v>21</v>
      </c>
      <c r="H4" s="960" t="s">
        <v>257</v>
      </c>
      <c r="I4" s="960" t="s">
        <v>257</v>
      </c>
      <c r="J4" s="960" t="s">
        <v>459</v>
      </c>
      <c r="K4" s="963">
        <v>1.1858</v>
      </c>
      <c r="L4" s="960" t="s">
        <v>459</v>
      </c>
      <c r="M4" s="963">
        <v>1.1762999999999999</v>
      </c>
      <c r="N4" s="961">
        <v>32236.78</v>
      </c>
      <c r="O4" s="961">
        <v>-208.76</v>
      </c>
      <c r="P4" s="960" t="s">
        <v>459</v>
      </c>
      <c r="Q4" s="960" t="s">
        <v>459</v>
      </c>
      <c r="R4" s="961">
        <v>37918.589999999997</v>
      </c>
      <c r="S4" s="962">
        <v>9.0994514815383328E-4</v>
      </c>
    </row>
    <row r="5" spans="1:19" s="22" customFormat="1" x14ac:dyDescent="0.25">
      <c r="A5" s="220" t="e">
        <f>VLOOKUP(D5,Bonds!D:I,6,0)</f>
        <v>#N/A</v>
      </c>
      <c r="B5" s="960" t="s">
        <v>2250</v>
      </c>
      <c r="C5" s="960" t="s">
        <v>493</v>
      </c>
      <c r="D5" s="960" t="s">
        <v>494</v>
      </c>
      <c r="E5" s="961">
        <v>68.459999999999994</v>
      </c>
      <c r="F5" s="960" t="s">
        <v>19</v>
      </c>
      <c r="G5" s="960" t="s">
        <v>19</v>
      </c>
      <c r="H5" s="960" t="s">
        <v>257</v>
      </c>
      <c r="I5" s="960" t="s">
        <v>257</v>
      </c>
      <c r="J5" s="960" t="s">
        <v>459</v>
      </c>
      <c r="K5" s="963">
        <v>1.3642000000000001</v>
      </c>
      <c r="L5" s="960" t="s">
        <v>459</v>
      </c>
      <c r="M5" s="963">
        <v>1.3454999999999999</v>
      </c>
      <c r="N5" s="961">
        <v>67.34</v>
      </c>
      <c r="O5" s="961">
        <v>-1.1200000000000001</v>
      </c>
      <c r="P5" s="960" t="s">
        <v>459</v>
      </c>
      <c r="Q5" s="960" t="s">
        <v>459</v>
      </c>
      <c r="R5" s="961">
        <v>90.6</v>
      </c>
      <c r="S5" s="962">
        <v>2.17415864943125E-6</v>
      </c>
    </row>
    <row r="6" spans="1:19" s="22" customFormat="1" x14ac:dyDescent="0.25">
      <c r="A6" s="220" t="e">
        <f>VLOOKUP(D6,Bonds!D:I,6,0)</f>
        <v>#N/A</v>
      </c>
      <c r="B6" s="960" t="s">
        <v>2250</v>
      </c>
      <c r="C6" s="960" t="s">
        <v>495</v>
      </c>
      <c r="D6" s="960" t="s">
        <v>496</v>
      </c>
      <c r="E6" s="961">
        <v>0</v>
      </c>
      <c r="F6" s="960" t="s">
        <v>497</v>
      </c>
      <c r="G6" s="960" t="s">
        <v>497</v>
      </c>
      <c r="H6" s="960" t="s">
        <v>257</v>
      </c>
      <c r="I6" s="960" t="s">
        <v>257</v>
      </c>
      <c r="J6" s="960" t="s">
        <v>459</v>
      </c>
      <c r="K6" s="960" t="s">
        <v>257</v>
      </c>
      <c r="L6" s="960" t="s">
        <v>459</v>
      </c>
      <c r="M6" s="963">
        <v>76.645300000000006</v>
      </c>
      <c r="N6" s="961">
        <v>0</v>
      </c>
      <c r="O6" s="961">
        <v>0</v>
      </c>
      <c r="P6" s="960" t="s">
        <v>459</v>
      </c>
      <c r="Q6" s="960" t="s">
        <v>459</v>
      </c>
      <c r="R6" s="961">
        <v>0</v>
      </c>
      <c r="S6" s="962">
        <v>0</v>
      </c>
    </row>
    <row r="7" spans="1:19" s="22" customFormat="1" x14ac:dyDescent="0.25">
      <c r="A7" s="220" t="e">
        <f>VLOOKUP(D7,Bonds!D:I,6,0)</f>
        <v>#N/A</v>
      </c>
      <c r="B7" s="960" t="s">
        <v>2250</v>
      </c>
      <c r="C7" s="960" t="s">
        <v>498</v>
      </c>
      <c r="D7" s="960" t="s">
        <v>499</v>
      </c>
      <c r="E7" s="961">
        <v>-49207.99</v>
      </c>
      <c r="F7" s="960" t="s">
        <v>18</v>
      </c>
      <c r="G7" s="960" t="s">
        <v>18</v>
      </c>
      <c r="H7" s="960" t="s">
        <v>257</v>
      </c>
      <c r="I7" s="960" t="s">
        <v>257</v>
      </c>
      <c r="J7" s="960" t="s">
        <v>459</v>
      </c>
      <c r="K7" s="960" t="s">
        <v>459</v>
      </c>
      <c r="L7" s="960" t="s">
        <v>459</v>
      </c>
      <c r="M7" s="960" t="s">
        <v>459</v>
      </c>
      <c r="N7" s="961">
        <v>-49725.54</v>
      </c>
      <c r="O7" s="961">
        <v>-517.54999999999995</v>
      </c>
      <c r="P7" s="960" t="s">
        <v>459</v>
      </c>
      <c r="Q7" s="960" t="s">
        <v>459</v>
      </c>
      <c r="R7" s="961">
        <v>-49725.54</v>
      </c>
      <c r="S7" s="962">
        <v>-1.1932804954595982E-3</v>
      </c>
    </row>
    <row r="8" spans="1:19" s="22" customFormat="1" x14ac:dyDescent="0.25">
      <c r="A8" s="220" t="e">
        <f>VLOOKUP(D8,Bonds!D:I,6,0)</f>
        <v>#N/A</v>
      </c>
      <c r="B8" s="960" t="s">
        <v>2250</v>
      </c>
      <c r="C8" s="960" t="s">
        <v>500</v>
      </c>
      <c r="D8" s="960" t="s">
        <v>501</v>
      </c>
      <c r="E8" s="961">
        <v>6078</v>
      </c>
      <c r="F8" s="960" t="s">
        <v>25</v>
      </c>
      <c r="G8" s="960" t="s">
        <v>25</v>
      </c>
      <c r="H8" s="960" t="s">
        <v>257</v>
      </c>
      <c r="I8" s="960" t="s">
        <v>257</v>
      </c>
      <c r="J8" s="960" t="s">
        <v>459</v>
      </c>
      <c r="K8" s="963">
        <v>154.9324</v>
      </c>
      <c r="L8" s="960" t="s">
        <v>459</v>
      </c>
      <c r="M8" s="963">
        <v>155.0215</v>
      </c>
      <c r="N8" s="961">
        <v>6070</v>
      </c>
      <c r="O8" s="961">
        <v>-8</v>
      </c>
      <c r="P8" s="960" t="s">
        <v>459</v>
      </c>
      <c r="Q8" s="960" t="s">
        <v>459</v>
      </c>
      <c r="R8" s="961">
        <v>39.159999999999997</v>
      </c>
      <c r="S8" s="962">
        <v>9.3973568114489782E-7</v>
      </c>
    </row>
    <row r="9" spans="1:19" s="22" customFormat="1" x14ac:dyDescent="0.25">
      <c r="A9" s="220" t="e">
        <f>VLOOKUP(D9,Bonds!D:I,6,0)</f>
        <v>#N/A</v>
      </c>
      <c r="B9" s="960" t="s">
        <v>2250</v>
      </c>
      <c r="C9" s="960" t="s">
        <v>502</v>
      </c>
      <c r="D9" s="960" t="s">
        <v>503</v>
      </c>
      <c r="E9" s="961">
        <v>0</v>
      </c>
      <c r="F9" s="960" t="s">
        <v>458</v>
      </c>
      <c r="G9" s="960" t="s">
        <v>458</v>
      </c>
      <c r="H9" s="960" t="s">
        <v>257</v>
      </c>
      <c r="I9" s="960" t="s">
        <v>257</v>
      </c>
      <c r="J9" s="960" t="s">
        <v>459</v>
      </c>
      <c r="K9" s="960" t="s">
        <v>257</v>
      </c>
      <c r="L9" s="960" t="s">
        <v>459</v>
      </c>
      <c r="M9" s="963">
        <v>5.2161999999999997</v>
      </c>
      <c r="N9" s="961">
        <v>0</v>
      </c>
      <c r="O9" s="961">
        <v>0</v>
      </c>
      <c r="P9" s="960" t="s">
        <v>459</v>
      </c>
      <c r="Q9" s="960" t="s">
        <v>459</v>
      </c>
      <c r="R9" s="961">
        <v>0</v>
      </c>
      <c r="S9" s="962">
        <v>0</v>
      </c>
    </row>
    <row r="10" spans="1:19" s="22" customFormat="1" x14ac:dyDescent="0.25">
      <c r="A10" s="220" t="e">
        <f>VLOOKUP(D10,Bonds!D:I,6,0)</f>
        <v>#N/A</v>
      </c>
      <c r="B10" s="960" t="s">
        <v>2250</v>
      </c>
      <c r="C10" s="960" t="s">
        <v>974</v>
      </c>
      <c r="D10" s="960" t="s">
        <v>975</v>
      </c>
      <c r="E10" s="961">
        <v>0</v>
      </c>
      <c r="F10" s="960" t="s">
        <v>976</v>
      </c>
      <c r="G10" s="960" t="s">
        <v>976</v>
      </c>
      <c r="H10" s="960" t="s">
        <v>257</v>
      </c>
      <c r="I10" s="960" t="s">
        <v>257</v>
      </c>
      <c r="J10" s="960" t="s">
        <v>459</v>
      </c>
      <c r="K10" s="960" t="s">
        <v>257</v>
      </c>
      <c r="L10" s="960" t="s">
        <v>459</v>
      </c>
      <c r="M10" s="963">
        <v>43.7624</v>
      </c>
      <c r="N10" s="961">
        <v>0</v>
      </c>
      <c r="O10" s="961">
        <v>0</v>
      </c>
      <c r="P10" s="960" t="s">
        <v>459</v>
      </c>
      <c r="Q10" s="960" t="s">
        <v>459</v>
      </c>
      <c r="R10" s="961">
        <v>0</v>
      </c>
      <c r="S10" s="962">
        <v>0</v>
      </c>
    </row>
    <row r="11" spans="1:19" s="22" customFormat="1" x14ac:dyDescent="0.25">
      <c r="A11" s="656" t="e">
        <f>VLOOKUP(D11,Bonds!D:I,6,0)</f>
        <v>#N/A</v>
      </c>
      <c r="B11" s="960" t="s">
        <v>2250</v>
      </c>
      <c r="C11" s="960" t="s">
        <v>873</v>
      </c>
      <c r="D11" s="960" t="s">
        <v>459</v>
      </c>
      <c r="E11" s="961">
        <v>-466000</v>
      </c>
      <c r="F11" s="960" t="s">
        <v>24</v>
      </c>
      <c r="G11" s="960" t="s">
        <v>24</v>
      </c>
      <c r="H11" s="960" t="s">
        <v>933</v>
      </c>
      <c r="I11" s="960" t="s">
        <v>257</v>
      </c>
      <c r="J11" s="964">
        <v>1</v>
      </c>
      <c r="K11" s="963">
        <v>0.81969999999999998</v>
      </c>
      <c r="L11" s="960" t="s">
        <v>257</v>
      </c>
      <c r="M11" s="963">
        <v>0.77569999999999995</v>
      </c>
      <c r="N11" s="961">
        <v>-467571.97</v>
      </c>
      <c r="O11" s="961">
        <v>-1571.97</v>
      </c>
      <c r="P11" s="962">
        <v>-5.6855537534346821E-2</v>
      </c>
      <c r="Q11" s="961">
        <v>-32320.44</v>
      </c>
      <c r="R11" s="961">
        <v>-602813.09</v>
      </c>
      <c r="S11" s="962">
        <v>-1.4465908318033981E-2</v>
      </c>
    </row>
    <row r="12" spans="1:19" s="22" customFormat="1" x14ac:dyDescent="0.25">
      <c r="A12" s="656" t="e">
        <f>VLOOKUP(D12,Bonds!D:I,6,0)</f>
        <v>#N/A</v>
      </c>
      <c r="B12" s="960" t="s">
        <v>2250</v>
      </c>
      <c r="C12" s="960" t="s">
        <v>848</v>
      </c>
      <c r="D12" s="960" t="s">
        <v>459</v>
      </c>
      <c r="E12" s="961">
        <v>-1020000</v>
      </c>
      <c r="F12" s="960" t="s">
        <v>24</v>
      </c>
      <c r="G12" s="960" t="s">
        <v>24</v>
      </c>
      <c r="H12" s="960" t="s">
        <v>849</v>
      </c>
      <c r="I12" s="960" t="s">
        <v>257</v>
      </c>
      <c r="J12" s="964">
        <v>1</v>
      </c>
      <c r="K12" s="965">
        <v>0.82899999999999996</v>
      </c>
      <c r="L12" s="960" t="s">
        <v>257</v>
      </c>
      <c r="M12" s="963">
        <v>0.77569999999999995</v>
      </c>
      <c r="N12" s="961">
        <v>-1023867.5</v>
      </c>
      <c r="O12" s="961">
        <v>-3867.5</v>
      </c>
      <c r="P12" s="962">
        <v>-6.8716566292740866E-2</v>
      </c>
      <c r="Q12" s="961">
        <v>-84553.83</v>
      </c>
      <c r="R12" s="961">
        <v>-1320012.25</v>
      </c>
      <c r="S12" s="962">
        <v>-3.1676777601464742E-2</v>
      </c>
    </row>
    <row r="13" spans="1:19" s="22" customFormat="1" x14ac:dyDescent="0.25">
      <c r="A13" s="656" t="e">
        <f>VLOOKUP(D13,Bonds!D:I,6,0)</f>
        <v>#N/A</v>
      </c>
      <c r="B13" s="960" t="s">
        <v>2250</v>
      </c>
      <c r="C13" s="960" t="s">
        <v>961</v>
      </c>
      <c r="D13" s="960" t="s">
        <v>459</v>
      </c>
      <c r="E13" s="961">
        <v>-1005000</v>
      </c>
      <c r="F13" s="960" t="s">
        <v>24</v>
      </c>
      <c r="G13" s="960" t="s">
        <v>24</v>
      </c>
      <c r="H13" s="960" t="s">
        <v>962</v>
      </c>
      <c r="I13" s="960" t="s">
        <v>257</v>
      </c>
      <c r="J13" s="964">
        <v>1</v>
      </c>
      <c r="K13" s="963">
        <v>0.80659999999999998</v>
      </c>
      <c r="L13" s="960" t="s">
        <v>257</v>
      </c>
      <c r="M13" s="963">
        <v>0.77569999999999995</v>
      </c>
      <c r="N13" s="961">
        <v>-1008222.14</v>
      </c>
      <c r="O13" s="961">
        <v>-3222.14</v>
      </c>
      <c r="P13" s="962">
        <v>-3.9837559064138127E-2</v>
      </c>
      <c r="Q13" s="961">
        <v>-49639.51</v>
      </c>
      <c r="R13" s="961">
        <v>-1299841.6100000001</v>
      </c>
      <c r="S13" s="962">
        <v>-3.1192735974306204E-2</v>
      </c>
    </row>
    <row r="14" spans="1:19" s="22" customFormat="1" x14ac:dyDescent="0.25">
      <c r="A14" s="656" t="e">
        <f>VLOOKUP(D14,Bonds!D:I,6,0)</f>
        <v>#N/A</v>
      </c>
      <c r="B14" s="960" t="s">
        <v>2250</v>
      </c>
      <c r="C14" s="960" t="s">
        <v>1206</v>
      </c>
      <c r="D14" s="960" t="s">
        <v>459</v>
      </c>
      <c r="E14" s="961">
        <v>-2029000</v>
      </c>
      <c r="F14" s="960" t="s">
        <v>24</v>
      </c>
      <c r="G14" s="960" t="s">
        <v>24</v>
      </c>
      <c r="H14" s="960" t="s">
        <v>1207</v>
      </c>
      <c r="I14" s="960" t="s">
        <v>257</v>
      </c>
      <c r="J14" s="964">
        <v>1</v>
      </c>
      <c r="K14" s="963">
        <v>0.79279999999999995</v>
      </c>
      <c r="L14" s="960" t="s">
        <v>257</v>
      </c>
      <c r="M14" s="963">
        <v>0.77569999999999995</v>
      </c>
      <c r="N14" s="961">
        <v>-2032390.68</v>
      </c>
      <c r="O14" s="961">
        <v>-3390.68</v>
      </c>
      <c r="P14" s="962">
        <v>-2.2110488695166269E-2</v>
      </c>
      <c r="Q14" s="961">
        <v>-56587.01</v>
      </c>
      <c r="R14" s="961">
        <v>-2620241.96</v>
      </c>
      <c r="S14" s="962">
        <v>-6.287882694190608E-2</v>
      </c>
    </row>
    <row r="15" spans="1:19" s="22" customFormat="1" x14ac:dyDescent="0.25">
      <c r="A15" s="656" t="e">
        <f>VLOOKUP(D15,Bonds!D:I,6,0)</f>
        <v>#N/A</v>
      </c>
      <c r="B15" s="960" t="s">
        <v>2250</v>
      </c>
      <c r="C15" s="960" t="s">
        <v>2330</v>
      </c>
      <c r="D15" s="960" t="s">
        <v>459</v>
      </c>
      <c r="E15" s="961">
        <v>-2054000</v>
      </c>
      <c r="F15" s="960" t="s">
        <v>24</v>
      </c>
      <c r="G15" s="960" t="s">
        <v>24</v>
      </c>
      <c r="H15" s="960" t="s">
        <v>2331</v>
      </c>
      <c r="I15" s="960" t="s">
        <v>257</v>
      </c>
      <c r="J15" s="964">
        <v>1</v>
      </c>
      <c r="K15" s="963">
        <v>0.78879999999999995</v>
      </c>
      <c r="L15" s="960" t="s">
        <v>257</v>
      </c>
      <c r="M15" s="963">
        <v>0.77569999999999995</v>
      </c>
      <c r="N15" s="961">
        <v>-2056165.83</v>
      </c>
      <c r="O15" s="961">
        <v>-2165.83</v>
      </c>
      <c r="P15" s="962">
        <v>-1.7017983164566097E-2</v>
      </c>
      <c r="Q15" s="961">
        <v>-44311.26</v>
      </c>
      <c r="R15" s="961">
        <v>-2650893.87</v>
      </c>
      <c r="S15" s="962">
        <v>-6.3614391127867334E-2</v>
      </c>
    </row>
    <row r="16" spans="1:19" s="22" customFormat="1" x14ac:dyDescent="0.25">
      <c r="A16" s="656" t="e">
        <f>VLOOKUP(D16,Bonds!D:I,6,0)</f>
        <v>#N/A</v>
      </c>
      <c r="B16" s="960" t="s">
        <v>2250</v>
      </c>
      <c r="C16" s="960" t="s">
        <v>504</v>
      </c>
      <c r="D16" s="960" t="s">
        <v>459</v>
      </c>
      <c r="E16" s="961">
        <v>-2041650</v>
      </c>
      <c r="F16" s="960" t="s">
        <v>24</v>
      </c>
      <c r="G16" s="960" t="s">
        <v>24</v>
      </c>
      <c r="H16" s="960" t="s">
        <v>505</v>
      </c>
      <c r="I16" s="960" t="s">
        <v>257</v>
      </c>
      <c r="J16" s="964">
        <v>1</v>
      </c>
      <c r="K16" s="963">
        <v>0.88239999999999996</v>
      </c>
      <c r="L16" s="960" t="s">
        <v>257</v>
      </c>
      <c r="M16" s="963">
        <v>0.77569999999999995</v>
      </c>
      <c r="N16" s="961">
        <v>-2043877.1</v>
      </c>
      <c r="O16" s="961">
        <v>-2227.1</v>
      </c>
      <c r="P16" s="962">
        <v>-0.13756204514369086</v>
      </c>
      <c r="Q16" s="961">
        <v>-318301.75</v>
      </c>
      <c r="R16" s="961">
        <v>-2635050.73</v>
      </c>
      <c r="S16" s="962">
        <v>-6.3234197972622835E-2</v>
      </c>
    </row>
    <row r="17" spans="1:19" s="22" customFormat="1" x14ac:dyDescent="0.25">
      <c r="A17" s="656" t="e">
        <f>VLOOKUP(D17,Bonds!D:I,6,0)</f>
        <v>#N/A</v>
      </c>
      <c r="B17" s="960" t="s">
        <v>2250</v>
      </c>
      <c r="C17" s="960" t="s">
        <v>506</v>
      </c>
      <c r="D17" s="960" t="s">
        <v>459</v>
      </c>
      <c r="E17" s="961">
        <v>-1000000</v>
      </c>
      <c r="F17" s="960" t="s">
        <v>24</v>
      </c>
      <c r="G17" s="960" t="s">
        <v>24</v>
      </c>
      <c r="H17" s="960" t="s">
        <v>507</v>
      </c>
      <c r="I17" s="960" t="s">
        <v>257</v>
      </c>
      <c r="J17" s="964">
        <v>1</v>
      </c>
      <c r="K17" s="961">
        <v>0.88</v>
      </c>
      <c r="L17" s="960" t="s">
        <v>257</v>
      </c>
      <c r="M17" s="963">
        <v>0.77569999999999995</v>
      </c>
      <c r="N17" s="961">
        <v>-1001246.67</v>
      </c>
      <c r="O17" s="961">
        <v>-1246.67</v>
      </c>
      <c r="P17" s="962">
        <v>-0.13453232276949656</v>
      </c>
      <c r="Q17" s="961">
        <v>-152877.64000000001</v>
      </c>
      <c r="R17" s="961">
        <v>-1290848.54</v>
      </c>
      <c r="S17" s="962">
        <v>-3.0976926251067339E-2</v>
      </c>
    </row>
    <row r="18" spans="1:19" s="22" customFormat="1" x14ac:dyDescent="0.25">
      <c r="A18" s="656" t="e">
        <f>VLOOKUP(D18,Bonds!D:I,6,0)</f>
        <v>#N/A</v>
      </c>
      <c r="B18" s="960" t="s">
        <v>2250</v>
      </c>
      <c r="C18" s="960" t="s">
        <v>937</v>
      </c>
      <c r="D18" s="960" t="s">
        <v>459</v>
      </c>
      <c r="E18" s="961">
        <v>-700000</v>
      </c>
      <c r="F18" s="960" t="s">
        <v>21</v>
      </c>
      <c r="G18" s="960" t="s">
        <v>21</v>
      </c>
      <c r="H18" s="960" t="s">
        <v>938</v>
      </c>
      <c r="I18" s="960" t="s">
        <v>257</v>
      </c>
      <c r="J18" s="964">
        <v>1</v>
      </c>
      <c r="K18" s="963">
        <v>1.1587000000000001</v>
      </c>
      <c r="L18" s="960" t="s">
        <v>257</v>
      </c>
      <c r="M18" s="963">
        <v>1.1762999999999999</v>
      </c>
      <c r="N18" s="961">
        <v>-710970.56</v>
      </c>
      <c r="O18" s="961">
        <v>-10970.56</v>
      </c>
      <c r="P18" s="962">
        <v>-1.5106207065648804E-2</v>
      </c>
      <c r="Q18" s="961">
        <v>-12253</v>
      </c>
      <c r="R18" s="961">
        <v>-836280.68</v>
      </c>
      <c r="S18" s="962">
        <v>-2.0068508540554607E-2</v>
      </c>
    </row>
    <row r="19" spans="1:19" s="22" customFormat="1" x14ac:dyDescent="0.25">
      <c r="A19" s="656" t="e">
        <f>VLOOKUP(D19,Bonds!D:I,6,0)</f>
        <v>#N/A</v>
      </c>
      <c r="B19" s="960" t="s">
        <v>2250</v>
      </c>
      <c r="C19" s="960" t="s">
        <v>987</v>
      </c>
      <c r="D19" s="960" t="s">
        <v>459</v>
      </c>
      <c r="E19" s="961">
        <v>-8560000</v>
      </c>
      <c r="F19" s="960" t="s">
        <v>21</v>
      </c>
      <c r="G19" s="960" t="s">
        <v>21</v>
      </c>
      <c r="H19" s="960" t="s">
        <v>988</v>
      </c>
      <c r="I19" s="960" t="s">
        <v>257</v>
      </c>
      <c r="J19" s="964">
        <v>1</v>
      </c>
      <c r="K19" s="963">
        <v>1.1727000000000001</v>
      </c>
      <c r="L19" s="960" t="s">
        <v>257</v>
      </c>
      <c r="M19" s="963">
        <v>1.1762999999999999</v>
      </c>
      <c r="N19" s="961">
        <v>-8664893.2899999991</v>
      </c>
      <c r="O19" s="961">
        <v>-104893.29</v>
      </c>
      <c r="P19" s="962">
        <v>-2.9915914272537918E-3</v>
      </c>
      <c r="Q19" s="961">
        <v>-30031.65</v>
      </c>
      <c r="R19" s="961">
        <v>-10192099.619999999</v>
      </c>
      <c r="S19" s="962">
        <v>-0.24458324000759332</v>
      </c>
    </row>
    <row r="20" spans="1:19" s="22" customFormat="1" x14ac:dyDescent="0.25">
      <c r="A20" s="656" t="e">
        <f>VLOOKUP(D20,Bonds!D:I,6,0)</f>
        <v>#N/A</v>
      </c>
      <c r="B20" s="960" t="s">
        <v>2250</v>
      </c>
      <c r="C20" s="960" t="s">
        <v>1177</v>
      </c>
      <c r="D20" s="960" t="s">
        <v>459</v>
      </c>
      <c r="E20" s="961">
        <v>-2616000</v>
      </c>
      <c r="F20" s="960" t="s">
        <v>21</v>
      </c>
      <c r="G20" s="960" t="s">
        <v>21</v>
      </c>
      <c r="H20" s="960" t="s">
        <v>1178</v>
      </c>
      <c r="I20" s="960" t="s">
        <v>257</v>
      </c>
      <c r="J20" s="964">
        <v>1</v>
      </c>
      <c r="K20" s="963">
        <v>1.1547000000000001</v>
      </c>
      <c r="L20" s="960" t="s">
        <v>257</v>
      </c>
      <c r="M20" s="963">
        <v>1.1762999999999999</v>
      </c>
      <c r="N20" s="961">
        <v>-2636056</v>
      </c>
      <c r="O20" s="961">
        <v>-20056</v>
      </c>
      <c r="P20" s="962">
        <v>-1.8706109272912875E-2</v>
      </c>
      <c r="Q20" s="961">
        <v>-56503.16</v>
      </c>
      <c r="R20" s="961">
        <v>-3100666.61</v>
      </c>
      <c r="S20" s="962">
        <v>-7.440773873216526E-2</v>
      </c>
    </row>
    <row r="21" spans="1:19" s="22" customFormat="1" x14ac:dyDescent="0.25">
      <c r="A21" s="656" t="e">
        <f>VLOOKUP(D21,Bonds!D:I,6,0)</f>
        <v>#N/A</v>
      </c>
      <c r="B21" s="960" t="s">
        <v>2250</v>
      </c>
      <c r="C21" s="960" t="s">
        <v>1208</v>
      </c>
      <c r="D21" s="960" t="s">
        <v>459</v>
      </c>
      <c r="E21" s="961">
        <v>-532000</v>
      </c>
      <c r="F21" s="960" t="s">
        <v>21</v>
      </c>
      <c r="G21" s="960" t="s">
        <v>21</v>
      </c>
      <c r="H21" s="960" t="s">
        <v>1209</v>
      </c>
      <c r="I21" s="960" t="s">
        <v>257</v>
      </c>
      <c r="J21" s="964">
        <v>1</v>
      </c>
      <c r="K21" s="965">
        <v>1.1639999999999999</v>
      </c>
      <c r="L21" s="960" t="s">
        <v>257</v>
      </c>
      <c r="M21" s="963">
        <v>1.1762999999999999</v>
      </c>
      <c r="N21" s="961">
        <v>-535833.94999999995</v>
      </c>
      <c r="O21" s="961">
        <v>-3833.95</v>
      </c>
      <c r="P21" s="962">
        <v>-1.0568864278639852E-2</v>
      </c>
      <c r="Q21" s="961">
        <v>-6544.47</v>
      </c>
      <c r="R21" s="961">
        <v>-630275.85</v>
      </c>
      <c r="S21" s="962">
        <v>-1.5124941399615155E-2</v>
      </c>
    </row>
    <row r="22" spans="1:19" s="22" customFormat="1" x14ac:dyDescent="0.25">
      <c r="A22" s="656" t="e">
        <f>VLOOKUP(D22,Bonds!D:I,6,0)</f>
        <v>#N/A</v>
      </c>
      <c r="B22" s="960" t="s">
        <v>2250</v>
      </c>
      <c r="C22" s="960" t="s">
        <v>2332</v>
      </c>
      <c r="D22" s="960" t="s">
        <v>459</v>
      </c>
      <c r="E22" s="961">
        <v>-1200000</v>
      </c>
      <c r="F22" s="960" t="s">
        <v>21</v>
      </c>
      <c r="G22" s="960" t="s">
        <v>21</v>
      </c>
      <c r="H22" s="960" t="s">
        <v>2333</v>
      </c>
      <c r="I22" s="960" t="s">
        <v>257</v>
      </c>
      <c r="J22" s="964">
        <v>1</v>
      </c>
      <c r="K22" s="963">
        <v>1.1745000000000001</v>
      </c>
      <c r="L22" s="960" t="s">
        <v>257</v>
      </c>
      <c r="M22" s="963">
        <v>1.1762999999999999</v>
      </c>
      <c r="N22" s="961">
        <v>-1204247.33</v>
      </c>
      <c r="O22" s="961">
        <v>-4247.33</v>
      </c>
      <c r="P22" s="962">
        <v>-1.5323522979689664E-3</v>
      </c>
      <c r="Q22" s="961">
        <v>-2159.61</v>
      </c>
      <c r="R22" s="961">
        <v>-1416498.55</v>
      </c>
      <c r="S22" s="962">
        <v>-3.3992191770301591E-2</v>
      </c>
    </row>
    <row r="23" spans="1:19" s="22" customFormat="1" x14ac:dyDescent="0.25">
      <c r="A23" s="656" t="e">
        <f>VLOOKUP(D23,Bonds!D:I,6,0)</f>
        <v>#N/A</v>
      </c>
      <c r="B23" s="960" t="s">
        <v>2250</v>
      </c>
      <c r="C23" s="960" t="s">
        <v>2413</v>
      </c>
      <c r="D23" s="960" t="s">
        <v>459</v>
      </c>
      <c r="E23" s="961">
        <v>-3410000</v>
      </c>
      <c r="F23" s="960" t="s">
        <v>21</v>
      </c>
      <c r="G23" s="960" t="s">
        <v>21</v>
      </c>
      <c r="H23" s="960" t="s">
        <v>2414</v>
      </c>
      <c r="I23" s="960" t="s">
        <v>257</v>
      </c>
      <c r="J23" s="964">
        <v>1</v>
      </c>
      <c r="K23" s="963">
        <v>1.1952</v>
      </c>
      <c r="L23" s="960" t="s">
        <v>257</v>
      </c>
      <c r="M23" s="963">
        <v>1.1762999999999999</v>
      </c>
      <c r="N23" s="961">
        <v>-3415509.99</v>
      </c>
      <c r="O23" s="961">
        <v>-5509.99</v>
      </c>
      <c r="P23" s="962">
        <v>1.5848371758787796E-2</v>
      </c>
      <c r="Q23" s="961">
        <v>64591.81</v>
      </c>
      <c r="R23" s="961">
        <v>-4017501.07</v>
      </c>
      <c r="S23" s="962">
        <v>-9.6409323404412814E-2</v>
      </c>
    </row>
    <row r="24" spans="1:19" s="22" customFormat="1" x14ac:dyDescent="0.25">
      <c r="A24" s="656" t="e">
        <f>VLOOKUP(D24,Bonds!D:I,6,0)</f>
        <v>#N/A</v>
      </c>
      <c r="B24" s="960" t="s">
        <v>2250</v>
      </c>
      <c r="C24" s="960" t="s">
        <v>977</v>
      </c>
      <c r="D24" s="960" t="s">
        <v>459</v>
      </c>
      <c r="E24" s="961">
        <v>-148246000</v>
      </c>
      <c r="F24" s="960" t="s">
        <v>25</v>
      </c>
      <c r="G24" s="960" t="s">
        <v>25</v>
      </c>
      <c r="H24" s="960" t="s">
        <v>978</v>
      </c>
      <c r="I24" s="960" t="s">
        <v>257</v>
      </c>
      <c r="J24" s="964">
        <v>1</v>
      </c>
      <c r="K24" s="963">
        <v>147.4948</v>
      </c>
      <c r="L24" s="960" t="s">
        <v>257</v>
      </c>
      <c r="M24" s="963">
        <v>155.0215</v>
      </c>
      <c r="N24" s="961">
        <v>-149345491</v>
      </c>
      <c r="O24" s="961">
        <v>-1099491</v>
      </c>
      <c r="P24" s="962">
        <v>4.8552756246609145E-2</v>
      </c>
      <c r="Q24" s="961">
        <v>48800.05</v>
      </c>
      <c r="R24" s="961">
        <v>-963385.76</v>
      </c>
      <c r="S24" s="962">
        <v>-2.3118691863608151E-2</v>
      </c>
    </row>
    <row r="25" spans="1:19" x14ac:dyDescent="0.25">
      <c r="A25" s="220" t="e">
        <f>VLOOKUP(D25,Bonds!D:I,6,0)</f>
        <v>#N/A</v>
      </c>
      <c r="B25" s="960" t="s">
        <v>2250</v>
      </c>
      <c r="C25" s="960" t="s">
        <v>1047</v>
      </c>
      <c r="D25" s="960" t="s">
        <v>459</v>
      </c>
      <c r="E25" s="964">
        <v>-3000000</v>
      </c>
      <c r="F25" s="960" t="s">
        <v>19</v>
      </c>
      <c r="G25" s="960" t="s">
        <v>19</v>
      </c>
      <c r="H25" s="960" t="s">
        <v>991</v>
      </c>
      <c r="I25" s="960" t="s">
        <v>257</v>
      </c>
      <c r="J25" s="960" t="s">
        <v>257</v>
      </c>
      <c r="K25" s="963">
        <v>1.3383</v>
      </c>
      <c r="L25" s="960" t="s">
        <v>257</v>
      </c>
      <c r="M25" s="963">
        <v>1.3454999999999999</v>
      </c>
      <c r="N25" s="961">
        <v>-17117.16</v>
      </c>
      <c r="O25" s="961">
        <v>0</v>
      </c>
      <c r="P25" s="960" t="s">
        <v>257</v>
      </c>
      <c r="Q25" s="960" t="s">
        <v>257</v>
      </c>
      <c r="R25" s="961">
        <v>-23030.33</v>
      </c>
      <c r="S25" s="962">
        <v>-5.5266656919156741E-4</v>
      </c>
    </row>
    <row r="26" spans="1:19" x14ac:dyDescent="0.25">
      <c r="A26" s="220" t="e">
        <f>VLOOKUP(D26,Bonds!D:I,6,0)</f>
        <v>#N/A</v>
      </c>
      <c r="B26" s="960" t="s">
        <v>2250</v>
      </c>
      <c r="C26" s="960" t="s">
        <v>2415</v>
      </c>
      <c r="D26" s="960" t="s">
        <v>459</v>
      </c>
      <c r="E26" s="964">
        <v>1500000</v>
      </c>
      <c r="F26" s="960" t="s">
        <v>19</v>
      </c>
      <c r="G26" s="960" t="s">
        <v>19</v>
      </c>
      <c r="H26" s="960" t="s">
        <v>991</v>
      </c>
      <c r="I26" s="960" t="s">
        <v>257</v>
      </c>
      <c r="J26" s="960" t="s">
        <v>257</v>
      </c>
      <c r="K26" s="963">
        <v>1.3749</v>
      </c>
      <c r="L26" s="960" t="s">
        <v>257</v>
      </c>
      <c r="M26" s="963">
        <v>1.3454999999999999</v>
      </c>
      <c r="N26" s="961">
        <v>-31372.3</v>
      </c>
      <c r="O26" s="961">
        <v>0</v>
      </c>
      <c r="P26" s="960" t="s">
        <v>257</v>
      </c>
      <c r="Q26" s="960" t="s">
        <v>257</v>
      </c>
      <c r="R26" s="961">
        <v>-42209.93</v>
      </c>
      <c r="S26" s="962">
        <v>-1.0129258763950067E-3</v>
      </c>
    </row>
    <row r="27" spans="1:19" s="643" customFormat="1" x14ac:dyDescent="0.25">
      <c r="A27" s="220">
        <f>VLOOKUP(D27,Bonds!D:I,6,0)</f>
        <v>6000000</v>
      </c>
      <c r="B27" s="960" t="s">
        <v>1</v>
      </c>
      <c r="C27" s="960" t="s">
        <v>508</v>
      </c>
      <c r="D27" s="960" t="s">
        <v>509</v>
      </c>
      <c r="E27" s="961">
        <v>3000000</v>
      </c>
      <c r="F27" s="960" t="s">
        <v>458</v>
      </c>
      <c r="G27" s="960" t="s">
        <v>458</v>
      </c>
      <c r="H27" s="960" t="s">
        <v>510</v>
      </c>
      <c r="I27" s="960" t="s">
        <v>257</v>
      </c>
      <c r="J27" s="962">
        <v>0.94758466666666663</v>
      </c>
      <c r="K27" s="963">
        <v>5.5077999999999996</v>
      </c>
      <c r="L27" s="962">
        <v>0.99400000000000011</v>
      </c>
      <c r="M27" s="963">
        <v>5.2161999999999997</v>
      </c>
      <c r="N27" s="961">
        <v>3100397.26</v>
      </c>
      <c r="O27" s="961">
        <v>118397.26</v>
      </c>
      <c r="P27" s="962">
        <v>0.1076148847246321</v>
      </c>
      <c r="Q27" s="961">
        <v>55543.9</v>
      </c>
      <c r="R27" s="961">
        <v>594377.71</v>
      </c>
      <c r="S27" s="962">
        <v>1.4263481669157165E-2</v>
      </c>
    </row>
    <row r="28" spans="1:19" x14ac:dyDescent="0.25">
      <c r="A28" s="220">
        <f>VLOOKUP(D28,Bonds!D:I,6,0)</f>
        <v>2000000</v>
      </c>
      <c r="B28" s="960" t="s">
        <v>1</v>
      </c>
      <c r="C28" s="960" t="s">
        <v>447</v>
      </c>
      <c r="D28" s="960" t="s">
        <v>448</v>
      </c>
      <c r="E28" s="961">
        <v>2000000</v>
      </c>
      <c r="F28" s="960" t="s">
        <v>458</v>
      </c>
      <c r="G28" s="960" t="s">
        <v>458</v>
      </c>
      <c r="H28" s="960" t="s">
        <v>511</v>
      </c>
      <c r="I28" s="960" t="s">
        <v>257</v>
      </c>
      <c r="J28" s="962">
        <v>0.95843500000000004</v>
      </c>
      <c r="K28" s="965">
        <v>5.7270000000000003</v>
      </c>
      <c r="L28" s="962">
        <v>0.99295</v>
      </c>
      <c r="M28" s="963">
        <v>5.2161999999999997</v>
      </c>
      <c r="N28" s="961">
        <v>1988845.21</v>
      </c>
      <c r="O28" s="961">
        <v>2945.21</v>
      </c>
      <c r="P28" s="962">
        <v>0.13746606504099146</v>
      </c>
      <c r="Q28" s="961">
        <v>46010.78</v>
      </c>
      <c r="R28" s="961">
        <v>381281.87</v>
      </c>
      <c r="S28" s="962">
        <v>9.149749178055425E-3</v>
      </c>
    </row>
    <row r="29" spans="1:19" x14ac:dyDescent="0.25">
      <c r="A29" s="220">
        <f>VLOOKUP(D29,Bonds!D:I,6,0)</f>
        <v>400000</v>
      </c>
      <c r="B29" s="960" t="s">
        <v>1</v>
      </c>
      <c r="C29" s="960" t="s">
        <v>54</v>
      </c>
      <c r="D29" s="960" t="s">
        <v>55</v>
      </c>
      <c r="E29" s="961">
        <v>400000</v>
      </c>
      <c r="F29" s="960" t="s">
        <v>18</v>
      </c>
      <c r="G29" s="960" t="s">
        <v>18</v>
      </c>
      <c r="H29" s="960" t="s">
        <v>512</v>
      </c>
      <c r="I29" s="962">
        <v>3.294333103197402E-2</v>
      </c>
      <c r="J29" s="962">
        <v>1.0118139749999999</v>
      </c>
      <c r="K29" s="960" t="s">
        <v>459</v>
      </c>
      <c r="L29" s="962">
        <v>1.0698000000000001</v>
      </c>
      <c r="M29" s="960" t="s">
        <v>459</v>
      </c>
      <c r="N29" s="961">
        <v>446407.5</v>
      </c>
      <c r="O29" s="961">
        <v>18487.5</v>
      </c>
      <c r="P29" s="962">
        <v>5.7308978164686844E-2</v>
      </c>
      <c r="Q29" s="961">
        <v>23194.41</v>
      </c>
      <c r="R29" s="961">
        <v>446407.5</v>
      </c>
      <c r="S29" s="962">
        <v>1.071259080900641E-2</v>
      </c>
    </row>
    <row r="30" spans="1:19" x14ac:dyDescent="0.25">
      <c r="A30" s="220">
        <f>VLOOKUP(D30,Bonds!D:I,6,0)</f>
        <v>600000</v>
      </c>
      <c r="B30" s="960" t="s">
        <v>1</v>
      </c>
      <c r="C30" s="960" t="s">
        <v>162</v>
      </c>
      <c r="D30" s="960" t="s">
        <v>163</v>
      </c>
      <c r="E30" s="961">
        <v>600000</v>
      </c>
      <c r="F30" s="960" t="s">
        <v>18</v>
      </c>
      <c r="G30" s="960" t="s">
        <v>18</v>
      </c>
      <c r="H30" s="960" t="s">
        <v>513</v>
      </c>
      <c r="I30" s="962">
        <v>8.6511559213328759E-2</v>
      </c>
      <c r="J30" s="962">
        <v>1.0072061999999999</v>
      </c>
      <c r="K30" s="960" t="s">
        <v>459</v>
      </c>
      <c r="L30" s="962">
        <v>1.1070500000000001</v>
      </c>
      <c r="M30" s="960" t="s">
        <v>459</v>
      </c>
      <c r="N30" s="961">
        <v>678667.5</v>
      </c>
      <c r="O30" s="961">
        <v>14437.5</v>
      </c>
      <c r="P30" s="962">
        <v>9.9129453333388934E-2</v>
      </c>
      <c r="Q30" s="961">
        <v>59906.28</v>
      </c>
      <c r="R30" s="961">
        <v>678667.5</v>
      </c>
      <c r="S30" s="962">
        <v>1.6286212088442414E-2</v>
      </c>
    </row>
    <row r="31" spans="1:19" x14ac:dyDescent="0.25">
      <c r="A31" s="220">
        <f>VLOOKUP(D31,Bonds!D:I,6,0)</f>
        <v>32800000</v>
      </c>
      <c r="B31" s="960" t="s">
        <v>1</v>
      </c>
      <c r="C31" s="960" t="s">
        <v>979</v>
      </c>
      <c r="D31" s="960" t="s">
        <v>980</v>
      </c>
      <c r="E31" s="961">
        <v>32800000</v>
      </c>
      <c r="F31" s="960" t="s">
        <v>976</v>
      </c>
      <c r="G31" s="960" t="s">
        <v>976</v>
      </c>
      <c r="H31" s="960" t="s">
        <v>981</v>
      </c>
      <c r="I31" s="962">
        <v>0.28287746774360523</v>
      </c>
      <c r="J31" s="962">
        <v>0.91415490548780487</v>
      </c>
      <c r="K31" s="963">
        <v>42.438200000000002</v>
      </c>
      <c r="L31" s="962">
        <v>0.90890000000000004</v>
      </c>
      <c r="M31" s="963">
        <v>43.7624</v>
      </c>
      <c r="N31" s="961">
        <v>29984906.300000001</v>
      </c>
      <c r="O31" s="961">
        <v>172986.3</v>
      </c>
      <c r="P31" s="962">
        <v>-3.5833711868475789E-2</v>
      </c>
      <c r="Q31" s="961">
        <v>-25317.93</v>
      </c>
      <c r="R31" s="961">
        <v>685174.34</v>
      </c>
      <c r="S31" s="962">
        <v>1.644235891478309E-2</v>
      </c>
    </row>
    <row r="32" spans="1:19" x14ac:dyDescent="0.25">
      <c r="A32" s="220">
        <f>VLOOKUP(D32,Bonds!D:I,6,0)</f>
        <v>600000</v>
      </c>
      <c r="B32" s="960" t="s">
        <v>1</v>
      </c>
      <c r="C32" s="960" t="s">
        <v>952</v>
      </c>
      <c r="D32" s="960" t="s">
        <v>683</v>
      </c>
      <c r="E32" s="961">
        <v>600000</v>
      </c>
      <c r="F32" s="960" t="s">
        <v>18</v>
      </c>
      <c r="G32" s="960" t="s">
        <v>18</v>
      </c>
      <c r="H32" s="960" t="s">
        <v>953</v>
      </c>
      <c r="I32" s="962">
        <v>5.2185427881788427E-2</v>
      </c>
      <c r="J32" s="962">
        <v>0.55642666666666663</v>
      </c>
      <c r="K32" s="960" t="s">
        <v>459</v>
      </c>
      <c r="L32" s="962">
        <v>0.58226999999999995</v>
      </c>
      <c r="M32" s="960" t="s">
        <v>459</v>
      </c>
      <c r="N32" s="961">
        <v>349788.67</v>
      </c>
      <c r="O32" s="961">
        <v>426.67</v>
      </c>
      <c r="P32" s="962">
        <v>4.6445173967219401E-2</v>
      </c>
      <c r="Q32" s="961">
        <v>15506</v>
      </c>
      <c r="R32" s="961">
        <v>349788.67</v>
      </c>
      <c r="S32" s="962">
        <v>8.3939962732180254E-3</v>
      </c>
    </row>
    <row r="33" spans="1:19" x14ac:dyDescent="0.25">
      <c r="A33" s="220">
        <f>VLOOKUP(D33,Bonds!D:I,6,0)</f>
        <v>1200000</v>
      </c>
      <c r="B33" s="960" t="s">
        <v>1</v>
      </c>
      <c r="C33" s="960" t="s">
        <v>78</v>
      </c>
      <c r="D33" s="960" t="s">
        <v>79</v>
      </c>
      <c r="E33" s="961">
        <v>1200000</v>
      </c>
      <c r="F33" s="960" t="s">
        <v>18</v>
      </c>
      <c r="G33" s="960" t="s">
        <v>18</v>
      </c>
      <c r="H33" s="960" t="s">
        <v>514</v>
      </c>
      <c r="I33" s="962">
        <v>3.6774093505785616E-2</v>
      </c>
      <c r="J33" s="962">
        <v>0.57220976666666667</v>
      </c>
      <c r="K33" s="960" t="s">
        <v>459</v>
      </c>
      <c r="L33" s="962">
        <v>0.60350000000000004</v>
      </c>
      <c r="M33" s="960" t="s">
        <v>459</v>
      </c>
      <c r="N33" s="961">
        <v>724845.83</v>
      </c>
      <c r="O33" s="961">
        <v>645.83000000000004</v>
      </c>
      <c r="P33" s="962">
        <v>5.4683151452675306E-2</v>
      </c>
      <c r="Q33" s="961">
        <v>37548.28</v>
      </c>
      <c r="R33" s="961">
        <v>724845.83</v>
      </c>
      <c r="S33" s="962">
        <v>1.739436899336284E-2</v>
      </c>
    </row>
    <row r="34" spans="1:19" x14ac:dyDescent="0.25">
      <c r="A34" s="220">
        <f>VLOOKUP(D34,Bonds!D:I,6,0)</f>
        <v>600000</v>
      </c>
      <c r="B34" s="960" t="s">
        <v>1</v>
      </c>
      <c r="C34" s="960" t="s">
        <v>127</v>
      </c>
      <c r="D34" s="960" t="s">
        <v>128</v>
      </c>
      <c r="E34" s="961">
        <v>600000</v>
      </c>
      <c r="F34" s="960" t="s">
        <v>18</v>
      </c>
      <c r="G34" s="960" t="s">
        <v>18</v>
      </c>
      <c r="H34" s="960" t="s">
        <v>515</v>
      </c>
      <c r="I34" s="962">
        <v>5.206687114107144E-2</v>
      </c>
      <c r="J34" s="962">
        <v>0.61186496666666668</v>
      </c>
      <c r="K34" s="960" t="s">
        <v>459</v>
      </c>
      <c r="L34" s="962">
        <v>0.71275000000000011</v>
      </c>
      <c r="M34" s="960" t="s">
        <v>459</v>
      </c>
      <c r="N34" s="961">
        <v>428790.98</v>
      </c>
      <c r="O34" s="961">
        <v>1140.98</v>
      </c>
      <c r="P34" s="962">
        <v>0.16488120554268262</v>
      </c>
      <c r="Q34" s="961">
        <v>60531.02</v>
      </c>
      <c r="R34" s="961">
        <v>428790.98</v>
      </c>
      <c r="S34" s="962">
        <v>1.028984125789296E-2</v>
      </c>
    </row>
    <row r="35" spans="1:19" x14ac:dyDescent="0.25">
      <c r="A35" s="220">
        <f>VLOOKUP(D35,Bonds!D:I,6,0)</f>
        <v>800000</v>
      </c>
      <c r="B35" s="960" t="s">
        <v>1</v>
      </c>
      <c r="C35" s="960" t="s">
        <v>129</v>
      </c>
      <c r="D35" s="960" t="s">
        <v>130</v>
      </c>
      <c r="E35" s="961">
        <v>800000</v>
      </c>
      <c r="F35" s="960" t="s">
        <v>18</v>
      </c>
      <c r="G35" s="960" t="s">
        <v>18</v>
      </c>
      <c r="H35" s="960" t="s">
        <v>516</v>
      </c>
      <c r="I35" s="962">
        <v>5.8862946744950448E-2</v>
      </c>
      <c r="J35" s="962">
        <v>0.71355216249999998</v>
      </c>
      <c r="K35" s="960" t="s">
        <v>459</v>
      </c>
      <c r="L35" s="962">
        <v>0.75419999999999998</v>
      </c>
      <c r="M35" s="960" t="s">
        <v>459</v>
      </c>
      <c r="N35" s="961">
        <v>617060</v>
      </c>
      <c r="O35" s="961">
        <v>13700</v>
      </c>
      <c r="P35" s="962">
        <v>5.6965474475736029E-2</v>
      </c>
      <c r="Q35" s="961">
        <v>32518.27</v>
      </c>
      <c r="R35" s="961">
        <v>617060</v>
      </c>
      <c r="S35" s="962">
        <v>1.4807796205497209E-2</v>
      </c>
    </row>
    <row r="36" spans="1:19" x14ac:dyDescent="0.25">
      <c r="A36" s="220">
        <f>VLOOKUP(D36,Bonds!D:I,6,0)</f>
        <v>600000</v>
      </c>
      <c r="B36" s="960" t="s">
        <v>1</v>
      </c>
      <c r="C36" s="960" t="s">
        <v>124</v>
      </c>
      <c r="D36" s="960" t="s">
        <v>125</v>
      </c>
      <c r="E36" s="961">
        <v>600000</v>
      </c>
      <c r="F36" s="960" t="s">
        <v>18</v>
      </c>
      <c r="G36" s="960" t="s">
        <v>18</v>
      </c>
      <c r="H36" s="960" t="s">
        <v>517</v>
      </c>
      <c r="I36" s="962">
        <v>5.1692784205241073E-2</v>
      </c>
      <c r="J36" s="962">
        <v>0.73223783333333325</v>
      </c>
      <c r="K36" s="960" t="s">
        <v>459</v>
      </c>
      <c r="L36" s="962">
        <v>0.81415000000000004</v>
      </c>
      <c r="M36" s="960" t="s">
        <v>459</v>
      </c>
      <c r="N36" s="961">
        <v>491066.62</v>
      </c>
      <c r="O36" s="961">
        <v>2576.62</v>
      </c>
      <c r="P36" s="962">
        <v>0.1118655209247815</v>
      </c>
      <c r="Q36" s="961">
        <v>49147.3</v>
      </c>
      <c r="R36" s="961">
        <v>491066.62</v>
      </c>
      <c r="S36" s="962">
        <v>1.1784290720970959E-2</v>
      </c>
    </row>
    <row r="37" spans="1:19" x14ac:dyDescent="0.25">
      <c r="A37" s="220">
        <f>VLOOKUP(D37,Bonds!D:I,6,0)</f>
        <v>800000</v>
      </c>
      <c r="B37" s="960" t="s">
        <v>1</v>
      </c>
      <c r="C37" s="960" t="s">
        <v>122</v>
      </c>
      <c r="D37" s="960" t="s">
        <v>123</v>
      </c>
      <c r="E37" s="961">
        <v>800000</v>
      </c>
      <c r="F37" s="960" t="s">
        <v>18</v>
      </c>
      <c r="G37" s="960" t="s">
        <v>18</v>
      </c>
      <c r="H37" s="960" t="s">
        <v>518</v>
      </c>
      <c r="I37" s="962">
        <v>5.17902181433307E-2</v>
      </c>
      <c r="J37" s="962">
        <v>0.79944542499999993</v>
      </c>
      <c r="K37" s="960" t="s">
        <v>459</v>
      </c>
      <c r="L37" s="962">
        <v>0.88815</v>
      </c>
      <c r="M37" s="960" t="s">
        <v>459</v>
      </c>
      <c r="N37" s="961">
        <v>712520</v>
      </c>
      <c r="O37" s="961">
        <v>2000</v>
      </c>
      <c r="P37" s="962">
        <v>0.11095763666419131</v>
      </c>
      <c r="Q37" s="961">
        <v>70963.66</v>
      </c>
      <c r="R37" s="961">
        <v>712520</v>
      </c>
      <c r="S37" s="962">
        <v>1.7098581908308545E-2</v>
      </c>
    </row>
    <row r="38" spans="1:19" x14ac:dyDescent="0.25">
      <c r="A38" s="220">
        <f>VLOOKUP(D38,Bonds!D:I,6,0)</f>
        <v>1400000</v>
      </c>
      <c r="B38" s="960" t="s">
        <v>1</v>
      </c>
      <c r="C38" s="960" t="s">
        <v>1089</v>
      </c>
      <c r="D38" s="960" t="s">
        <v>102</v>
      </c>
      <c r="E38" s="961">
        <v>1400000</v>
      </c>
      <c r="F38" s="960" t="s">
        <v>18</v>
      </c>
      <c r="G38" s="960" t="s">
        <v>18</v>
      </c>
      <c r="H38" s="960" t="s">
        <v>519</v>
      </c>
      <c r="I38" s="962">
        <v>3.6641473509053987E-2</v>
      </c>
      <c r="J38" s="962">
        <v>0.69810608571428578</v>
      </c>
      <c r="K38" s="960" t="s">
        <v>459</v>
      </c>
      <c r="L38" s="962">
        <v>0.56261000000000005</v>
      </c>
      <c r="M38" s="960" t="s">
        <v>459</v>
      </c>
      <c r="N38" s="961">
        <v>820149.75</v>
      </c>
      <c r="O38" s="961">
        <v>32495.75</v>
      </c>
      <c r="P38" s="962">
        <v>-0.1940909676724123</v>
      </c>
      <c r="Q38" s="961">
        <v>-189694.52</v>
      </c>
      <c r="R38" s="961">
        <v>820149.75</v>
      </c>
      <c r="S38" s="962">
        <v>1.9681409191957808E-2</v>
      </c>
    </row>
    <row r="39" spans="1:19" x14ac:dyDescent="0.25">
      <c r="A39" s="220">
        <f>VLOOKUP(D39,Bonds!D:I,6,0)</f>
        <v>800000</v>
      </c>
      <c r="B39" s="960" t="s">
        <v>1</v>
      </c>
      <c r="C39" s="960" t="s">
        <v>70</v>
      </c>
      <c r="D39" s="960" t="s">
        <v>71</v>
      </c>
      <c r="E39" s="961">
        <v>800000</v>
      </c>
      <c r="F39" s="960" t="s">
        <v>18</v>
      </c>
      <c r="G39" s="960" t="s">
        <v>18</v>
      </c>
      <c r="H39" s="960" t="s">
        <v>520</v>
      </c>
      <c r="I39" s="962">
        <v>3.3406866632106229E-2</v>
      </c>
      <c r="J39" s="962">
        <v>0.85617338750000005</v>
      </c>
      <c r="K39" s="960" t="s">
        <v>459</v>
      </c>
      <c r="L39" s="962">
        <v>0.87655000000000005</v>
      </c>
      <c r="M39" s="960" t="s">
        <v>459</v>
      </c>
      <c r="N39" s="961">
        <v>719817.78</v>
      </c>
      <c r="O39" s="961">
        <v>18577.78</v>
      </c>
      <c r="P39" s="962">
        <v>2.3799633108778449E-2</v>
      </c>
      <c r="Q39" s="961">
        <v>16301.29</v>
      </c>
      <c r="R39" s="961">
        <v>719817.78</v>
      </c>
      <c r="S39" s="962">
        <v>1.7273709187653429E-2</v>
      </c>
    </row>
    <row r="40" spans="1:19" x14ac:dyDescent="0.25">
      <c r="A40" s="220">
        <f>VLOOKUP(D40,Bonds!D:I,6,0)</f>
        <v>4200000</v>
      </c>
      <c r="B40" s="960" t="s">
        <v>1</v>
      </c>
      <c r="C40" s="960" t="s">
        <v>82</v>
      </c>
      <c r="D40" s="960" t="s">
        <v>83</v>
      </c>
      <c r="E40" s="961">
        <v>3700000</v>
      </c>
      <c r="F40" s="960" t="s">
        <v>19</v>
      </c>
      <c r="G40" s="960" t="s">
        <v>19</v>
      </c>
      <c r="H40" s="960" t="s">
        <v>521</v>
      </c>
      <c r="I40" s="962">
        <v>6.8378398911409968E-2</v>
      </c>
      <c r="J40" s="962">
        <v>0.75596265135135143</v>
      </c>
      <c r="K40" s="963">
        <v>1.2652000000000001</v>
      </c>
      <c r="L40" s="962">
        <v>0.79480000000000006</v>
      </c>
      <c r="M40" s="963">
        <v>1.3454999999999999</v>
      </c>
      <c r="N40" s="961">
        <v>3133489.45</v>
      </c>
      <c r="O40" s="961">
        <v>192729.45</v>
      </c>
      <c r="P40" s="962">
        <v>0.11806248991956257</v>
      </c>
      <c r="Q40" s="961">
        <v>417805.08</v>
      </c>
      <c r="R40" s="961">
        <v>4215960.2699999996</v>
      </c>
      <c r="S40" s="962">
        <v>0.10117181552625835</v>
      </c>
    </row>
    <row r="41" spans="1:19" x14ac:dyDescent="0.25">
      <c r="A41" s="220">
        <f>VLOOKUP(D41,Bonds!D:I,6,0)</f>
        <v>400000</v>
      </c>
      <c r="B41" s="960" t="s">
        <v>1</v>
      </c>
      <c r="C41" s="960" t="s">
        <v>954</v>
      </c>
      <c r="D41" s="960" t="s">
        <v>142</v>
      </c>
      <c r="E41" s="961">
        <v>400000</v>
      </c>
      <c r="F41" s="960" t="s">
        <v>18</v>
      </c>
      <c r="G41" s="960" t="s">
        <v>18</v>
      </c>
      <c r="H41" s="960" t="s">
        <v>955</v>
      </c>
      <c r="I41" s="962">
        <v>5.1614870181518252E-2</v>
      </c>
      <c r="J41" s="962">
        <v>0.82730000000000004</v>
      </c>
      <c r="K41" s="960" t="s">
        <v>459</v>
      </c>
      <c r="L41" s="962">
        <v>0.91154999999999997</v>
      </c>
      <c r="M41" s="960" t="s">
        <v>459</v>
      </c>
      <c r="N41" s="961">
        <v>369579.44</v>
      </c>
      <c r="O41" s="961">
        <v>4959.4399999999996</v>
      </c>
      <c r="P41" s="962">
        <v>0.10183730206696483</v>
      </c>
      <c r="Q41" s="961">
        <v>33700</v>
      </c>
      <c r="R41" s="961">
        <v>369579.44</v>
      </c>
      <c r="S41" s="962">
        <v>8.8689220323174139E-3</v>
      </c>
    </row>
    <row r="42" spans="1:19" s="643" customFormat="1" x14ac:dyDescent="0.25">
      <c r="A42" s="220">
        <f>VLOOKUP(D42,Bonds!D:I,6,0)</f>
        <v>400000</v>
      </c>
      <c r="B42" s="960" t="s">
        <v>1</v>
      </c>
      <c r="C42" s="960" t="s">
        <v>956</v>
      </c>
      <c r="D42" s="960" t="s">
        <v>151</v>
      </c>
      <c r="E42" s="961">
        <v>400000</v>
      </c>
      <c r="F42" s="960" t="s">
        <v>18</v>
      </c>
      <c r="G42" s="960" t="s">
        <v>18</v>
      </c>
      <c r="H42" s="960" t="s">
        <v>957</v>
      </c>
      <c r="I42" s="962">
        <v>5.1998646923378321E-2</v>
      </c>
      <c r="J42" s="962">
        <v>0.88815</v>
      </c>
      <c r="K42" s="960" t="s">
        <v>459</v>
      </c>
      <c r="L42" s="962">
        <v>0.96349999999999991</v>
      </c>
      <c r="M42" s="960" t="s">
        <v>459</v>
      </c>
      <c r="N42" s="961">
        <v>395406.67</v>
      </c>
      <c r="O42" s="961">
        <v>10006.67</v>
      </c>
      <c r="P42" s="962">
        <v>8.4839272645386488E-2</v>
      </c>
      <c r="Q42" s="961">
        <v>30140</v>
      </c>
      <c r="R42" s="961">
        <v>395406.67</v>
      </c>
      <c r="S42" s="962">
        <v>9.4887067508091383E-3</v>
      </c>
    </row>
    <row r="43" spans="1:19" x14ac:dyDescent="0.25">
      <c r="A43" s="220">
        <f>VLOOKUP(D43,Bonds!D:I,6,0)</f>
        <v>1100000</v>
      </c>
      <c r="B43" s="960" t="s">
        <v>1</v>
      </c>
      <c r="C43" s="960" t="s">
        <v>95</v>
      </c>
      <c r="D43" s="960" t="s">
        <v>96</v>
      </c>
      <c r="E43" s="961">
        <v>1100000</v>
      </c>
      <c r="F43" s="960" t="s">
        <v>18</v>
      </c>
      <c r="G43" s="960" t="s">
        <v>18</v>
      </c>
      <c r="H43" s="960" t="s">
        <v>522</v>
      </c>
      <c r="I43" s="962">
        <v>3.6693190795162839E-2</v>
      </c>
      <c r="J43" s="962">
        <v>0.74845068181818175</v>
      </c>
      <c r="K43" s="960" t="s">
        <v>459</v>
      </c>
      <c r="L43" s="962">
        <v>0.81849999999999989</v>
      </c>
      <c r="M43" s="960" t="s">
        <v>459</v>
      </c>
      <c r="N43" s="961">
        <v>926528.47</v>
      </c>
      <c r="O43" s="961">
        <v>26178.47</v>
      </c>
      <c r="P43" s="962">
        <v>9.3592430180770403E-2</v>
      </c>
      <c r="Q43" s="961">
        <v>77054.25</v>
      </c>
      <c r="R43" s="961">
        <v>926528.47</v>
      </c>
      <c r="S43" s="962">
        <v>2.2234215088242849E-2</v>
      </c>
    </row>
    <row r="44" spans="1:19" x14ac:dyDescent="0.25">
      <c r="A44" s="220">
        <f>VLOOKUP(D44,Bonds!D:I,6,0)</f>
        <v>1000000</v>
      </c>
      <c r="B44" s="960" t="s">
        <v>1</v>
      </c>
      <c r="C44" s="960" t="s">
        <v>474</v>
      </c>
      <c r="D44" s="960" t="s">
        <v>476</v>
      </c>
      <c r="E44" s="961">
        <v>1000000</v>
      </c>
      <c r="F44" s="960" t="s">
        <v>21</v>
      </c>
      <c r="G44" s="960" t="s">
        <v>21</v>
      </c>
      <c r="H44" s="960" t="s">
        <v>257</v>
      </c>
      <c r="I44" s="960" t="s">
        <v>257</v>
      </c>
      <c r="J44" s="962">
        <v>0.92044999999999999</v>
      </c>
      <c r="K44" s="963">
        <v>1.1181000000000001</v>
      </c>
      <c r="L44" s="962">
        <v>1.0425499999999999</v>
      </c>
      <c r="M44" s="963">
        <v>1.1762999999999999</v>
      </c>
      <c r="N44" s="961">
        <v>1052178.47</v>
      </c>
      <c r="O44" s="961">
        <v>9628.4699999999993</v>
      </c>
      <c r="P44" s="962">
        <v>0.19161327557367794</v>
      </c>
      <c r="Q44" s="961">
        <v>197191.23</v>
      </c>
      <c r="R44" s="961">
        <v>1237627.22</v>
      </c>
      <c r="S44" s="962">
        <v>2.9699756348063492E-2</v>
      </c>
    </row>
    <row r="45" spans="1:19" s="312" customFormat="1" x14ac:dyDescent="0.25">
      <c r="A45" s="220">
        <f>VLOOKUP(D45,Bonds!D:I,6,0)</f>
        <v>800000</v>
      </c>
      <c r="B45" s="960" t="s">
        <v>1</v>
      </c>
      <c r="C45" s="960" t="s">
        <v>2416</v>
      </c>
      <c r="D45" s="960" t="s">
        <v>2417</v>
      </c>
      <c r="E45" s="961">
        <v>800000</v>
      </c>
      <c r="F45" s="960" t="s">
        <v>18</v>
      </c>
      <c r="G45" s="960" t="s">
        <v>18</v>
      </c>
      <c r="H45" s="960" t="s">
        <v>2418</v>
      </c>
      <c r="I45" s="962">
        <v>3.6270695090307219E-2</v>
      </c>
      <c r="J45" s="962">
        <v>0.7612175000000001</v>
      </c>
      <c r="K45" s="960" t="s">
        <v>459</v>
      </c>
      <c r="L45" s="962">
        <v>0.76870000000000005</v>
      </c>
      <c r="M45" s="960" t="s">
        <v>459</v>
      </c>
      <c r="N45" s="961">
        <v>625665.56000000006</v>
      </c>
      <c r="O45" s="961">
        <v>10705.56</v>
      </c>
      <c r="P45" s="962">
        <v>9.8296478995819198E-3</v>
      </c>
      <c r="Q45" s="961">
        <v>5986</v>
      </c>
      <c r="R45" s="961">
        <v>625665.56000000006</v>
      </c>
      <c r="S45" s="962">
        <v>1.5014306721029215E-2</v>
      </c>
    </row>
    <row r="46" spans="1:19" x14ac:dyDescent="0.25">
      <c r="A46" s="220">
        <f>VLOOKUP(D46,Bonds!D:I,6,0)</f>
        <v>600000</v>
      </c>
      <c r="B46" s="960" t="s">
        <v>1</v>
      </c>
      <c r="C46" s="960" t="s">
        <v>139</v>
      </c>
      <c r="D46" s="960" t="s">
        <v>140</v>
      </c>
      <c r="E46" s="961">
        <v>600000</v>
      </c>
      <c r="F46" s="960" t="s">
        <v>18</v>
      </c>
      <c r="G46" s="960" t="s">
        <v>18</v>
      </c>
      <c r="H46" s="960" t="s">
        <v>523</v>
      </c>
      <c r="I46" s="962">
        <v>5.1904882853061843E-2</v>
      </c>
      <c r="J46" s="962">
        <v>0.87239448333333325</v>
      </c>
      <c r="K46" s="960" t="s">
        <v>459</v>
      </c>
      <c r="L46" s="962">
        <v>0.98620000000000008</v>
      </c>
      <c r="M46" s="960" t="s">
        <v>459</v>
      </c>
      <c r="N46" s="961">
        <v>605504.17000000004</v>
      </c>
      <c r="O46" s="961">
        <v>13784.17</v>
      </c>
      <c r="P46" s="962">
        <v>0.13045189858586337</v>
      </c>
      <c r="Q46" s="961">
        <v>68283.31</v>
      </c>
      <c r="R46" s="961">
        <v>605504.17000000004</v>
      </c>
      <c r="S46" s="962">
        <v>1.4530487069229471E-2</v>
      </c>
    </row>
    <row r="47" spans="1:19" s="643" customFormat="1" x14ac:dyDescent="0.25">
      <c r="A47" s="220">
        <f>VLOOKUP(D47,Bonds!D:I,6,0)</f>
        <v>1000000</v>
      </c>
      <c r="B47" s="960" t="s">
        <v>1</v>
      </c>
      <c r="C47" s="960" t="s">
        <v>180</v>
      </c>
      <c r="D47" s="960" t="s">
        <v>181</v>
      </c>
      <c r="E47" s="961">
        <v>1000000</v>
      </c>
      <c r="F47" s="960" t="s">
        <v>18</v>
      </c>
      <c r="G47" s="960" t="s">
        <v>18</v>
      </c>
      <c r="H47" s="960" t="s">
        <v>524</v>
      </c>
      <c r="I47" s="962">
        <v>3.5870850076057122E-2</v>
      </c>
      <c r="J47" s="962">
        <v>0.92879999999999996</v>
      </c>
      <c r="K47" s="960" t="s">
        <v>459</v>
      </c>
      <c r="L47" s="962">
        <v>1.00485</v>
      </c>
      <c r="M47" s="960" t="s">
        <v>459</v>
      </c>
      <c r="N47" s="961">
        <v>1011016.67</v>
      </c>
      <c r="O47" s="961">
        <v>6166.67</v>
      </c>
      <c r="P47" s="962">
        <v>8.1879844961240303E-2</v>
      </c>
      <c r="Q47" s="961">
        <v>76050</v>
      </c>
      <c r="R47" s="961">
        <v>1011016.67</v>
      </c>
      <c r="S47" s="962">
        <v>2.4261706818981016E-2</v>
      </c>
    </row>
    <row r="48" spans="1:19" x14ac:dyDescent="0.25">
      <c r="A48" s="220">
        <f>VLOOKUP(D48,Bonds!D:I,6,0)</f>
        <v>400000</v>
      </c>
      <c r="B48" s="960" t="s">
        <v>1</v>
      </c>
      <c r="C48" s="960" t="s">
        <v>146</v>
      </c>
      <c r="D48" s="960" t="s">
        <v>147</v>
      </c>
      <c r="E48" s="961">
        <v>400000</v>
      </c>
      <c r="F48" s="960" t="s">
        <v>18</v>
      </c>
      <c r="G48" s="960" t="s">
        <v>18</v>
      </c>
      <c r="H48" s="960" t="s">
        <v>525</v>
      </c>
      <c r="I48" s="962">
        <v>5.1941872182942862E-2</v>
      </c>
      <c r="J48" s="962">
        <v>0.87398489999999995</v>
      </c>
      <c r="K48" s="960" t="s">
        <v>459</v>
      </c>
      <c r="L48" s="962">
        <v>1.0165999999999999</v>
      </c>
      <c r="M48" s="960" t="s">
        <v>459</v>
      </c>
      <c r="N48" s="961">
        <v>415320</v>
      </c>
      <c r="O48" s="961">
        <v>8680</v>
      </c>
      <c r="P48" s="962">
        <v>0.16317799083256471</v>
      </c>
      <c r="Q48" s="961">
        <v>57046.04</v>
      </c>
      <c r="R48" s="961">
        <v>415320</v>
      </c>
      <c r="S48" s="962">
        <v>9.9665736234192791E-3</v>
      </c>
    </row>
    <row r="49" spans="1:19" x14ac:dyDescent="0.25">
      <c r="A49" s="220">
        <f>VLOOKUP(D49,Bonds!D:I,6,0)</f>
        <v>800000</v>
      </c>
      <c r="B49" s="960" t="s">
        <v>1</v>
      </c>
      <c r="C49" s="960" t="s">
        <v>91</v>
      </c>
      <c r="D49" s="960" t="s">
        <v>92</v>
      </c>
      <c r="E49" s="961">
        <v>800000</v>
      </c>
      <c r="F49" s="960" t="s">
        <v>18</v>
      </c>
      <c r="G49" s="960" t="s">
        <v>18</v>
      </c>
      <c r="H49" s="960" t="s">
        <v>526</v>
      </c>
      <c r="I49" s="962">
        <v>6.6162791948703087E-2</v>
      </c>
      <c r="J49" s="962">
        <v>0.88490182500000003</v>
      </c>
      <c r="K49" s="960" t="s">
        <v>459</v>
      </c>
      <c r="L49" s="962">
        <v>0.94349999999999989</v>
      </c>
      <c r="M49" s="960" t="s">
        <v>459</v>
      </c>
      <c r="N49" s="961">
        <v>755496</v>
      </c>
      <c r="O49" s="961">
        <v>696</v>
      </c>
      <c r="P49" s="962">
        <v>6.6219973046162492E-2</v>
      </c>
      <c r="Q49" s="961">
        <v>46878.54</v>
      </c>
      <c r="R49" s="961">
        <v>755496</v>
      </c>
      <c r="S49" s="962">
        <v>1.812989142395929E-2</v>
      </c>
    </row>
    <row r="50" spans="1:19" x14ac:dyDescent="0.25">
      <c r="A50" s="220">
        <f>VLOOKUP(D50,Bonds!D:I,6,0)</f>
        <v>600000</v>
      </c>
      <c r="B50" s="960" t="s">
        <v>1</v>
      </c>
      <c r="C50" s="960" t="s">
        <v>131</v>
      </c>
      <c r="D50" s="960" t="s">
        <v>132</v>
      </c>
      <c r="E50" s="961">
        <v>600000</v>
      </c>
      <c r="F50" s="960" t="s">
        <v>18</v>
      </c>
      <c r="G50" s="960" t="s">
        <v>18</v>
      </c>
      <c r="H50" s="960" t="s">
        <v>527</v>
      </c>
      <c r="I50" s="962">
        <v>5.8910454006743905E-2</v>
      </c>
      <c r="J50" s="962">
        <v>0.97856955000000001</v>
      </c>
      <c r="K50" s="960" t="s">
        <v>459</v>
      </c>
      <c r="L50" s="962">
        <v>1.0430999999999999</v>
      </c>
      <c r="M50" s="960" t="s">
        <v>459</v>
      </c>
      <c r="N50" s="961">
        <v>642870</v>
      </c>
      <c r="O50" s="961">
        <v>17010</v>
      </c>
      <c r="P50" s="962">
        <v>6.594365214000375E-2</v>
      </c>
      <c r="Q50" s="961">
        <v>38718.269999999997</v>
      </c>
      <c r="R50" s="961">
        <v>642870</v>
      </c>
      <c r="S50" s="962">
        <v>1.5427167449888167E-2</v>
      </c>
    </row>
    <row r="51" spans="1:19" x14ac:dyDescent="0.25">
      <c r="A51" s="220">
        <f>VLOOKUP(D51,Bonds!D:I,6,0)</f>
        <v>2000000</v>
      </c>
      <c r="B51" s="960" t="s">
        <v>1</v>
      </c>
      <c r="C51" s="960" t="s">
        <v>958</v>
      </c>
      <c r="D51" s="960" t="s">
        <v>145</v>
      </c>
      <c r="E51" s="961">
        <v>2000000</v>
      </c>
      <c r="F51" s="960" t="s">
        <v>21</v>
      </c>
      <c r="G51" s="960" t="s">
        <v>21</v>
      </c>
      <c r="H51" s="960" t="s">
        <v>257</v>
      </c>
      <c r="I51" s="960" t="s">
        <v>257</v>
      </c>
      <c r="J51" s="962">
        <v>1.0125433150000001</v>
      </c>
      <c r="K51" s="963">
        <v>1.0934999999999999</v>
      </c>
      <c r="L51" s="962">
        <v>1.08745</v>
      </c>
      <c r="M51" s="963">
        <v>1.1762999999999999</v>
      </c>
      <c r="N51" s="961">
        <v>2228083.7000000002</v>
      </c>
      <c r="O51" s="961">
        <v>53183.7</v>
      </c>
      <c r="P51" s="962">
        <v>0.15529296603926296</v>
      </c>
      <c r="Q51" s="961">
        <v>343874.04</v>
      </c>
      <c r="R51" s="961">
        <v>2620788.31</v>
      </c>
      <c r="S51" s="962">
        <v>6.2891937886476915E-2</v>
      </c>
    </row>
    <row r="52" spans="1:19" x14ac:dyDescent="0.25">
      <c r="A52" s="220">
        <f>VLOOKUP(D52,Bonds!D:I,6,0)</f>
        <v>1000000</v>
      </c>
      <c r="B52" s="960" t="s">
        <v>1</v>
      </c>
      <c r="C52" s="960" t="s">
        <v>2254</v>
      </c>
      <c r="D52" s="960" t="s">
        <v>112</v>
      </c>
      <c r="E52" s="961">
        <v>1000000</v>
      </c>
      <c r="F52" s="960" t="s">
        <v>18</v>
      </c>
      <c r="G52" s="960" t="s">
        <v>18</v>
      </c>
      <c r="H52" s="960" t="s">
        <v>528</v>
      </c>
      <c r="I52" s="962">
        <v>5.1448264361670458E-2</v>
      </c>
      <c r="J52" s="962">
        <v>0.94378181999999999</v>
      </c>
      <c r="K52" s="960" t="s">
        <v>459</v>
      </c>
      <c r="L52" s="962">
        <v>1.0476999999999999</v>
      </c>
      <c r="M52" s="960" t="s">
        <v>459</v>
      </c>
      <c r="N52" s="961">
        <v>1061866.67</v>
      </c>
      <c r="O52" s="961">
        <v>14166.67</v>
      </c>
      <c r="P52" s="962">
        <v>0.11010826633638693</v>
      </c>
      <c r="Q52" s="961">
        <v>103918.18</v>
      </c>
      <c r="R52" s="961">
        <v>1061866.67</v>
      </c>
      <c r="S52" s="962">
        <v>2.5481971358976362E-2</v>
      </c>
    </row>
    <row r="53" spans="1:19" s="643" customFormat="1" x14ac:dyDescent="0.25">
      <c r="A53" s="220">
        <f>VLOOKUP(D53,Bonds!D:I,6,0)</f>
        <v>1500000</v>
      </c>
      <c r="B53" s="960" t="s">
        <v>1</v>
      </c>
      <c r="C53" s="960" t="s">
        <v>58</v>
      </c>
      <c r="D53" s="960" t="s">
        <v>59</v>
      </c>
      <c r="E53" s="961">
        <v>1500000</v>
      </c>
      <c r="F53" s="960" t="s">
        <v>18</v>
      </c>
      <c r="G53" s="960" t="s">
        <v>18</v>
      </c>
      <c r="H53" s="960" t="s">
        <v>529</v>
      </c>
      <c r="I53" s="962">
        <v>6.1490296919733095E-2</v>
      </c>
      <c r="J53" s="962">
        <v>0.91075514666666668</v>
      </c>
      <c r="K53" s="960" t="s">
        <v>459</v>
      </c>
      <c r="L53" s="962">
        <v>1.0156000000000001</v>
      </c>
      <c r="M53" s="960" t="s">
        <v>459</v>
      </c>
      <c r="N53" s="961">
        <v>1554212.5</v>
      </c>
      <c r="O53" s="961">
        <v>30812.5</v>
      </c>
      <c r="P53" s="962">
        <v>0.11511859550512779</v>
      </c>
      <c r="Q53" s="961">
        <v>157267.28</v>
      </c>
      <c r="R53" s="961">
        <v>1554212.5</v>
      </c>
      <c r="S53" s="962">
        <v>3.7296959712242457E-2</v>
      </c>
    </row>
    <row r="54" spans="1:19" x14ac:dyDescent="0.25">
      <c r="A54" s="220">
        <f>VLOOKUP(D54,Bonds!D:I,6,0)</f>
        <v>400000</v>
      </c>
      <c r="B54" s="960" t="s">
        <v>1</v>
      </c>
      <c r="C54" s="960" t="s">
        <v>1090</v>
      </c>
      <c r="D54" s="960" t="s">
        <v>110</v>
      </c>
      <c r="E54" s="961">
        <v>400000</v>
      </c>
      <c r="F54" s="960" t="s">
        <v>18</v>
      </c>
      <c r="G54" s="960" t="s">
        <v>18</v>
      </c>
      <c r="H54" s="960" t="s">
        <v>530</v>
      </c>
      <c r="I54" s="962">
        <v>3.5842034706646729E-2</v>
      </c>
      <c r="J54" s="962">
        <v>0.97924777500000004</v>
      </c>
      <c r="K54" s="960" t="s">
        <v>459</v>
      </c>
      <c r="L54" s="962">
        <v>1.03305</v>
      </c>
      <c r="M54" s="960" t="s">
        <v>459</v>
      </c>
      <c r="N54" s="961">
        <v>416036.67</v>
      </c>
      <c r="O54" s="961">
        <v>2816.67</v>
      </c>
      <c r="P54" s="962">
        <v>5.4942402090216641E-2</v>
      </c>
      <c r="Q54" s="961">
        <v>21520.89</v>
      </c>
      <c r="R54" s="961">
        <v>416036.67</v>
      </c>
      <c r="S54" s="962">
        <v>9.9837717942723465E-3</v>
      </c>
    </row>
    <row r="55" spans="1:19" x14ac:dyDescent="0.25">
      <c r="A55" s="220">
        <f>VLOOKUP(D55,Bonds!D:I,6,0)</f>
        <v>800000</v>
      </c>
      <c r="B55" s="960" t="s">
        <v>1</v>
      </c>
      <c r="C55" s="960" t="s">
        <v>2334</v>
      </c>
      <c r="D55" s="960" t="s">
        <v>138</v>
      </c>
      <c r="E55" s="961">
        <v>800000</v>
      </c>
      <c r="F55" s="960" t="s">
        <v>21</v>
      </c>
      <c r="G55" s="960" t="s">
        <v>21</v>
      </c>
      <c r="H55" s="960" t="s">
        <v>257</v>
      </c>
      <c r="I55" s="960" t="s">
        <v>257</v>
      </c>
      <c r="J55" s="962">
        <v>1.010676275</v>
      </c>
      <c r="K55" s="963">
        <v>1.0834999999999999</v>
      </c>
      <c r="L55" s="962">
        <v>1.0625</v>
      </c>
      <c r="M55" s="963">
        <v>1.1762999999999999</v>
      </c>
      <c r="N55" s="961">
        <v>855027.62</v>
      </c>
      <c r="O55" s="961">
        <v>5027.62</v>
      </c>
      <c r="P55" s="962">
        <v>0.14131959285543277</v>
      </c>
      <c r="Q55" s="961">
        <v>123798.24</v>
      </c>
      <c r="R55" s="961">
        <v>1005728.1</v>
      </c>
      <c r="S55" s="962">
        <v>2.4134795227274363E-2</v>
      </c>
    </row>
    <row r="56" spans="1:19" x14ac:dyDescent="0.25">
      <c r="A56" s="220">
        <f>VLOOKUP(D56,Bonds!D:I,6,0)</f>
        <v>1000000</v>
      </c>
      <c r="B56" s="960" t="s">
        <v>1</v>
      </c>
      <c r="C56" s="960" t="s">
        <v>154</v>
      </c>
      <c r="D56" s="960" t="s">
        <v>155</v>
      </c>
      <c r="E56" s="961">
        <v>1000000</v>
      </c>
      <c r="F56" s="960" t="s">
        <v>21</v>
      </c>
      <c r="G56" s="960" t="s">
        <v>21</v>
      </c>
      <c r="H56" s="960" t="s">
        <v>257</v>
      </c>
      <c r="I56" s="960" t="s">
        <v>257</v>
      </c>
      <c r="J56" s="962">
        <v>1.04915516</v>
      </c>
      <c r="K56" s="963">
        <v>1.0704</v>
      </c>
      <c r="L56" s="962">
        <v>1.1573</v>
      </c>
      <c r="M56" s="963">
        <v>1.1762999999999999</v>
      </c>
      <c r="N56" s="961">
        <v>1166508.33</v>
      </c>
      <c r="O56" s="961">
        <v>9208.33</v>
      </c>
      <c r="P56" s="962">
        <v>0.21214959455914745</v>
      </c>
      <c r="Q56" s="961">
        <v>238249.71</v>
      </c>
      <c r="R56" s="961">
        <v>1372107.97</v>
      </c>
      <c r="S56" s="962">
        <v>3.2926936102969692E-2</v>
      </c>
    </row>
    <row r="57" spans="1:19" x14ac:dyDescent="0.25">
      <c r="A57" s="220">
        <f>VLOOKUP(D57,Bonds!D:I,6,0)</f>
        <v>400000</v>
      </c>
      <c r="B57" s="960" t="s">
        <v>1</v>
      </c>
      <c r="C57" s="960" t="s">
        <v>2480</v>
      </c>
      <c r="D57" s="960" t="s">
        <v>2481</v>
      </c>
      <c r="E57" s="961">
        <v>200000</v>
      </c>
      <c r="F57" s="960" t="s">
        <v>18</v>
      </c>
      <c r="G57" s="960" t="s">
        <v>18</v>
      </c>
      <c r="H57" s="960" t="s">
        <v>2482</v>
      </c>
      <c r="I57" s="962">
        <v>6.4516917518188249E-2</v>
      </c>
      <c r="J57" s="962">
        <v>1.00078</v>
      </c>
      <c r="K57" s="960" t="s">
        <v>459</v>
      </c>
      <c r="L57" s="962">
        <v>0.99919999999999998</v>
      </c>
      <c r="M57" s="960" t="s">
        <v>459</v>
      </c>
      <c r="N57" s="961">
        <v>200422.22</v>
      </c>
      <c r="O57" s="961">
        <v>582.22</v>
      </c>
      <c r="P57" s="962">
        <v>-1.5787685605227922E-3</v>
      </c>
      <c r="Q57" s="961">
        <v>-316</v>
      </c>
      <c r="R57" s="961">
        <v>200422.22</v>
      </c>
      <c r="S57" s="962">
        <v>4.809599372529943E-3</v>
      </c>
    </row>
    <row r="58" spans="1:19" x14ac:dyDescent="0.25">
      <c r="A58" s="220">
        <f>VLOOKUP(D58,Bonds!D:I,6,0)</f>
        <v>3000000</v>
      </c>
      <c r="B58" s="960" t="s">
        <v>1</v>
      </c>
      <c r="C58" s="960" t="s">
        <v>74</v>
      </c>
      <c r="D58" s="960" t="s">
        <v>75</v>
      </c>
      <c r="E58" s="961">
        <v>3000000</v>
      </c>
      <c r="F58" s="960" t="s">
        <v>18</v>
      </c>
      <c r="G58" s="960" t="s">
        <v>18</v>
      </c>
      <c r="H58" s="960" t="s">
        <v>531</v>
      </c>
      <c r="I58" s="962">
        <v>7.2115692866872874E-2</v>
      </c>
      <c r="J58" s="962">
        <v>0.8873781633333333</v>
      </c>
      <c r="K58" s="960" t="s">
        <v>459</v>
      </c>
      <c r="L58" s="962">
        <v>0.92704999999999993</v>
      </c>
      <c r="M58" s="960" t="s">
        <v>459</v>
      </c>
      <c r="N58" s="961">
        <v>2782806.25</v>
      </c>
      <c r="O58" s="961">
        <v>1656.25</v>
      </c>
      <c r="P58" s="962">
        <v>4.4706798415732933E-2</v>
      </c>
      <c r="Q58" s="961">
        <v>119015.51</v>
      </c>
      <c r="R58" s="961">
        <v>2782806.25</v>
      </c>
      <c r="S58" s="962">
        <v>6.6779936844689206E-2</v>
      </c>
    </row>
    <row r="59" spans="1:19" x14ac:dyDescent="0.25">
      <c r="A59" s="220">
        <f>VLOOKUP(D59,Bonds!D:I,6,0)</f>
        <v>1000000</v>
      </c>
      <c r="B59" s="960" t="s">
        <v>1</v>
      </c>
      <c r="C59" s="960" t="s">
        <v>171</v>
      </c>
      <c r="D59" s="960" t="s">
        <v>172</v>
      </c>
      <c r="E59" s="961">
        <v>600000</v>
      </c>
      <c r="F59" s="960" t="s">
        <v>18</v>
      </c>
      <c r="G59" s="960" t="s">
        <v>18</v>
      </c>
      <c r="H59" s="960" t="s">
        <v>257</v>
      </c>
      <c r="I59" s="960" t="s">
        <v>257</v>
      </c>
      <c r="J59" s="962">
        <v>0.97556666666666669</v>
      </c>
      <c r="K59" s="960" t="s">
        <v>459</v>
      </c>
      <c r="L59" s="962">
        <v>1.03145</v>
      </c>
      <c r="M59" s="960" t="s">
        <v>459</v>
      </c>
      <c r="N59" s="961">
        <v>625235</v>
      </c>
      <c r="O59" s="961">
        <v>6365</v>
      </c>
      <c r="P59" s="962">
        <v>5.7282946663477635E-2</v>
      </c>
      <c r="Q59" s="961">
        <v>33530</v>
      </c>
      <c r="R59" s="961">
        <v>625235</v>
      </c>
      <c r="S59" s="962">
        <v>1.5003974428003837E-2</v>
      </c>
    </row>
    <row r="60" spans="1:19" x14ac:dyDescent="0.25">
      <c r="A60" s="220">
        <f>VLOOKUP(D60,Bonds!D:I,6,0)</f>
        <v>700000</v>
      </c>
      <c r="B60" s="960" t="s">
        <v>1</v>
      </c>
      <c r="C60" s="960" t="s">
        <v>160</v>
      </c>
      <c r="D60" s="960" t="s">
        <v>161</v>
      </c>
      <c r="E60" s="961">
        <v>700000</v>
      </c>
      <c r="F60" s="960" t="s">
        <v>21</v>
      </c>
      <c r="G60" s="960" t="s">
        <v>21</v>
      </c>
      <c r="H60" s="960" t="s">
        <v>257</v>
      </c>
      <c r="I60" s="960" t="s">
        <v>257</v>
      </c>
      <c r="J60" s="962">
        <v>1.0045219428571428</v>
      </c>
      <c r="K60" s="963">
        <v>1.0961000000000001</v>
      </c>
      <c r="L60" s="962">
        <v>1.0824</v>
      </c>
      <c r="M60" s="963">
        <v>1.1762999999999999</v>
      </c>
      <c r="N60" s="961">
        <v>762117.85</v>
      </c>
      <c r="O60" s="961">
        <v>4437.8500000000004</v>
      </c>
      <c r="P60" s="962">
        <v>0.15632807480442051</v>
      </c>
      <c r="Q60" s="961">
        <v>120487.55</v>
      </c>
      <c r="R60" s="961">
        <v>896442.78</v>
      </c>
      <c r="S60" s="962">
        <v>2.1512238673920478E-2</v>
      </c>
    </row>
    <row r="61" spans="1:19" s="643" customFormat="1" x14ac:dyDescent="0.25">
      <c r="A61" s="220">
        <f>VLOOKUP(D61,Bonds!D:I,6,0)</f>
        <v>600000</v>
      </c>
      <c r="B61" s="960" t="s">
        <v>1</v>
      </c>
      <c r="C61" s="960" t="s">
        <v>2255</v>
      </c>
      <c r="D61" s="960" t="s">
        <v>63</v>
      </c>
      <c r="E61" s="961">
        <v>600000</v>
      </c>
      <c r="F61" s="960" t="s">
        <v>18</v>
      </c>
      <c r="G61" s="960" t="s">
        <v>18</v>
      </c>
      <c r="H61" s="960" t="s">
        <v>532</v>
      </c>
      <c r="I61" s="962">
        <v>3.3183456810142682E-2</v>
      </c>
      <c r="J61" s="962">
        <v>0.89702529999999991</v>
      </c>
      <c r="K61" s="960" t="s">
        <v>459</v>
      </c>
      <c r="L61" s="962">
        <v>1.0368999999999999</v>
      </c>
      <c r="M61" s="960" t="s">
        <v>459</v>
      </c>
      <c r="N61" s="961">
        <v>627765</v>
      </c>
      <c r="O61" s="961">
        <v>5625</v>
      </c>
      <c r="P61" s="962">
        <v>0.1559317223271183</v>
      </c>
      <c r="Q61" s="961">
        <v>83924.82</v>
      </c>
      <c r="R61" s="961">
        <v>627765</v>
      </c>
      <c r="S61" s="962">
        <v>1.5064687688302525E-2</v>
      </c>
    </row>
    <row r="62" spans="1:19" x14ac:dyDescent="0.25">
      <c r="A62" s="220">
        <f>VLOOKUP(D62,Bonds!D:I,6,0)</f>
        <v>2000000</v>
      </c>
      <c r="B62" s="960" t="s">
        <v>1</v>
      </c>
      <c r="C62" s="960" t="s">
        <v>88</v>
      </c>
      <c r="D62" s="960" t="s">
        <v>89</v>
      </c>
      <c r="E62" s="961">
        <v>2000000</v>
      </c>
      <c r="F62" s="960" t="s">
        <v>18</v>
      </c>
      <c r="G62" s="960" t="s">
        <v>18</v>
      </c>
      <c r="H62" s="960" t="s">
        <v>533</v>
      </c>
      <c r="I62" s="962">
        <v>7.0257060904373628E-2</v>
      </c>
      <c r="J62" s="962">
        <v>0.93496790500000004</v>
      </c>
      <c r="K62" s="960" t="s">
        <v>459</v>
      </c>
      <c r="L62" s="962">
        <v>0.95790000000000008</v>
      </c>
      <c r="M62" s="960" t="s">
        <v>459</v>
      </c>
      <c r="N62" s="961">
        <v>1944341.67</v>
      </c>
      <c r="O62" s="961">
        <v>28541.67</v>
      </c>
      <c r="P62" s="962">
        <v>2.4527146736657235E-2</v>
      </c>
      <c r="Q62" s="961">
        <v>45864.19</v>
      </c>
      <c r="R62" s="961">
        <v>1944341.67</v>
      </c>
      <c r="S62" s="962">
        <v>4.6659020521855422E-2</v>
      </c>
    </row>
    <row r="63" spans="1:19" x14ac:dyDescent="0.25">
      <c r="A63" s="220">
        <f>VLOOKUP(D63,Bonds!D:I,6,0)</f>
        <v>800000</v>
      </c>
      <c r="B63" s="960" t="s">
        <v>1</v>
      </c>
      <c r="C63" s="960" t="s">
        <v>80</v>
      </c>
      <c r="D63" s="960" t="s">
        <v>81</v>
      </c>
      <c r="E63" s="961">
        <v>800000</v>
      </c>
      <c r="F63" s="960" t="s">
        <v>18</v>
      </c>
      <c r="G63" s="960" t="s">
        <v>18</v>
      </c>
      <c r="H63" s="960" t="s">
        <v>534</v>
      </c>
      <c r="I63" s="962">
        <v>5.1941105298595899E-2</v>
      </c>
      <c r="J63" s="962">
        <v>0.93589574999999992</v>
      </c>
      <c r="K63" s="960" t="s">
        <v>459</v>
      </c>
      <c r="L63" s="962">
        <v>1.0771500000000001</v>
      </c>
      <c r="M63" s="960" t="s">
        <v>459</v>
      </c>
      <c r="N63" s="961">
        <v>883345.02</v>
      </c>
      <c r="O63" s="961">
        <v>21625.02</v>
      </c>
      <c r="P63" s="962">
        <v>0.1509294705099366</v>
      </c>
      <c r="Q63" s="961">
        <v>113003.4</v>
      </c>
      <c r="R63" s="961">
        <v>883345.02</v>
      </c>
      <c r="S63" s="962">
        <v>2.1197927325220977E-2</v>
      </c>
    </row>
    <row r="64" spans="1:19" x14ac:dyDescent="0.25">
      <c r="A64" s="220">
        <f>VLOOKUP(D64,Bonds!D:I,6,0)</f>
        <v>1200000</v>
      </c>
      <c r="B64" s="960" t="s">
        <v>1</v>
      </c>
      <c r="C64" s="960" t="s">
        <v>97</v>
      </c>
      <c r="D64" s="960" t="s">
        <v>98</v>
      </c>
      <c r="E64" s="961">
        <v>600000</v>
      </c>
      <c r="F64" s="960" t="s">
        <v>18</v>
      </c>
      <c r="G64" s="960" t="s">
        <v>18</v>
      </c>
      <c r="H64" s="960" t="s">
        <v>535</v>
      </c>
      <c r="I64" s="962">
        <v>6.243632495570773E-2</v>
      </c>
      <c r="J64" s="962">
        <v>0.9385578</v>
      </c>
      <c r="K64" s="960" t="s">
        <v>459</v>
      </c>
      <c r="L64" s="962">
        <v>1.0569</v>
      </c>
      <c r="M64" s="960" t="s">
        <v>459</v>
      </c>
      <c r="N64" s="961">
        <v>647317.07999999996</v>
      </c>
      <c r="O64" s="961">
        <v>13177.08</v>
      </c>
      <c r="P64" s="962">
        <v>0.12608941079601066</v>
      </c>
      <c r="Q64" s="961">
        <v>71005.320000000007</v>
      </c>
      <c r="R64" s="961">
        <v>647317.07999999996</v>
      </c>
      <c r="S64" s="962">
        <v>1.5533885523251438E-2</v>
      </c>
    </row>
    <row r="65" spans="1:19" x14ac:dyDescent="0.25">
      <c r="A65" s="220">
        <f>VLOOKUP(D65,Bonds!D:I,6,0)</f>
        <v>600000</v>
      </c>
      <c r="B65" s="960" t="s">
        <v>1</v>
      </c>
      <c r="C65" s="960" t="s">
        <v>152</v>
      </c>
      <c r="D65" s="960" t="s">
        <v>153</v>
      </c>
      <c r="E65" s="961">
        <v>600000</v>
      </c>
      <c r="F65" s="960" t="s">
        <v>18</v>
      </c>
      <c r="G65" s="960" t="s">
        <v>18</v>
      </c>
      <c r="H65" s="960" t="s">
        <v>536</v>
      </c>
      <c r="I65" s="962">
        <v>5.3616917760888144E-2</v>
      </c>
      <c r="J65" s="962">
        <v>1.0547799166666667</v>
      </c>
      <c r="K65" s="960" t="s">
        <v>459</v>
      </c>
      <c r="L65" s="962">
        <v>1.1379999999999999</v>
      </c>
      <c r="M65" s="960" t="s">
        <v>459</v>
      </c>
      <c r="N65" s="961">
        <v>694258.33</v>
      </c>
      <c r="O65" s="961">
        <v>11458.33</v>
      </c>
      <c r="P65" s="962">
        <v>7.88980544835617E-2</v>
      </c>
      <c r="Q65" s="961">
        <v>49932.05</v>
      </c>
      <c r="R65" s="961">
        <v>694258.33</v>
      </c>
      <c r="S65" s="962">
        <v>1.666035047581893E-2</v>
      </c>
    </row>
    <row r="66" spans="1:19" s="643" customFormat="1" x14ac:dyDescent="0.25">
      <c r="A66" s="220">
        <f>VLOOKUP(D66,Bonds!D:I,6,0)</f>
        <v>1000000</v>
      </c>
      <c r="B66" s="960" t="s">
        <v>1</v>
      </c>
      <c r="C66" s="960" t="s">
        <v>968</v>
      </c>
      <c r="D66" s="960" t="s">
        <v>477</v>
      </c>
      <c r="E66" s="961">
        <v>1000000</v>
      </c>
      <c r="F66" s="960" t="s">
        <v>18</v>
      </c>
      <c r="G66" s="960" t="s">
        <v>18</v>
      </c>
      <c r="H66" s="960" t="s">
        <v>257</v>
      </c>
      <c r="I66" s="960" t="s">
        <v>257</v>
      </c>
      <c r="J66" s="962">
        <v>0.93659999999999999</v>
      </c>
      <c r="K66" s="960" t="s">
        <v>459</v>
      </c>
      <c r="L66" s="962">
        <v>1.0464499999999999</v>
      </c>
      <c r="M66" s="960" t="s">
        <v>459</v>
      </c>
      <c r="N66" s="961">
        <v>1079848.6100000001</v>
      </c>
      <c r="O66" s="961">
        <v>33398.61</v>
      </c>
      <c r="P66" s="962">
        <v>0.11728592782404443</v>
      </c>
      <c r="Q66" s="961">
        <v>109850</v>
      </c>
      <c r="R66" s="961">
        <v>1079848.6100000001</v>
      </c>
      <c r="S66" s="962">
        <v>2.5913490016642525E-2</v>
      </c>
    </row>
    <row r="67" spans="1:19" x14ac:dyDescent="0.25">
      <c r="A67" s="220">
        <f>VLOOKUP(D67,Bonds!D:I,6,0)</f>
        <v>1400000</v>
      </c>
      <c r="B67" s="960" t="s">
        <v>1</v>
      </c>
      <c r="C67" s="960" t="s">
        <v>2335</v>
      </c>
      <c r="D67" s="960" t="s">
        <v>159</v>
      </c>
      <c r="E67" s="961">
        <v>1400000</v>
      </c>
      <c r="F67" s="960" t="s">
        <v>21</v>
      </c>
      <c r="G67" s="960" t="s">
        <v>21</v>
      </c>
      <c r="H67" s="960" t="s">
        <v>257</v>
      </c>
      <c r="I67" s="960" t="s">
        <v>257</v>
      </c>
      <c r="J67" s="962">
        <v>1.0181324857142857</v>
      </c>
      <c r="K67" s="965">
        <v>1.1160000000000001</v>
      </c>
      <c r="L67" s="962">
        <v>1.1017000000000001</v>
      </c>
      <c r="M67" s="963">
        <v>1.1762999999999999</v>
      </c>
      <c r="N67" s="961">
        <v>1576841.54</v>
      </c>
      <c r="O67" s="961">
        <v>34461.54</v>
      </c>
      <c r="P67" s="962">
        <v>0.14052842922771044</v>
      </c>
      <c r="Q67" s="961">
        <v>223537.25</v>
      </c>
      <c r="R67" s="961">
        <v>1854763.3</v>
      </c>
      <c r="S67" s="962">
        <v>4.450937827089016E-2</v>
      </c>
    </row>
    <row r="68" spans="1:19" x14ac:dyDescent="0.25">
      <c r="A68" s="220">
        <f>VLOOKUP(D68,Bonds!D:I,6,0)</f>
        <v>1000000</v>
      </c>
      <c r="B68" s="960" t="s">
        <v>1</v>
      </c>
      <c r="C68" s="960" t="s">
        <v>119</v>
      </c>
      <c r="D68" s="960" t="s">
        <v>120</v>
      </c>
      <c r="E68" s="961">
        <v>1000000</v>
      </c>
      <c r="F68" s="960" t="s">
        <v>18</v>
      </c>
      <c r="G68" s="960" t="s">
        <v>18</v>
      </c>
      <c r="H68" s="960" t="s">
        <v>537</v>
      </c>
      <c r="I68" s="962">
        <v>3.3777337017108444E-2</v>
      </c>
      <c r="J68" s="962">
        <v>1.0009999999999999</v>
      </c>
      <c r="K68" s="960" t="s">
        <v>459</v>
      </c>
      <c r="L68" s="962">
        <v>1.008</v>
      </c>
      <c r="M68" s="960" t="s">
        <v>459</v>
      </c>
      <c r="N68" s="961">
        <v>1016166.67</v>
      </c>
      <c r="O68" s="961">
        <v>8166.67</v>
      </c>
      <c r="P68" s="962">
        <v>6.993006993006993E-3</v>
      </c>
      <c r="Q68" s="961">
        <v>7000</v>
      </c>
      <c r="R68" s="961">
        <v>1016166.67</v>
      </c>
      <c r="S68" s="962">
        <v>2.4385293099826167E-2</v>
      </c>
    </row>
    <row r="69" spans="1:19" s="643" customFormat="1" x14ac:dyDescent="0.25">
      <c r="A69" s="220">
        <f>VLOOKUP(D69,Bonds!D:I,6,0)</f>
        <v>400000</v>
      </c>
      <c r="B69" s="960" t="s">
        <v>1</v>
      </c>
      <c r="C69" s="960" t="s">
        <v>2336</v>
      </c>
      <c r="D69" s="960" t="s">
        <v>2337</v>
      </c>
      <c r="E69" s="961">
        <v>400000</v>
      </c>
      <c r="F69" s="960" t="s">
        <v>18</v>
      </c>
      <c r="G69" s="960" t="s">
        <v>18</v>
      </c>
      <c r="H69" s="960" t="s">
        <v>257</v>
      </c>
      <c r="I69" s="960" t="s">
        <v>257</v>
      </c>
      <c r="J69" s="962">
        <v>1.0055035750000001</v>
      </c>
      <c r="K69" s="960" t="s">
        <v>459</v>
      </c>
      <c r="L69" s="962">
        <v>1.0226500000000001</v>
      </c>
      <c r="M69" s="960" t="s">
        <v>459</v>
      </c>
      <c r="N69" s="961">
        <v>412326.67</v>
      </c>
      <c r="O69" s="961">
        <v>3266.67</v>
      </c>
      <c r="P69" s="962">
        <v>1.7052574875231052E-2</v>
      </c>
      <c r="Q69" s="961">
        <v>6858.57</v>
      </c>
      <c r="R69" s="961">
        <v>412326.67</v>
      </c>
      <c r="S69" s="962">
        <v>9.8947416773916639E-3</v>
      </c>
    </row>
    <row r="70" spans="1:19" x14ac:dyDescent="0.25">
      <c r="A70" s="220">
        <f>VLOOKUP(D70,Bonds!D:I,6,0)</f>
        <v>200000</v>
      </c>
      <c r="B70" s="960" t="s">
        <v>1</v>
      </c>
      <c r="C70" s="960" t="s">
        <v>1048</v>
      </c>
      <c r="D70" s="960" t="s">
        <v>851</v>
      </c>
      <c r="E70" s="961">
        <v>200000</v>
      </c>
      <c r="F70" s="960" t="s">
        <v>18</v>
      </c>
      <c r="G70" s="960" t="s">
        <v>18</v>
      </c>
      <c r="H70" s="960" t="s">
        <v>257</v>
      </c>
      <c r="I70" s="960" t="s">
        <v>257</v>
      </c>
      <c r="J70" s="962">
        <v>1.0024999999999999</v>
      </c>
      <c r="K70" s="960" t="s">
        <v>459</v>
      </c>
      <c r="L70" s="962">
        <v>1.0504</v>
      </c>
      <c r="M70" s="960" t="s">
        <v>459</v>
      </c>
      <c r="N70" s="961">
        <v>213017.5</v>
      </c>
      <c r="O70" s="961">
        <v>2937.5</v>
      </c>
      <c r="P70" s="962">
        <v>4.7780548628428933E-2</v>
      </c>
      <c r="Q70" s="961">
        <v>9580</v>
      </c>
      <c r="R70" s="961">
        <v>213017.5</v>
      </c>
      <c r="S70" s="962">
        <v>5.1118525397927297E-3</v>
      </c>
    </row>
    <row r="71" spans="1:19" x14ac:dyDescent="0.25">
      <c r="A71" s="220">
        <f>VLOOKUP(D71,Bonds!D:I,6,0)</f>
        <v>600000</v>
      </c>
      <c r="B71" s="960" t="s">
        <v>1</v>
      </c>
      <c r="C71" s="960" t="s">
        <v>449</v>
      </c>
      <c r="D71" s="960" t="s">
        <v>450</v>
      </c>
      <c r="E71" s="961">
        <v>600000</v>
      </c>
      <c r="F71" s="960" t="s">
        <v>18</v>
      </c>
      <c r="G71" s="960" t="s">
        <v>18</v>
      </c>
      <c r="H71" s="960" t="s">
        <v>538</v>
      </c>
      <c r="I71" s="962">
        <v>6.0322344760183944E-2</v>
      </c>
      <c r="J71" s="962">
        <v>0.97299333333333338</v>
      </c>
      <c r="K71" s="960" t="s">
        <v>459</v>
      </c>
      <c r="L71" s="962">
        <v>1.0759000000000001</v>
      </c>
      <c r="M71" s="960" t="s">
        <v>459</v>
      </c>
      <c r="N71" s="961">
        <v>656308.32999999996</v>
      </c>
      <c r="O71" s="961">
        <v>10768.33</v>
      </c>
      <c r="P71" s="962">
        <v>0.10576297199706747</v>
      </c>
      <c r="Q71" s="961">
        <v>61744</v>
      </c>
      <c r="R71" s="961">
        <v>656308.32999999996</v>
      </c>
      <c r="S71" s="962">
        <v>1.5749651571338622E-2</v>
      </c>
    </row>
    <row r="72" spans="1:19" x14ac:dyDescent="0.25">
      <c r="A72" s="220">
        <f>VLOOKUP(D72,Bonds!D:I,6,0)</f>
        <v>1800000</v>
      </c>
      <c r="B72" s="960" t="s">
        <v>1</v>
      </c>
      <c r="C72" s="960" t="s">
        <v>1050</v>
      </c>
      <c r="D72" s="960" t="s">
        <v>1051</v>
      </c>
      <c r="E72" s="961">
        <v>1000000</v>
      </c>
      <c r="F72" s="960" t="s">
        <v>18</v>
      </c>
      <c r="G72" s="960" t="s">
        <v>18</v>
      </c>
      <c r="H72" s="960" t="s">
        <v>1052</v>
      </c>
      <c r="I72" s="962">
        <v>6.9580421658306066E-2</v>
      </c>
      <c r="J72" s="962">
        <v>1.0124299999999999</v>
      </c>
      <c r="K72" s="960" t="s">
        <v>459</v>
      </c>
      <c r="L72" s="962">
        <v>1.00525</v>
      </c>
      <c r="M72" s="960" t="s">
        <v>459</v>
      </c>
      <c r="N72" s="961">
        <v>1024447.92</v>
      </c>
      <c r="O72" s="961">
        <v>19197.919999999998</v>
      </c>
      <c r="P72" s="962">
        <v>-7.0918483253163177E-3</v>
      </c>
      <c r="Q72" s="961">
        <v>-7180</v>
      </c>
      <c r="R72" s="961">
        <v>1024447.92</v>
      </c>
      <c r="S72" s="962">
        <v>2.458402103929198E-2</v>
      </c>
    </row>
    <row r="73" spans="1:19" x14ac:dyDescent="0.25">
      <c r="A73" s="220">
        <f>VLOOKUP(D73,Bonds!D:I,6,0)</f>
        <v>600000</v>
      </c>
      <c r="B73" s="960" t="s">
        <v>1</v>
      </c>
      <c r="C73" s="960" t="s">
        <v>539</v>
      </c>
      <c r="D73" s="960" t="s">
        <v>361</v>
      </c>
      <c r="E73" s="961">
        <v>600000</v>
      </c>
      <c r="F73" s="960" t="s">
        <v>18</v>
      </c>
      <c r="G73" s="960" t="s">
        <v>18</v>
      </c>
      <c r="H73" s="960" t="s">
        <v>257</v>
      </c>
      <c r="I73" s="960" t="s">
        <v>257</v>
      </c>
      <c r="J73" s="962">
        <v>1.0031317833333333</v>
      </c>
      <c r="K73" s="960" t="s">
        <v>459</v>
      </c>
      <c r="L73" s="962">
        <v>1.0310999999999999</v>
      </c>
      <c r="M73" s="960" t="s">
        <v>459</v>
      </c>
      <c r="N73" s="961">
        <v>619847.5</v>
      </c>
      <c r="O73" s="961">
        <v>1187.5</v>
      </c>
      <c r="P73" s="962">
        <v>2.7880899729575245E-2</v>
      </c>
      <c r="Q73" s="961">
        <v>16780.93</v>
      </c>
      <c r="R73" s="961">
        <v>619847.5</v>
      </c>
      <c r="S73" s="962">
        <v>1.4874688779838155E-2</v>
      </c>
    </row>
    <row r="74" spans="1:19" s="643" customFormat="1" x14ac:dyDescent="0.25">
      <c r="A74" s="220">
        <f>VLOOKUP(D74,Bonds!D:I,6,0)</f>
        <v>800000</v>
      </c>
      <c r="B74" s="960" t="s">
        <v>1</v>
      </c>
      <c r="C74" s="960" t="s">
        <v>104</v>
      </c>
      <c r="D74" s="960" t="s">
        <v>105</v>
      </c>
      <c r="E74" s="961">
        <v>800000</v>
      </c>
      <c r="F74" s="960" t="s">
        <v>18</v>
      </c>
      <c r="G74" s="960" t="s">
        <v>18</v>
      </c>
      <c r="H74" s="960" t="s">
        <v>540</v>
      </c>
      <c r="I74" s="962">
        <v>6.6973137519066889E-2</v>
      </c>
      <c r="J74" s="962">
        <v>1.0226720124999999</v>
      </c>
      <c r="K74" s="960" t="s">
        <v>459</v>
      </c>
      <c r="L74" s="962">
        <v>1.0451999999999999</v>
      </c>
      <c r="M74" s="960" t="s">
        <v>459</v>
      </c>
      <c r="N74" s="961">
        <v>860810</v>
      </c>
      <c r="O74" s="961">
        <v>24650</v>
      </c>
      <c r="P74" s="962">
        <v>2.2028555807378173E-2</v>
      </c>
      <c r="Q74" s="961">
        <v>18022.39</v>
      </c>
      <c r="R74" s="961">
        <v>860810</v>
      </c>
      <c r="S74" s="962">
        <v>2.065714687656638E-2</v>
      </c>
    </row>
    <row r="75" spans="1:19" s="643" customFormat="1" x14ac:dyDescent="0.25">
      <c r="A75" s="220">
        <f>VLOOKUP(D75,Bonds!D:I,6,0)</f>
        <v>600000</v>
      </c>
      <c r="B75" s="960" t="s">
        <v>1</v>
      </c>
      <c r="C75" s="960" t="s">
        <v>76</v>
      </c>
      <c r="D75" s="960" t="s">
        <v>77</v>
      </c>
      <c r="E75" s="961">
        <v>600000</v>
      </c>
      <c r="F75" s="960" t="s">
        <v>18</v>
      </c>
      <c r="G75" s="960" t="s">
        <v>18</v>
      </c>
      <c r="H75" s="960" t="s">
        <v>541</v>
      </c>
      <c r="I75" s="962">
        <v>6.8120951464840804E-2</v>
      </c>
      <c r="J75" s="962">
        <v>1.0037354333333333</v>
      </c>
      <c r="K75" s="960" t="s">
        <v>459</v>
      </c>
      <c r="L75" s="962">
        <v>1.0349999999999999</v>
      </c>
      <c r="M75" s="960" t="s">
        <v>459</v>
      </c>
      <c r="N75" s="961">
        <v>639683.32999999996</v>
      </c>
      <c r="O75" s="961">
        <v>18683.330000000002</v>
      </c>
      <c r="P75" s="962">
        <v>3.1148214587622243E-2</v>
      </c>
      <c r="Q75" s="961">
        <v>18758.740000000002</v>
      </c>
      <c r="R75" s="961">
        <v>639683.32999999996</v>
      </c>
      <c r="S75" s="962">
        <v>1.5350695858901595E-2</v>
      </c>
    </row>
    <row r="76" spans="1:19" x14ac:dyDescent="0.25">
      <c r="A76" s="220">
        <f>VLOOKUP(D76,Bonds!D:I,6,0)</f>
        <v>200000</v>
      </c>
      <c r="B76" s="960" t="s">
        <v>1</v>
      </c>
      <c r="C76" s="960" t="s">
        <v>99</v>
      </c>
      <c r="D76" s="960" t="s">
        <v>100</v>
      </c>
      <c r="E76" s="961">
        <v>1200000</v>
      </c>
      <c r="F76" s="960" t="s">
        <v>19</v>
      </c>
      <c r="G76" s="960" t="s">
        <v>19</v>
      </c>
      <c r="H76" s="960" t="s">
        <v>257</v>
      </c>
      <c r="I76" s="960" t="s">
        <v>257</v>
      </c>
      <c r="J76" s="962">
        <v>1.0234164416666667</v>
      </c>
      <c r="K76" s="963">
        <v>1.2843</v>
      </c>
      <c r="L76" s="962">
        <v>1.06</v>
      </c>
      <c r="M76" s="963">
        <v>1.3454999999999999</v>
      </c>
      <c r="N76" s="961">
        <v>1310138.1200000001</v>
      </c>
      <c r="O76" s="961">
        <v>38138.120000000003</v>
      </c>
      <c r="P76" s="962">
        <v>8.5035748326259736E-2</v>
      </c>
      <c r="Q76" s="961">
        <v>134125.97</v>
      </c>
      <c r="R76" s="961">
        <v>1762728.22</v>
      </c>
      <c r="S76" s="962">
        <v>4.230078152438798E-2</v>
      </c>
    </row>
    <row r="77" spans="1:19" x14ac:dyDescent="0.25">
      <c r="A77" s="220">
        <f>VLOOKUP(D77,Bonds!D:I,6,0)</f>
        <v>200000</v>
      </c>
      <c r="B77" s="960" t="s">
        <v>1</v>
      </c>
      <c r="C77" s="960" t="s">
        <v>542</v>
      </c>
      <c r="D77" s="960" t="s">
        <v>107</v>
      </c>
      <c r="E77" s="961">
        <v>200000</v>
      </c>
      <c r="F77" s="960" t="s">
        <v>18</v>
      </c>
      <c r="G77" s="960" t="s">
        <v>18</v>
      </c>
      <c r="H77" s="960" t="s">
        <v>543</v>
      </c>
      <c r="I77" s="960" t="s">
        <v>257</v>
      </c>
      <c r="J77" s="962">
        <v>1.0136542500000001</v>
      </c>
      <c r="K77" s="960" t="s">
        <v>459</v>
      </c>
      <c r="L77" s="962">
        <v>1.06735</v>
      </c>
      <c r="M77" s="960" t="s">
        <v>459</v>
      </c>
      <c r="N77" s="961">
        <v>219820.69</v>
      </c>
      <c r="O77" s="961">
        <v>6350.69</v>
      </c>
      <c r="P77" s="962">
        <v>5.2972450912133012E-2</v>
      </c>
      <c r="Q77" s="961">
        <v>10739.15</v>
      </c>
      <c r="R77" s="961">
        <v>219820.69</v>
      </c>
      <c r="S77" s="962">
        <v>5.2751109766826206E-3</v>
      </c>
    </row>
    <row r="78" spans="1:19" x14ac:dyDescent="0.25">
      <c r="A78" s="220">
        <f>VLOOKUP(D78,Bonds!D:I,6,0)</f>
        <v>600000</v>
      </c>
      <c r="B78" s="960" t="s">
        <v>1</v>
      </c>
      <c r="C78" s="960" t="s">
        <v>93</v>
      </c>
      <c r="D78" s="960" t="s">
        <v>94</v>
      </c>
      <c r="E78" s="961">
        <v>600000</v>
      </c>
      <c r="F78" s="960" t="s">
        <v>18</v>
      </c>
      <c r="G78" s="960" t="s">
        <v>18</v>
      </c>
      <c r="H78" s="960" t="s">
        <v>544</v>
      </c>
      <c r="I78" s="962">
        <v>5.1469391810031108E-2</v>
      </c>
      <c r="J78" s="962">
        <v>1.0075944333333333</v>
      </c>
      <c r="K78" s="960" t="s">
        <v>459</v>
      </c>
      <c r="L78" s="962">
        <v>1.1233</v>
      </c>
      <c r="M78" s="960" t="s">
        <v>459</v>
      </c>
      <c r="N78" s="961">
        <v>687480</v>
      </c>
      <c r="O78" s="961">
        <v>13500</v>
      </c>
      <c r="P78" s="962">
        <v>0.1148334715227519</v>
      </c>
      <c r="Q78" s="961">
        <v>69423.34</v>
      </c>
      <c r="R78" s="961">
        <v>687480</v>
      </c>
      <c r="S78" s="962">
        <v>1.6497688612704148E-2</v>
      </c>
    </row>
    <row r="79" spans="1:19" x14ac:dyDescent="0.25">
      <c r="A79" s="220">
        <f>VLOOKUP(D79,Bonds!D:I,6,0)</f>
        <v>250000</v>
      </c>
      <c r="B79" s="960" t="s">
        <v>1</v>
      </c>
      <c r="C79" s="960" t="s">
        <v>939</v>
      </c>
      <c r="D79" s="960" t="s">
        <v>940</v>
      </c>
      <c r="E79" s="961">
        <v>250000</v>
      </c>
      <c r="F79" s="960" t="s">
        <v>18</v>
      </c>
      <c r="G79" s="960" t="s">
        <v>18</v>
      </c>
      <c r="H79" s="960" t="s">
        <v>941</v>
      </c>
      <c r="I79" s="962">
        <v>6.2845339936304701E-2</v>
      </c>
      <c r="J79" s="962">
        <v>1.014</v>
      </c>
      <c r="K79" s="960" t="s">
        <v>459</v>
      </c>
      <c r="L79" s="962">
        <v>1.05125</v>
      </c>
      <c r="M79" s="960" t="s">
        <v>459</v>
      </c>
      <c r="N79" s="961">
        <v>265089.40999999997</v>
      </c>
      <c r="O79" s="961">
        <v>2276.91</v>
      </c>
      <c r="P79" s="962">
        <v>3.6735700197238659E-2</v>
      </c>
      <c r="Q79" s="961">
        <v>9312.5</v>
      </c>
      <c r="R79" s="961">
        <v>265089.40999999997</v>
      </c>
      <c r="S79" s="962">
        <v>6.3614396647254622E-3</v>
      </c>
    </row>
    <row r="80" spans="1:19" x14ac:dyDescent="0.25">
      <c r="A80" s="220">
        <f>VLOOKUP(D80,Bonds!D:I,6,0)</f>
        <v>1000000</v>
      </c>
      <c r="B80" s="960" t="s">
        <v>1</v>
      </c>
      <c r="C80" s="960" t="s">
        <v>183</v>
      </c>
      <c r="D80" s="960" t="s">
        <v>184</v>
      </c>
      <c r="E80" s="961">
        <v>1000000</v>
      </c>
      <c r="F80" s="960" t="s">
        <v>18</v>
      </c>
      <c r="G80" s="960" t="s">
        <v>18</v>
      </c>
      <c r="H80" s="960" t="s">
        <v>545</v>
      </c>
      <c r="I80" s="962">
        <v>3.4123620076459422E-2</v>
      </c>
      <c r="J80" s="962">
        <v>1</v>
      </c>
      <c r="K80" s="960" t="s">
        <v>459</v>
      </c>
      <c r="L80" s="962">
        <v>1.0719000000000001</v>
      </c>
      <c r="M80" s="960" t="s">
        <v>459</v>
      </c>
      <c r="N80" s="961">
        <v>1077425</v>
      </c>
      <c r="O80" s="961">
        <v>5525</v>
      </c>
      <c r="P80" s="962">
        <v>7.1900000000000006E-2</v>
      </c>
      <c r="Q80" s="961">
        <v>71900</v>
      </c>
      <c r="R80" s="961">
        <v>1077425</v>
      </c>
      <c r="S80" s="962">
        <v>2.5855329832930072E-2</v>
      </c>
    </row>
    <row r="81" spans="1:19" x14ac:dyDescent="0.25">
      <c r="A81" s="220">
        <f>VLOOKUP(D81,Bonds!D:I,6,0)</f>
        <v>1000000</v>
      </c>
      <c r="B81" s="960" t="s">
        <v>1</v>
      </c>
      <c r="C81" s="960" t="s">
        <v>52</v>
      </c>
      <c r="D81" s="960" t="s">
        <v>53</v>
      </c>
      <c r="E81" s="961">
        <v>1000000</v>
      </c>
      <c r="F81" s="960" t="s">
        <v>18</v>
      </c>
      <c r="G81" s="960" t="s">
        <v>18</v>
      </c>
      <c r="H81" s="960" t="s">
        <v>546</v>
      </c>
      <c r="I81" s="962">
        <v>3.665262258481726E-2</v>
      </c>
      <c r="J81" s="962">
        <v>0.70880606999999995</v>
      </c>
      <c r="K81" s="960" t="s">
        <v>459</v>
      </c>
      <c r="L81" s="962">
        <v>0.91864999999999997</v>
      </c>
      <c r="M81" s="960" t="s">
        <v>459</v>
      </c>
      <c r="N81" s="961">
        <v>924417.5</v>
      </c>
      <c r="O81" s="961">
        <v>5767.5</v>
      </c>
      <c r="P81" s="962">
        <v>0.29605267065503543</v>
      </c>
      <c r="Q81" s="961">
        <v>209843.93</v>
      </c>
      <c r="R81" s="961">
        <v>924417.5</v>
      </c>
      <c r="S81" s="962">
        <v>2.2183557431684466E-2</v>
      </c>
    </row>
    <row r="82" spans="1:19" x14ac:dyDescent="0.25">
      <c r="A82" s="220">
        <f>VLOOKUP(D82,Bonds!D:I,6,0)</f>
        <v>400000</v>
      </c>
      <c r="B82" s="960" t="s">
        <v>1</v>
      </c>
      <c r="C82" s="960" t="s">
        <v>84</v>
      </c>
      <c r="D82" s="960" t="s">
        <v>85</v>
      </c>
      <c r="E82" s="961">
        <v>400000</v>
      </c>
      <c r="F82" s="960" t="s">
        <v>18</v>
      </c>
      <c r="G82" s="960" t="s">
        <v>18</v>
      </c>
      <c r="H82" s="960" t="s">
        <v>537</v>
      </c>
      <c r="I82" s="962">
        <v>3.3106097839264367E-2</v>
      </c>
      <c r="J82" s="962">
        <v>1.005164975</v>
      </c>
      <c r="K82" s="960" t="s">
        <v>459</v>
      </c>
      <c r="L82" s="962">
        <v>1.0595999999999999</v>
      </c>
      <c r="M82" s="960" t="s">
        <v>459</v>
      </c>
      <c r="N82" s="961">
        <v>427515</v>
      </c>
      <c r="O82" s="961">
        <v>3675</v>
      </c>
      <c r="P82" s="962">
        <v>5.4155314156265739E-2</v>
      </c>
      <c r="Q82" s="961">
        <v>21774.01</v>
      </c>
      <c r="R82" s="961">
        <v>427515</v>
      </c>
      <c r="S82" s="962">
        <v>1.0259221136993388E-2</v>
      </c>
    </row>
    <row r="83" spans="1:19" x14ac:dyDescent="0.25">
      <c r="A83" s="220">
        <f>VLOOKUP(D83,Bonds!D:I,6,0)</f>
        <v>1000000</v>
      </c>
      <c r="B83" s="960" t="s">
        <v>1</v>
      </c>
      <c r="C83" s="960" t="s">
        <v>1179</v>
      </c>
      <c r="D83" s="960" t="s">
        <v>1180</v>
      </c>
      <c r="E83" s="961">
        <v>1000000</v>
      </c>
      <c r="F83" s="960" t="s">
        <v>18</v>
      </c>
      <c r="G83" s="960" t="s">
        <v>18</v>
      </c>
      <c r="H83" s="960" t="s">
        <v>1181</v>
      </c>
      <c r="I83" s="960" t="s">
        <v>257</v>
      </c>
      <c r="J83" s="962">
        <v>0.97264600000000001</v>
      </c>
      <c r="K83" s="960" t="s">
        <v>459</v>
      </c>
      <c r="L83" s="962">
        <v>0.90465000000000007</v>
      </c>
      <c r="M83" s="960" t="s">
        <v>459</v>
      </c>
      <c r="N83" s="961">
        <v>930087.5</v>
      </c>
      <c r="O83" s="961">
        <v>25437.5</v>
      </c>
      <c r="P83" s="962">
        <v>-6.9908270840573036E-2</v>
      </c>
      <c r="Q83" s="961">
        <v>-67996</v>
      </c>
      <c r="R83" s="961">
        <v>930087.5</v>
      </c>
      <c r="S83" s="962">
        <v>2.2319622327294567E-2</v>
      </c>
    </row>
    <row r="84" spans="1:19" x14ac:dyDescent="0.25">
      <c r="A84" s="220">
        <f>VLOOKUP(D84,Bonds!D:I,6,0)</f>
        <v>400000</v>
      </c>
      <c r="B84" s="960" t="s">
        <v>1</v>
      </c>
      <c r="C84" s="960" t="s">
        <v>2419</v>
      </c>
      <c r="D84" s="960" t="s">
        <v>548</v>
      </c>
      <c r="E84" s="961">
        <v>400000</v>
      </c>
      <c r="F84" s="960" t="s">
        <v>19</v>
      </c>
      <c r="G84" s="960" t="s">
        <v>19</v>
      </c>
      <c r="H84" s="960" t="s">
        <v>257</v>
      </c>
      <c r="I84" s="960" t="s">
        <v>257</v>
      </c>
      <c r="J84" s="962">
        <v>1.0085</v>
      </c>
      <c r="K84" s="963">
        <v>1.3265</v>
      </c>
      <c r="L84" s="962">
        <v>1.0850499999999998</v>
      </c>
      <c r="M84" s="963">
        <v>1.3454999999999999</v>
      </c>
      <c r="N84" s="961">
        <v>440254.71999999997</v>
      </c>
      <c r="O84" s="961">
        <v>6234.72</v>
      </c>
      <c r="P84" s="962">
        <v>9.1236277397319793E-2</v>
      </c>
      <c r="Q84" s="961">
        <v>48823.26</v>
      </c>
      <c r="R84" s="961">
        <v>592341.68000000005</v>
      </c>
      <c r="S84" s="962">
        <v>1.4214622372965098E-2</v>
      </c>
    </row>
    <row r="85" spans="1:19" x14ac:dyDescent="0.25">
      <c r="A85" s="220">
        <f>VLOOKUP(D85,Bonds!D:I,6,0)</f>
        <v>200000</v>
      </c>
      <c r="B85" s="960" t="s">
        <v>1</v>
      </c>
      <c r="C85" s="960" t="s">
        <v>1059</v>
      </c>
      <c r="D85" s="960" t="s">
        <v>1060</v>
      </c>
      <c r="E85" s="961">
        <v>200000</v>
      </c>
      <c r="F85" s="960" t="s">
        <v>18</v>
      </c>
      <c r="G85" s="960" t="s">
        <v>18</v>
      </c>
      <c r="H85" s="960" t="s">
        <v>1061</v>
      </c>
      <c r="I85" s="962">
        <v>7.5167105189999903E-2</v>
      </c>
      <c r="J85" s="962">
        <v>1.0619000000000001</v>
      </c>
      <c r="K85" s="960" t="s">
        <v>459</v>
      </c>
      <c r="L85" s="962">
        <v>1.0824</v>
      </c>
      <c r="M85" s="960" t="s">
        <v>459</v>
      </c>
      <c r="N85" s="961">
        <v>221272.36</v>
      </c>
      <c r="O85" s="961">
        <v>4792.3599999999997</v>
      </c>
      <c r="P85" s="962">
        <v>1.9305019305019305E-2</v>
      </c>
      <c r="Q85" s="961">
        <v>4100</v>
      </c>
      <c r="R85" s="961">
        <v>221272.36</v>
      </c>
      <c r="S85" s="962">
        <v>5.3099471895592196E-3</v>
      </c>
    </row>
    <row r="86" spans="1:19" x14ac:dyDescent="0.25">
      <c r="A86" s="220">
        <f>VLOOKUP(D86,Bonds!D:I,6,0)</f>
        <v>1000000</v>
      </c>
      <c r="B86" s="960" t="s">
        <v>1</v>
      </c>
      <c r="C86" s="960" t="s">
        <v>64</v>
      </c>
      <c r="D86" s="960" t="s">
        <v>65</v>
      </c>
      <c r="E86" s="961">
        <v>1000000</v>
      </c>
      <c r="F86" s="960" t="s">
        <v>18</v>
      </c>
      <c r="G86" s="960" t="s">
        <v>18</v>
      </c>
      <c r="H86" s="960" t="s">
        <v>549</v>
      </c>
      <c r="I86" s="962">
        <v>3.6194838595162329E-2</v>
      </c>
      <c r="J86" s="962">
        <v>0.97442795999999998</v>
      </c>
      <c r="K86" s="960" t="s">
        <v>459</v>
      </c>
      <c r="L86" s="962">
        <v>1.0469999999999999</v>
      </c>
      <c r="M86" s="960" t="s">
        <v>459</v>
      </c>
      <c r="N86" s="961">
        <v>1054211.81</v>
      </c>
      <c r="O86" s="961">
        <v>7211.81</v>
      </c>
      <c r="P86" s="962">
        <v>7.4476557507647867E-2</v>
      </c>
      <c r="Q86" s="961">
        <v>72572.039999999994</v>
      </c>
      <c r="R86" s="961">
        <v>1054211.81</v>
      </c>
      <c r="S86" s="962">
        <v>2.5298275110861742E-2</v>
      </c>
    </row>
    <row r="87" spans="1:19" x14ac:dyDescent="0.25">
      <c r="A87" s="220">
        <f>VLOOKUP(D87,Bonds!D:I,6,0)</f>
        <v>800000</v>
      </c>
      <c r="B87" s="960" t="s">
        <v>1</v>
      </c>
      <c r="C87" s="960" t="s">
        <v>56</v>
      </c>
      <c r="D87" s="960" t="s">
        <v>57</v>
      </c>
      <c r="E87" s="961">
        <v>800000</v>
      </c>
      <c r="F87" s="960" t="s">
        <v>18</v>
      </c>
      <c r="G87" s="960" t="s">
        <v>18</v>
      </c>
      <c r="H87" s="960" t="s">
        <v>550</v>
      </c>
      <c r="I87" s="962">
        <v>7.0440187553205608E-2</v>
      </c>
      <c r="J87" s="962">
        <v>0.95322862499999994</v>
      </c>
      <c r="K87" s="960" t="s">
        <v>459</v>
      </c>
      <c r="L87" s="962">
        <v>1.0769</v>
      </c>
      <c r="M87" s="960" t="s">
        <v>459</v>
      </c>
      <c r="N87" s="961">
        <v>887964.44</v>
      </c>
      <c r="O87" s="961">
        <v>26444.44</v>
      </c>
      <c r="P87" s="962">
        <v>0.12973946832534536</v>
      </c>
      <c r="Q87" s="961">
        <v>98937.1</v>
      </c>
      <c r="R87" s="961">
        <v>887964.44</v>
      </c>
      <c r="S87" s="962">
        <v>2.1308781099485388E-2</v>
      </c>
    </row>
    <row r="88" spans="1:19" x14ac:dyDescent="0.25">
      <c r="A88" s="220">
        <f>VLOOKUP(D88,Bonds!D:I,6,0)</f>
        <v>600000</v>
      </c>
      <c r="B88" s="960" t="s">
        <v>1</v>
      </c>
      <c r="C88" s="960" t="s">
        <v>68</v>
      </c>
      <c r="D88" s="960" t="s">
        <v>69</v>
      </c>
      <c r="E88" s="961">
        <v>600000</v>
      </c>
      <c r="F88" s="960" t="s">
        <v>18</v>
      </c>
      <c r="G88" s="960" t="s">
        <v>18</v>
      </c>
      <c r="H88" s="960" t="s">
        <v>551</v>
      </c>
      <c r="I88" s="962">
        <v>3.2868076870461872E-2</v>
      </c>
      <c r="J88" s="962">
        <v>1.0169811333333334</v>
      </c>
      <c r="K88" s="960" t="s">
        <v>459</v>
      </c>
      <c r="L88" s="962">
        <v>0.80535000000000001</v>
      </c>
      <c r="M88" s="960" t="s">
        <v>459</v>
      </c>
      <c r="N88" s="961">
        <v>494303.75</v>
      </c>
      <c r="O88" s="961">
        <v>11093.75</v>
      </c>
      <c r="P88" s="962">
        <v>-0.20809740357687395</v>
      </c>
      <c r="Q88" s="961">
        <v>-126978.68</v>
      </c>
      <c r="R88" s="961">
        <v>494303.75</v>
      </c>
      <c r="S88" s="962">
        <v>1.1861973217536449E-2</v>
      </c>
    </row>
    <row r="89" spans="1:19" x14ac:dyDescent="0.25">
      <c r="A89" s="220">
        <f>VLOOKUP(D89,Bonds!D:I,6,0)</f>
        <v>400000</v>
      </c>
      <c r="B89" s="960" t="s">
        <v>1</v>
      </c>
      <c r="C89" s="960" t="s">
        <v>72</v>
      </c>
      <c r="D89" s="960" t="s">
        <v>73</v>
      </c>
      <c r="E89" s="961">
        <v>400000</v>
      </c>
      <c r="F89" s="960" t="s">
        <v>18</v>
      </c>
      <c r="G89" s="960" t="s">
        <v>18</v>
      </c>
      <c r="H89" s="960" t="s">
        <v>552</v>
      </c>
      <c r="I89" s="962">
        <v>3.2976331976585047E-2</v>
      </c>
      <c r="J89" s="962">
        <v>1.0119574</v>
      </c>
      <c r="K89" s="960" t="s">
        <v>459</v>
      </c>
      <c r="L89" s="962">
        <v>1.0830500000000001</v>
      </c>
      <c r="M89" s="960" t="s">
        <v>459</v>
      </c>
      <c r="N89" s="961">
        <v>436868.61</v>
      </c>
      <c r="O89" s="961">
        <v>3648.61</v>
      </c>
      <c r="P89" s="962">
        <v>7.0252562014962286E-2</v>
      </c>
      <c r="Q89" s="961">
        <v>28437.040000000001</v>
      </c>
      <c r="R89" s="961">
        <v>436868.61</v>
      </c>
      <c r="S89" s="962">
        <v>1.048368285978485E-2</v>
      </c>
    </row>
    <row r="90" spans="1:19" x14ac:dyDescent="0.25">
      <c r="A90" s="220">
        <f>VLOOKUP(D90,Bonds!D:I,6,0)</f>
        <v>1000000</v>
      </c>
      <c r="B90" s="960" t="s">
        <v>1</v>
      </c>
      <c r="C90" s="960" t="s">
        <v>2483</v>
      </c>
      <c r="D90" s="960" t="s">
        <v>1055</v>
      </c>
      <c r="E90" s="961">
        <v>400000</v>
      </c>
      <c r="F90" s="960" t="s">
        <v>18</v>
      </c>
      <c r="G90" s="960" t="s">
        <v>18</v>
      </c>
      <c r="H90" s="960" t="s">
        <v>1056</v>
      </c>
      <c r="I90" s="962">
        <v>8.1583695515665772E-2</v>
      </c>
      <c r="J90" s="962">
        <v>1.00099</v>
      </c>
      <c r="K90" s="960" t="s">
        <v>459</v>
      </c>
      <c r="L90" s="962">
        <v>1.0399500000000002</v>
      </c>
      <c r="M90" s="960" t="s">
        <v>459</v>
      </c>
      <c r="N90" s="961">
        <v>428653.61</v>
      </c>
      <c r="O90" s="961">
        <v>12673.61</v>
      </c>
      <c r="P90" s="962">
        <v>3.892146774693054E-2</v>
      </c>
      <c r="Q90" s="961">
        <v>15584</v>
      </c>
      <c r="R90" s="961">
        <v>428653.61</v>
      </c>
      <c r="S90" s="962">
        <v>1.0286544743834766E-2</v>
      </c>
    </row>
    <row r="91" spans="1:19" x14ac:dyDescent="0.25">
      <c r="A91" s="220">
        <f>VLOOKUP(D91,Bonds!D:I,6,0)</f>
        <v>3000000</v>
      </c>
      <c r="B91" s="960" t="s">
        <v>1</v>
      </c>
      <c r="C91" s="960" t="s">
        <v>452</v>
      </c>
      <c r="D91" s="960" t="s">
        <v>453</v>
      </c>
      <c r="E91" s="961">
        <v>2000000</v>
      </c>
      <c r="F91" s="960" t="s">
        <v>458</v>
      </c>
      <c r="G91" s="960" t="s">
        <v>458</v>
      </c>
      <c r="H91" s="960" t="s">
        <v>553</v>
      </c>
      <c r="I91" s="960" t="s">
        <v>257</v>
      </c>
      <c r="J91" s="962">
        <v>0.9139449999999999</v>
      </c>
      <c r="K91" s="963">
        <v>5.7267000000000001</v>
      </c>
      <c r="L91" s="962">
        <v>0.95904999999999996</v>
      </c>
      <c r="M91" s="963">
        <v>5.2161999999999997</v>
      </c>
      <c r="N91" s="961">
        <v>1923826.03</v>
      </c>
      <c r="O91" s="961">
        <v>5726.03</v>
      </c>
      <c r="P91" s="962">
        <v>0.15205699842141696</v>
      </c>
      <c r="Q91" s="961">
        <v>48534.31</v>
      </c>
      <c r="R91" s="961">
        <v>368817.03</v>
      </c>
      <c r="S91" s="962">
        <v>8.8506262233117531E-3</v>
      </c>
    </row>
    <row r="92" spans="1:19" x14ac:dyDescent="0.25">
      <c r="A92" s="220">
        <f>VLOOKUP(D92,Bonds!D:I,6,0)</f>
        <v>600000</v>
      </c>
      <c r="B92" s="960" t="s">
        <v>1</v>
      </c>
      <c r="C92" s="960" t="s">
        <v>86</v>
      </c>
      <c r="D92" s="960" t="s">
        <v>87</v>
      </c>
      <c r="E92" s="961">
        <v>600000</v>
      </c>
      <c r="F92" s="960" t="s">
        <v>18</v>
      </c>
      <c r="G92" s="960" t="s">
        <v>18</v>
      </c>
      <c r="H92" s="960" t="s">
        <v>554</v>
      </c>
      <c r="I92" s="962">
        <v>5.6258174991257209E-2</v>
      </c>
      <c r="J92" s="962">
        <v>1.012821</v>
      </c>
      <c r="K92" s="960" t="s">
        <v>459</v>
      </c>
      <c r="L92" s="962">
        <v>1.1151500000000001</v>
      </c>
      <c r="M92" s="960" t="s">
        <v>459</v>
      </c>
      <c r="N92" s="961">
        <v>689402.5</v>
      </c>
      <c r="O92" s="961">
        <v>20312.5</v>
      </c>
      <c r="P92" s="962">
        <v>0.10103364760406824</v>
      </c>
      <c r="Q92" s="961">
        <v>61397.4</v>
      </c>
      <c r="R92" s="961">
        <v>689402.5</v>
      </c>
      <c r="S92" s="962">
        <v>1.6543823491330323E-2</v>
      </c>
    </row>
    <row r="93" spans="1:19" s="22" customFormat="1" x14ac:dyDescent="0.25">
      <c r="A93" s="656">
        <f>VLOOKUP(D93,Bonds!D:I,6,0)</f>
        <v>800000</v>
      </c>
      <c r="B93" s="960" t="s">
        <v>1</v>
      </c>
      <c r="C93" s="960" t="s">
        <v>185</v>
      </c>
      <c r="D93" s="960" t="s">
        <v>186</v>
      </c>
      <c r="E93" s="961">
        <v>800000</v>
      </c>
      <c r="F93" s="960" t="s">
        <v>18</v>
      </c>
      <c r="G93" s="960" t="s">
        <v>18</v>
      </c>
      <c r="H93" s="960" t="s">
        <v>555</v>
      </c>
      <c r="I93" s="960" t="s">
        <v>257</v>
      </c>
      <c r="J93" s="962">
        <v>0.99575000000000002</v>
      </c>
      <c r="K93" s="960" t="s">
        <v>459</v>
      </c>
      <c r="L93" s="962">
        <v>1.07165</v>
      </c>
      <c r="M93" s="960" t="s">
        <v>459</v>
      </c>
      <c r="N93" s="961">
        <v>882711.11</v>
      </c>
      <c r="O93" s="961">
        <v>25391.11</v>
      </c>
      <c r="P93" s="962">
        <v>7.6223951795129294E-2</v>
      </c>
      <c r="Q93" s="961">
        <v>60720</v>
      </c>
      <c r="R93" s="961">
        <v>882711.11</v>
      </c>
      <c r="S93" s="962">
        <v>2.1182715173902425E-2</v>
      </c>
    </row>
    <row r="94" spans="1:19" s="22" customFormat="1" x14ac:dyDescent="0.25">
      <c r="A94" s="656" t="e">
        <f>VLOOKUP(D94,Bonds!D:I,6,0)</f>
        <v>#N/A</v>
      </c>
      <c r="B94" s="960" t="s">
        <v>1</v>
      </c>
      <c r="C94" s="960" t="s">
        <v>853</v>
      </c>
      <c r="D94" s="960" t="s">
        <v>854</v>
      </c>
      <c r="E94" s="964">
        <v>8920</v>
      </c>
      <c r="F94" s="960" t="s">
        <v>18</v>
      </c>
      <c r="G94" s="960" t="s">
        <v>18</v>
      </c>
      <c r="H94" s="960" t="s">
        <v>257</v>
      </c>
      <c r="I94" s="960" t="s">
        <v>257</v>
      </c>
      <c r="J94" s="961">
        <v>113.44992040358744</v>
      </c>
      <c r="K94" s="960" t="s">
        <v>459</v>
      </c>
      <c r="L94" s="961">
        <v>116.17</v>
      </c>
      <c r="M94" s="960" t="s">
        <v>459</v>
      </c>
      <c r="N94" s="961">
        <v>1036236.4</v>
      </c>
      <c r="O94" s="961">
        <v>0</v>
      </c>
      <c r="P94" s="962">
        <v>2.3976037944637846E-2</v>
      </c>
      <c r="Q94" s="961">
        <v>24263.11</v>
      </c>
      <c r="R94" s="961">
        <v>1036236.4</v>
      </c>
      <c r="S94" s="962">
        <v>2.4866913155800231E-2</v>
      </c>
    </row>
    <row r="95" spans="1:19" s="22" customFormat="1" x14ac:dyDescent="0.25">
      <c r="A95" s="656" t="e">
        <f>VLOOKUP(D95,Bonds!D:I,6,0)</f>
        <v>#N/A</v>
      </c>
      <c r="B95" s="960" t="s">
        <v>1</v>
      </c>
      <c r="C95" s="960" t="s">
        <v>1182</v>
      </c>
      <c r="D95" s="960" t="s">
        <v>1183</v>
      </c>
      <c r="E95" s="965">
        <v>18359.226999999999</v>
      </c>
      <c r="F95" s="960" t="s">
        <v>18</v>
      </c>
      <c r="G95" s="960" t="s">
        <v>18</v>
      </c>
      <c r="H95" s="960" t="s">
        <v>257</v>
      </c>
      <c r="I95" s="960" t="s">
        <v>257</v>
      </c>
      <c r="J95" s="961">
        <v>109.14837318586453</v>
      </c>
      <c r="K95" s="960" t="s">
        <v>459</v>
      </c>
      <c r="L95" s="961">
        <v>109.78</v>
      </c>
      <c r="M95" s="960" t="s">
        <v>459</v>
      </c>
      <c r="N95" s="961">
        <v>2015475.94</v>
      </c>
      <c r="O95" s="961">
        <v>0</v>
      </c>
      <c r="P95" s="962">
        <v>5.7868641779185393E-3</v>
      </c>
      <c r="Q95" s="961">
        <v>11596.18</v>
      </c>
      <c r="R95" s="961">
        <v>2015475.94</v>
      </c>
      <c r="S95" s="962">
        <v>4.836605350630882E-2</v>
      </c>
    </row>
    <row r="96" spans="1:19" s="22" customFormat="1" x14ac:dyDescent="0.25">
      <c r="A96" s="656" t="e">
        <f>VLOOKUP(D96,Bonds!D:I,6,0)</f>
        <v>#N/A</v>
      </c>
      <c r="B96" s="960" t="s">
        <v>1</v>
      </c>
      <c r="C96" s="960" t="s">
        <v>2442</v>
      </c>
      <c r="D96" s="960" t="s">
        <v>2443</v>
      </c>
      <c r="E96" s="965">
        <v>10083.986999999999</v>
      </c>
      <c r="F96" s="960" t="s">
        <v>18</v>
      </c>
      <c r="G96" s="960" t="s">
        <v>18</v>
      </c>
      <c r="H96" s="960" t="s">
        <v>257</v>
      </c>
      <c r="I96" s="960" t="s">
        <v>257</v>
      </c>
      <c r="J96" s="961">
        <v>139.04223200605077</v>
      </c>
      <c r="K96" s="960" t="s">
        <v>459</v>
      </c>
      <c r="L96" s="961">
        <v>140.94999999999999</v>
      </c>
      <c r="M96" s="960" t="s">
        <v>459</v>
      </c>
      <c r="N96" s="961">
        <v>1421337.97</v>
      </c>
      <c r="O96" s="961">
        <v>0</v>
      </c>
      <c r="P96" s="962">
        <v>1.3720782523894906E-2</v>
      </c>
      <c r="Q96" s="961">
        <v>19237.91</v>
      </c>
      <c r="R96" s="961">
        <v>1421337.97</v>
      </c>
      <c r="S96" s="962">
        <v>3.4108324958505014E-2</v>
      </c>
    </row>
    <row r="97" spans="1:19" x14ac:dyDescent="0.25">
      <c r="A97" s="220" t="e">
        <f>VLOOKUP(D97,Bonds!D:I,6,0)</f>
        <v>#N/A</v>
      </c>
      <c r="B97" s="960" t="s">
        <v>1</v>
      </c>
      <c r="C97" s="960" t="s">
        <v>2338</v>
      </c>
      <c r="D97" s="960" t="s">
        <v>857</v>
      </c>
      <c r="E97" s="964">
        <v>9662</v>
      </c>
      <c r="F97" s="960" t="s">
        <v>18</v>
      </c>
      <c r="G97" s="960" t="s">
        <v>18</v>
      </c>
      <c r="H97" s="960" t="s">
        <v>257</v>
      </c>
      <c r="I97" s="960" t="s">
        <v>257</v>
      </c>
      <c r="J97" s="961">
        <v>103.82550507141379</v>
      </c>
      <c r="K97" s="960" t="s">
        <v>459</v>
      </c>
      <c r="L97" s="961">
        <v>106.38</v>
      </c>
      <c r="M97" s="960" t="s">
        <v>459</v>
      </c>
      <c r="N97" s="961">
        <v>1027843.56</v>
      </c>
      <c r="O97" s="961">
        <v>0</v>
      </c>
      <c r="P97" s="962">
        <v>2.4603732260480394E-2</v>
      </c>
      <c r="Q97" s="961">
        <v>24681.53</v>
      </c>
      <c r="R97" s="961">
        <v>1027843.56</v>
      </c>
      <c r="S97" s="962">
        <v>2.4665507353600531E-2</v>
      </c>
    </row>
    <row r="98" spans="1:19" s="22" customFormat="1" x14ac:dyDescent="0.25">
      <c r="A98" s="220" t="e">
        <f>VLOOKUP(D98,Bonds!D:I,6,0)</f>
        <v>#N/A</v>
      </c>
      <c r="B98" s="960" t="s">
        <v>1</v>
      </c>
      <c r="C98" s="960" t="s">
        <v>1184</v>
      </c>
      <c r="D98" s="960" t="s">
        <v>193</v>
      </c>
      <c r="E98" s="964">
        <v>15760</v>
      </c>
      <c r="F98" s="960" t="s">
        <v>18</v>
      </c>
      <c r="G98" s="960" t="s">
        <v>18</v>
      </c>
      <c r="H98" s="960" t="s">
        <v>257</v>
      </c>
      <c r="I98" s="960" t="s">
        <v>257</v>
      </c>
      <c r="J98" s="961">
        <v>79.739418781725888</v>
      </c>
      <c r="K98" s="960" t="s">
        <v>459</v>
      </c>
      <c r="L98" s="961">
        <v>93.23</v>
      </c>
      <c r="M98" s="960" t="s">
        <v>459</v>
      </c>
      <c r="N98" s="961">
        <v>1469304.8</v>
      </c>
      <c r="O98" s="961">
        <v>0</v>
      </c>
      <c r="P98" s="962">
        <v>0.1691833402398186</v>
      </c>
      <c r="Q98" s="961">
        <v>212611.56</v>
      </c>
      <c r="R98" s="961">
        <v>1469304.8</v>
      </c>
      <c r="S98" s="962">
        <v>3.5259401099016041E-2</v>
      </c>
    </row>
    <row r="99" spans="1:19" s="22" customFormat="1" x14ac:dyDescent="0.25">
      <c r="A99" s="656" t="e">
        <f>VLOOKUP(D99,Bonds!D:I,6,0)</f>
        <v>#N/A</v>
      </c>
      <c r="B99" s="960" t="s">
        <v>20</v>
      </c>
      <c r="C99" s="960" t="s">
        <v>2524</v>
      </c>
      <c r="D99" s="960" t="s">
        <v>2525</v>
      </c>
      <c r="E99" s="964">
        <v>8950</v>
      </c>
      <c r="F99" s="960" t="s">
        <v>18</v>
      </c>
      <c r="G99" s="960" t="s">
        <v>18</v>
      </c>
      <c r="H99" s="960" t="s">
        <v>257</v>
      </c>
      <c r="I99" s="960" t="s">
        <v>257</v>
      </c>
      <c r="J99" s="961">
        <v>11.326965363128492</v>
      </c>
      <c r="K99" s="960" t="s">
        <v>459</v>
      </c>
      <c r="L99" s="961">
        <v>11.32</v>
      </c>
      <c r="M99" s="960" t="s">
        <v>459</v>
      </c>
      <c r="N99" s="961">
        <v>101314</v>
      </c>
      <c r="O99" s="961">
        <v>0</v>
      </c>
      <c r="P99" s="962">
        <v>-6.1493638456468246E-4</v>
      </c>
      <c r="Q99" s="961">
        <v>-62.34</v>
      </c>
      <c r="R99" s="961">
        <v>101314</v>
      </c>
      <c r="S99" s="962">
        <v>2.4312661082613431E-3</v>
      </c>
    </row>
    <row r="100" spans="1:19" s="22" customFormat="1" x14ac:dyDescent="0.25">
      <c r="A100" s="656" t="e">
        <f>VLOOKUP(D100,Bonds!D:I,6,0)</f>
        <v>#N/A</v>
      </c>
      <c r="B100" s="960" t="s">
        <v>20</v>
      </c>
      <c r="C100" s="960" t="s">
        <v>2339</v>
      </c>
      <c r="D100" s="960" t="s">
        <v>2340</v>
      </c>
      <c r="E100" s="964">
        <v>6520</v>
      </c>
      <c r="F100" s="960" t="s">
        <v>21</v>
      </c>
      <c r="G100" s="960" t="s">
        <v>21</v>
      </c>
      <c r="H100" s="960" t="s">
        <v>257</v>
      </c>
      <c r="I100" s="960" t="s">
        <v>257</v>
      </c>
      <c r="J100" s="961">
        <v>76.359315950920248</v>
      </c>
      <c r="K100" s="963">
        <v>1.1696</v>
      </c>
      <c r="L100" s="961">
        <v>77.930000000000007</v>
      </c>
      <c r="M100" s="963">
        <v>1.1762999999999999</v>
      </c>
      <c r="N100" s="961">
        <v>508103.6</v>
      </c>
      <c r="O100" s="961">
        <v>0</v>
      </c>
      <c r="P100" s="962">
        <v>2.6378088912059918E-2</v>
      </c>
      <c r="Q100" s="961">
        <v>15359.91</v>
      </c>
      <c r="R100" s="961">
        <v>597657.97</v>
      </c>
      <c r="S100" s="962">
        <v>1.4342199170828063E-2</v>
      </c>
    </row>
    <row r="101" spans="1:19" s="22" customFormat="1" x14ac:dyDescent="0.25">
      <c r="A101" s="656" t="e">
        <f>VLOOKUP(D101,Bonds!D:I,6,0)</f>
        <v>#N/A</v>
      </c>
      <c r="B101" s="960" t="s">
        <v>20</v>
      </c>
      <c r="C101" s="960" t="s">
        <v>2526</v>
      </c>
      <c r="D101" s="960" t="s">
        <v>2527</v>
      </c>
      <c r="E101" s="964">
        <v>4400</v>
      </c>
      <c r="F101" s="960" t="s">
        <v>18</v>
      </c>
      <c r="G101" s="960" t="s">
        <v>18</v>
      </c>
      <c r="H101" s="960" t="s">
        <v>257</v>
      </c>
      <c r="I101" s="960" t="s">
        <v>257</v>
      </c>
      <c r="J101" s="961">
        <v>23.019477272727272</v>
      </c>
      <c r="K101" s="960" t="s">
        <v>459</v>
      </c>
      <c r="L101" s="961">
        <v>22.98</v>
      </c>
      <c r="M101" s="960" t="s">
        <v>459</v>
      </c>
      <c r="N101" s="961">
        <v>101112</v>
      </c>
      <c r="O101" s="961">
        <v>0</v>
      </c>
      <c r="P101" s="962">
        <v>-1.7149508765798133E-3</v>
      </c>
      <c r="Q101" s="961">
        <v>-173.7</v>
      </c>
      <c r="R101" s="961">
        <v>101112</v>
      </c>
      <c r="S101" s="962">
        <v>2.4264186463718823E-3</v>
      </c>
    </row>
    <row r="102" spans="1:19" s="22" customFormat="1" x14ac:dyDescent="0.25">
      <c r="A102" s="656" t="e">
        <f>VLOOKUP(D102,Bonds!D:I,6,0)</f>
        <v>#N/A</v>
      </c>
      <c r="B102" s="960" t="s">
        <v>20</v>
      </c>
      <c r="C102" s="960" t="s">
        <v>2420</v>
      </c>
      <c r="D102" s="960" t="s">
        <v>1500</v>
      </c>
      <c r="E102" s="964">
        <v>3475</v>
      </c>
      <c r="F102" s="960" t="s">
        <v>18</v>
      </c>
      <c r="G102" s="960" t="s">
        <v>18</v>
      </c>
      <c r="H102" s="960" t="s">
        <v>257</v>
      </c>
      <c r="I102" s="960" t="s">
        <v>257</v>
      </c>
      <c r="J102" s="961">
        <v>57.704195683453236</v>
      </c>
      <c r="K102" s="960" t="s">
        <v>459</v>
      </c>
      <c r="L102" s="961">
        <v>62.56</v>
      </c>
      <c r="M102" s="960" t="s">
        <v>459</v>
      </c>
      <c r="N102" s="961">
        <v>217396</v>
      </c>
      <c r="O102" s="961">
        <v>0</v>
      </c>
      <c r="P102" s="962">
        <v>8.4149935009650803E-2</v>
      </c>
      <c r="Q102" s="961">
        <v>16873.919999999998</v>
      </c>
      <c r="R102" s="961">
        <v>217396</v>
      </c>
      <c r="S102" s="962">
        <v>5.2169248758471972E-3</v>
      </c>
    </row>
    <row r="103" spans="1:19" s="22" customFormat="1" x14ac:dyDescent="0.25">
      <c r="A103" s="220" t="e">
        <f>VLOOKUP(D103,Bonds!D:I,6,0)</f>
        <v>#N/A</v>
      </c>
      <c r="B103" s="960" t="s">
        <v>20</v>
      </c>
      <c r="C103" s="960" t="s">
        <v>2421</v>
      </c>
      <c r="D103" s="960" t="s">
        <v>2422</v>
      </c>
      <c r="E103" s="964">
        <v>8300</v>
      </c>
      <c r="F103" s="960" t="s">
        <v>18</v>
      </c>
      <c r="G103" s="960" t="s">
        <v>18</v>
      </c>
      <c r="H103" s="960" t="s">
        <v>257</v>
      </c>
      <c r="I103" s="960" t="s">
        <v>257</v>
      </c>
      <c r="J103" s="961">
        <v>33.959810843373496</v>
      </c>
      <c r="K103" s="960" t="s">
        <v>459</v>
      </c>
      <c r="L103" s="961">
        <v>19.96</v>
      </c>
      <c r="M103" s="960" t="s">
        <v>459</v>
      </c>
      <c r="N103" s="961">
        <v>165668</v>
      </c>
      <c r="O103" s="961">
        <v>0</v>
      </c>
      <c r="P103" s="962">
        <v>-0.41224643175847508</v>
      </c>
      <c r="Q103" s="961">
        <v>-116198.43</v>
      </c>
      <c r="R103" s="961">
        <v>165668</v>
      </c>
      <c r="S103" s="962">
        <v>3.9755906747679509E-3</v>
      </c>
    </row>
    <row r="104" spans="1:19" s="22" customFormat="1" x14ac:dyDescent="0.25">
      <c r="A104" s="220" t="e">
        <f>VLOOKUP(D104,Bonds!D:I,6,0)</f>
        <v>#N/A</v>
      </c>
      <c r="B104" s="960" t="s">
        <v>20</v>
      </c>
      <c r="C104" s="960" t="s">
        <v>556</v>
      </c>
      <c r="D104" s="960" t="s">
        <v>557</v>
      </c>
      <c r="E104" s="964">
        <v>5075</v>
      </c>
      <c r="F104" s="960" t="s">
        <v>23</v>
      </c>
      <c r="G104" s="960" t="s">
        <v>18</v>
      </c>
      <c r="H104" s="960" t="s">
        <v>257</v>
      </c>
      <c r="I104" s="960" t="s">
        <v>257</v>
      </c>
      <c r="J104" s="961">
        <v>47.129972413793105</v>
      </c>
      <c r="K104" s="960" t="s">
        <v>459</v>
      </c>
      <c r="L104" s="961">
        <v>119.03</v>
      </c>
      <c r="M104" s="960" t="s">
        <v>459</v>
      </c>
      <c r="N104" s="961">
        <v>604077.25</v>
      </c>
      <c r="O104" s="961">
        <v>0</v>
      </c>
      <c r="P104" s="962">
        <v>1.5255690573068224</v>
      </c>
      <c r="Q104" s="961">
        <v>364892.64</v>
      </c>
      <c r="R104" s="961">
        <v>604077.25</v>
      </c>
      <c r="S104" s="962">
        <v>1.4496244790421008E-2</v>
      </c>
    </row>
    <row r="105" spans="1:19" s="22" customFormat="1" x14ac:dyDescent="0.25">
      <c r="A105" s="220" t="e">
        <f>VLOOKUP(D105,Bonds!D:I,6,0)</f>
        <v>#N/A</v>
      </c>
      <c r="B105" s="960" t="s">
        <v>20</v>
      </c>
      <c r="C105" s="960" t="s">
        <v>2341</v>
      </c>
      <c r="D105" s="960" t="s">
        <v>1622</v>
      </c>
      <c r="E105" s="964">
        <v>6680</v>
      </c>
      <c r="F105" s="960" t="s">
        <v>18</v>
      </c>
      <c r="G105" s="960" t="s">
        <v>18</v>
      </c>
      <c r="H105" s="960" t="s">
        <v>257</v>
      </c>
      <c r="I105" s="960" t="s">
        <v>257</v>
      </c>
      <c r="J105" s="961">
        <v>73.560729041916161</v>
      </c>
      <c r="K105" s="960" t="s">
        <v>459</v>
      </c>
      <c r="L105" s="961">
        <v>61.92</v>
      </c>
      <c r="M105" s="960" t="s">
        <v>459</v>
      </c>
      <c r="N105" s="961">
        <v>413625.59999999998</v>
      </c>
      <c r="O105" s="961">
        <v>0</v>
      </c>
      <c r="P105" s="962">
        <v>-0.15824651541018686</v>
      </c>
      <c r="Q105" s="961">
        <v>-77760.070000000007</v>
      </c>
      <c r="R105" s="961">
        <v>413625.59999999998</v>
      </c>
      <c r="S105" s="962">
        <v>9.9259125371544202E-3</v>
      </c>
    </row>
    <row r="106" spans="1:19" s="22" customFormat="1" x14ac:dyDescent="0.25">
      <c r="A106" s="220" t="e">
        <f>VLOOKUP(D106,Bonds!D:I,6,0)</f>
        <v>#N/A</v>
      </c>
      <c r="B106" s="960" t="s">
        <v>20</v>
      </c>
      <c r="C106" s="960" t="s">
        <v>2256</v>
      </c>
      <c r="D106" s="960" t="s">
        <v>2257</v>
      </c>
      <c r="E106" s="964">
        <v>24575</v>
      </c>
      <c r="F106" s="960" t="s">
        <v>18</v>
      </c>
      <c r="G106" s="960" t="s">
        <v>18</v>
      </c>
      <c r="H106" s="960" t="s">
        <v>257</v>
      </c>
      <c r="I106" s="960" t="s">
        <v>257</v>
      </c>
      <c r="J106" s="961">
        <v>24.41001912512716</v>
      </c>
      <c r="K106" s="960" t="s">
        <v>459</v>
      </c>
      <c r="L106" s="961">
        <v>26.21</v>
      </c>
      <c r="M106" s="960" t="s">
        <v>459</v>
      </c>
      <c r="N106" s="961">
        <v>644110.75</v>
      </c>
      <c r="O106" s="961">
        <v>0</v>
      </c>
      <c r="P106" s="962">
        <v>7.3739429110892235E-2</v>
      </c>
      <c r="Q106" s="961">
        <v>44234.53</v>
      </c>
      <c r="R106" s="961">
        <v>644110.75</v>
      </c>
      <c r="S106" s="962">
        <v>1.5456942144637413E-2</v>
      </c>
    </row>
    <row r="107" spans="1:19" s="22" customFormat="1" x14ac:dyDescent="0.25">
      <c r="A107" s="220" t="e">
        <f>VLOOKUP(D107,Bonds!D:I,6,0)</f>
        <v>#N/A</v>
      </c>
      <c r="B107" s="960" t="s">
        <v>20</v>
      </c>
      <c r="C107" s="960" t="s">
        <v>2342</v>
      </c>
      <c r="D107" s="960" t="s">
        <v>2287</v>
      </c>
      <c r="E107" s="964">
        <v>4310</v>
      </c>
      <c r="F107" s="960" t="s">
        <v>18</v>
      </c>
      <c r="G107" s="960" t="s">
        <v>18</v>
      </c>
      <c r="H107" s="960" t="s">
        <v>257</v>
      </c>
      <c r="I107" s="960" t="s">
        <v>257</v>
      </c>
      <c r="J107" s="961">
        <v>116.92151044083526</v>
      </c>
      <c r="K107" s="960" t="s">
        <v>459</v>
      </c>
      <c r="L107" s="961">
        <v>116.82</v>
      </c>
      <c r="M107" s="960" t="s">
        <v>459</v>
      </c>
      <c r="N107" s="961">
        <v>503494.2</v>
      </c>
      <c r="O107" s="961">
        <v>0</v>
      </c>
      <c r="P107" s="962">
        <v>-8.681930335362305E-4</v>
      </c>
      <c r="Q107" s="961">
        <v>-437.51</v>
      </c>
      <c r="R107" s="961">
        <v>503494.2</v>
      </c>
      <c r="S107" s="962">
        <v>1.2082519534972049E-2</v>
      </c>
    </row>
    <row r="108" spans="1:19" s="22" customFormat="1" x14ac:dyDescent="0.25">
      <c r="A108" s="220" t="e">
        <f>VLOOKUP(D108,Bonds!D:I,6,0)</f>
        <v>#N/A</v>
      </c>
      <c r="B108" s="960" t="s">
        <v>20</v>
      </c>
      <c r="C108" s="960" t="s">
        <v>2423</v>
      </c>
      <c r="D108" s="960" t="s">
        <v>2424</v>
      </c>
      <c r="E108" s="964">
        <v>15150</v>
      </c>
      <c r="F108" s="960" t="s">
        <v>1335</v>
      </c>
      <c r="G108" s="960" t="s">
        <v>18</v>
      </c>
      <c r="H108" s="960" t="s">
        <v>257</v>
      </c>
      <c r="I108" s="960" t="s">
        <v>257</v>
      </c>
      <c r="J108" s="961">
        <v>26.409522772277228</v>
      </c>
      <c r="K108" s="960" t="s">
        <v>459</v>
      </c>
      <c r="L108" s="961">
        <v>28.85</v>
      </c>
      <c r="M108" s="960" t="s">
        <v>459</v>
      </c>
      <c r="N108" s="961">
        <v>437077.5</v>
      </c>
      <c r="O108" s="961">
        <v>0</v>
      </c>
      <c r="P108" s="962">
        <v>9.2408986287499509E-2</v>
      </c>
      <c r="Q108" s="961">
        <v>36973.230000000003</v>
      </c>
      <c r="R108" s="961">
        <v>437077.5</v>
      </c>
      <c r="S108" s="962">
        <v>1.0488695663319947E-2</v>
      </c>
    </row>
    <row r="109" spans="1:19" s="22" customFormat="1" x14ac:dyDescent="0.25">
      <c r="A109" s="220" t="e">
        <f>VLOOKUP(D109,Bonds!D:I,6,0)</f>
        <v>#N/A</v>
      </c>
      <c r="B109" s="960" t="s">
        <v>20</v>
      </c>
      <c r="C109" s="960" t="s">
        <v>2425</v>
      </c>
      <c r="D109" s="960" t="s">
        <v>2426</v>
      </c>
      <c r="E109" s="964">
        <v>5800</v>
      </c>
      <c r="F109" s="960" t="s">
        <v>18</v>
      </c>
      <c r="G109" s="960" t="s">
        <v>18</v>
      </c>
      <c r="H109" s="960" t="s">
        <v>257</v>
      </c>
      <c r="I109" s="960" t="s">
        <v>257</v>
      </c>
      <c r="J109" s="961">
        <v>34.959949999999999</v>
      </c>
      <c r="K109" s="960" t="s">
        <v>459</v>
      </c>
      <c r="L109" s="961">
        <v>35.369999999999997</v>
      </c>
      <c r="M109" s="960" t="s">
        <v>459</v>
      </c>
      <c r="N109" s="961">
        <v>205146</v>
      </c>
      <c r="O109" s="961">
        <v>0</v>
      </c>
      <c r="P109" s="962">
        <v>1.1729135768214771E-2</v>
      </c>
      <c r="Q109" s="961">
        <v>2378.29</v>
      </c>
      <c r="R109" s="961">
        <v>205146</v>
      </c>
      <c r="S109" s="962">
        <v>4.9229575087883356E-3</v>
      </c>
    </row>
    <row r="110" spans="1:19" s="22" customFormat="1" x14ac:dyDescent="0.25">
      <c r="A110" s="220" t="e">
        <f>VLOOKUP(D110,Bonds!D:I,6,0)</f>
        <v>#N/A</v>
      </c>
      <c r="B110" s="960" t="s">
        <v>20</v>
      </c>
      <c r="C110" s="960" t="s">
        <v>2258</v>
      </c>
      <c r="D110" s="960" t="s">
        <v>2259</v>
      </c>
      <c r="E110" s="964">
        <v>54050</v>
      </c>
      <c r="F110" s="960" t="s">
        <v>18</v>
      </c>
      <c r="G110" s="960" t="s">
        <v>18</v>
      </c>
      <c r="H110" s="960" t="s">
        <v>257</v>
      </c>
      <c r="I110" s="960" t="s">
        <v>257</v>
      </c>
      <c r="J110" s="961">
        <v>18.478832932469935</v>
      </c>
      <c r="K110" s="960" t="s">
        <v>459</v>
      </c>
      <c r="L110" s="961">
        <v>19.36</v>
      </c>
      <c r="M110" s="960" t="s">
        <v>459</v>
      </c>
      <c r="N110" s="961">
        <v>1046408</v>
      </c>
      <c r="O110" s="961">
        <v>0</v>
      </c>
      <c r="P110" s="962">
        <v>4.768521208835267E-2</v>
      </c>
      <c r="Q110" s="961">
        <v>47627.08</v>
      </c>
      <c r="R110" s="961">
        <v>1046408</v>
      </c>
      <c r="S110" s="962">
        <v>2.5111004459537036E-2</v>
      </c>
    </row>
    <row r="111" spans="1:19" s="22" customFormat="1" x14ac:dyDescent="0.25">
      <c r="A111" s="220" t="e">
        <f>VLOOKUP(D111,Bonds!D:I,6,0)</f>
        <v>#N/A</v>
      </c>
      <c r="B111" s="960" t="s">
        <v>20</v>
      </c>
      <c r="C111" s="960" t="s">
        <v>2528</v>
      </c>
      <c r="D111" s="960" t="s">
        <v>2529</v>
      </c>
      <c r="E111" s="964">
        <v>2086</v>
      </c>
      <c r="F111" s="960" t="s">
        <v>18</v>
      </c>
      <c r="G111" s="960" t="s">
        <v>18</v>
      </c>
      <c r="H111" s="960" t="s">
        <v>257</v>
      </c>
      <c r="I111" s="960" t="s">
        <v>257</v>
      </c>
      <c r="J111" s="961">
        <v>95.993475551294338</v>
      </c>
      <c r="K111" s="960" t="s">
        <v>459</v>
      </c>
      <c r="L111" s="961">
        <v>98.05</v>
      </c>
      <c r="M111" s="960" t="s">
        <v>459</v>
      </c>
      <c r="N111" s="961">
        <v>204532.3</v>
      </c>
      <c r="O111" s="961">
        <v>0</v>
      </c>
      <c r="P111" s="962">
        <v>2.1423585685328667E-2</v>
      </c>
      <c r="Q111" s="961">
        <v>4289.91</v>
      </c>
      <c r="R111" s="961">
        <v>204532.3</v>
      </c>
      <c r="S111" s="962">
        <v>4.9082303436320885E-3</v>
      </c>
    </row>
    <row r="112" spans="1:19" s="22" customFormat="1" x14ac:dyDescent="0.25">
      <c r="A112" s="220" t="e">
        <f>VLOOKUP(D112,Bonds!D:I,6,0)</f>
        <v>#N/A</v>
      </c>
      <c r="B112" s="960" t="s">
        <v>20</v>
      </c>
      <c r="C112" s="960" t="s">
        <v>2427</v>
      </c>
      <c r="D112" s="960" t="s">
        <v>1875</v>
      </c>
      <c r="E112" s="964">
        <v>1350</v>
      </c>
      <c r="F112" s="960" t="s">
        <v>18</v>
      </c>
      <c r="G112" s="960" t="s">
        <v>18</v>
      </c>
      <c r="H112" s="960" t="s">
        <v>257</v>
      </c>
      <c r="I112" s="960" t="s">
        <v>257</v>
      </c>
      <c r="J112" s="961">
        <v>75.42296296296297</v>
      </c>
      <c r="K112" s="960" t="s">
        <v>459</v>
      </c>
      <c r="L112" s="961">
        <v>77.16</v>
      </c>
      <c r="M112" s="960" t="s">
        <v>459</v>
      </c>
      <c r="N112" s="961">
        <v>104166</v>
      </c>
      <c r="O112" s="961">
        <v>0</v>
      </c>
      <c r="P112" s="962">
        <v>2.3030612545545615E-2</v>
      </c>
      <c r="Q112" s="961">
        <v>2345</v>
      </c>
      <c r="R112" s="961">
        <v>104166</v>
      </c>
      <c r="S112" s="962">
        <v>2.4997065107798628E-3</v>
      </c>
    </row>
    <row r="113" spans="1:19" s="22" customFormat="1" x14ac:dyDescent="0.25">
      <c r="A113" s="220" t="e">
        <f>VLOOKUP(D113,Bonds!D:I,6,0)</f>
        <v>#N/A</v>
      </c>
      <c r="B113" s="960" t="s">
        <v>20</v>
      </c>
      <c r="C113" s="960" t="s">
        <v>2487</v>
      </c>
      <c r="D113" s="960" t="s">
        <v>2488</v>
      </c>
      <c r="E113" s="965">
        <v>9205.4390000000003</v>
      </c>
      <c r="F113" s="960" t="s">
        <v>21</v>
      </c>
      <c r="G113" s="960" t="s">
        <v>21</v>
      </c>
      <c r="H113" s="960" t="s">
        <v>257</v>
      </c>
      <c r="I113" s="960" t="s">
        <v>257</v>
      </c>
      <c r="J113" s="961">
        <v>54.397190617416506</v>
      </c>
      <c r="K113" s="963">
        <v>1.1820999999999999</v>
      </c>
      <c r="L113" s="961">
        <v>55.61</v>
      </c>
      <c r="M113" s="963">
        <v>1.1762999999999999</v>
      </c>
      <c r="N113" s="961">
        <v>511914.46</v>
      </c>
      <c r="O113" s="961">
        <v>0</v>
      </c>
      <c r="P113" s="962">
        <v>1.7199567821463872E-2</v>
      </c>
      <c r="Q113" s="961">
        <v>10181.44</v>
      </c>
      <c r="R113" s="961">
        <v>602140.5</v>
      </c>
      <c r="S113" s="962">
        <v>1.4449767949755603E-2</v>
      </c>
    </row>
    <row r="114" spans="1:19" s="22" customFormat="1" x14ac:dyDescent="0.25">
      <c r="A114" s="220" t="e">
        <f>VLOOKUP(D114,Bonds!D:I,6,0)</f>
        <v>#N/A</v>
      </c>
      <c r="B114" s="960" t="s">
        <v>20</v>
      </c>
      <c r="C114" s="960" t="s">
        <v>2428</v>
      </c>
      <c r="D114" s="960" t="s">
        <v>1945</v>
      </c>
      <c r="E114" s="964">
        <v>1650</v>
      </c>
      <c r="F114" s="960" t="s">
        <v>18</v>
      </c>
      <c r="G114" s="960" t="s">
        <v>18</v>
      </c>
      <c r="H114" s="960" t="s">
        <v>257</v>
      </c>
      <c r="I114" s="960" t="s">
        <v>257</v>
      </c>
      <c r="J114" s="961">
        <v>61.542175757575755</v>
      </c>
      <c r="K114" s="960" t="s">
        <v>459</v>
      </c>
      <c r="L114" s="961">
        <v>68.09</v>
      </c>
      <c r="M114" s="960" t="s">
        <v>459</v>
      </c>
      <c r="N114" s="961">
        <v>112348.5</v>
      </c>
      <c r="O114" s="961">
        <v>0</v>
      </c>
      <c r="P114" s="962">
        <v>0.10639572231272981</v>
      </c>
      <c r="Q114" s="961">
        <v>10803.91</v>
      </c>
      <c r="R114" s="961">
        <v>112348.5</v>
      </c>
      <c r="S114" s="962">
        <v>2.6960647133071388E-3</v>
      </c>
    </row>
    <row r="115" spans="1:19" s="22" customFormat="1" x14ac:dyDescent="0.25">
      <c r="A115" s="220" t="e">
        <f>VLOOKUP(D115,Bonds!D:I,6,0)</f>
        <v>#N/A</v>
      </c>
      <c r="B115" s="960" t="s">
        <v>20</v>
      </c>
      <c r="C115" s="960" t="s">
        <v>2429</v>
      </c>
      <c r="D115" s="960" t="s">
        <v>2430</v>
      </c>
      <c r="E115" s="964">
        <v>13700</v>
      </c>
      <c r="F115" s="960" t="s">
        <v>18</v>
      </c>
      <c r="G115" s="960" t="s">
        <v>18</v>
      </c>
      <c r="H115" s="960" t="s">
        <v>257</v>
      </c>
      <c r="I115" s="960" t="s">
        <v>257</v>
      </c>
      <c r="J115" s="961">
        <v>36.4746299270073</v>
      </c>
      <c r="K115" s="960" t="s">
        <v>459</v>
      </c>
      <c r="L115" s="961">
        <v>37.7789</v>
      </c>
      <c r="M115" s="960" t="s">
        <v>459</v>
      </c>
      <c r="N115" s="961">
        <v>517570.93</v>
      </c>
      <c r="O115" s="961">
        <v>0</v>
      </c>
      <c r="P115" s="962">
        <v>3.5758281183463525E-2</v>
      </c>
      <c r="Q115" s="961">
        <v>17868.5</v>
      </c>
      <c r="R115" s="961">
        <v>517570.93</v>
      </c>
      <c r="S115" s="962">
        <v>1.2420323555780089E-2</v>
      </c>
    </row>
    <row r="116" spans="1:19" s="22" customFormat="1" x14ac:dyDescent="0.25">
      <c r="A116" s="220" t="e">
        <f>VLOOKUP(D116,Bonds!D:I,6,0)</f>
        <v>#N/A</v>
      </c>
      <c r="B116" s="960" t="s">
        <v>20</v>
      </c>
      <c r="C116" s="960" t="s">
        <v>2262</v>
      </c>
      <c r="D116" s="960" t="s">
        <v>2263</v>
      </c>
      <c r="E116" s="964">
        <v>48700</v>
      </c>
      <c r="F116" s="960" t="s">
        <v>18</v>
      </c>
      <c r="G116" s="960" t="s">
        <v>18</v>
      </c>
      <c r="H116" s="960" t="s">
        <v>257</v>
      </c>
      <c r="I116" s="960" t="s">
        <v>257</v>
      </c>
      <c r="J116" s="961">
        <v>12.257578439425052</v>
      </c>
      <c r="K116" s="960" t="s">
        <v>459</v>
      </c>
      <c r="L116" s="961">
        <v>15.76</v>
      </c>
      <c r="M116" s="960" t="s">
        <v>459</v>
      </c>
      <c r="N116" s="961">
        <v>767512</v>
      </c>
      <c r="O116" s="961">
        <v>0</v>
      </c>
      <c r="P116" s="962">
        <v>0.28573519458866559</v>
      </c>
      <c r="Q116" s="961">
        <v>170567.93</v>
      </c>
      <c r="R116" s="961">
        <v>767512</v>
      </c>
      <c r="S116" s="962">
        <v>1.8418243414373925E-2</v>
      </c>
    </row>
    <row r="117" spans="1:19" s="22" customFormat="1" x14ac:dyDescent="0.25">
      <c r="A117" s="220" t="e">
        <f>VLOOKUP(D117,Bonds!D:I,6,0)</f>
        <v>#N/A</v>
      </c>
      <c r="B117" s="960" t="s">
        <v>20</v>
      </c>
      <c r="C117" s="960" t="s">
        <v>1071</v>
      </c>
      <c r="D117" s="960" t="s">
        <v>257</v>
      </c>
      <c r="E117" s="964">
        <v>-50</v>
      </c>
      <c r="F117" s="960" t="s">
        <v>18</v>
      </c>
      <c r="G117" s="960" t="s">
        <v>18</v>
      </c>
      <c r="H117" s="960" t="s">
        <v>1072</v>
      </c>
      <c r="I117" s="960" t="s">
        <v>257</v>
      </c>
      <c r="J117" s="961">
        <v>13.599081999999999</v>
      </c>
      <c r="K117" s="960" t="s">
        <v>459</v>
      </c>
      <c r="L117" s="961">
        <v>30.3</v>
      </c>
      <c r="M117" s="960" t="s">
        <v>459</v>
      </c>
      <c r="N117" s="961">
        <v>-151500</v>
      </c>
      <c r="O117" s="961">
        <v>0</v>
      </c>
      <c r="P117" s="962">
        <v>-1.2280915726517423</v>
      </c>
      <c r="Q117" s="961">
        <v>-83504.59</v>
      </c>
      <c r="R117" s="961">
        <v>-151500</v>
      </c>
      <c r="S117" s="962">
        <v>-3.6355964170953024E-3</v>
      </c>
    </row>
    <row r="118" spans="1:19" s="22" customFormat="1" ht="14.25" customHeight="1" x14ac:dyDescent="0.25">
      <c r="A118" s="220" t="e">
        <f>VLOOKUP(D118,Bonds!D:I,6,0)</f>
        <v>#N/A</v>
      </c>
      <c r="B118" s="960" t="s">
        <v>20</v>
      </c>
      <c r="C118" s="960" t="s">
        <v>963</v>
      </c>
      <c r="D118" s="960" t="s">
        <v>257</v>
      </c>
      <c r="E118" s="964">
        <v>-12</v>
      </c>
      <c r="F118" s="960" t="s">
        <v>18</v>
      </c>
      <c r="G118" s="960" t="s">
        <v>18</v>
      </c>
      <c r="H118" s="960" t="s">
        <v>964</v>
      </c>
      <c r="I118" s="960" t="s">
        <v>257</v>
      </c>
      <c r="J118" s="961">
        <v>30.784541666666666</v>
      </c>
      <c r="K118" s="960" t="s">
        <v>459</v>
      </c>
      <c r="L118" s="961">
        <v>95.22</v>
      </c>
      <c r="M118" s="960" t="s">
        <v>459</v>
      </c>
      <c r="N118" s="961">
        <v>-114264</v>
      </c>
      <c r="O118" s="961">
        <v>0</v>
      </c>
      <c r="P118" s="962">
        <v>-2.0931108551505151</v>
      </c>
      <c r="Q118" s="961">
        <v>-77322.55</v>
      </c>
      <c r="R118" s="961">
        <v>-114264</v>
      </c>
      <c r="S118" s="962">
        <v>-2.7420316105807104E-3</v>
      </c>
    </row>
    <row r="119" spans="1:19" s="22" customFormat="1" x14ac:dyDescent="0.25">
      <c r="A119" s="220" t="e">
        <f>VLOOKUP(D119,Bonds!D:I,6,0)</f>
        <v>#N/A</v>
      </c>
      <c r="B119" s="960" t="s">
        <v>20</v>
      </c>
      <c r="C119" s="960" t="s">
        <v>2431</v>
      </c>
      <c r="D119" s="960" t="s">
        <v>257</v>
      </c>
      <c r="E119" s="964">
        <v>-36</v>
      </c>
      <c r="F119" s="960" t="s">
        <v>18</v>
      </c>
      <c r="G119" s="960" t="s">
        <v>18</v>
      </c>
      <c r="H119" s="960" t="s">
        <v>2432</v>
      </c>
      <c r="I119" s="960" t="s">
        <v>257</v>
      </c>
      <c r="J119" s="961">
        <v>5.429783333333333</v>
      </c>
      <c r="K119" s="960" t="s">
        <v>459</v>
      </c>
      <c r="L119" s="961">
        <v>7.53</v>
      </c>
      <c r="M119" s="960" t="s">
        <v>459</v>
      </c>
      <c r="N119" s="961">
        <v>-27108</v>
      </c>
      <c r="O119" s="961">
        <v>0</v>
      </c>
      <c r="P119" s="962">
        <v>-0.38679566710765007</v>
      </c>
      <c r="Q119" s="961">
        <v>-7560.78</v>
      </c>
      <c r="R119" s="961">
        <v>-27108</v>
      </c>
      <c r="S119" s="962">
        <v>-6.5051978663115161E-4</v>
      </c>
    </row>
    <row r="120" spans="1:19" s="22" customFormat="1" x14ac:dyDescent="0.25">
      <c r="A120" s="220" t="e">
        <f>VLOOKUP(D120,Bonds!D:I,6,0)</f>
        <v>#N/A</v>
      </c>
      <c r="B120" s="960" t="s">
        <v>20</v>
      </c>
      <c r="C120" s="960" t="s">
        <v>989</v>
      </c>
      <c r="D120" s="960" t="s">
        <v>257</v>
      </c>
      <c r="E120" s="964">
        <v>-84</v>
      </c>
      <c r="F120" s="960" t="s">
        <v>18</v>
      </c>
      <c r="G120" s="960" t="s">
        <v>18</v>
      </c>
      <c r="H120" s="960" t="s">
        <v>964</v>
      </c>
      <c r="I120" s="960" t="s">
        <v>257</v>
      </c>
      <c r="J120" s="961">
        <v>8.5593500000000002</v>
      </c>
      <c r="K120" s="960" t="s">
        <v>459</v>
      </c>
      <c r="L120" s="961">
        <v>4.0999999999999996</v>
      </c>
      <c r="M120" s="960" t="s">
        <v>459</v>
      </c>
      <c r="N120" s="961">
        <v>-34440</v>
      </c>
      <c r="O120" s="961">
        <v>0</v>
      </c>
      <c r="P120" s="962">
        <v>0.5209916640866421</v>
      </c>
      <c r="Q120" s="961">
        <v>37458.54</v>
      </c>
      <c r="R120" s="961">
        <v>-34440</v>
      </c>
      <c r="S120" s="962">
        <v>-8.2646825481691227E-4</v>
      </c>
    </row>
    <row r="121" spans="1:19" s="22" customFormat="1" x14ac:dyDescent="0.25">
      <c r="A121" s="220" t="e">
        <f>VLOOKUP(D121,Bonds!D:I,6,0)</f>
        <v>#N/A</v>
      </c>
      <c r="B121" s="960" t="s">
        <v>20</v>
      </c>
      <c r="C121" s="960" t="s">
        <v>1210</v>
      </c>
      <c r="D121" s="960" t="s">
        <v>257</v>
      </c>
      <c r="E121" s="964">
        <v>-18</v>
      </c>
      <c r="F121" s="960" t="s">
        <v>18</v>
      </c>
      <c r="G121" s="960" t="s">
        <v>18</v>
      </c>
      <c r="H121" s="960" t="s">
        <v>964</v>
      </c>
      <c r="I121" s="960" t="s">
        <v>257</v>
      </c>
      <c r="J121" s="961">
        <v>20.900849999999998</v>
      </c>
      <c r="K121" s="960" t="s">
        <v>459</v>
      </c>
      <c r="L121" s="961">
        <v>46.25</v>
      </c>
      <c r="M121" s="960" t="s">
        <v>459</v>
      </c>
      <c r="N121" s="961">
        <v>-83250</v>
      </c>
      <c r="O121" s="961">
        <v>0</v>
      </c>
      <c r="P121" s="962">
        <v>-1.2128286648629123</v>
      </c>
      <c r="Q121" s="961">
        <v>-45628.47</v>
      </c>
      <c r="R121" s="961">
        <v>-83250</v>
      </c>
      <c r="S121" s="962">
        <v>-1.9977782291959335E-3</v>
      </c>
    </row>
    <row r="122" spans="1:19" s="22" customFormat="1" x14ac:dyDescent="0.25">
      <c r="A122" s="220" t="e">
        <f>VLOOKUP(D122,Bonds!D:I,6,0)</f>
        <v>#N/A</v>
      </c>
      <c r="B122" s="960" t="s">
        <v>20</v>
      </c>
      <c r="C122" s="960" t="s">
        <v>2433</v>
      </c>
      <c r="D122" s="960" t="s">
        <v>2434</v>
      </c>
      <c r="E122" s="964">
        <v>4300</v>
      </c>
      <c r="F122" s="960" t="s">
        <v>18</v>
      </c>
      <c r="G122" s="960" t="s">
        <v>18</v>
      </c>
      <c r="H122" s="960" t="s">
        <v>257</v>
      </c>
      <c r="I122" s="960" t="s">
        <v>257</v>
      </c>
      <c r="J122" s="961">
        <v>46.71997441860465</v>
      </c>
      <c r="K122" s="960" t="s">
        <v>459</v>
      </c>
      <c r="L122" s="961">
        <v>51.54</v>
      </c>
      <c r="M122" s="960" t="s">
        <v>459</v>
      </c>
      <c r="N122" s="961">
        <v>221622</v>
      </c>
      <c r="O122" s="961">
        <v>0</v>
      </c>
      <c r="P122" s="962">
        <v>0.1031684122557211</v>
      </c>
      <c r="Q122" s="961">
        <v>20726.11</v>
      </c>
      <c r="R122" s="961">
        <v>221622</v>
      </c>
      <c r="S122" s="962">
        <v>5.3183376181484823E-3</v>
      </c>
    </row>
    <row r="123" spans="1:19" x14ac:dyDescent="0.25">
      <c r="A123" s="220" t="e">
        <f>VLOOKUP(D123,Bonds!D:I,6,0)</f>
        <v>#N/A</v>
      </c>
      <c r="B123" s="960" t="s">
        <v>20</v>
      </c>
      <c r="C123" s="960" t="s">
        <v>1185</v>
      </c>
      <c r="D123" s="960" t="s">
        <v>1186</v>
      </c>
      <c r="E123" s="964">
        <v>2700</v>
      </c>
      <c r="F123" s="960" t="s">
        <v>18</v>
      </c>
      <c r="G123" s="960" t="s">
        <v>18</v>
      </c>
      <c r="H123" s="960" t="s">
        <v>257</v>
      </c>
      <c r="I123" s="960" t="s">
        <v>257</v>
      </c>
      <c r="J123" s="961">
        <v>111.05633703703704</v>
      </c>
      <c r="K123" s="960" t="s">
        <v>459</v>
      </c>
      <c r="L123" s="961">
        <v>126.74</v>
      </c>
      <c r="M123" s="960" t="s">
        <v>459</v>
      </c>
      <c r="N123" s="961">
        <v>342198</v>
      </c>
      <c r="O123" s="961">
        <v>0</v>
      </c>
      <c r="P123" s="962">
        <v>0.14122258469350107</v>
      </c>
      <c r="Q123" s="961">
        <v>42345.89</v>
      </c>
      <c r="R123" s="961">
        <v>342198</v>
      </c>
      <c r="S123" s="962">
        <v>8.2118404141067868E-3</v>
      </c>
    </row>
    <row r="124" spans="1:19" x14ac:dyDescent="0.25">
      <c r="A124" s="220" t="e">
        <f>VLOOKUP(D124,Bonds!D:I,6,0)</f>
        <v>#N/A</v>
      </c>
      <c r="B124" s="960" t="s">
        <v>20</v>
      </c>
      <c r="C124" s="960" t="s">
        <v>2435</v>
      </c>
      <c r="D124" s="960" t="s">
        <v>2436</v>
      </c>
      <c r="E124" s="965">
        <v>1860.5530000000001</v>
      </c>
      <c r="F124" s="960" t="s">
        <v>21</v>
      </c>
      <c r="G124" s="960" t="s">
        <v>21</v>
      </c>
      <c r="H124" s="960" t="s">
        <v>257</v>
      </c>
      <c r="I124" s="960" t="s">
        <v>257</v>
      </c>
      <c r="J124" s="961">
        <v>554.4286940495648</v>
      </c>
      <c r="K124" s="963">
        <v>1.1806000000000001</v>
      </c>
      <c r="L124" s="961">
        <v>569.69000000000005</v>
      </c>
      <c r="M124" s="963">
        <v>1.1762999999999999</v>
      </c>
      <c r="N124" s="961">
        <v>1059938.44</v>
      </c>
      <c r="O124" s="961">
        <v>0</v>
      </c>
      <c r="P124" s="962">
        <v>2.3731997434632536E-2</v>
      </c>
      <c r="Q124" s="961">
        <v>28902.080000000002</v>
      </c>
      <c r="R124" s="961">
        <v>1246754.8999999999</v>
      </c>
      <c r="S124" s="962">
        <v>2.9918796352712947E-2</v>
      </c>
    </row>
    <row r="125" spans="1:19" x14ac:dyDescent="0.25">
      <c r="A125" s="220" t="e">
        <f>VLOOKUP(D125,Bonds!D:I,6,0)</f>
        <v>#N/A</v>
      </c>
      <c r="B125" s="960" t="s">
        <v>20</v>
      </c>
      <c r="C125" s="960" t="s">
        <v>2347</v>
      </c>
      <c r="D125" s="960" t="s">
        <v>2348</v>
      </c>
      <c r="E125" s="964">
        <v>2730</v>
      </c>
      <c r="F125" s="960" t="s">
        <v>18</v>
      </c>
      <c r="G125" s="960" t="s">
        <v>18</v>
      </c>
      <c r="H125" s="960" t="s">
        <v>257</v>
      </c>
      <c r="I125" s="960" t="s">
        <v>257</v>
      </c>
      <c r="J125" s="961">
        <v>186.48972161172162</v>
      </c>
      <c r="K125" s="960" t="s">
        <v>459</v>
      </c>
      <c r="L125" s="961">
        <v>211.41</v>
      </c>
      <c r="M125" s="960" t="s">
        <v>459</v>
      </c>
      <c r="N125" s="961">
        <v>577149.30000000005</v>
      </c>
      <c r="O125" s="961">
        <v>0</v>
      </c>
      <c r="P125" s="962">
        <v>0.13362816016296766</v>
      </c>
      <c r="Q125" s="961">
        <v>68032.36</v>
      </c>
      <c r="R125" s="961">
        <v>577149.30000000005</v>
      </c>
      <c r="S125" s="962">
        <v>1.3850045724152224E-2</v>
      </c>
    </row>
    <row r="126" spans="1:19" x14ac:dyDescent="0.25">
      <c r="A126" s="220" t="e">
        <f>VLOOKUP(D126,Bonds!D:I,6,0)</f>
        <v>#N/A</v>
      </c>
      <c r="B126" s="960" t="s">
        <v>20</v>
      </c>
      <c r="C126" s="960" t="s">
        <v>2530</v>
      </c>
      <c r="D126" s="960" t="s">
        <v>2531</v>
      </c>
      <c r="E126" s="964">
        <v>260</v>
      </c>
      <c r="F126" s="960" t="s">
        <v>18</v>
      </c>
      <c r="G126" s="960" t="s">
        <v>18</v>
      </c>
      <c r="H126" s="960" t="s">
        <v>257</v>
      </c>
      <c r="I126" s="960" t="s">
        <v>257</v>
      </c>
      <c r="J126" s="961">
        <v>380.84042307692306</v>
      </c>
      <c r="K126" s="960" t="s">
        <v>459</v>
      </c>
      <c r="L126" s="961">
        <v>391.69</v>
      </c>
      <c r="M126" s="960" t="s">
        <v>459</v>
      </c>
      <c r="N126" s="961">
        <v>101839.4</v>
      </c>
      <c r="O126" s="961">
        <v>0</v>
      </c>
      <c r="P126" s="962">
        <v>2.8488511895402184E-2</v>
      </c>
      <c r="Q126" s="961">
        <v>2820.89</v>
      </c>
      <c r="R126" s="961">
        <v>101839.4</v>
      </c>
      <c r="S126" s="962">
        <v>2.4438743086411573E-3</v>
      </c>
    </row>
    <row r="127" spans="1:19" x14ac:dyDescent="0.25">
      <c r="A127" s="220" t="e">
        <f>VLOOKUP(D127,Bonds!D:I,6,0)</f>
        <v>#N/A</v>
      </c>
      <c r="B127" s="960" t="s">
        <v>20</v>
      </c>
      <c r="C127" s="960" t="s">
        <v>2532</v>
      </c>
      <c r="D127" s="960" t="s">
        <v>2533</v>
      </c>
      <c r="E127" s="964">
        <v>4000</v>
      </c>
      <c r="F127" s="960" t="s">
        <v>18</v>
      </c>
      <c r="G127" s="960" t="s">
        <v>18</v>
      </c>
      <c r="H127" s="960" t="s">
        <v>257</v>
      </c>
      <c r="I127" s="960" t="s">
        <v>257</v>
      </c>
      <c r="J127" s="961">
        <v>24.8058525</v>
      </c>
      <c r="K127" s="960" t="s">
        <v>459</v>
      </c>
      <c r="L127" s="961">
        <v>24.565000000000001</v>
      </c>
      <c r="M127" s="960" t="s">
        <v>459</v>
      </c>
      <c r="N127" s="961">
        <v>98260</v>
      </c>
      <c r="O127" s="961">
        <v>0</v>
      </c>
      <c r="P127" s="962">
        <v>-9.7095030295773956E-3</v>
      </c>
      <c r="Q127" s="961">
        <v>-963.41</v>
      </c>
      <c r="R127" s="961">
        <v>98260</v>
      </c>
      <c r="S127" s="962">
        <v>2.3579782438533621E-3</v>
      </c>
    </row>
    <row r="128" spans="1:19" x14ac:dyDescent="0.25">
      <c r="A128" s="220" t="e">
        <f>VLOOKUP(D128,Bonds!D:I,6,0)</f>
        <v>#N/A</v>
      </c>
      <c r="B128" s="960" t="s">
        <v>20</v>
      </c>
      <c r="C128" s="960" t="s">
        <v>2437</v>
      </c>
      <c r="D128" s="960" t="s">
        <v>2438</v>
      </c>
      <c r="E128" s="964">
        <v>1750</v>
      </c>
      <c r="F128" s="960" t="s">
        <v>18</v>
      </c>
      <c r="G128" s="960" t="s">
        <v>18</v>
      </c>
      <c r="H128" s="960" t="s">
        <v>257</v>
      </c>
      <c r="I128" s="960" t="s">
        <v>257</v>
      </c>
      <c r="J128" s="961">
        <v>171.80737714285715</v>
      </c>
      <c r="K128" s="960" t="s">
        <v>459</v>
      </c>
      <c r="L128" s="961">
        <v>172.5</v>
      </c>
      <c r="M128" s="960" t="s">
        <v>459</v>
      </c>
      <c r="N128" s="961">
        <v>301875</v>
      </c>
      <c r="O128" s="961">
        <v>0</v>
      </c>
      <c r="P128" s="962">
        <v>4.0313918334655913E-3</v>
      </c>
      <c r="Q128" s="961">
        <v>1212.0899999999999</v>
      </c>
      <c r="R128" s="961">
        <v>301875</v>
      </c>
      <c r="S128" s="962">
        <v>7.2441958310933618E-3</v>
      </c>
    </row>
    <row r="129" spans="1:19" x14ac:dyDescent="0.25">
      <c r="A129" s="220" t="e">
        <f>VLOOKUP(D129,Bonds!D:I,6,0)</f>
        <v>#N/A</v>
      </c>
      <c r="B129" s="960" t="s">
        <v>20</v>
      </c>
      <c r="C129" s="960" t="s">
        <v>2349</v>
      </c>
      <c r="D129" s="960" t="s">
        <v>2350</v>
      </c>
      <c r="E129" s="964">
        <v>57900</v>
      </c>
      <c r="F129" s="960" t="s">
        <v>18</v>
      </c>
      <c r="G129" s="960" t="s">
        <v>18</v>
      </c>
      <c r="H129" s="960" t="s">
        <v>257</v>
      </c>
      <c r="I129" s="960" t="s">
        <v>257</v>
      </c>
      <c r="J129" s="961">
        <v>17.300523316062176</v>
      </c>
      <c r="K129" s="960" t="s">
        <v>459</v>
      </c>
      <c r="L129" s="961">
        <v>18.0975</v>
      </c>
      <c r="M129" s="960" t="s">
        <v>459</v>
      </c>
      <c r="N129" s="961">
        <v>1047845.25</v>
      </c>
      <c r="O129" s="961">
        <v>0</v>
      </c>
      <c r="P129" s="962">
        <v>4.6066622921047344E-2</v>
      </c>
      <c r="Q129" s="961">
        <v>46144.95</v>
      </c>
      <c r="R129" s="961">
        <v>1047845.25</v>
      </c>
      <c r="S129" s="962">
        <v>2.514549463082727E-2</v>
      </c>
    </row>
    <row r="130" spans="1:19" x14ac:dyDescent="0.25">
      <c r="A130" s="220" t="e">
        <f>VLOOKUP(D130,Bonds!D:I,6,0)</f>
        <v>#N/A</v>
      </c>
      <c r="B130" s="960" t="s">
        <v>20</v>
      </c>
      <c r="C130" s="960" t="s">
        <v>1187</v>
      </c>
      <c r="D130" s="960" t="s">
        <v>1188</v>
      </c>
      <c r="E130" s="964">
        <v>9735</v>
      </c>
      <c r="F130" s="960" t="s">
        <v>21</v>
      </c>
      <c r="G130" s="960" t="s">
        <v>21</v>
      </c>
      <c r="H130" s="960" t="s">
        <v>257</v>
      </c>
      <c r="I130" s="960" t="s">
        <v>257</v>
      </c>
      <c r="J130" s="961">
        <v>30.737857216230097</v>
      </c>
      <c r="K130" s="963">
        <v>1.1657</v>
      </c>
      <c r="L130" s="961">
        <v>35.14</v>
      </c>
      <c r="M130" s="963">
        <v>1.1762999999999999</v>
      </c>
      <c r="N130" s="961">
        <v>342087.9</v>
      </c>
      <c r="O130" s="961">
        <v>0</v>
      </c>
      <c r="P130" s="962">
        <v>0.15359542416849684</v>
      </c>
      <c r="Q130" s="961">
        <v>53575.09</v>
      </c>
      <c r="R130" s="961">
        <v>402381.64</v>
      </c>
      <c r="S130" s="962">
        <v>9.6560874500919592E-3</v>
      </c>
    </row>
    <row r="131" spans="1:19" x14ac:dyDescent="0.25">
      <c r="A131" s="220" t="e">
        <f>VLOOKUP(D131,Bonds!D:I,6,0)</f>
        <v>#N/A</v>
      </c>
    </row>
    <row r="132" spans="1:19" x14ac:dyDescent="0.25">
      <c r="A132" s="220" t="e">
        <f>VLOOKUP(D132,Bonds!D:I,6,0)</f>
        <v>#N/A</v>
      </c>
    </row>
    <row r="133" spans="1:19" x14ac:dyDescent="0.25">
      <c r="A133" s="220" t="e">
        <f>VLOOKUP(D133,Bonds!D:I,6,0)</f>
        <v>#N/A</v>
      </c>
    </row>
    <row r="134" spans="1:19" x14ac:dyDescent="0.25">
      <c r="A134" s="220" t="e">
        <f>VLOOKUP(D134,Bonds!D:I,6,0)</f>
        <v>#N/A</v>
      </c>
    </row>
    <row r="135" spans="1:19" x14ac:dyDescent="0.25">
      <c r="A135" s="220" t="e">
        <f>VLOOKUP(D135,Bonds!D:I,6,0)</f>
        <v>#N/A</v>
      </c>
    </row>
    <row r="136" spans="1:19" x14ac:dyDescent="0.25">
      <c r="A136" s="220" t="e">
        <f>VLOOKUP(D136,Bonds!D:I,6,0)</f>
        <v>#N/A</v>
      </c>
    </row>
    <row r="137" spans="1:19" x14ac:dyDescent="0.25">
      <c r="A137" s="220" t="e">
        <f>VLOOKUP(D137,Bonds!D:I,6,0)</f>
        <v>#N/A</v>
      </c>
    </row>
    <row r="138" spans="1:19" x14ac:dyDescent="0.25">
      <c r="A138" s="220" t="e">
        <f>VLOOKUP(D138,Bonds!D:I,6,0)</f>
        <v>#N/A</v>
      </c>
    </row>
    <row r="139" spans="1:19" x14ac:dyDescent="0.25">
      <c r="A139" s="220" t="e">
        <f>VLOOKUP(D139,Bonds!D:I,6,0)</f>
        <v>#N/A</v>
      </c>
    </row>
    <row r="140" spans="1:19" x14ac:dyDescent="0.25">
      <c r="A140" s="220" t="e">
        <f>VLOOKUP(D140,Bonds!D:I,6,0)</f>
        <v>#N/A</v>
      </c>
    </row>
    <row r="141" spans="1:19" x14ac:dyDescent="0.25">
      <c r="A141" s="220" t="e">
        <f>VLOOKUP(D141,Bonds!D:I,6,0)</f>
        <v>#N/A</v>
      </c>
    </row>
    <row r="142" spans="1:19" x14ac:dyDescent="0.25">
      <c r="A142" s="220" t="e">
        <f>VLOOKUP(D142,Bonds!D:I,6,0)</f>
        <v>#N/A</v>
      </c>
    </row>
    <row r="143" spans="1:19" x14ac:dyDescent="0.25">
      <c r="A143" s="220" t="e">
        <f>VLOOKUP(D143,Bonds!D:I,6,0)</f>
        <v>#N/A</v>
      </c>
    </row>
    <row r="144" spans="1:19" x14ac:dyDescent="0.25">
      <c r="A144" s="220" t="e">
        <f>VLOOKUP(D144,Bonds!D:I,6,0)</f>
        <v>#N/A</v>
      </c>
    </row>
    <row r="145" spans="1:1" x14ac:dyDescent="0.25">
      <c r="A145" s="220" t="e">
        <f>VLOOKUP(D145,Bonds!D:I,6,0)</f>
        <v>#N/A</v>
      </c>
    </row>
    <row r="146" spans="1:1" x14ac:dyDescent="0.25">
      <c r="A146" s="220" t="e">
        <f>VLOOKUP(D146,Bonds!D:I,6,0)</f>
        <v>#N/A</v>
      </c>
    </row>
    <row r="147" spans="1:1" x14ac:dyDescent="0.25">
      <c r="A147" s="220" t="e">
        <f>VLOOKUP(D147,Bonds!D:I,6,0)</f>
        <v>#N/A</v>
      </c>
    </row>
    <row r="148" spans="1:1" x14ac:dyDescent="0.25">
      <c r="A148" s="220" t="e">
        <f>VLOOKUP(D148,Bonds!D:I,6,0)</f>
        <v>#N/A</v>
      </c>
    </row>
    <row r="149" spans="1:1" x14ac:dyDescent="0.25">
      <c r="A149" s="220" t="e">
        <f>VLOOKUP(D149,Bonds!D:I,6,0)</f>
        <v>#N/A</v>
      </c>
    </row>
    <row r="150" spans="1:1" x14ac:dyDescent="0.25">
      <c r="A150" s="220" t="e">
        <f>VLOOKUP(D150,Bonds!D:I,6,0)</f>
        <v>#N/A</v>
      </c>
    </row>
    <row r="151" spans="1:1" x14ac:dyDescent="0.25">
      <c r="A151" s="220" t="e">
        <f>VLOOKUP(D151,Bonds!D:I,6,0)</f>
        <v>#N/A</v>
      </c>
    </row>
    <row r="152" spans="1:1" x14ac:dyDescent="0.25">
      <c r="A152" s="220" t="e">
        <f>VLOOKUP(D152,Bonds!D:I,6,0)</f>
        <v>#N/A</v>
      </c>
    </row>
    <row r="153" spans="1:1" x14ac:dyDescent="0.25">
      <c r="A153" s="220" t="e">
        <f>VLOOKUP(D153,Bonds!D:I,6,0)</f>
        <v>#N/A</v>
      </c>
    </row>
    <row r="154" spans="1:1" x14ac:dyDescent="0.25">
      <c r="A154" s="220" t="e">
        <f>VLOOKUP(D154,Bonds!D:I,6,0)</f>
        <v>#N/A</v>
      </c>
    </row>
    <row r="155" spans="1:1" x14ac:dyDescent="0.25">
      <c r="A155" s="220" t="e">
        <f>VLOOKUP(D155,Bonds!D:I,6,0)</f>
        <v>#N/A</v>
      </c>
    </row>
    <row r="156" spans="1:1" x14ac:dyDescent="0.25">
      <c r="A156" s="220" t="e">
        <f>VLOOKUP(D156,Bonds!D:I,6,0)</f>
        <v>#N/A</v>
      </c>
    </row>
    <row r="157" spans="1:1" x14ac:dyDescent="0.25">
      <c r="A157" s="220" t="e">
        <f>VLOOKUP(D157,Bonds!D:I,6,0)</f>
        <v>#N/A</v>
      </c>
    </row>
    <row r="158" spans="1:1" x14ac:dyDescent="0.25">
      <c r="A158" s="220" t="e">
        <f>VLOOKUP(D158,Bonds!D:I,6,0)</f>
        <v>#N/A</v>
      </c>
    </row>
    <row r="159" spans="1:1" x14ac:dyDescent="0.25">
      <c r="A159" s="220" t="e">
        <f>VLOOKUP(D159,Bonds!D:I,6,0)</f>
        <v>#N/A</v>
      </c>
    </row>
    <row r="160" spans="1:1" x14ac:dyDescent="0.25">
      <c r="A160" s="220" t="e">
        <f>VLOOKUP(D160,Bonds!D:I,6,0)</f>
        <v>#N/A</v>
      </c>
    </row>
    <row r="161" spans="1:1" x14ac:dyDescent="0.25">
      <c r="A161" s="220" t="e">
        <f>VLOOKUP(D161,Bonds!D:I,6,0)</f>
        <v>#N/A</v>
      </c>
    </row>
    <row r="162" spans="1:1" x14ac:dyDescent="0.25">
      <c r="A162" s="220" t="e">
        <f>VLOOKUP(D162,Bonds!D:I,6,0)</f>
        <v>#N/A</v>
      </c>
    </row>
    <row r="163" spans="1:1" x14ac:dyDescent="0.25">
      <c r="A163" s="220" t="e">
        <f>VLOOKUP(D163,Bonds!D:I,6,0)</f>
        <v>#N/A</v>
      </c>
    </row>
    <row r="164" spans="1:1" x14ac:dyDescent="0.25">
      <c r="A164" s="220" t="e">
        <f>VLOOKUP(D164,Bonds!D:I,6,0)</f>
        <v>#N/A</v>
      </c>
    </row>
    <row r="165" spans="1:1" x14ac:dyDescent="0.25">
      <c r="A165" s="220" t="e">
        <f>VLOOKUP(D165,Bonds!D:I,6,0)</f>
        <v>#N/A</v>
      </c>
    </row>
    <row r="166" spans="1:1" x14ac:dyDescent="0.25">
      <c r="A166" s="220" t="e">
        <f>VLOOKUP(D166,Bonds!D:I,6,0)</f>
        <v>#N/A</v>
      </c>
    </row>
    <row r="167" spans="1:1" x14ac:dyDescent="0.25">
      <c r="A167" s="220" t="e">
        <f>VLOOKUP(D167,Bonds!D:I,6,0)</f>
        <v>#N/A</v>
      </c>
    </row>
    <row r="168" spans="1:1" x14ac:dyDescent="0.25">
      <c r="A168" s="220" t="e">
        <f>VLOOKUP(D168,Bonds!D:I,6,0)</f>
        <v>#N/A</v>
      </c>
    </row>
    <row r="169" spans="1:1" x14ac:dyDescent="0.25">
      <c r="A169" s="220" t="e">
        <f>VLOOKUP(D169,Bonds!D:I,6,0)</f>
        <v>#N/A</v>
      </c>
    </row>
    <row r="170" spans="1:1" x14ac:dyDescent="0.25">
      <c r="A170" s="220" t="e">
        <f>VLOOKUP(D170,Bonds!D:I,6,0)</f>
        <v>#N/A</v>
      </c>
    </row>
    <row r="171" spans="1:1" x14ac:dyDescent="0.25">
      <c r="A171" s="220" t="e">
        <f>VLOOKUP(D171,Bonds!D:I,6,0)</f>
        <v>#N/A</v>
      </c>
    </row>
    <row r="172" spans="1:1" x14ac:dyDescent="0.25">
      <c r="A172" s="220" t="e">
        <f>VLOOKUP(D172,Bonds!D:I,6,0)</f>
        <v>#N/A</v>
      </c>
    </row>
    <row r="173" spans="1:1" x14ac:dyDescent="0.25">
      <c r="A173" s="220" t="e">
        <f>VLOOKUP(D173,Bonds!D:I,6,0)</f>
        <v>#N/A</v>
      </c>
    </row>
    <row r="174" spans="1:1" x14ac:dyDescent="0.25">
      <c r="A174" s="220" t="e">
        <f>VLOOKUP(D174,Bonds!D:I,6,0)</f>
        <v>#N/A</v>
      </c>
    </row>
    <row r="175" spans="1:1" x14ac:dyDescent="0.25">
      <c r="A175" s="220" t="e">
        <f>VLOOKUP(D175,Bonds!D:I,6,0)</f>
        <v>#N/A</v>
      </c>
    </row>
    <row r="176" spans="1:1" x14ac:dyDescent="0.25">
      <c r="A176" s="220" t="e">
        <f>VLOOKUP(D176,Bonds!D:I,6,0)</f>
        <v>#N/A</v>
      </c>
    </row>
    <row r="177" spans="1:1" x14ac:dyDescent="0.25">
      <c r="A177" s="220" t="e">
        <f>VLOOKUP(D177,Bonds!D:I,6,0)</f>
        <v>#N/A</v>
      </c>
    </row>
    <row r="178" spans="1:1" x14ac:dyDescent="0.25">
      <c r="A178" s="220" t="e">
        <f>VLOOKUP(D178,Bonds!D:I,6,0)</f>
        <v>#N/A</v>
      </c>
    </row>
    <row r="179" spans="1:1" x14ac:dyDescent="0.25">
      <c r="A179" s="220" t="e">
        <f>VLOOKUP(D179,Bonds!D:I,6,0)</f>
        <v>#N/A</v>
      </c>
    </row>
    <row r="180" spans="1:1" x14ac:dyDescent="0.25">
      <c r="A180" s="220" t="e">
        <f>VLOOKUP(D180,Bonds!D:I,6,0)</f>
        <v>#N/A</v>
      </c>
    </row>
    <row r="181" spans="1:1" x14ac:dyDescent="0.25">
      <c r="A181" s="220" t="e">
        <f>VLOOKUP(D181,Bonds!D:I,6,0)</f>
        <v>#N/A</v>
      </c>
    </row>
    <row r="182" spans="1:1" x14ac:dyDescent="0.25">
      <c r="A182" s="220" t="e">
        <f>VLOOKUP(D182,Bonds!D:I,6,0)</f>
        <v>#N/A</v>
      </c>
    </row>
    <row r="183" spans="1:1" x14ac:dyDescent="0.25">
      <c r="A183" s="220" t="e">
        <f>VLOOKUP(D183,Bonds!D:I,6,0)</f>
        <v>#N/A</v>
      </c>
    </row>
    <row r="184" spans="1:1" x14ac:dyDescent="0.25">
      <c r="A184" s="220" t="e">
        <f>VLOOKUP(D184,Bonds!D:I,6,0)</f>
        <v>#N/A</v>
      </c>
    </row>
    <row r="185" spans="1:1" x14ac:dyDescent="0.25">
      <c r="A185" s="220" t="e">
        <f>VLOOKUP(D185,Bonds!D:I,6,0)</f>
        <v>#N/A</v>
      </c>
    </row>
    <row r="186" spans="1:1" x14ac:dyDescent="0.25">
      <c r="A186" s="220" t="e">
        <f>VLOOKUP(D186,Bonds!D:I,6,0)</f>
        <v>#N/A</v>
      </c>
    </row>
    <row r="187" spans="1:1" x14ac:dyDescent="0.25">
      <c r="A187" s="220" t="e">
        <f>VLOOKUP(D187,Bonds!D:I,6,0)</f>
        <v>#N/A</v>
      </c>
    </row>
    <row r="188" spans="1:1" x14ac:dyDescent="0.25">
      <c r="A188" s="220" t="e">
        <f>VLOOKUP(D188,Bonds!D:I,6,0)</f>
        <v>#N/A</v>
      </c>
    </row>
    <row r="189" spans="1:1" x14ac:dyDescent="0.25">
      <c r="A189" s="220" t="e">
        <f>VLOOKUP(D189,Bonds!D:I,6,0)</f>
        <v>#N/A</v>
      </c>
    </row>
    <row r="190" spans="1:1" x14ac:dyDescent="0.25">
      <c r="A190" s="220" t="e">
        <f>VLOOKUP(D190,Bonds!D:I,6,0)</f>
        <v>#N/A</v>
      </c>
    </row>
    <row r="191" spans="1:1" x14ac:dyDescent="0.25">
      <c r="A191" s="220" t="e">
        <f>VLOOKUP(D191,Bonds!D:I,6,0)</f>
        <v>#N/A</v>
      </c>
    </row>
    <row r="192" spans="1:1" x14ac:dyDescent="0.25">
      <c r="A192" s="220" t="e">
        <f>VLOOKUP(D192,Bonds!D:I,6,0)</f>
        <v>#N/A</v>
      </c>
    </row>
    <row r="193" spans="1:1" x14ac:dyDescent="0.25">
      <c r="A193" s="220" t="e">
        <f>VLOOKUP(D193,Bonds!D:I,6,0)</f>
        <v>#N/A</v>
      </c>
    </row>
    <row r="194" spans="1:1" x14ac:dyDescent="0.25">
      <c r="A194" s="220" t="e">
        <f>VLOOKUP(D194,Bonds!D:I,6,0)</f>
        <v>#N/A</v>
      </c>
    </row>
    <row r="195" spans="1:1" x14ac:dyDescent="0.25">
      <c r="A195" s="220" t="e">
        <f>VLOOKUP(D195,Bonds!D:I,6,0)</f>
        <v>#N/A</v>
      </c>
    </row>
    <row r="196" spans="1:1" x14ac:dyDescent="0.25">
      <c r="A196" s="220" t="e">
        <f>VLOOKUP(D196,Bonds!D:I,6,0)</f>
        <v>#N/A</v>
      </c>
    </row>
    <row r="197" spans="1:1" x14ac:dyDescent="0.25">
      <c r="A197" s="220" t="e">
        <f>VLOOKUP(D197,Bonds!D:I,6,0)</f>
        <v>#N/A</v>
      </c>
    </row>
    <row r="198" spans="1:1" x14ac:dyDescent="0.25">
      <c r="A198" s="220" t="e">
        <f>VLOOKUP(D198,Bonds!D:I,6,0)</f>
        <v>#N/A</v>
      </c>
    </row>
    <row r="199" spans="1:1" x14ac:dyDescent="0.25">
      <c r="A199" s="220" t="e">
        <f>VLOOKUP(D199,Bonds!D:I,6,0)</f>
        <v>#N/A</v>
      </c>
    </row>
    <row r="200" spans="1:1" x14ac:dyDescent="0.25">
      <c r="A200" s="220" t="e">
        <f>VLOOKUP(D200,Bonds!D:I,6,0)</f>
        <v>#N/A</v>
      </c>
    </row>
    <row r="201" spans="1:1" x14ac:dyDescent="0.25">
      <c r="A201" s="220" t="e">
        <f>VLOOKUP(D201,Bonds!D:I,6,0)</f>
        <v>#N/A</v>
      </c>
    </row>
    <row r="202" spans="1:1" x14ac:dyDescent="0.25">
      <c r="A202" s="220" t="e">
        <f>VLOOKUP(D202,Bonds!D:I,6,0)</f>
        <v>#N/A</v>
      </c>
    </row>
    <row r="203" spans="1:1" x14ac:dyDescent="0.25">
      <c r="A203" s="220" t="e">
        <f>VLOOKUP(D203,Bonds!D:I,6,0)</f>
        <v>#N/A</v>
      </c>
    </row>
    <row r="204" spans="1:1" x14ac:dyDescent="0.25">
      <c r="A204" s="220" t="e">
        <f>VLOOKUP(D204,Bonds!D:I,6,0)</f>
        <v>#N/A</v>
      </c>
    </row>
    <row r="205" spans="1:1" x14ac:dyDescent="0.25">
      <c r="A205" s="220" t="e">
        <f>VLOOKUP(D205,Bonds!D:I,6,0)</f>
        <v>#N/A</v>
      </c>
    </row>
    <row r="206" spans="1:1" x14ac:dyDescent="0.25">
      <c r="A206" s="220" t="e">
        <f>VLOOKUP(D206,Bonds!D:I,6,0)</f>
        <v>#N/A</v>
      </c>
    </row>
    <row r="207" spans="1:1" x14ac:dyDescent="0.25">
      <c r="A207" s="220" t="e">
        <f>VLOOKUP(D207,Bonds!D:I,6,0)</f>
        <v>#N/A</v>
      </c>
    </row>
    <row r="208" spans="1:1" x14ac:dyDescent="0.25">
      <c r="A208" s="220" t="e">
        <f>VLOOKUP(D208,Bonds!D:I,6,0)</f>
        <v>#N/A</v>
      </c>
    </row>
    <row r="209" spans="1:1" x14ac:dyDescent="0.25">
      <c r="A209" s="220" t="e">
        <f>VLOOKUP(D209,Bonds!D:I,6,0)</f>
        <v>#N/A</v>
      </c>
    </row>
    <row r="210" spans="1:1" x14ac:dyDescent="0.25">
      <c r="A210" s="220" t="e">
        <f>VLOOKUP(D210,Bonds!D:I,6,0)</f>
        <v>#N/A</v>
      </c>
    </row>
    <row r="211" spans="1:1" x14ac:dyDescent="0.25">
      <c r="A211" s="220" t="e">
        <f>VLOOKUP(D211,Bonds!D:I,6,0)</f>
        <v>#N/A</v>
      </c>
    </row>
    <row r="212" spans="1:1" x14ac:dyDescent="0.25">
      <c r="A212" s="220" t="e">
        <f>VLOOKUP(D212,Bonds!D:I,6,0)</f>
        <v>#N/A</v>
      </c>
    </row>
    <row r="213" spans="1:1" x14ac:dyDescent="0.25">
      <c r="A213" s="220" t="e">
        <f>VLOOKUP(D213,Bonds!D:I,6,0)</f>
        <v>#N/A</v>
      </c>
    </row>
    <row r="214" spans="1:1" x14ac:dyDescent="0.25">
      <c r="A214" s="220" t="e">
        <f>VLOOKUP(D214,Bonds!D:I,6,0)</f>
        <v>#N/A</v>
      </c>
    </row>
    <row r="215" spans="1:1" x14ac:dyDescent="0.25">
      <c r="A215" s="220" t="e">
        <f>VLOOKUP(D215,Bonds!D:I,6,0)</f>
        <v>#N/A</v>
      </c>
    </row>
    <row r="216" spans="1:1" x14ac:dyDescent="0.25">
      <c r="A216" s="220" t="e">
        <f>VLOOKUP(D216,Bonds!D:I,6,0)</f>
        <v>#N/A</v>
      </c>
    </row>
    <row r="217" spans="1:1" x14ac:dyDescent="0.25">
      <c r="A217" s="220" t="e">
        <f>VLOOKUP(D217,Bonds!D:I,6,0)</f>
        <v>#N/A</v>
      </c>
    </row>
    <row r="218" spans="1:1" x14ac:dyDescent="0.25">
      <c r="A218" s="220" t="e">
        <f>VLOOKUP(D218,Bonds!D:I,6,0)</f>
        <v>#N/A</v>
      </c>
    </row>
    <row r="219" spans="1:1" x14ac:dyDescent="0.25">
      <c r="A219" s="220" t="e">
        <f>VLOOKUP(D219,Bonds!D:I,6,0)</f>
        <v>#N/A</v>
      </c>
    </row>
    <row r="220" spans="1:1" x14ac:dyDescent="0.25">
      <c r="A220" s="220" t="e">
        <f>VLOOKUP(D220,Bonds!D:I,6,0)</f>
        <v>#N/A</v>
      </c>
    </row>
    <row r="221" spans="1:1" x14ac:dyDescent="0.25">
      <c r="A221" s="220" t="e">
        <f>VLOOKUP(D221,Bonds!D:I,6,0)</f>
        <v>#N/A</v>
      </c>
    </row>
    <row r="222" spans="1:1" x14ac:dyDescent="0.25">
      <c r="A222" s="220" t="e">
        <f>VLOOKUP(D222,Bonds!D:I,6,0)</f>
        <v>#N/A</v>
      </c>
    </row>
    <row r="223" spans="1:1" x14ac:dyDescent="0.25">
      <c r="A223" s="220" t="e">
        <f>VLOOKUP(D223,Bonds!D:I,6,0)</f>
        <v>#N/A</v>
      </c>
    </row>
    <row r="224" spans="1:1" x14ac:dyDescent="0.25">
      <c r="A224" s="220" t="e">
        <f>VLOOKUP(D224,Bonds!D:I,6,0)</f>
        <v>#N/A</v>
      </c>
    </row>
    <row r="225" spans="1:1" x14ac:dyDescent="0.25">
      <c r="A225" s="220" t="e">
        <f>VLOOKUP(D225,Bonds!D:I,6,0)</f>
        <v>#N/A</v>
      </c>
    </row>
    <row r="226" spans="1:1" x14ac:dyDescent="0.25">
      <c r="A226" s="220" t="e">
        <f>VLOOKUP(D226,Bonds!D:I,6,0)</f>
        <v>#N/A</v>
      </c>
    </row>
    <row r="227" spans="1:1" x14ac:dyDescent="0.25">
      <c r="A227" s="220" t="e">
        <f>VLOOKUP(D227,Bonds!D:I,6,0)</f>
        <v>#N/A</v>
      </c>
    </row>
    <row r="228" spans="1:1" x14ac:dyDescent="0.25">
      <c r="A228" s="220" t="e">
        <f>VLOOKUP(D228,Bonds!D:I,6,0)</f>
        <v>#N/A</v>
      </c>
    </row>
    <row r="229" spans="1:1" x14ac:dyDescent="0.25">
      <c r="A229" s="220" t="e">
        <f>VLOOKUP(D229,Bonds!D:I,6,0)</f>
        <v>#N/A</v>
      </c>
    </row>
    <row r="230" spans="1:1" x14ac:dyDescent="0.25">
      <c r="A230" s="220" t="e">
        <f>VLOOKUP(D230,Bonds!D:I,6,0)</f>
        <v>#N/A</v>
      </c>
    </row>
    <row r="231" spans="1:1" x14ac:dyDescent="0.25">
      <c r="A231" s="220" t="e">
        <f>VLOOKUP(D231,Bonds!D:I,6,0)</f>
        <v>#N/A</v>
      </c>
    </row>
    <row r="232" spans="1:1" x14ac:dyDescent="0.25">
      <c r="A232" s="220" t="e">
        <f>VLOOKUP(D232,Bonds!D:I,6,0)</f>
        <v>#N/A</v>
      </c>
    </row>
    <row r="233" spans="1:1" x14ac:dyDescent="0.25">
      <c r="A233" s="220" t="e">
        <f>VLOOKUP(D233,Bonds!D:I,6,0)</f>
        <v>#N/A</v>
      </c>
    </row>
    <row r="234" spans="1:1" x14ac:dyDescent="0.25">
      <c r="A234" s="220" t="e">
        <f>VLOOKUP(D234,Bonds!D:I,6,0)</f>
        <v>#N/A</v>
      </c>
    </row>
    <row r="235" spans="1:1" x14ac:dyDescent="0.25">
      <c r="A235" s="220" t="e">
        <f>VLOOKUP(D235,Bonds!D:I,6,0)</f>
        <v>#N/A</v>
      </c>
    </row>
    <row r="236" spans="1:1" x14ac:dyDescent="0.25">
      <c r="A236" s="220" t="e">
        <f>VLOOKUP(D236,Bonds!D:I,6,0)</f>
        <v>#N/A</v>
      </c>
    </row>
    <row r="237" spans="1:1" x14ac:dyDescent="0.25">
      <c r="A237" s="220" t="e">
        <f>VLOOKUP(D237,Bonds!D:I,6,0)</f>
        <v>#N/A</v>
      </c>
    </row>
    <row r="238" spans="1:1" x14ac:dyDescent="0.25">
      <c r="A238" s="220" t="e">
        <f>VLOOKUP(D238,Bonds!D:I,6,0)</f>
        <v>#N/A</v>
      </c>
    </row>
    <row r="239" spans="1:1" x14ac:dyDescent="0.25">
      <c r="A239" s="220" t="e">
        <f>VLOOKUP(D239,Bonds!D:I,6,0)</f>
        <v>#N/A</v>
      </c>
    </row>
    <row r="240" spans="1:1" x14ac:dyDescent="0.25">
      <c r="A240" s="220" t="e">
        <f>VLOOKUP(D240,Bonds!D:I,6,0)</f>
        <v>#N/A</v>
      </c>
    </row>
    <row r="241" spans="1:1" x14ac:dyDescent="0.25">
      <c r="A241" s="220" t="e">
        <f>VLOOKUP(D241,Bonds!D:I,6,0)</f>
        <v>#N/A</v>
      </c>
    </row>
    <row r="242" spans="1:1" x14ac:dyDescent="0.25">
      <c r="A242" s="220" t="e">
        <f>VLOOKUP(D242,Bonds!D:I,6,0)</f>
        <v>#N/A</v>
      </c>
    </row>
    <row r="243" spans="1:1" x14ac:dyDescent="0.25">
      <c r="A243" s="220" t="e">
        <f>VLOOKUP(D243,Bonds!D:I,6,0)</f>
        <v>#N/A</v>
      </c>
    </row>
    <row r="244" spans="1:1" x14ac:dyDescent="0.25">
      <c r="A244" s="220" t="e">
        <f>VLOOKUP(D244,Bonds!D:I,6,0)</f>
        <v>#N/A</v>
      </c>
    </row>
    <row r="245" spans="1:1" x14ac:dyDescent="0.25">
      <c r="A245" s="220" t="e">
        <f>VLOOKUP(D245,Bonds!D:I,6,0)</f>
        <v>#N/A</v>
      </c>
    </row>
    <row r="246" spans="1:1" x14ac:dyDescent="0.25">
      <c r="A246" s="220" t="e">
        <f>VLOOKUP(D246,Bonds!D:I,6,0)</f>
        <v>#N/A</v>
      </c>
    </row>
    <row r="247" spans="1:1" x14ac:dyDescent="0.25">
      <c r="A247" s="220" t="e">
        <f>VLOOKUP(D247,Bonds!D:I,6,0)</f>
        <v>#N/A</v>
      </c>
    </row>
    <row r="248" spans="1:1" x14ac:dyDescent="0.25">
      <c r="A248" s="220" t="e">
        <f>VLOOKUP(D248,Bonds!D:I,6,0)</f>
        <v>#N/A</v>
      </c>
    </row>
    <row r="249" spans="1:1" x14ac:dyDescent="0.25">
      <c r="A249" s="220" t="e">
        <f>VLOOKUP(D249,Bonds!D:I,6,0)</f>
        <v>#N/A</v>
      </c>
    </row>
    <row r="250" spans="1:1" x14ac:dyDescent="0.25">
      <c r="A250" s="220" t="e">
        <f>VLOOKUP(D250,Bonds!D:I,6,0)</f>
        <v>#N/A</v>
      </c>
    </row>
    <row r="251" spans="1:1" x14ac:dyDescent="0.25">
      <c r="A251" s="220" t="e">
        <f>VLOOKUP(D251,Bonds!D:I,6,0)</f>
        <v>#N/A</v>
      </c>
    </row>
    <row r="252" spans="1:1" x14ac:dyDescent="0.25">
      <c r="A252" s="220" t="e">
        <f>VLOOKUP(D252,Bonds!D:I,6,0)</f>
        <v>#N/A</v>
      </c>
    </row>
    <row r="253" spans="1:1" x14ac:dyDescent="0.25">
      <c r="A253" s="220" t="e">
        <f>VLOOKUP(D253,Bonds!D:I,6,0)</f>
        <v>#N/A</v>
      </c>
    </row>
    <row r="254" spans="1:1" x14ac:dyDescent="0.25">
      <c r="A254" s="220" t="e">
        <f>VLOOKUP(D254,Bonds!D:I,6,0)</f>
        <v>#N/A</v>
      </c>
    </row>
    <row r="255" spans="1:1" x14ac:dyDescent="0.25">
      <c r="A255" s="220" t="e">
        <f>VLOOKUP(D255,Bonds!D:I,6,0)</f>
        <v>#N/A</v>
      </c>
    </row>
    <row r="256" spans="1:1" x14ac:dyDescent="0.25">
      <c r="A256" s="220" t="e">
        <f>VLOOKUP(D256,Bonds!D:I,6,0)</f>
        <v>#N/A</v>
      </c>
    </row>
    <row r="257" spans="1:1" x14ac:dyDescent="0.25">
      <c r="A257" s="220" t="e">
        <f>VLOOKUP(D257,Bonds!D:I,6,0)</f>
        <v>#N/A</v>
      </c>
    </row>
    <row r="258" spans="1:1" x14ac:dyDescent="0.25">
      <c r="A258" s="220" t="e">
        <f>VLOOKUP(D258,Bonds!D:I,6,0)</f>
        <v>#N/A</v>
      </c>
    </row>
    <row r="259" spans="1:1" x14ac:dyDescent="0.25">
      <c r="A259" s="220" t="e">
        <f>VLOOKUP(D259,Bonds!D:I,6,0)</f>
        <v>#N/A</v>
      </c>
    </row>
    <row r="260" spans="1:1" x14ac:dyDescent="0.25">
      <c r="A260" s="220" t="e">
        <f>VLOOKUP(D260,Bonds!D:I,6,0)</f>
        <v>#N/A</v>
      </c>
    </row>
    <row r="261" spans="1:1" x14ac:dyDescent="0.25">
      <c r="A261" s="220" t="e">
        <f>VLOOKUP(D261,Bonds!D:I,6,0)</f>
        <v>#N/A</v>
      </c>
    </row>
    <row r="262" spans="1:1" x14ac:dyDescent="0.25">
      <c r="A262" s="220" t="e">
        <f>VLOOKUP(D262,Bonds!D:I,6,0)</f>
        <v>#N/A</v>
      </c>
    </row>
    <row r="263" spans="1:1" x14ac:dyDescent="0.25">
      <c r="A263" s="220" t="e">
        <f>VLOOKUP(D263,Bonds!D:I,6,0)</f>
        <v>#N/A</v>
      </c>
    </row>
    <row r="264" spans="1:1" x14ac:dyDescent="0.25">
      <c r="A264" s="220" t="e">
        <f>VLOOKUP(D264,Bonds!D:I,6,0)</f>
        <v>#N/A</v>
      </c>
    </row>
    <row r="265" spans="1:1" x14ac:dyDescent="0.25">
      <c r="A265" s="220" t="e">
        <f>VLOOKUP(D265,Bonds!D:I,6,0)</f>
        <v>#N/A</v>
      </c>
    </row>
    <row r="266" spans="1:1" x14ac:dyDescent="0.25">
      <c r="A266" s="220" t="e">
        <f>VLOOKUP(D266,Bonds!D:I,6,0)</f>
        <v>#N/A</v>
      </c>
    </row>
    <row r="267" spans="1:1" x14ac:dyDescent="0.25">
      <c r="A267" s="220" t="e">
        <f>VLOOKUP(D267,Bonds!D:I,6,0)</f>
        <v>#N/A</v>
      </c>
    </row>
    <row r="268" spans="1:1" x14ac:dyDescent="0.25">
      <c r="A268" s="220" t="e">
        <f>VLOOKUP(D268,Bonds!D:I,6,0)</f>
        <v>#N/A</v>
      </c>
    </row>
    <row r="269" spans="1:1" x14ac:dyDescent="0.25">
      <c r="A269" s="220" t="e">
        <f>VLOOKUP(D269,Bonds!D:I,6,0)</f>
        <v>#N/A</v>
      </c>
    </row>
    <row r="270" spans="1:1" x14ac:dyDescent="0.25">
      <c r="A270" s="220" t="e">
        <f>VLOOKUP(D270,Bonds!D:I,6,0)</f>
        <v>#N/A</v>
      </c>
    </row>
    <row r="271" spans="1:1" x14ac:dyDescent="0.25">
      <c r="A271" s="220" t="e">
        <f>VLOOKUP(D271,Bonds!D:I,6,0)</f>
        <v>#N/A</v>
      </c>
    </row>
    <row r="272" spans="1:1" x14ac:dyDescent="0.25">
      <c r="A272" s="220" t="e">
        <f>VLOOKUP(D272,Bonds!D:I,6,0)</f>
        <v>#N/A</v>
      </c>
    </row>
    <row r="273" spans="1:1" x14ac:dyDescent="0.25">
      <c r="A273" s="220" t="e">
        <f>VLOOKUP(D273,Bonds!D:I,6,0)</f>
        <v>#N/A</v>
      </c>
    </row>
    <row r="274" spans="1:1" x14ac:dyDescent="0.25">
      <c r="A274" s="220" t="e">
        <f>VLOOKUP(D274,Bonds!D:I,6,0)</f>
        <v>#N/A</v>
      </c>
    </row>
    <row r="275" spans="1:1" x14ac:dyDescent="0.25">
      <c r="A275" s="220" t="e">
        <f>VLOOKUP(D275,Bonds!D:I,6,0)</f>
        <v>#N/A</v>
      </c>
    </row>
    <row r="276" spans="1:1" x14ac:dyDescent="0.25">
      <c r="A276" s="220" t="e">
        <f>VLOOKUP(D276,Bonds!D:I,6,0)</f>
        <v>#N/A</v>
      </c>
    </row>
    <row r="277" spans="1:1" x14ac:dyDescent="0.25">
      <c r="A277" s="220" t="e">
        <f>VLOOKUP(D277,Bonds!D:I,6,0)</f>
        <v>#N/A</v>
      </c>
    </row>
    <row r="278" spans="1:1" x14ac:dyDescent="0.25">
      <c r="A278" s="220" t="e">
        <f>VLOOKUP(D278,Bonds!D:I,6,0)</f>
        <v>#N/A</v>
      </c>
    </row>
    <row r="279" spans="1:1" x14ac:dyDescent="0.25">
      <c r="A279" s="220" t="e">
        <f>VLOOKUP(D279,Bonds!D:I,6,0)</f>
        <v>#N/A</v>
      </c>
    </row>
    <row r="280" spans="1:1" x14ac:dyDescent="0.25">
      <c r="A280" s="220" t="e">
        <f>VLOOKUP(D280,Bonds!D:I,6,0)</f>
        <v>#N/A</v>
      </c>
    </row>
    <row r="281" spans="1:1" x14ac:dyDescent="0.25">
      <c r="A281" s="220" t="e">
        <f>VLOOKUP(D281,Bonds!D:I,6,0)</f>
        <v>#N/A</v>
      </c>
    </row>
    <row r="282" spans="1:1" x14ac:dyDescent="0.25">
      <c r="A282" s="220" t="e">
        <f>VLOOKUP(D282,Bonds!D:I,6,0)</f>
        <v>#N/A</v>
      </c>
    </row>
    <row r="283" spans="1:1" x14ac:dyDescent="0.25">
      <c r="A283" s="220" t="e">
        <f>VLOOKUP(D283,Bonds!D:I,6,0)</f>
        <v>#N/A</v>
      </c>
    </row>
    <row r="284" spans="1:1" x14ac:dyDescent="0.25">
      <c r="A284" s="220" t="e">
        <f>VLOOKUP(D284,Bonds!D:I,6,0)</f>
        <v>#N/A</v>
      </c>
    </row>
    <row r="285" spans="1:1" x14ac:dyDescent="0.25">
      <c r="A285" s="220" t="e">
        <f>VLOOKUP(D285,Bonds!D:I,6,0)</f>
        <v>#N/A</v>
      </c>
    </row>
    <row r="286" spans="1:1" x14ac:dyDescent="0.25">
      <c r="A286" s="220" t="e">
        <f>VLOOKUP(D286,Bonds!D:I,6,0)</f>
        <v>#N/A</v>
      </c>
    </row>
    <row r="287" spans="1:1" x14ac:dyDescent="0.25">
      <c r="A287" s="220" t="e">
        <f>VLOOKUP(D287,Bonds!D:I,6,0)</f>
        <v>#N/A</v>
      </c>
    </row>
    <row r="288" spans="1:1" x14ac:dyDescent="0.25">
      <c r="A288" s="220" t="e">
        <f>VLOOKUP(D288,Bonds!D:I,6,0)</f>
        <v>#N/A</v>
      </c>
    </row>
    <row r="289" spans="1:1" x14ac:dyDescent="0.25">
      <c r="A289" s="220" t="e">
        <f>VLOOKUP(D289,Bonds!D:I,6,0)</f>
        <v>#N/A</v>
      </c>
    </row>
    <row r="290" spans="1:1" x14ac:dyDescent="0.25">
      <c r="A290" s="220" t="e">
        <f>VLOOKUP(D290,Bonds!D:I,6,0)</f>
        <v>#N/A</v>
      </c>
    </row>
    <row r="291" spans="1:1" x14ac:dyDescent="0.25">
      <c r="A291" s="220" t="e">
        <f>VLOOKUP(D291,Bonds!D:I,6,0)</f>
        <v>#N/A</v>
      </c>
    </row>
    <row r="292" spans="1:1" x14ac:dyDescent="0.25">
      <c r="A292" s="220" t="e">
        <f>VLOOKUP(D292,Bonds!D:I,6,0)</f>
        <v>#N/A</v>
      </c>
    </row>
    <row r="293" spans="1:1" x14ac:dyDescent="0.25">
      <c r="A293" s="220" t="e">
        <f>VLOOKUP(D293,Bonds!D:I,6,0)</f>
        <v>#N/A</v>
      </c>
    </row>
    <row r="294" spans="1:1" x14ac:dyDescent="0.25">
      <c r="A294" s="220" t="e">
        <f>VLOOKUP(D294,Bonds!D:I,6,0)</f>
        <v>#N/A</v>
      </c>
    </row>
    <row r="295" spans="1:1" x14ac:dyDescent="0.25">
      <c r="A295" s="220" t="e">
        <f>VLOOKUP(D295,Bonds!D:I,6,0)</f>
        <v>#N/A</v>
      </c>
    </row>
    <row r="296" spans="1:1" x14ac:dyDescent="0.25">
      <c r="A296" s="220" t="e">
        <f>VLOOKUP(D296,Bonds!D:I,6,0)</f>
        <v>#N/A</v>
      </c>
    </row>
    <row r="297" spans="1:1" x14ac:dyDescent="0.25">
      <c r="A297" s="220" t="e">
        <f>VLOOKUP(D297,Bonds!D:I,6,0)</f>
        <v>#N/A</v>
      </c>
    </row>
    <row r="298" spans="1:1" x14ac:dyDescent="0.25">
      <c r="A298" s="220" t="e">
        <f>VLOOKUP(D298,Bonds!D:I,6,0)</f>
        <v>#N/A</v>
      </c>
    </row>
    <row r="299" spans="1:1" x14ac:dyDescent="0.25">
      <c r="A299" s="220" t="e">
        <f>VLOOKUP(D299,Bonds!D:I,6,0)</f>
        <v>#N/A</v>
      </c>
    </row>
    <row r="300" spans="1:1" x14ac:dyDescent="0.25">
      <c r="A300" s="220" t="e">
        <f>VLOOKUP(D300,Bonds!D:I,6,0)</f>
        <v>#N/A</v>
      </c>
    </row>
    <row r="301" spans="1:1" x14ac:dyDescent="0.25">
      <c r="A301" s="220" t="e">
        <f>VLOOKUP(D301,Bonds!D:I,6,0)</f>
        <v>#N/A</v>
      </c>
    </row>
    <row r="302" spans="1:1" x14ac:dyDescent="0.25">
      <c r="A302" s="220" t="e">
        <f>VLOOKUP(D302,Bonds!D:I,6,0)</f>
        <v>#N/A</v>
      </c>
    </row>
    <row r="303" spans="1:1" x14ac:dyDescent="0.25">
      <c r="A303" s="220" t="e">
        <f>VLOOKUP(D303,Bonds!D:I,6,0)</f>
        <v>#N/A</v>
      </c>
    </row>
    <row r="304" spans="1:1" x14ac:dyDescent="0.25">
      <c r="A304" s="220" t="e">
        <f>VLOOKUP(D304,Bonds!D:I,6,0)</f>
        <v>#N/A</v>
      </c>
    </row>
    <row r="305" spans="1:1" x14ac:dyDescent="0.25">
      <c r="A305" s="220" t="e">
        <f>VLOOKUP(D305,Bonds!D:I,6,0)</f>
        <v>#N/A</v>
      </c>
    </row>
    <row r="306" spans="1:1" x14ac:dyDescent="0.25">
      <c r="A306" s="220" t="e">
        <f>VLOOKUP(D306,Bonds!D:I,6,0)</f>
        <v>#N/A</v>
      </c>
    </row>
    <row r="307" spans="1:1" x14ac:dyDescent="0.25">
      <c r="A307" s="220" t="e">
        <f>VLOOKUP(D307,Bonds!D:I,6,0)</f>
        <v>#N/A</v>
      </c>
    </row>
    <row r="308" spans="1:1" x14ac:dyDescent="0.25">
      <c r="A308" s="220" t="e">
        <f>VLOOKUP(D308,Bonds!D:I,6,0)</f>
        <v>#N/A</v>
      </c>
    </row>
    <row r="309" spans="1:1" x14ac:dyDescent="0.25">
      <c r="A309" s="220" t="e">
        <f>VLOOKUP(D309,Bonds!D:I,6,0)</f>
        <v>#N/A</v>
      </c>
    </row>
    <row r="310" spans="1:1" x14ac:dyDescent="0.25">
      <c r="A310" s="220" t="e">
        <f>VLOOKUP(D310,Bonds!D:I,6,0)</f>
        <v>#N/A</v>
      </c>
    </row>
    <row r="311" spans="1:1" x14ac:dyDescent="0.25">
      <c r="A311" s="220" t="e">
        <f>VLOOKUP(D311,Bonds!D:I,6,0)</f>
        <v>#N/A</v>
      </c>
    </row>
    <row r="312" spans="1:1" x14ac:dyDescent="0.25">
      <c r="A312" s="220" t="e">
        <f>VLOOKUP(D312,Bonds!D:I,6,0)</f>
        <v>#N/A</v>
      </c>
    </row>
    <row r="313" spans="1:1" x14ac:dyDescent="0.25">
      <c r="A313" s="220" t="e">
        <f>VLOOKUP(D313,Bonds!D:I,6,0)</f>
        <v>#N/A</v>
      </c>
    </row>
    <row r="314" spans="1:1" x14ac:dyDescent="0.25">
      <c r="A314" s="220" t="e">
        <f>VLOOKUP(D314,Bonds!D:I,6,0)</f>
        <v>#N/A</v>
      </c>
    </row>
    <row r="315" spans="1:1" x14ac:dyDescent="0.25">
      <c r="A315" s="220" t="e">
        <f>VLOOKUP(D315,Bonds!D:I,6,0)</f>
        <v>#N/A</v>
      </c>
    </row>
    <row r="316" spans="1:1" x14ac:dyDescent="0.25">
      <c r="A316" s="220" t="e">
        <f>VLOOKUP(D316,Bonds!D:I,6,0)</f>
        <v>#N/A</v>
      </c>
    </row>
    <row r="317" spans="1:1" x14ac:dyDescent="0.25">
      <c r="A317" s="220" t="e">
        <f>VLOOKUP(D317,Bonds!D:I,6,0)</f>
        <v>#N/A</v>
      </c>
    </row>
    <row r="318" spans="1:1" x14ac:dyDescent="0.25">
      <c r="A318" s="220" t="e">
        <f>VLOOKUP(D318,Bonds!D:I,6,0)</f>
        <v>#N/A</v>
      </c>
    </row>
    <row r="319" spans="1:1" x14ac:dyDescent="0.25">
      <c r="A319" s="220" t="e">
        <f>VLOOKUP(D319,Bonds!D:I,6,0)</f>
        <v>#N/A</v>
      </c>
    </row>
    <row r="320" spans="1:1" x14ac:dyDescent="0.25">
      <c r="A320" s="220" t="e">
        <f>VLOOKUP(D320,Bonds!D:I,6,0)</f>
        <v>#N/A</v>
      </c>
    </row>
    <row r="321" spans="1:1" x14ac:dyDescent="0.25">
      <c r="A321" s="220" t="e">
        <f>VLOOKUP(D321,Bonds!D:I,6,0)</f>
        <v>#N/A</v>
      </c>
    </row>
    <row r="322" spans="1:1" x14ac:dyDescent="0.25">
      <c r="A322" s="220" t="e">
        <f>VLOOKUP(D322,Bonds!D:I,6,0)</f>
        <v>#N/A</v>
      </c>
    </row>
    <row r="323" spans="1:1" x14ac:dyDescent="0.25">
      <c r="A323" s="220" t="e">
        <f>VLOOKUP(D323,Bonds!D:I,6,0)</f>
        <v>#N/A</v>
      </c>
    </row>
    <row r="324" spans="1:1" x14ac:dyDescent="0.25">
      <c r="A324" s="220" t="e">
        <f>VLOOKUP(D324,Bonds!D:I,6,0)</f>
        <v>#N/A</v>
      </c>
    </row>
    <row r="325" spans="1:1" x14ac:dyDescent="0.25">
      <c r="A325" s="220" t="e">
        <f>VLOOKUP(D325,Bonds!D:I,6,0)</f>
        <v>#N/A</v>
      </c>
    </row>
    <row r="326" spans="1:1" x14ac:dyDescent="0.25">
      <c r="A326" s="220" t="e">
        <f>VLOOKUP(D326,Bonds!D:I,6,0)</f>
        <v>#N/A</v>
      </c>
    </row>
    <row r="327" spans="1:1" x14ac:dyDescent="0.25">
      <c r="A327" s="220" t="e">
        <f>VLOOKUP(D327,Bonds!D:I,6,0)</f>
        <v>#N/A</v>
      </c>
    </row>
    <row r="328" spans="1:1" x14ac:dyDescent="0.25">
      <c r="A328" s="220" t="e">
        <f>VLOOKUP(D328,Bonds!D:I,6,0)</f>
        <v>#N/A</v>
      </c>
    </row>
    <row r="329" spans="1:1" x14ac:dyDescent="0.25">
      <c r="A329" s="220" t="e">
        <f>VLOOKUP(D329,Bonds!D:I,6,0)</f>
        <v>#N/A</v>
      </c>
    </row>
    <row r="330" spans="1:1" x14ac:dyDescent="0.25">
      <c r="A330" s="220" t="e">
        <f>VLOOKUP(D330,Bonds!D:I,6,0)</f>
        <v>#N/A</v>
      </c>
    </row>
    <row r="331" spans="1:1" x14ac:dyDescent="0.25">
      <c r="A331" s="220" t="e">
        <f>VLOOKUP(D331,Bonds!D:I,6,0)</f>
        <v>#N/A</v>
      </c>
    </row>
    <row r="332" spans="1:1" x14ac:dyDescent="0.25">
      <c r="A332" s="220" t="e">
        <f>VLOOKUP(D332,Bonds!D:I,6,0)</f>
        <v>#N/A</v>
      </c>
    </row>
    <row r="333" spans="1:1" x14ac:dyDescent="0.25">
      <c r="A333" s="220" t="e">
        <f>VLOOKUP(D333,Bonds!D:I,6,0)</f>
        <v>#N/A</v>
      </c>
    </row>
    <row r="334" spans="1:1" x14ac:dyDescent="0.25">
      <c r="A334" s="220" t="e">
        <f>VLOOKUP(D334,Bonds!D:I,6,0)</f>
        <v>#N/A</v>
      </c>
    </row>
    <row r="335" spans="1:1" x14ac:dyDescent="0.25">
      <c r="A335" s="220" t="e">
        <f>VLOOKUP(D335,Bonds!D:I,6,0)</f>
        <v>#N/A</v>
      </c>
    </row>
    <row r="336" spans="1:1" x14ac:dyDescent="0.25">
      <c r="A336" s="220" t="e">
        <f>VLOOKUP(D336,Bonds!D:I,6,0)</f>
        <v>#N/A</v>
      </c>
    </row>
    <row r="337" spans="1:1" x14ac:dyDescent="0.25">
      <c r="A337" s="220" t="e">
        <f>VLOOKUP(D337,Bonds!D:I,6,0)</f>
        <v>#N/A</v>
      </c>
    </row>
    <row r="338" spans="1:1" x14ac:dyDescent="0.25">
      <c r="A338" s="220" t="e">
        <f>VLOOKUP(D338,Bonds!D:I,6,0)</f>
        <v>#N/A</v>
      </c>
    </row>
    <row r="339" spans="1:1" x14ac:dyDescent="0.25">
      <c r="A339" s="220" t="e">
        <f>VLOOKUP(D339,Bonds!D:I,6,0)</f>
        <v>#N/A</v>
      </c>
    </row>
    <row r="340" spans="1:1" x14ac:dyDescent="0.25">
      <c r="A340" s="220" t="e">
        <f>VLOOKUP(D340,Bonds!D:I,6,0)</f>
        <v>#N/A</v>
      </c>
    </row>
    <row r="341" spans="1:1" x14ac:dyDescent="0.25">
      <c r="A341" s="220" t="e">
        <f>VLOOKUP(D341,Bonds!D:I,6,0)</f>
        <v>#N/A</v>
      </c>
    </row>
    <row r="342" spans="1:1" x14ac:dyDescent="0.25">
      <c r="A342" s="220" t="e">
        <f>VLOOKUP(D342,Bonds!D:I,6,0)</f>
        <v>#N/A</v>
      </c>
    </row>
    <row r="343" spans="1:1" x14ac:dyDescent="0.25">
      <c r="A343" s="220" t="e">
        <f>VLOOKUP(D343,Bonds!D:I,6,0)</f>
        <v>#N/A</v>
      </c>
    </row>
    <row r="344" spans="1:1" x14ac:dyDescent="0.25">
      <c r="A344" s="220" t="e">
        <f>VLOOKUP(D344,Bonds!D:I,6,0)</f>
        <v>#N/A</v>
      </c>
    </row>
    <row r="345" spans="1:1" x14ac:dyDescent="0.25">
      <c r="A345" s="220" t="e">
        <f>VLOOKUP(D345,Bonds!D:I,6,0)</f>
        <v>#N/A</v>
      </c>
    </row>
    <row r="346" spans="1:1" x14ac:dyDescent="0.25">
      <c r="A346" s="220" t="e">
        <f>VLOOKUP(D346,Bonds!D:I,6,0)</f>
        <v>#N/A</v>
      </c>
    </row>
    <row r="347" spans="1:1" x14ac:dyDescent="0.25">
      <c r="A347" s="220" t="e">
        <f>VLOOKUP(D347,Bonds!D:I,6,0)</f>
        <v>#N/A</v>
      </c>
    </row>
    <row r="348" spans="1:1" x14ac:dyDescent="0.25">
      <c r="A348" s="220" t="e">
        <f>VLOOKUP(D348,Bonds!D:I,6,0)</f>
        <v>#N/A</v>
      </c>
    </row>
    <row r="349" spans="1:1" x14ac:dyDescent="0.25">
      <c r="A349" s="220" t="e">
        <f>VLOOKUP(D349,Bonds!D:I,6,0)</f>
        <v>#N/A</v>
      </c>
    </row>
    <row r="350" spans="1:1" x14ac:dyDescent="0.25">
      <c r="A350" s="220" t="e">
        <f>VLOOKUP(D350,Bonds!D:I,6,0)</f>
        <v>#N/A</v>
      </c>
    </row>
    <row r="351" spans="1:1" x14ac:dyDescent="0.25">
      <c r="A351" s="220" t="e">
        <f>VLOOKUP(D351,Bonds!D:I,6,0)</f>
        <v>#N/A</v>
      </c>
    </row>
    <row r="352" spans="1:1" x14ac:dyDescent="0.25">
      <c r="A352" s="220" t="e">
        <f>VLOOKUP(D352,Bonds!D:I,6,0)</f>
        <v>#N/A</v>
      </c>
    </row>
    <row r="353" spans="1:1" x14ac:dyDescent="0.25">
      <c r="A353" s="220" t="e">
        <f>VLOOKUP(D353,Bonds!D:I,6,0)</f>
        <v>#N/A</v>
      </c>
    </row>
    <row r="354" spans="1:1" x14ac:dyDescent="0.25">
      <c r="A354" s="220" t="e">
        <f>VLOOKUP(D354,Bonds!D:I,6,0)</f>
        <v>#N/A</v>
      </c>
    </row>
    <row r="355" spans="1:1" x14ac:dyDescent="0.25">
      <c r="A355" s="220" t="e">
        <f>VLOOKUP(D355,Bonds!D:I,6,0)</f>
        <v>#N/A</v>
      </c>
    </row>
    <row r="356" spans="1:1" x14ac:dyDescent="0.25">
      <c r="A356" s="220" t="e">
        <f>VLOOKUP(D356,Bonds!D:I,6,0)</f>
        <v>#N/A</v>
      </c>
    </row>
    <row r="357" spans="1:1" x14ac:dyDescent="0.25">
      <c r="A357" s="220" t="e">
        <f>VLOOKUP(D357,Bonds!D:I,6,0)</f>
        <v>#N/A</v>
      </c>
    </row>
    <row r="358" spans="1:1" x14ac:dyDescent="0.25">
      <c r="A358" s="220" t="e">
        <f>VLOOKUP(D358,Bonds!D:I,6,0)</f>
        <v>#N/A</v>
      </c>
    </row>
    <row r="359" spans="1:1" x14ac:dyDescent="0.25">
      <c r="A359" s="220" t="e">
        <f>VLOOKUP(D359,Bonds!D:I,6,0)</f>
        <v>#N/A</v>
      </c>
    </row>
    <row r="360" spans="1:1" x14ac:dyDescent="0.25">
      <c r="A360" s="220" t="e">
        <f>VLOOKUP(D360,Bonds!D:I,6,0)</f>
        <v>#N/A</v>
      </c>
    </row>
    <row r="361" spans="1:1" x14ac:dyDescent="0.25">
      <c r="A361" s="220" t="e">
        <f>VLOOKUP(D361,Bonds!D:I,6,0)</f>
        <v>#N/A</v>
      </c>
    </row>
    <row r="362" spans="1:1" x14ac:dyDescent="0.25">
      <c r="A362" s="220" t="e">
        <f>VLOOKUP(D362,Bonds!D:I,6,0)</f>
        <v>#N/A</v>
      </c>
    </row>
    <row r="363" spans="1:1" x14ac:dyDescent="0.25">
      <c r="A363" s="220" t="e">
        <f>VLOOKUP(D363,Bonds!D:I,6,0)</f>
        <v>#N/A</v>
      </c>
    </row>
    <row r="364" spans="1:1" x14ac:dyDescent="0.25">
      <c r="A364" s="220" t="e">
        <f>VLOOKUP(D364,Bonds!D:I,6,0)</f>
        <v>#N/A</v>
      </c>
    </row>
    <row r="365" spans="1:1" x14ac:dyDescent="0.25">
      <c r="A365" s="220" t="e">
        <f>VLOOKUP(D365,Bonds!D:I,6,0)</f>
        <v>#N/A</v>
      </c>
    </row>
    <row r="366" spans="1:1" x14ac:dyDescent="0.25">
      <c r="A366" s="220" t="e">
        <f>VLOOKUP(D366,Bonds!D:I,6,0)</f>
        <v>#N/A</v>
      </c>
    </row>
    <row r="367" spans="1:1" x14ac:dyDescent="0.25">
      <c r="A367" s="220" t="e">
        <f>VLOOKUP(D367,Bonds!D:I,6,0)</f>
        <v>#N/A</v>
      </c>
    </row>
    <row r="368" spans="1:1" x14ac:dyDescent="0.25">
      <c r="A368" s="220" t="e">
        <f>VLOOKUP(D368,Bonds!D:I,6,0)</f>
        <v>#N/A</v>
      </c>
    </row>
    <row r="369" spans="1:1" x14ac:dyDescent="0.25">
      <c r="A369" s="220" t="e">
        <f>VLOOKUP(D369,Bonds!D:I,6,0)</f>
        <v>#N/A</v>
      </c>
    </row>
    <row r="370" spans="1:1" x14ac:dyDescent="0.25">
      <c r="A370" s="220" t="e">
        <f>VLOOKUP(D370,Bonds!D:I,6,0)</f>
        <v>#N/A</v>
      </c>
    </row>
    <row r="371" spans="1:1" x14ac:dyDescent="0.25">
      <c r="A371" s="220" t="e">
        <f>VLOOKUP(D371,Bonds!D:I,6,0)</f>
        <v>#N/A</v>
      </c>
    </row>
    <row r="372" spans="1:1" x14ac:dyDescent="0.25">
      <c r="A372" s="220" t="e">
        <f>VLOOKUP(D372,Bonds!D:I,6,0)</f>
        <v>#N/A</v>
      </c>
    </row>
    <row r="373" spans="1:1" x14ac:dyDescent="0.25">
      <c r="A373" s="220" t="e">
        <f>VLOOKUP(D373,Bonds!D:I,6,0)</f>
        <v>#N/A</v>
      </c>
    </row>
    <row r="374" spans="1:1" x14ac:dyDescent="0.25">
      <c r="A374" s="220" t="e">
        <f>VLOOKUP(D374,Bonds!D:I,6,0)</f>
        <v>#N/A</v>
      </c>
    </row>
    <row r="375" spans="1:1" x14ac:dyDescent="0.25">
      <c r="A375" s="220" t="e">
        <f>VLOOKUP(D375,Bonds!D:I,6,0)</f>
        <v>#N/A</v>
      </c>
    </row>
    <row r="376" spans="1:1" x14ac:dyDescent="0.25">
      <c r="A376" s="220" t="e">
        <f>VLOOKUP(D376,Bonds!D:I,6,0)</f>
        <v>#N/A</v>
      </c>
    </row>
    <row r="377" spans="1:1" x14ac:dyDescent="0.25">
      <c r="A377" s="220" t="e">
        <f>VLOOKUP(D377,Bonds!D:I,6,0)</f>
        <v>#N/A</v>
      </c>
    </row>
    <row r="378" spans="1:1" x14ac:dyDescent="0.25">
      <c r="A378" s="220" t="e">
        <f>VLOOKUP(D378,Bonds!D:I,6,0)</f>
        <v>#N/A</v>
      </c>
    </row>
    <row r="379" spans="1:1" x14ac:dyDescent="0.25">
      <c r="A379" s="220" t="e">
        <f>VLOOKUP(D379,Bonds!D:I,6,0)</f>
        <v>#N/A</v>
      </c>
    </row>
    <row r="380" spans="1:1" x14ac:dyDescent="0.25">
      <c r="A380" s="220" t="e">
        <f>VLOOKUP(D380,Bonds!D:I,6,0)</f>
        <v>#N/A</v>
      </c>
    </row>
    <row r="381" spans="1:1" x14ac:dyDescent="0.25">
      <c r="A381" s="220" t="e">
        <f>VLOOKUP(D381,Bonds!D:I,6,0)</f>
        <v>#N/A</v>
      </c>
    </row>
    <row r="382" spans="1:1" x14ac:dyDescent="0.25">
      <c r="A382" s="220" t="e">
        <f>VLOOKUP(D382,Bonds!D:I,6,0)</f>
        <v>#N/A</v>
      </c>
    </row>
    <row r="383" spans="1:1" x14ac:dyDescent="0.25">
      <c r="A383" s="220" t="e">
        <f>VLOOKUP(D383,Bonds!D:I,6,0)</f>
        <v>#N/A</v>
      </c>
    </row>
    <row r="384" spans="1:1" x14ac:dyDescent="0.25">
      <c r="A384" s="220" t="e">
        <f>VLOOKUP(D384,Bonds!D:I,6,0)</f>
        <v>#N/A</v>
      </c>
    </row>
    <row r="385" spans="1:1" x14ac:dyDescent="0.25">
      <c r="A385" s="220" t="e">
        <f>VLOOKUP(D385,Bonds!D:I,6,0)</f>
        <v>#N/A</v>
      </c>
    </row>
    <row r="386" spans="1:1" x14ac:dyDescent="0.25">
      <c r="A386" s="220" t="e">
        <f>VLOOKUP(D386,Bonds!D:I,6,0)</f>
        <v>#N/A</v>
      </c>
    </row>
    <row r="387" spans="1:1" x14ac:dyDescent="0.25">
      <c r="A387" s="220" t="e">
        <f>VLOOKUP(D387,Bonds!D:I,6,0)</f>
        <v>#N/A</v>
      </c>
    </row>
    <row r="388" spans="1:1" x14ac:dyDescent="0.25">
      <c r="A388" s="220" t="e">
        <f>VLOOKUP(D388,Bonds!D:I,6,0)</f>
        <v>#N/A</v>
      </c>
    </row>
    <row r="389" spans="1:1" x14ac:dyDescent="0.25">
      <c r="A389" s="220" t="e">
        <f>VLOOKUP(D389,Bonds!D:I,6,0)</f>
        <v>#N/A</v>
      </c>
    </row>
    <row r="390" spans="1:1" x14ac:dyDescent="0.25">
      <c r="A390" s="220" t="e">
        <f>VLOOKUP(D390,Bonds!D:I,6,0)</f>
        <v>#N/A</v>
      </c>
    </row>
    <row r="391" spans="1:1" x14ac:dyDescent="0.25">
      <c r="A391" s="220" t="e">
        <f>VLOOKUP(D391,Bonds!D:I,6,0)</f>
        <v>#N/A</v>
      </c>
    </row>
    <row r="392" spans="1:1" x14ac:dyDescent="0.25">
      <c r="A392" s="220" t="e">
        <f>VLOOKUP(D392,Bonds!D:I,6,0)</f>
        <v>#N/A</v>
      </c>
    </row>
    <row r="393" spans="1:1" x14ac:dyDescent="0.25">
      <c r="A393" s="220" t="e">
        <f>VLOOKUP(D393,Bonds!D:I,6,0)</f>
        <v>#N/A</v>
      </c>
    </row>
    <row r="394" spans="1:1" x14ac:dyDescent="0.25">
      <c r="A394" s="220" t="e">
        <f>VLOOKUP(D394,Bonds!D:I,6,0)</f>
        <v>#N/A</v>
      </c>
    </row>
    <row r="395" spans="1:1" x14ac:dyDescent="0.25">
      <c r="A395" s="220" t="e">
        <f>VLOOKUP(D395,Bonds!D:I,6,0)</f>
        <v>#N/A</v>
      </c>
    </row>
    <row r="396" spans="1:1" x14ac:dyDescent="0.25">
      <c r="A396" s="220" t="e">
        <f>VLOOKUP(D396,Bonds!D:I,6,0)</f>
        <v>#N/A</v>
      </c>
    </row>
    <row r="397" spans="1:1" x14ac:dyDescent="0.25">
      <c r="A397" s="220" t="e">
        <f>VLOOKUP(D397,Bonds!D:I,6,0)</f>
        <v>#N/A</v>
      </c>
    </row>
    <row r="398" spans="1:1" x14ac:dyDescent="0.25">
      <c r="A398" s="220" t="e">
        <f>VLOOKUP(D398,Bonds!D:I,6,0)</f>
        <v>#N/A</v>
      </c>
    </row>
    <row r="399" spans="1:1" x14ac:dyDescent="0.25">
      <c r="A399" s="220" t="e">
        <f>VLOOKUP(D399,Bonds!D:I,6,0)</f>
        <v>#N/A</v>
      </c>
    </row>
    <row r="400" spans="1:1" x14ac:dyDescent="0.25">
      <c r="A400" s="220" t="e">
        <f>VLOOKUP(D400,Bonds!D:I,6,0)</f>
        <v>#N/A</v>
      </c>
    </row>
    <row r="401" spans="1:1" x14ac:dyDescent="0.25">
      <c r="A401" s="220" t="e">
        <f>VLOOKUP(D401,Bonds!D:I,6,0)</f>
        <v>#N/A</v>
      </c>
    </row>
    <row r="402" spans="1:1" x14ac:dyDescent="0.25">
      <c r="A402" s="220" t="e">
        <f>VLOOKUP(D402,Bonds!D:I,6,0)</f>
        <v>#N/A</v>
      </c>
    </row>
    <row r="403" spans="1:1" x14ac:dyDescent="0.25">
      <c r="A403" s="220" t="e">
        <f>VLOOKUP(D403,Bonds!D:I,6,0)</f>
        <v>#N/A</v>
      </c>
    </row>
    <row r="404" spans="1:1" x14ac:dyDescent="0.25">
      <c r="A404" s="220" t="e">
        <f>VLOOKUP(D404,Bonds!D:I,6,0)</f>
        <v>#N/A</v>
      </c>
    </row>
    <row r="405" spans="1:1" x14ac:dyDescent="0.25">
      <c r="A405" s="220" t="e">
        <f>VLOOKUP(D405,Bonds!D:I,6,0)</f>
        <v>#N/A</v>
      </c>
    </row>
    <row r="406" spans="1:1" x14ac:dyDescent="0.25">
      <c r="A406" s="220" t="e">
        <f>VLOOKUP(D406,Bonds!D:I,6,0)</f>
        <v>#N/A</v>
      </c>
    </row>
    <row r="407" spans="1:1" x14ac:dyDescent="0.25">
      <c r="A407" s="220" t="e">
        <f>VLOOKUP(D407,Bonds!D:I,6,0)</f>
        <v>#N/A</v>
      </c>
    </row>
    <row r="408" spans="1:1" x14ac:dyDescent="0.25">
      <c r="A408" s="220" t="e">
        <f>VLOOKUP(D408,Bonds!D:I,6,0)</f>
        <v>#N/A</v>
      </c>
    </row>
    <row r="409" spans="1:1" x14ac:dyDescent="0.25">
      <c r="A409" s="220" t="e">
        <f>VLOOKUP(D409,Bonds!D:I,6,0)</f>
        <v>#N/A</v>
      </c>
    </row>
    <row r="410" spans="1:1" x14ac:dyDescent="0.25">
      <c r="A410" s="220" t="e">
        <f>VLOOKUP(D410,Bonds!D:I,6,0)</f>
        <v>#N/A</v>
      </c>
    </row>
    <row r="411" spans="1:1" x14ac:dyDescent="0.25">
      <c r="A411" s="220" t="e">
        <f>VLOOKUP(D411,Bonds!D:I,6,0)</f>
        <v>#N/A</v>
      </c>
    </row>
    <row r="412" spans="1:1" x14ac:dyDescent="0.25">
      <c r="A412" s="220" t="e">
        <f>VLOOKUP(D412,Bonds!D:I,6,0)</f>
        <v>#N/A</v>
      </c>
    </row>
    <row r="413" spans="1:1" x14ac:dyDescent="0.25">
      <c r="A413" s="220" t="e">
        <f>VLOOKUP(D413,Bonds!D:I,6,0)</f>
        <v>#N/A</v>
      </c>
    </row>
    <row r="414" spans="1:1" x14ac:dyDescent="0.25">
      <c r="A414" s="220" t="e">
        <f>VLOOKUP(D414,Bonds!D:I,6,0)</f>
        <v>#N/A</v>
      </c>
    </row>
    <row r="415" spans="1:1" x14ac:dyDescent="0.25">
      <c r="A415" s="220" t="e">
        <f>VLOOKUP(D415,Bonds!D:I,6,0)</f>
        <v>#N/A</v>
      </c>
    </row>
    <row r="416" spans="1:1" x14ac:dyDescent="0.25">
      <c r="A416" s="220" t="e">
        <f>VLOOKUP(D416,Bonds!D:I,6,0)</f>
        <v>#N/A</v>
      </c>
    </row>
    <row r="417" spans="1:1" x14ac:dyDescent="0.25">
      <c r="A417" s="220" t="e">
        <f>VLOOKUP(D417,Bonds!D:I,6,0)</f>
        <v>#N/A</v>
      </c>
    </row>
    <row r="418" spans="1:1" x14ac:dyDescent="0.25">
      <c r="A418" s="220" t="e">
        <f>VLOOKUP(D418,Bonds!D:I,6,0)</f>
        <v>#N/A</v>
      </c>
    </row>
    <row r="419" spans="1:1" x14ac:dyDescent="0.25">
      <c r="A419" s="220" t="e">
        <f>VLOOKUP(D419,Bonds!D:I,6,0)</f>
        <v>#N/A</v>
      </c>
    </row>
    <row r="420" spans="1:1" x14ac:dyDescent="0.25">
      <c r="A420" s="220" t="e">
        <f>VLOOKUP(D420,Bonds!D:I,6,0)</f>
        <v>#N/A</v>
      </c>
    </row>
    <row r="421" spans="1:1" x14ac:dyDescent="0.25">
      <c r="A421" s="220" t="e">
        <f>VLOOKUP(D421,Bonds!D:I,6,0)</f>
        <v>#N/A</v>
      </c>
    </row>
    <row r="422" spans="1:1" x14ac:dyDescent="0.25">
      <c r="A422" s="220" t="e">
        <f>VLOOKUP(D422,Bonds!D:I,6,0)</f>
        <v>#N/A</v>
      </c>
    </row>
    <row r="423" spans="1:1" x14ac:dyDescent="0.25">
      <c r="A423" s="220" t="e">
        <f>VLOOKUP(D423,Bonds!D:I,6,0)</f>
        <v>#N/A</v>
      </c>
    </row>
    <row r="424" spans="1:1" x14ac:dyDescent="0.25">
      <c r="A424" s="220" t="e">
        <f>VLOOKUP(D424,Bonds!D:I,6,0)</f>
        <v>#N/A</v>
      </c>
    </row>
    <row r="425" spans="1:1" x14ac:dyDescent="0.25">
      <c r="A425" s="220" t="e">
        <f>VLOOKUP(D425,Bonds!D:I,6,0)</f>
        <v>#N/A</v>
      </c>
    </row>
    <row r="426" spans="1:1" x14ac:dyDescent="0.25">
      <c r="A426" s="220" t="e">
        <f>VLOOKUP(D426,Bonds!D:I,6,0)</f>
        <v>#N/A</v>
      </c>
    </row>
    <row r="427" spans="1:1" x14ac:dyDescent="0.25">
      <c r="A427" s="220" t="e">
        <f>VLOOKUP(D427,Bonds!D:I,6,0)</f>
        <v>#N/A</v>
      </c>
    </row>
    <row r="428" spans="1:1" x14ac:dyDescent="0.25">
      <c r="A428" s="220" t="e">
        <f>VLOOKUP(D428,Bonds!D:I,6,0)</f>
        <v>#N/A</v>
      </c>
    </row>
    <row r="429" spans="1:1" x14ac:dyDescent="0.25">
      <c r="A429" s="220" t="e">
        <f>VLOOKUP(D429,Bonds!D:I,6,0)</f>
        <v>#N/A</v>
      </c>
    </row>
    <row r="430" spans="1:1" x14ac:dyDescent="0.25">
      <c r="A430" s="220" t="e">
        <f>VLOOKUP(D430,Bonds!D:I,6,0)</f>
        <v>#N/A</v>
      </c>
    </row>
    <row r="431" spans="1:1" x14ac:dyDescent="0.25">
      <c r="A431" s="220" t="e">
        <f>VLOOKUP(D431,Bonds!D:I,6,0)</f>
        <v>#N/A</v>
      </c>
    </row>
    <row r="432" spans="1:1" x14ac:dyDescent="0.25">
      <c r="A432" s="220" t="e">
        <f>VLOOKUP(D432,Bonds!D:I,6,0)</f>
        <v>#N/A</v>
      </c>
    </row>
    <row r="433" spans="1:1" x14ac:dyDescent="0.25">
      <c r="A433" s="220" t="e">
        <f>VLOOKUP(D433,Bonds!D:I,6,0)</f>
        <v>#N/A</v>
      </c>
    </row>
    <row r="434" spans="1:1" x14ac:dyDescent="0.25">
      <c r="A434" s="220" t="e">
        <f>VLOOKUP(D434,Bonds!D:I,6,0)</f>
        <v>#N/A</v>
      </c>
    </row>
    <row r="435" spans="1:1" x14ac:dyDescent="0.25">
      <c r="A435" s="220" t="e">
        <f>VLOOKUP(D435,Bonds!D:I,6,0)</f>
        <v>#N/A</v>
      </c>
    </row>
    <row r="436" spans="1:1" x14ac:dyDescent="0.25">
      <c r="A436" s="220" t="e">
        <f>VLOOKUP(D436,Bonds!D:I,6,0)</f>
        <v>#N/A</v>
      </c>
    </row>
    <row r="437" spans="1:1" x14ac:dyDescent="0.25">
      <c r="A437" s="220" t="e">
        <f>VLOOKUP(D437,Bonds!D:I,6,0)</f>
        <v>#N/A</v>
      </c>
    </row>
    <row r="438" spans="1:1" x14ac:dyDescent="0.25">
      <c r="A438" s="220" t="e">
        <f>VLOOKUP(D438,Bonds!D:I,6,0)</f>
        <v>#N/A</v>
      </c>
    </row>
    <row r="439" spans="1:1" x14ac:dyDescent="0.25">
      <c r="A439" s="220" t="e">
        <f>VLOOKUP(D439,Bonds!D:I,6,0)</f>
        <v>#N/A</v>
      </c>
    </row>
    <row r="440" spans="1:1" x14ac:dyDescent="0.25">
      <c r="A440" s="220" t="e">
        <f>VLOOKUP(D440,Bonds!D:I,6,0)</f>
        <v>#N/A</v>
      </c>
    </row>
    <row r="441" spans="1:1" x14ac:dyDescent="0.25">
      <c r="A441" s="220" t="e">
        <f>VLOOKUP(D441,Bonds!D:I,6,0)</f>
        <v>#N/A</v>
      </c>
    </row>
    <row r="442" spans="1:1" x14ac:dyDescent="0.25">
      <c r="A442" s="220" t="e">
        <f>VLOOKUP(D442,Bonds!D:I,6,0)</f>
        <v>#N/A</v>
      </c>
    </row>
    <row r="443" spans="1:1" x14ac:dyDescent="0.25">
      <c r="A443" s="220" t="e">
        <f>VLOOKUP(D443,Bonds!D:I,6,0)</f>
        <v>#N/A</v>
      </c>
    </row>
    <row r="444" spans="1:1" x14ac:dyDescent="0.25">
      <c r="A444" s="220" t="e">
        <f>VLOOKUP(D444,Bonds!D:I,6,0)</f>
        <v>#N/A</v>
      </c>
    </row>
    <row r="445" spans="1:1" x14ac:dyDescent="0.25">
      <c r="A445" s="220" t="e">
        <f>VLOOKUP(D445,Bonds!D:I,6,0)</f>
        <v>#N/A</v>
      </c>
    </row>
    <row r="446" spans="1:1" x14ac:dyDescent="0.25">
      <c r="A446" s="220" t="e">
        <f>VLOOKUP(D446,Bonds!D:I,6,0)</f>
        <v>#N/A</v>
      </c>
    </row>
    <row r="447" spans="1:1" x14ac:dyDescent="0.25">
      <c r="A447" s="220" t="e">
        <f>VLOOKUP(D447,Bonds!D:I,6,0)</f>
        <v>#N/A</v>
      </c>
    </row>
    <row r="448" spans="1:1" x14ac:dyDescent="0.25">
      <c r="A448" s="220" t="e">
        <f>VLOOKUP(D448,Bonds!D:I,6,0)</f>
        <v>#N/A</v>
      </c>
    </row>
    <row r="449" spans="1:1" x14ac:dyDescent="0.25">
      <c r="A449" s="220" t="e">
        <f>VLOOKUP(D449,Bonds!D:I,6,0)</f>
        <v>#N/A</v>
      </c>
    </row>
    <row r="450" spans="1:1" x14ac:dyDescent="0.25">
      <c r="A450" s="220" t="e">
        <f>VLOOKUP(D450,Bonds!D:I,6,0)</f>
        <v>#N/A</v>
      </c>
    </row>
    <row r="451" spans="1:1" x14ac:dyDescent="0.25">
      <c r="A451" s="220" t="e">
        <f>VLOOKUP(D451,Bonds!D:I,6,0)</f>
        <v>#N/A</v>
      </c>
    </row>
    <row r="452" spans="1:1" x14ac:dyDescent="0.25">
      <c r="A452" s="220" t="e">
        <f>VLOOKUP(D452,Bonds!D:I,6,0)</f>
        <v>#N/A</v>
      </c>
    </row>
    <row r="453" spans="1:1" x14ac:dyDescent="0.25">
      <c r="A453" s="220" t="e">
        <f>VLOOKUP(D453,Bonds!D:I,6,0)</f>
        <v>#N/A</v>
      </c>
    </row>
    <row r="454" spans="1:1" x14ac:dyDescent="0.25">
      <c r="A454" s="220" t="e">
        <f>VLOOKUP(D454,Bonds!D:I,6,0)</f>
        <v>#N/A</v>
      </c>
    </row>
    <row r="455" spans="1:1" x14ac:dyDescent="0.25">
      <c r="A455" s="220" t="e">
        <f>VLOOKUP(D455,Bonds!D:I,6,0)</f>
        <v>#N/A</v>
      </c>
    </row>
    <row r="456" spans="1:1" x14ac:dyDescent="0.25">
      <c r="A456" s="220" t="e">
        <f>VLOOKUP(D456,Bonds!D:I,6,0)</f>
        <v>#N/A</v>
      </c>
    </row>
    <row r="457" spans="1:1" x14ac:dyDescent="0.25">
      <c r="A457" s="220" t="e">
        <f>VLOOKUP(D457,Bonds!D:I,6,0)</f>
        <v>#N/A</v>
      </c>
    </row>
    <row r="458" spans="1:1" x14ac:dyDescent="0.25">
      <c r="A458" s="220" t="e">
        <f>VLOOKUP(D458,Bonds!D:I,6,0)</f>
        <v>#N/A</v>
      </c>
    </row>
    <row r="459" spans="1:1" x14ac:dyDescent="0.25">
      <c r="A459" s="220" t="e">
        <f>VLOOKUP(D459,Bonds!D:I,6,0)</f>
        <v>#N/A</v>
      </c>
    </row>
    <row r="460" spans="1:1" x14ac:dyDescent="0.25">
      <c r="A460" s="220" t="e">
        <f>VLOOKUP(D460,Bonds!D:I,6,0)</f>
        <v>#N/A</v>
      </c>
    </row>
    <row r="461" spans="1:1" x14ac:dyDescent="0.25">
      <c r="A461" s="220" t="e">
        <f>VLOOKUP(D461,Bonds!D:I,6,0)</f>
        <v>#N/A</v>
      </c>
    </row>
    <row r="462" spans="1:1" x14ac:dyDescent="0.25">
      <c r="A462" s="220" t="e">
        <f>VLOOKUP(D462,Bonds!D:I,6,0)</f>
        <v>#N/A</v>
      </c>
    </row>
    <row r="463" spans="1:1" x14ac:dyDescent="0.25">
      <c r="A463" s="220" t="e">
        <f>VLOOKUP(D463,Bonds!D:I,6,0)</f>
        <v>#N/A</v>
      </c>
    </row>
    <row r="464" spans="1:1" x14ac:dyDescent="0.25">
      <c r="A464" s="220" t="e">
        <f>VLOOKUP(D464,Bonds!D:I,6,0)</f>
        <v>#N/A</v>
      </c>
    </row>
    <row r="465" spans="1:1" x14ac:dyDescent="0.25">
      <c r="A465" s="220" t="e">
        <f>VLOOKUP(D465,Bonds!D:I,6,0)</f>
        <v>#N/A</v>
      </c>
    </row>
    <row r="466" spans="1:1" x14ac:dyDescent="0.25">
      <c r="A466" s="220" t="e">
        <f>VLOOKUP(D466,Bonds!D:I,6,0)</f>
        <v>#N/A</v>
      </c>
    </row>
    <row r="467" spans="1:1" x14ac:dyDescent="0.25">
      <c r="A467" s="220" t="e">
        <f>VLOOKUP(D467,Bonds!D:I,6,0)</f>
        <v>#N/A</v>
      </c>
    </row>
    <row r="468" spans="1:1" x14ac:dyDescent="0.25">
      <c r="A468" s="220" t="e">
        <f>VLOOKUP(D468,Bonds!D:I,6,0)</f>
        <v>#N/A</v>
      </c>
    </row>
    <row r="469" spans="1:1" x14ac:dyDescent="0.25">
      <c r="A469" s="220" t="e">
        <f>VLOOKUP(D469,Bonds!D:I,6,0)</f>
        <v>#N/A</v>
      </c>
    </row>
    <row r="470" spans="1:1" x14ac:dyDescent="0.25">
      <c r="A470" s="220" t="e">
        <f>VLOOKUP(D470,Bonds!D:I,6,0)</f>
        <v>#N/A</v>
      </c>
    </row>
    <row r="471" spans="1:1" x14ac:dyDescent="0.25">
      <c r="A471" s="220" t="e">
        <f>VLOOKUP(D471,Bonds!D:I,6,0)</f>
        <v>#N/A</v>
      </c>
    </row>
    <row r="472" spans="1:1" x14ac:dyDescent="0.25">
      <c r="A472" s="220" t="e">
        <f>VLOOKUP(D472,Bonds!D:I,6,0)</f>
        <v>#N/A</v>
      </c>
    </row>
    <row r="473" spans="1:1" x14ac:dyDescent="0.25">
      <c r="A473" s="220" t="e">
        <f>VLOOKUP(D473,Bonds!D:I,6,0)</f>
        <v>#N/A</v>
      </c>
    </row>
  </sheetData>
  <conditionalFormatting sqref="A1:A1048576">
    <cfRule type="cellIs" dxfId="1" priority="1" operator="notEqual">
      <formula>E1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795A3-3433-4415-9114-E34DF1D2369D}">
  <sheetPr codeName="Sheet20">
    <tabColor theme="2" tint="-9.9978637043366805E-2"/>
  </sheetPr>
  <dimension ref="A1:T282"/>
  <sheetViews>
    <sheetView workbookViewId="0">
      <pane ySplit="1" topLeftCell="A2" activePane="bottomLeft" state="frozen"/>
      <selection activeCell="Q31" sqref="Q31"/>
      <selection pane="bottomLeft" activeCellId="1" sqref="A35:XFD51 A1:XFD1"/>
    </sheetView>
  </sheetViews>
  <sheetFormatPr defaultRowHeight="15" x14ac:dyDescent="0.25"/>
  <cols>
    <col min="1" max="1" width="28.7109375" style="220" customWidth="1"/>
    <col min="2" max="2" width="9.5703125" bestFit="1" customWidth="1"/>
    <col min="3" max="3" width="50.42578125" bestFit="1" customWidth="1"/>
    <col min="4" max="4" width="24.7109375" bestFit="1" customWidth="1"/>
    <col min="5" max="5" width="15" customWidth="1"/>
    <col min="6" max="6" width="7.85546875" bestFit="1" customWidth="1"/>
    <col min="7" max="7" width="14.42578125" bestFit="1" customWidth="1"/>
    <col min="8" max="8" width="10" bestFit="1" customWidth="1"/>
    <col min="9" max="9" width="5.85546875" bestFit="1" customWidth="1"/>
    <col min="10" max="10" width="8.85546875" bestFit="1" customWidth="1"/>
    <col min="11" max="11" width="12.28515625" bestFit="1" customWidth="1"/>
    <col min="12" max="12" width="10.7109375" bestFit="1" customWidth="1"/>
    <col min="13" max="13" width="12.28515625" bestFit="1" customWidth="1"/>
    <col min="14" max="14" width="12" bestFit="1" customWidth="1"/>
    <col min="15" max="15" width="13.85546875" bestFit="1" customWidth="1"/>
    <col min="16" max="16" width="13.140625" bestFit="1" customWidth="1"/>
    <col min="17" max="17" width="11.140625" bestFit="1" customWidth="1"/>
    <col min="18" max="18" width="17" bestFit="1" customWidth="1"/>
  </cols>
  <sheetData>
    <row r="1" spans="1:19" s="22" customFormat="1" x14ac:dyDescent="0.25">
      <c r="A1" s="656" t="str">
        <f>VLOOKUP(D1,Bonds!$D:$I,6,0)</f>
        <v>Quantity</v>
      </c>
      <c r="B1" s="960" t="s">
        <v>375</v>
      </c>
      <c r="C1" s="960" t="s">
        <v>228</v>
      </c>
      <c r="D1" s="960" t="s">
        <v>230</v>
      </c>
      <c r="E1" s="960" t="s">
        <v>232</v>
      </c>
      <c r="F1" s="960" t="s">
        <v>231</v>
      </c>
      <c r="G1" s="960" t="s">
        <v>482</v>
      </c>
      <c r="H1" s="960" t="s">
        <v>236</v>
      </c>
      <c r="I1" s="960" t="s">
        <v>483</v>
      </c>
      <c r="J1" s="960" t="s">
        <v>240</v>
      </c>
      <c r="K1" s="960" t="s">
        <v>376</v>
      </c>
      <c r="L1" s="960" t="s">
        <v>243</v>
      </c>
      <c r="M1" s="960" t="s">
        <v>376</v>
      </c>
      <c r="N1" s="960" t="s">
        <v>484</v>
      </c>
      <c r="O1" s="960" t="s">
        <v>485</v>
      </c>
      <c r="P1" s="960" t="s">
        <v>486</v>
      </c>
      <c r="Q1" s="960" t="s">
        <v>487</v>
      </c>
      <c r="R1" s="960" t="s">
        <v>246</v>
      </c>
      <c r="S1" s="960" t="s">
        <v>488</v>
      </c>
    </row>
    <row r="2" spans="1:19" s="22" customFormat="1" x14ac:dyDescent="0.25">
      <c r="A2" s="220" t="e">
        <f>VLOOKUP(D2,Bonds!$D:$I,6,0)</f>
        <v>#N/A</v>
      </c>
      <c r="B2" s="960" t="s">
        <v>2250</v>
      </c>
      <c r="C2" s="960" t="s">
        <v>560</v>
      </c>
      <c r="D2" s="960" t="s">
        <v>561</v>
      </c>
      <c r="E2" s="961">
        <v>0</v>
      </c>
      <c r="F2" s="960" t="s">
        <v>18</v>
      </c>
      <c r="G2" s="960" t="s">
        <v>18</v>
      </c>
      <c r="H2" s="960" t="s">
        <v>257</v>
      </c>
      <c r="I2" s="960" t="s">
        <v>257</v>
      </c>
      <c r="J2" s="960" t="s">
        <v>459</v>
      </c>
      <c r="K2" s="960" t="s">
        <v>459</v>
      </c>
      <c r="L2" s="960" t="s">
        <v>459</v>
      </c>
      <c r="M2" s="960" t="s">
        <v>459</v>
      </c>
      <c r="N2" s="961">
        <v>-147.88</v>
      </c>
      <c r="O2" s="961">
        <v>-147.88</v>
      </c>
      <c r="P2" s="960" t="s">
        <v>459</v>
      </c>
      <c r="Q2" s="960" t="s">
        <v>459</v>
      </c>
      <c r="R2" s="961">
        <v>-147.88</v>
      </c>
      <c r="S2" s="962">
        <v>-8.329576884542297E-6</v>
      </c>
    </row>
    <row r="3" spans="1:19" s="22" customFormat="1" x14ac:dyDescent="0.25">
      <c r="A3" s="220" t="e">
        <f>VLOOKUP(D3,Bonds!$D:$I,6,0)</f>
        <v>#N/A</v>
      </c>
      <c r="B3" s="960" t="s">
        <v>2250</v>
      </c>
      <c r="C3" s="960" t="s">
        <v>562</v>
      </c>
      <c r="D3" s="960" t="s">
        <v>563</v>
      </c>
      <c r="E3" s="961">
        <v>0</v>
      </c>
      <c r="F3" s="960" t="s">
        <v>21</v>
      </c>
      <c r="G3" s="960" t="s">
        <v>21</v>
      </c>
      <c r="H3" s="960" t="s">
        <v>257</v>
      </c>
      <c r="I3" s="960" t="s">
        <v>257</v>
      </c>
      <c r="J3" s="960" t="s">
        <v>459</v>
      </c>
      <c r="K3" s="960" t="s">
        <v>257</v>
      </c>
      <c r="L3" s="960" t="s">
        <v>459</v>
      </c>
      <c r="M3" s="963">
        <v>1.1762999999999999</v>
      </c>
      <c r="N3" s="961">
        <v>-493.15</v>
      </c>
      <c r="O3" s="961">
        <v>-493.15</v>
      </c>
      <c r="P3" s="960" t="s">
        <v>459</v>
      </c>
      <c r="Q3" s="960" t="s">
        <v>459</v>
      </c>
      <c r="R3" s="961">
        <v>-580.07000000000005</v>
      </c>
      <c r="S3" s="962">
        <v>-3.2673368024184814E-5</v>
      </c>
    </row>
    <row r="4" spans="1:19" s="22" customFormat="1" x14ac:dyDescent="0.25">
      <c r="A4" s="220" t="e">
        <f>VLOOKUP(D4,Bonds!$D:$I,6,0)</f>
        <v>#N/A</v>
      </c>
      <c r="B4" s="960" t="s">
        <v>2250</v>
      </c>
      <c r="C4" s="960" t="s">
        <v>564</v>
      </c>
      <c r="D4" s="960" t="s">
        <v>565</v>
      </c>
      <c r="E4" s="961">
        <v>63314.98</v>
      </c>
      <c r="F4" s="960" t="s">
        <v>19</v>
      </c>
      <c r="G4" s="960" t="s">
        <v>19</v>
      </c>
      <c r="H4" s="960" t="s">
        <v>257</v>
      </c>
      <c r="I4" s="960" t="s">
        <v>257</v>
      </c>
      <c r="J4" s="960" t="s">
        <v>459</v>
      </c>
      <c r="K4" s="963">
        <v>1.3633</v>
      </c>
      <c r="L4" s="960" t="s">
        <v>459</v>
      </c>
      <c r="M4" s="963">
        <v>1.3454999999999999</v>
      </c>
      <c r="N4" s="961">
        <v>63310.64</v>
      </c>
      <c r="O4" s="961">
        <v>-4.34</v>
      </c>
      <c r="P4" s="960" t="s">
        <v>459</v>
      </c>
      <c r="Q4" s="960" t="s">
        <v>459</v>
      </c>
      <c r="R4" s="961">
        <v>85181.440000000002</v>
      </c>
      <c r="S4" s="962">
        <v>4.7979804815798388E-3</v>
      </c>
    </row>
    <row r="5" spans="1:19" s="22" customFormat="1" x14ac:dyDescent="0.25">
      <c r="A5" s="220" t="e">
        <f>VLOOKUP(D5,Bonds!$D:$I,6,0)</f>
        <v>#N/A</v>
      </c>
      <c r="B5" s="960" t="s">
        <v>2250</v>
      </c>
      <c r="C5" s="960" t="s">
        <v>566</v>
      </c>
      <c r="D5" s="960" t="s">
        <v>567</v>
      </c>
      <c r="E5" s="961">
        <v>894.36</v>
      </c>
      <c r="F5" s="960" t="s">
        <v>24</v>
      </c>
      <c r="G5" s="960" t="s">
        <v>24</v>
      </c>
      <c r="H5" s="960" t="s">
        <v>257</v>
      </c>
      <c r="I5" s="960" t="s">
        <v>257</v>
      </c>
      <c r="J5" s="960" t="s">
        <v>459</v>
      </c>
      <c r="K5" s="963">
        <v>0.76519999999999999</v>
      </c>
      <c r="L5" s="960" t="s">
        <v>459</v>
      </c>
      <c r="M5" s="963">
        <v>0.77569999999999995</v>
      </c>
      <c r="N5" s="961">
        <v>891.52</v>
      </c>
      <c r="O5" s="961">
        <v>-2.84</v>
      </c>
      <c r="P5" s="960" t="s">
        <v>459</v>
      </c>
      <c r="Q5" s="960" t="s">
        <v>459</v>
      </c>
      <c r="R5" s="961">
        <v>1149.3900000000001</v>
      </c>
      <c r="S5" s="962">
        <v>6.4741225150960724E-5</v>
      </c>
    </row>
    <row r="6" spans="1:19" s="22" customFormat="1" x14ac:dyDescent="0.25">
      <c r="A6" s="220" t="e">
        <f>VLOOKUP(D6,Bonds!$D:$I,6,0)</f>
        <v>#N/A</v>
      </c>
      <c r="B6" s="960" t="s">
        <v>2250</v>
      </c>
      <c r="C6" s="960" t="s">
        <v>568</v>
      </c>
      <c r="D6" s="960" t="s">
        <v>569</v>
      </c>
      <c r="E6" s="961">
        <v>0</v>
      </c>
      <c r="F6" s="960" t="s">
        <v>458</v>
      </c>
      <c r="G6" s="960" t="s">
        <v>458</v>
      </c>
      <c r="H6" s="960" t="s">
        <v>257</v>
      </c>
      <c r="I6" s="960" t="s">
        <v>257</v>
      </c>
      <c r="J6" s="960" t="s">
        <v>459</v>
      </c>
      <c r="K6" s="960" t="s">
        <v>257</v>
      </c>
      <c r="L6" s="960" t="s">
        <v>459</v>
      </c>
      <c r="M6" s="963">
        <v>5.2161999999999997</v>
      </c>
      <c r="N6" s="961">
        <v>0</v>
      </c>
      <c r="O6" s="961">
        <v>0</v>
      </c>
      <c r="P6" s="960" t="s">
        <v>459</v>
      </c>
      <c r="Q6" s="960" t="s">
        <v>459</v>
      </c>
      <c r="R6" s="961">
        <v>0</v>
      </c>
      <c r="S6" s="962">
        <v>0</v>
      </c>
    </row>
    <row r="7" spans="1:19" s="22" customFormat="1" x14ac:dyDescent="0.25">
      <c r="A7" s="656" t="e">
        <f>VLOOKUP(D7,Bonds!$D:$I,6,0)</f>
        <v>#N/A</v>
      </c>
      <c r="B7" s="960" t="s">
        <v>2250</v>
      </c>
      <c r="C7" s="960" t="s">
        <v>872</v>
      </c>
      <c r="D7" s="960" t="s">
        <v>459</v>
      </c>
      <c r="E7" s="961">
        <v>-1549000</v>
      </c>
      <c r="F7" s="960" t="s">
        <v>24</v>
      </c>
      <c r="G7" s="960" t="s">
        <v>24</v>
      </c>
      <c r="H7" s="960" t="s">
        <v>932</v>
      </c>
      <c r="I7" s="960" t="s">
        <v>257</v>
      </c>
      <c r="J7" s="964">
        <v>1</v>
      </c>
      <c r="K7" s="963">
        <v>0.81969999999999998</v>
      </c>
      <c r="L7" s="960" t="s">
        <v>257</v>
      </c>
      <c r="M7" s="963">
        <v>0.77569999999999995</v>
      </c>
      <c r="N7" s="961">
        <v>-1550053.32</v>
      </c>
      <c r="O7" s="961">
        <v>-1053.32</v>
      </c>
      <c r="P7" s="962">
        <v>-5.6855541988137394E-2</v>
      </c>
      <c r="Q7" s="961">
        <v>-107434.26</v>
      </c>
      <c r="R7" s="961">
        <v>-1998392.73</v>
      </c>
      <c r="S7" s="962">
        <v>-0.11256265816909233</v>
      </c>
    </row>
    <row r="8" spans="1:19" s="22" customFormat="1" x14ac:dyDescent="0.25">
      <c r="A8" s="220" t="e">
        <f>VLOOKUP(D8,Bonds!$D:$I,6,0)</f>
        <v>#N/A</v>
      </c>
      <c r="B8" s="960" t="s">
        <v>2250</v>
      </c>
      <c r="C8" s="960" t="s">
        <v>2399</v>
      </c>
      <c r="D8" s="960" t="s">
        <v>459</v>
      </c>
      <c r="E8" s="964">
        <v>712000</v>
      </c>
      <c r="F8" s="960" t="s">
        <v>21</v>
      </c>
      <c r="G8" s="960" t="s">
        <v>21</v>
      </c>
      <c r="H8" s="960" t="s">
        <v>1064</v>
      </c>
      <c r="I8" s="960" t="s">
        <v>257</v>
      </c>
      <c r="J8" s="960" t="s">
        <v>257</v>
      </c>
      <c r="K8" s="963">
        <v>1.2074</v>
      </c>
      <c r="L8" s="960" t="s">
        <v>257</v>
      </c>
      <c r="M8" s="963">
        <v>1.1762999999999999</v>
      </c>
      <c r="N8" s="961">
        <v>-11247.04</v>
      </c>
      <c r="O8" s="961">
        <v>0</v>
      </c>
      <c r="P8" s="960" t="s">
        <v>257</v>
      </c>
      <c r="Q8" s="960" t="s">
        <v>257</v>
      </c>
      <c r="R8" s="961">
        <v>-13229.36</v>
      </c>
      <c r="S8" s="962">
        <v>-7.4516480425539957E-4</v>
      </c>
    </row>
    <row r="9" spans="1:19" x14ac:dyDescent="0.25">
      <c r="A9" s="220" t="e">
        <f>VLOOKUP(D9,Bonds!$D:$I,6,0)</f>
        <v>#N/A</v>
      </c>
      <c r="B9" s="960" t="s">
        <v>2250</v>
      </c>
      <c r="C9" s="960" t="s">
        <v>2400</v>
      </c>
      <c r="D9" s="960" t="s">
        <v>459</v>
      </c>
      <c r="E9" s="964">
        <v>738000</v>
      </c>
      <c r="F9" s="960" t="s">
        <v>19</v>
      </c>
      <c r="G9" s="960" t="s">
        <v>19</v>
      </c>
      <c r="H9" s="960" t="s">
        <v>991</v>
      </c>
      <c r="I9" s="960" t="s">
        <v>257</v>
      </c>
      <c r="J9" s="960" t="s">
        <v>257</v>
      </c>
      <c r="K9" s="963">
        <v>1.3749</v>
      </c>
      <c r="L9" s="960" t="s">
        <v>257</v>
      </c>
      <c r="M9" s="963">
        <v>1.3454999999999999</v>
      </c>
      <c r="N9" s="961">
        <v>-15445.92</v>
      </c>
      <c r="O9" s="961">
        <v>0</v>
      </c>
      <c r="P9" s="960" t="s">
        <v>257</v>
      </c>
      <c r="Q9" s="960" t="s">
        <v>257</v>
      </c>
      <c r="R9" s="961">
        <v>-20781.75</v>
      </c>
      <c r="S9" s="962">
        <v>-1.1705652178816397E-3</v>
      </c>
    </row>
    <row r="10" spans="1:19" x14ac:dyDescent="0.25">
      <c r="A10" s="220" t="e">
        <f>VLOOKUP(D10,Bonds!$D:$I,6,0)</f>
        <v>#N/A</v>
      </c>
      <c r="B10" s="960" t="s">
        <v>2250</v>
      </c>
      <c r="C10" s="960" t="s">
        <v>1063</v>
      </c>
      <c r="D10" s="960" t="s">
        <v>459</v>
      </c>
      <c r="E10" s="964">
        <v>-511000</v>
      </c>
      <c r="F10" s="960" t="s">
        <v>21</v>
      </c>
      <c r="G10" s="960" t="s">
        <v>21</v>
      </c>
      <c r="H10" s="960" t="s">
        <v>1064</v>
      </c>
      <c r="I10" s="960" t="s">
        <v>257</v>
      </c>
      <c r="J10" s="960" t="s">
        <v>257</v>
      </c>
      <c r="K10" s="963">
        <v>1.1839</v>
      </c>
      <c r="L10" s="960" t="s">
        <v>257</v>
      </c>
      <c r="M10" s="963">
        <v>1.1762999999999999</v>
      </c>
      <c r="N10" s="961">
        <v>-1938.15</v>
      </c>
      <c r="O10" s="961">
        <v>0</v>
      </c>
      <c r="P10" s="960" t="s">
        <v>257</v>
      </c>
      <c r="Q10" s="960" t="s">
        <v>257</v>
      </c>
      <c r="R10" s="961">
        <v>-2279.7600000000002</v>
      </c>
      <c r="S10" s="962">
        <v>-1.2841111846297097E-4</v>
      </c>
    </row>
    <row r="11" spans="1:19" x14ac:dyDescent="0.25">
      <c r="A11" s="220" t="e">
        <f>VLOOKUP(D11,Bonds!$D:$I,6,0)</f>
        <v>#N/A</v>
      </c>
      <c r="B11" s="960" t="s">
        <v>2250</v>
      </c>
      <c r="C11" s="960" t="s">
        <v>1065</v>
      </c>
      <c r="D11" s="960" t="s">
        <v>459</v>
      </c>
      <c r="E11" s="964">
        <v>-201000</v>
      </c>
      <c r="F11" s="960" t="s">
        <v>21</v>
      </c>
      <c r="G11" s="960" t="s">
        <v>21</v>
      </c>
      <c r="H11" s="960" t="s">
        <v>1064</v>
      </c>
      <c r="I11" s="960" t="s">
        <v>257</v>
      </c>
      <c r="J11" s="960" t="s">
        <v>257</v>
      </c>
      <c r="K11" s="963">
        <v>1.1839</v>
      </c>
      <c r="L11" s="960" t="s">
        <v>257</v>
      </c>
      <c r="M11" s="963">
        <v>1.1762999999999999</v>
      </c>
      <c r="N11" s="961">
        <v>-755.04</v>
      </c>
      <c r="O11" s="961">
        <v>0</v>
      </c>
      <c r="P11" s="960" t="s">
        <v>257</v>
      </c>
      <c r="Q11" s="960" t="s">
        <v>257</v>
      </c>
      <c r="R11" s="961">
        <v>-888.12</v>
      </c>
      <c r="S11" s="962">
        <v>-5.0024775647144333E-5</v>
      </c>
    </row>
    <row r="12" spans="1:19" x14ac:dyDescent="0.25">
      <c r="A12" s="220" t="e">
        <f>VLOOKUP(D12,Bonds!$D:$I,6,0)</f>
        <v>#N/A</v>
      </c>
      <c r="B12" s="960" t="s">
        <v>2250</v>
      </c>
      <c r="C12" s="960" t="s">
        <v>990</v>
      </c>
      <c r="D12" s="960" t="s">
        <v>459</v>
      </c>
      <c r="E12" s="964">
        <v>-368000</v>
      </c>
      <c r="F12" s="960" t="s">
        <v>19</v>
      </c>
      <c r="G12" s="960" t="s">
        <v>19</v>
      </c>
      <c r="H12" s="960" t="s">
        <v>991</v>
      </c>
      <c r="I12" s="960" t="s">
        <v>257</v>
      </c>
      <c r="J12" s="960" t="s">
        <v>257</v>
      </c>
      <c r="K12" s="963">
        <v>1.3508</v>
      </c>
      <c r="L12" s="960" t="s">
        <v>257</v>
      </c>
      <c r="M12" s="963">
        <v>1.3454999999999999</v>
      </c>
      <c r="N12" s="961">
        <v>1235.06</v>
      </c>
      <c r="O12" s="961">
        <v>0</v>
      </c>
      <c r="P12" s="960" t="s">
        <v>257</v>
      </c>
      <c r="Q12" s="960" t="s">
        <v>257</v>
      </c>
      <c r="R12" s="961">
        <v>1661.71</v>
      </c>
      <c r="S12" s="962">
        <v>9.3598466356591698E-5</v>
      </c>
    </row>
    <row r="13" spans="1:19" x14ac:dyDescent="0.25">
      <c r="A13" s="220" t="e">
        <f>VLOOKUP(D13,Bonds!$D:$I,6,0)</f>
        <v>#N/A</v>
      </c>
      <c r="B13" s="960" t="s">
        <v>2250</v>
      </c>
      <c r="C13" s="960" t="s">
        <v>1049</v>
      </c>
      <c r="D13" s="960" t="s">
        <v>459</v>
      </c>
      <c r="E13" s="964">
        <v>-217000</v>
      </c>
      <c r="F13" s="960" t="s">
        <v>19</v>
      </c>
      <c r="G13" s="960" t="s">
        <v>19</v>
      </c>
      <c r="H13" s="960" t="s">
        <v>991</v>
      </c>
      <c r="I13" s="960" t="s">
        <v>257</v>
      </c>
      <c r="J13" s="960" t="s">
        <v>257</v>
      </c>
      <c r="K13" s="963">
        <v>1.3423</v>
      </c>
      <c r="L13" s="960" t="s">
        <v>257</v>
      </c>
      <c r="M13" s="963">
        <v>1.3454999999999999</v>
      </c>
      <c r="N13" s="961">
        <v>-610.32000000000005</v>
      </c>
      <c r="O13" s="961">
        <v>0</v>
      </c>
      <c r="P13" s="960" t="s">
        <v>257</v>
      </c>
      <c r="Q13" s="960" t="s">
        <v>257</v>
      </c>
      <c r="R13" s="961">
        <v>-821.16</v>
      </c>
      <c r="S13" s="962">
        <v>-4.6253146838725667E-5</v>
      </c>
    </row>
    <row r="14" spans="1:19" x14ac:dyDescent="0.25">
      <c r="A14" s="220" t="e">
        <f>VLOOKUP(D14,Bonds!$D:$I,6,0)</f>
        <v>#N/A</v>
      </c>
      <c r="B14" s="960" t="s">
        <v>2250</v>
      </c>
      <c r="C14" s="960" t="s">
        <v>1066</v>
      </c>
      <c r="D14" s="960" t="s">
        <v>459</v>
      </c>
      <c r="E14" s="964">
        <v>-153000</v>
      </c>
      <c r="F14" s="960" t="s">
        <v>19</v>
      </c>
      <c r="G14" s="960" t="s">
        <v>19</v>
      </c>
      <c r="H14" s="960" t="s">
        <v>991</v>
      </c>
      <c r="I14" s="960" t="s">
        <v>257</v>
      </c>
      <c r="J14" s="960" t="s">
        <v>257</v>
      </c>
      <c r="K14" s="963">
        <v>1.3376999999999999</v>
      </c>
      <c r="L14" s="960" t="s">
        <v>257</v>
      </c>
      <c r="M14" s="963">
        <v>1.3454999999999999</v>
      </c>
      <c r="N14" s="961">
        <v>-947.33</v>
      </c>
      <c r="O14" s="961">
        <v>0</v>
      </c>
      <c r="P14" s="960" t="s">
        <v>257</v>
      </c>
      <c r="Q14" s="960" t="s">
        <v>257</v>
      </c>
      <c r="R14" s="961">
        <v>-1274.5899999999999</v>
      </c>
      <c r="S14" s="962">
        <v>-7.1793314858457972E-5</v>
      </c>
    </row>
    <row r="15" spans="1:19" s="643" customFormat="1" x14ac:dyDescent="0.25">
      <c r="A15" s="220">
        <f>VLOOKUP(D15,Bonds!$D:$I,6,0)</f>
        <v>1000000</v>
      </c>
      <c r="B15" s="960" t="s">
        <v>1</v>
      </c>
      <c r="C15" s="960" t="s">
        <v>1067</v>
      </c>
      <c r="D15" s="960" t="s">
        <v>1068</v>
      </c>
      <c r="E15" s="961">
        <v>1000000</v>
      </c>
      <c r="F15" s="960" t="s">
        <v>458</v>
      </c>
      <c r="G15" s="960" t="s">
        <v>458</v>
      </c>
      <c r="H15" s="960" t="s">
        <v>1069</v>
      </c>
      <c r="I15" s="960" t="s">
        <v>257</v>
      </c>
      <c r="J15" s="962">
        <v>0.9345</v>
      </c>
      <c r="K15" s="963">
        <v>5.3287000000000004</v>
      </c>
      <c r="L15" s="962">
        <v>0.95530000000000004</v>
      </c>
      <c r="M15" s="963">
        <v>5.2161999999999997</v>
      </c>
      <c r="N15" s="961">
        <v>989820.55</v>
      </c>
      <c r="O15" s="961">
        <v>34520.550000000003</v>
      </c>
      <c r="P15" s="962">
        <v>4.4313702055078466E-2</v>
      </c>
      <c r="Q15" s="961">
        <v>7771.27</v>
      </c>
      <c r="R15" s="961">
        <v>189758.67</v>
      </c>
      <c r="S15" s="962">
        <v>1.0688459773285704E-2</v>
      </c>
    </row>
    <row r="16" spans="1:19" s="643" customFormat="1" x14ac:dyDescent="0.25">
      <c r="A16" s="220">
        <f>VLOOKUP(D16,Bonds!$D:$I,6,0)</f>
        <v>6000000</v>
      </c>
      <c r="B16" s="960" t="s">
        <v>1</v>
      </c>
      <c r="C16" s="960" t="s">
        <v>508</v>
      </c>
      <c r="D16" s="960" t="s">
        <v>509</v>
      </c>
      <c r="E16" s="961">
        <v>3000000</v>
      </c>
      <c r="F16" s="960" t="s">
        <v>458</v>
      </c>
      <c r="G16" s="960" t="s">
        <v>458</v>
      </c>
      <c r="H16" s="960" t="s">
        <v>510</v>
      </c>
      <c r="I16" s="960" t="s">
        <v>257</v>
      </c>
      <c r="J16" s="962">
        <v>0.94432000000000005</v>
      </c>
      <c r="K16" s="963">
        <v>5.5746000000000002</v>
      </c>
      <c r="L16" s="962">
        <v>0.99400000000000011</v>
      </c>
      <c r="M16" s="963">
        <v>5.2161999999999997</v>
      </c>
      <c r="N16" s="961">
        <v>3100397.26</v>
      </c>
      <c r="O16" s="961">
        <v>118397.26</v>
      </c>
      <c r="P16" s="962">
        <v>0.12493967034144889</v>
      </c>
      <c r="Q16" s="961">
        <v>63492.72</v>
      </c>
      <c r="R16" s="961">
        <v>594377.71</v>
      </c>
      <c r="S16" s="962">
        <v>3.3479272612274714E-2</v>
      </c>
    </row>
    <row r="17" spans="1:20" ht="14.25" customHeight="1" x14ac:dyDescent="0.25">
      <c r="A17" s="220">
        <f>VLOOKUP(D17,Bonds!$D:$I,6,0)</f>
        <v>4200000</v>
      </c>
      <c r="B17" s="960" t="s">
        <v>1</v>
      </c>
      <c r="C17" s="960" t="s">
        <v>82</v>
      </c>
      <c r="D17" s="960" t="s">
        <v>83</v>
      </c>
      <c r="E17" s="961">
        <v>500000</v>
      </c>
      <c r="F17" s="960" t="s">
        <v>19</v>
      </c>
      <c r="G17" s="960" t="s">
        <v>19</v>
      </c>
      <c r="H17" s="960" t="s">
        <v>521</v>
      </c>
      <c r="I17" s="962">
        <v>6.8378398911409968E-2</v>
      </c>
      <c r="J17" s="962">
        <v>0.70712999999999993</v>
      </c>
      <c r="K17" s="965">
        <v>1.355</v>
      </c>
      <c r="L17" s="962">
        <v>0.79480000000000006</v>
      </c>
      <c r="M17" s="963">
        <v>1.3454999999999999</v>
      </c>
      <c r="N17" s="961">
        <v>423444.52</v>
      </c>
      <c r="O17" s="961">
        <v>26044.52</v>
      </c>
      <c r="P17" s="962">
        <v>0.11602262299266755</v>
      </c>
      <c r="Q17" s="961">
        <v>55586.05</v>
      </c>
      <c r="R17" s="961">
        <v>569724.36</v>
      </c>
      <c r="S17" s="962">
        <v>3.2090633348773691E-2</v>
      </c>
    </row>
    <row r="18" spans="1:20" s="643" customFormat="1" x14ac:dyDescent="0.25">
      <c r="A18" s="220">
        <f>VLOOKUP(D18,Bonds!$D:$I,6,0)</f>
        <v>1000000</v>
      </c>
      <c r="B18" s="960" t="s">
        <v>1</v>
      </c>
      <c r="C18" s="960" t="s">
        <v>166</v>
      </c>
      <c r="D18" s="960" t="s">
        <v>167</v>
      </c>
      <c r="E18" s="961">
        <v>1000000</v>
      </c>
      <c r="F18" s="960" t="s">
        <v>18</v>
      </c>
      <c r="G18" s="960" t="s">
        <v>18</v>
      </c>
      <c r="H18" s="960" t="s">
        <v>570</v>
      </c>
      <c r="I18" s="962">
        <v>5.5273728794352509E-2</v>
      </c>
      <c r="J18" s="962">
        <v>0.90196202999999997</v>
      </c>
      <c r="K18" s="960" t="s">
        <v>459</v>
      </c>
      <c r="L18" s="962">
        <v>1.0102</v>
      </c>
      <c r="M18" s="960" t="s">
        <v>459</v>
      </c>
      <c r="N18" s="961">
        <v>1033519.44</v>
      </c>
      <c r="O18" s="961">
        <v>23319.439999999999</v>
      </c>
      <c r="P18" s="962">
        <v>0.12000280100482723</v>
      </c>
      <c r="Q18" s="961">
        <v>108237.97</v>
      </c>
      <c r="R18" s="961">
        <v>1033519.44</v>
      </c>
      <c r="S18" s="962">
        <v>5.8214631032926005E-2</v>
      </c>
    </row>
    <row r="19" spans="1:20" s="643" customFormat="1" x14ac:dyDescent="0.25">
      <c r="A19" s="220">
        <f>VLOOKUP(D19,Bonds!$D:$I,6,0)</f>
        <v>400000</v>
      </c>
      <c r="B19" s="960" t="s">
        <v>1</v>
      </c>
      <c r="C19" s="960" t="s">
        <v>2480</v>
      </c>
      <c r="D19" s="960" t="s">
        <v>2481</v>
      </c>
      <c r="E19" s="961">
        <v>200000</v>
      </c>
      <c r="F19" s="960" t="s">
        <v>18</v>
      </c>
      <c r="G19" s="960" t="s">
        <v>18</v>
      </c>
      <c r="H19" s="960" t="s">
        <v>2482</v>
      </c>
      <c r="I19" s="962">
        <v>6.4516917518188249E-2</v>
      </c>
      <c r="J19" s="962">
        <v>0.99495999999999996</v>
      </c>
      <c r="K19" s="960" t="s">
        <v>459</v>
      </c>
      <c r="L19" s="962">
        <v>0.99919999999999998</v>
      </c>
      <c r="M19" s="960" t="s">
        <v>459</v>
      </c>
      <c r="N19" s="961">
        <v>200422.22</v>
      </c>
      <c r="O19" s="961">
        <v>582.22</v>
      </c>
      <c r="P19" s="962">
        <v>4.2614778483557126E-3</v>
      </c>
      <c r="Q19" s="961">
        <v>848</v>
      </c>
      <c r="R19" s="961">
        <v>200422.22</v>
      </c>
      <c r="S19" s="962">
        <v>1.1289101236547543E-2</v>
      </c>
    </row>
    <row r="20" spans="1:20" s="312" customFormat="1" x14ac:dyDescent="0.25">
      <c r="A20" s="220">
        <f>VLOOKUP(D20,Bonds!$D:$I,6,0)</f>
        <v>400000</v>
      </c>
      <c r="B20" s="960" t="s">
        <v>1</v>
      </c>
      <c r="C20" s="960" t="s">
        <v>965</v>
      </c>
      <c r="D20" s="960" t="s">
        <v>966</v>
      </c>
      <c r="E20" s="961">
        <v>400000</v>
      </c>
      <c r="F20" s="960" t="s">
        <v>18</v>
      </c>
      <c r="G20" s="960" t="s">
        <v>18</v>
      </c>
      <c r="H20" s="960" t="s">
        <v>967</v>
      </c>
      <c r="I20" s="962">
        <v>5.7073644658249385E-2</v>
      </c>
      <c r="J20" s="962">
        <v>1.0024999999999999</v>
      </c>
      <c r="K20" s="960" t="s">
        <v>459</v>
      </c>
      <c r="L20" s="962">
        <v>1.06345</v>
      </c>
      <c r="M20" s="960" t="s">
        <v>459</v>
      </c>
      <c r="N20" s="961">
        <v>441132.78</v>
      </c>
      <c r="O20" s="961">
        <v>15752.78</v>
      </c>
      <c r="P20" s="962">
        <v>6.0798004987531178E-2</v>
      </c>
      <c r="Q20" s="961">
        <v>24380</v>
      </c>
      <c r="R20" s="961">
        <v>441132.78</v>
      </c>
      <c r="S20" s="962">
        <v>2.48475074878407E-2</v>
      </c>
    </row>
    <row r="21" spans="1:20" s="643" customFormat="1" x14ac:dyDescent="0.25">
      <c r="A21" s="220">
        <f>VLOOKUP(D21,Bonds!$D:$I,6,0)</f>
        <v>1000000</v>
      </c>
      <c r="B21" s="960" t="s">
        <v>1</v>
      </c>
      <c r="C21" s="960" t="s">
        <v>171</v>
      </c>
      <c r="D21" s="960" t="s">
        <v>172</v>
      </c>
      <c r="E21" s="961">
        <v>400000</v>
      </c>
      <c r="F21" s="960" t="s">
        <v>18</v>
      </c>
      <c r="G21" s="960" t="s">
        <v>18</v>
      </c>
      <c r="H21" s="960" t="s">
        <v>257</v>
      </c>
      <c r="I21" s="960" t="s">
        <v>257</v>
      </c>
      <c r="J21" s="962">
        <v>0.97488730000000001</v>
      </c>
      <c r="K21" s="960" t="s">
        <v>459</v>
      </c>
      <c r="L21" s="962">
        <v>1.03145</v>
      </c>
      <c r="M21" s="960" t="s">
        <v>459</v>
      </c>
      <c r="N21" s="961">
        <v>416823.33</v>
      </c>
      <c r="O21" s="961">
        <v>4243.33</v>
      </c>
      <c r="P21" s="962">
        <v>5.8019732126985343E-2</v>
      </c>
      <c r="Q21" s="961">
        <v>22625.08</v>
      </c>
      <c r="R21" s="961">
        <v>416823.33</v>
      </c>
      <c r="S21" s="962">
        <v>2.3478238940397255E-2</v>
      </c>
    </row>
    <row r="22" spans="1:20" s="643" customFormat="1" x14ac:dyDescent="0.25">
      <c r="A22" s="220">
        <f>VLOOKUP(D22,Bonds!$D:$I,6,0)</f>
        <v>1200000</v>
      </c>
      <c r="B22" s="960" t="s">
        <v>1</v>
      </c>
      <c r="C22" s="960" t="s">
        <v>97</v>
      </c>
      <c r="D22" s="960" t="s">
        <v>98</v>
      </c>
      <c r="E22" s="961">
        <v>600000</v>
      </c>
      <c r="F22" s="960" t="s">
        <v>18</v>
      </c>
      <c r="G22" s="960" t="s">
        <v>18</v>
      </c>
      <c r="H22" s="960" t="s">
        <v>535</v>
      </c>
      <c r="I22" s="962">
        <v>6.243632495570773E-2</v>
      </c>
      <c r="J22" s="962">
        <v>0.98196543333333342</v>
      </c>
      <c r="K22" s="960" t="s">
        <v>459</v>
      </c>
      <c r="L22" s="962">
        <v>1.0569</v>
      </c>
      <c r="M22" s="960" t="s">
        <v>459</v>
      </c>
      <c r="N22" s="961">
        <v>647317.07999999996</v>
      </c>
      <c r="O22" s="961">
        <v>13177.08</v>
      </c>
      <c r="P22" s="962">
        <v>7.6310798856022183E-2</v>
      </c>
      <c r="Q22" s="961">
        <v>44960.74</v>
      </c>
      <c r="R22" s="961">
        <v>647317.07999999996</v>
      </c>
      <c r="S22" s="962">
        <v>3.6461167071527023E-2</v>
      </c>
    </row>
    <row r="23" spans="1:20" s="50" customFormat="1" x14ac:dyDescent="0.25">
      <c r="A23" s="220">
        <f>VLOOKUP(D23,Bonds!$D:$I,6,0)</f>
        <v>1800000</v>
      </c>
      <c r="B23" s="960" t="s">
        <v>1</v>
      </c>
      <c r="C23" s="960" t="s">
        <v>1050</v>
      </c>
      <c r="D23" s="960" t="s">
        <v>1051</v>
      </c>
      <c r="E23" s="961">
        <v>800000</v>
      </c>
      <c r="F23" s="960" t="s">
        <v>18</v>
      </c>
      <c r="G23" s="960" t="s">
        <v>18</v>
      </c>
      <c r="H23" s="960" t="s">
        <v>1052</v>
      </c>
      <c r="I23" s="962">
        <v>6.9580421658306066E-2</v>
      </c>
      <c r="J23" s="962">
        <v>1.0067250000000001</v>
      </c>
      <c r="K23" s="960" t="s">
        <v>459</v>
      </c>
      <c r="L23" s="962">
        <v>1.00525</v>
      </c>
      <c r="M23" s="960" t="s">
        <v>459</v>
      </c>
      <c r="N23" s="961">
        <v>819558.33</v>
      </c>
      <c r="O23" s="961">
        <v>15358.33</v>
      </c>
      <c r="P23" s="962">
        <v>-1.4651468871836899E-3</v>
      </c>
      <c r="Q23" s="961">
        <v>-1180</v>
      </c>
      <c r="R23" s="961">
        <v>819558.33</v>
      </c>
      <c r="S23" s="962">
        <v>4.6162930221139348E-2</v>
      </c>
      <c r="T23"/>
    </row>
    <row r="24" spans="1:20" s="643" customFormat="1" x14ac:dyDescent="0.25">
      <c r="A24" s="220">
        <f>VLOOKUP(D24,Bonds!$D:$I,6,0)</f>
        <v>600000</v>
      </c>
      <c r="B24" s="960" t="s">
        <v>1</v>
      </c>
      <c r="C24" s="960" t="s">
        <v>858</v>
      </c>
      <c r="D24" s="960" t="s">
        <v>363</v>
      </c>
      <c r="E24" s="961">
        <v>600000</v>
      </c>
      <c r="F24" s="960" t="s">
        <v>18</v>
      </c>
      <c r="G24" s="960" t="s">
        <v>18</v>
      </c>
      <c r="H24" s="960" t="s">
        <v>257</v>
      </c>
      <c r="I24" s="960" t="s">
        <v>257</v>
      </c>
      <c r="J24" s="962">
        <v>0.99953333333333338</v>
      </c>
      <c r="K24" s="960" t="s">
        <v>459</v>
      </c>
      <c r="L24" s="962">
        <v>1.0743</v>
      </c>
      <c r="M24" s="960" t="s">
        <v>459</v>
      </c>
      <c r="N24" s="961">
        <v>652840.42000000004</v>
      </c>
      <c r="O24" s="961">
        <v>8260.42</v>
      </c>
      <c r="P24" s="962">
        <v>7.4801574067898349E-2</v>
      </c>
      <c r="Q24" s="961">
        <v>44860</v>
      </c>
      <c r="R24" s="961">
        <v>652840.42000000004</v>
      </c>
      <c r="S24" s="962">
        <v>3.6772278007349772E-2</v>
      </c>
    </row>
    <row r="25" spans="1:20" s="312" customFormat="1" x14ac:dyDescent="0.25">
      <c r="A25" s="739">
        <f>VLOOKUP(D25,Bonds!$D:$I,6,0)</f>
        <v>400000</v>
      </c>
      <c r="B25" s="966" t="s">
        <v>1</v>
      </c>
      <c r="C25" s="966" t="s">
        <v>2513</v>
      </c>
      <c r="D25" s="966" t="s">
        <v>2514</v>
      </c>
      <c r="E25" s="967">
        <v>400000</v>
      </c>
      <c r="F25" s="966" t="s">
        <v>19</v>
      </c>
      <c r="G25" s="966" t="s">
        <v>19</v>
      </c>
      <c r="H25" s="966" t="s">
        <v>2515</v>
      </c>
      <c r="I25" s="966" t="s">
        <v>257</v>
      </c>
      <c r="J25" s="968">
        <v>1.0561</v>
      </c>
      <c r="K25" s="969">
        <v>1.3633</v>
      </c>
      <c r="L25" s="968">
        <v>1.0549999999999999</v>
      </c>
      <c r="M25" s="969">
        <v>1.3454999999999999</v>
      </c>
      <c r="N25" s="967">
        <v>426405.56</v>
      </c>
      <c r="O25" s="967">
        <v>4405.5600000000004</v>
      </c>
      <c r="P25" s="968">
        <v>-1.4086793019234883E-2</v>
      </c>
      <c r="Q25" s="967">
        <v>-8112.49</v>
      </c>
      <c r="R25" s="967">
        <v>573708.30000000005</v>
      </c>
      <c r="S25" s="968">
        <v>3.2315035124087489E-2</v>
      </c>
    </row>
    <row r="26" spans="1:20" s="643" customFormat="1" x14ac:dyDescent="0.25">
      <c r="A26" s="220">
        <f>VLOOKUP(D26,Bonds!$D:$I,6,0)</f>
        <v>800000</v>
      </c>
      <c r="B26" s="960" t="s">
        <v>1</v>
      </c>
      <c r="C26" s="960" t="s">
        <v>454</v>
      </c>
      <c r="D26" s="960" t="s">
        <v>455</v>
      </c>
      <c r="E26" s="961">
        <v>800000</v>
      </c>
      <c r="F26" s="960" t="s">
        <v>19</v>
      </c>
      <c r="G26" s="960" t="s">
        <v>19</v>
      </c>
      <c r="H26" s="960" t="s">
        <v>257</v>
      </c>
      <c r="I26" s="960" t="s">
        <v>257</v>
      </c>
      <c r="J26" s="962">
        <v>1.0128675</v>
      </c>
      <c r="K26" s="963">
        <v>1.3089</v>
      </c>
      <c r="L26" s="962">
        <v>1.0720000000000001</v>
      </c>
      <c r="M26" s="963">
        <v>1.3454999999999999</v>
      </c>
      <c r="N26" s="961">
        <v>881711.11</v>
      </c>
      <c r="O26" s="961">
        <v>24111.11</v>
      </c>
      <c r="P26" s="962">
        <v>8.7939314877208158E-2</v>
      </c>
      <c r="Q26" s="961">
        <v>93267.74</v>
      </c>
      <c r="R26" s="961">
        <v>1186300.1599999999</v>
      </c>
      <c r="S26" s="962">
        <v>6.6820248788645037E-2</v>
      </c>
    </row>
    <row r="27" spans="1:20" x14ac:dyDescent="0.25">
      <c r="A27" s="220">
        <f>VLOOKUP(D27,Bonds!$D:$I,6,0)</f>
        <v>400000</v>
      </c>
      <c r="B27" s="960" t="s">
        <v>1</v>
      </c>
      <c r="C27" s="960" t="s">
        <v>178</v>
      </c>
      <c r="D27" s="960" t="s">
        <v>179</v>
      </c>
      <c r="E27" s="961">
        <v>400000</v>
      </c>
      <c r="F27" s="960" t="s">
        <v>18</v>
      </c>
      <c r="G27" s="960" t="s">
        <v>18</v>
      </c>
      <c r="H27" s="960" t="s">
        <v>571</v>
      </c>
      <c r="I27" s="962">
        <v>3.4249778194016846E-2</v>
      </c>
      <c r="J27" s="962">
        <v>1.0169634249999999</v>
      </c>
      <c r="K27" s="960" t="s">
        <v>459</v>
      </c>
      <c r="L27" s="962">
        <v>1.048</v>
      </c>
      <c r="M27" s="960" t="s">
        <v>459</v>
      </c>
      <c r="N27" s="961">
        <v>430137.5</v>
      </c>
      <c r="O27" s="961">
        <v>10937.5</v>
      </c>
      <c r="P27" s="962">
        <v>3.0518870430369705E-2</v>
      </c>
      <c r="Q27" s="961">
        <v>12414.63</v>
      </c>
      <c r="R27" s="961">
        <v>430137.5</v>
      </c>
      <c r="S27" s="962">
        <v>2.4228180803183744E-2</v>
      </c>
    </row>
    <row r="28" spans="1:20" x14ac:dyDescent="0.25">
      <c r="A28" s="220">
        <f>VLOOKUP(D28,Bonds!$D:$I,6,0)</f>
        <v>400000</v>
      </c>
      <c r="B28" s="960" t="s">
        <v>1</v>
      </c>
      <c r="C28" s="960" t="s">
        <v>2351</v>
      </c>
      <c r="D28" s="960" t="s">
        <v>457</v>
      </c>
      <c r="E28" s="961">
        <v>400000</v>
      </c>
      <c r="F28" s="960" t="s">
        <v>18</v>
      </c>
      <c r="G28" s="960" t="s">
        <v>18</v>
      </c>
      <c r="H28" s="960" t="s">
        <v>257</v>
      </c>
      <c r="I28" s="960" t="s">
        <v>257</v>
      </c>
      <c r="J28" s="962">
        <v>1.0447499999999998</v>
      </c>
      <c r="K28" s="960" t="s">
        <v>459</v>
      </c>
      <c r="L28" s="962">
        <v>1.11605</v>
      </c>
      <c r="M28" s="960" t="s">
        <v>459</v>
      </c>
      <c r="N28" s="961">
        <v>460114.44</v>
      </c>
      <c r="O28" s="961">
        <v>13694.44</v>
      </c>
      <c r="P28" s="962">
        <v>6.8245991864082325E-2</v>
      </c>
      <c r="Q28" s="961">
        <v>28520</v>
      </c>
      <c r="R28" s="961">
        <v>460114.44</v>
      </c>
      <c r="S28" s="962">
        <v>2.5916679765134728E-2</v>
      </c>
    </row>
    <row r="29" spans="1:20" x14ac:dyDescent="0.25">
      <c r="A29" s="220">
        <f>VLOOKUP(D29,Bonds!$D:$I,6,0)</f>
        <v>1000000</v>
      </c>
      <c r="B29" s="960" t="s">
        <v>1</v>
      </c>
      <c r="C29" s="960" t="s">
        <v>2483</v>
      </c>
      <c r="D29" s="960" t="s">
        <v>1055</v>
      </c>
      <c r="E29" s="961">
        <v>600000</v>
      </c>
      <c r="F29" s="960" t="s">
        <v>18</v>
      </c>
      <c r="G29" s="960" t="s">
        <v>18</v>
      </c>
      <c r="H29" s="960" t="s">
        <v>1056</v>
      </c>
      <c r="I29" s="962">
        <v>8.1583695515665772E-2</v>
      </c>
      <c r="J29" s="962">
        <v>0.99163333333333326</v>
      </c>
      <c r="K29" s="960" t="s">
        <v>459</v>
      </c>
      <c r="L29" s="962">
        <v>1.0399500000000002</v>
      </c>
      <c r="M29" s="960" t="s">
        <v>459</v>
      </c>
      <c r="N29" s="961">
        <v>642980.42000000004</v>
      </c>
      <c r="O29" s="961">
        <v>19010.419999999998</v>
      </c>
      <c r="P29" s="962">
        <v>4.8724326868130018E-2</v>
      </c>
      <c r="Q29" s="961">
        <v>28990</v>
      </c>
      <c r="R29" s="961">
        <v>642980.42000000004</v>
      </c>
      <c r="S29" s="962">
        <v>3.621689777958681E-2</v>
      </c>
    </row>
    <row r="30" spans="1:20" x14ac:dyDescent="0.25">
      <c r="A30" s="220">
        <f>VLOOKUP(D30,Bonds!$D:$I,6,0)</f>
        <v>400000</v>
      </c>
      <c r="B30" s="960" t="s">
        <v>1</v>
      </c>
      <c r="C30" s="960" t="s">
        <v>2484</v>
      </c>
      <c r="D30" s="960" t="s">
        <v>2485</v>
      </c>
      <c r="E30" s="961">
        <v>400000</v>
      </c>
      <c r="F30" s="960" t="s">
        <v>18</v>
      </c>
      <c r="G30" s="960" t="s">
        <v>18</v>
      </c>
      <c r="H30" s="960" t="s">
        <v>2486</v>
      </c>
      <c r="I30" s="962">
        <v>3.3274420418383126E-2</v>
      </c>
      <c r="J30" s="962">
        <v>0.98620000000000008</v>
      </c>
      <c r="K30" s="960" t="s">
        <v>459</v>
      </c>
      <c r="L30" s="962">
        <v>0.98760000000000003</v>
      </c>
      <c r="M30" s="960" t="s">
        <v>459</v>
      </c>
      <c r="N30" s="961">
        <v>403159.44</v>
      </c>
      <c r="O30" s="961">
        <v>8119.44</v>
      </c>
      <c r="P30" s="962">
        <v>1.419590346785642E-3</v>
      </c>
      <c r="Q30" s="961">
        <v>560</v>
      </c>
      <c r="R30" s="961">
        <v>403159.44</v>
      </c>
      <c r="S30" s="962">
        <v>2.2708598540769658E-2</v>
      </c>
    </row>
    <row r="31" spans="1:20" s="312" customFormat="1" x14ac:dyDescent="0.25">
      <c r="A31" s="739">
        <f>VLOOKUP(D31,Bonds!$D:$I,6,0)</f>
        <v>3000000</v>
      </c>
      <c r="B31" s="960" t="s">
        <v>1</v>
      </c>
      <c r="C31" s="960" t="s">
        <v>452</v>
      </c>
      <c r="D31" s="960" t="s">
        <v>453</v>
      </c>
      <c r="E31" s="961">
        <v>1000000</v>
      </c>
      <c r="F31" s="960" t="s">
        <v>458</v>
      </c>
      <c r="G31" s="960" t="s">
        <v>458</v>
      </c>
      <c r="H31" s="960" t="s">
        <v>553</v>
      </c>
      <c r="I31" s="960" t="s">
        <v>257</v>
      </c>
      <c r="J31" s="962">
        <v>0.93569000000000002</v>
      </c>
      <c r="K31" s="963">
        <v>5.3918999999999997</v>
      </c>
      <c r="L31" s="962">
        <v>0.95904999999999996</v>
      </c>
      <c r="M31" s="963">
        <v>5.2161999999999997</v>
      </c>
      <c r="N31" s="961">
        <v>961913.01</v>
      </c>
      <c r="O31" s="961">
        <v>2863.01</v>
      </c>
      <c r="P31" s="962">
        <v>5.9488557519084058E-2</v>
      </c>
      <c r="Q31" s="961">
        <v>10323.42</v>
      </c>
      <c r="R31" s="961">
        <v>184408.52</v>
      </c>
      <c r="S31" s="962">
        <v>1.0387104040469674E-2</v>
      </c>
    </row>
    <row r="32" spans="1:20" s="22" customFormat="1" x14ac:dyDescent="0.25">
      <c r="A32" s="656" t="e">
        <f>VLOOKUP(D32,Bonds!$D:$I,6,0)</f>
        <v>#N/A</v>
      </c>
      <c r="B32" s="960" t="s">
        <v>1</v>
      </c>
      <c r="C32" s="960" t="s">
        <v>2401</v>
      </c>
      <c r="D32" s="960" t="s">
        <v>2402</v>
      </c>
      <c r="E32" s="965">
        <v>10707.402</v>
      </c>
      <c r="F32" s="960" t="s">
        <v>18</v>
      </c>
      <c r="G32" s="960" t="s">
        <v>18</v>
      </c>
      <c r="H32" s="960" t="s">
        <v>257</v>
      </c>
      <c r="I32" s="960" t="s">
        <v>257</v>
      </c>
      <c r="J32" s="961">
        <v>140.30013536430218</v>
      </c>
      <c r="K32" s="960" t="s">
        <v>459</v>
      </c>
      <c r="L32" s="961">
        <v>140.263417</v>
      </c>
      <c r="M32" s="960" t="s">
        <v>459</v>
      </c>
      <c r="N32" s="961">
        <v>1501856.79</v>
      </c>
      <c r="O32" s="961">
        <v>0</v>
      </c>
      <c r="P32" s="962">
        <v>-2.6171410423411897E-4</v>
      </c>
      <c r="Q32" s="961">
        <v>-393.16</v>
      </c>
      <c r="R32" s="961">
        <v>1501856.79</v>
      </c>
      <c r="S32" s="962">
        <v>8.4594479320238669E-2</v>
      </c>
    </row>
    <row r="33" spans="1:19" s="22" customFormat="1" x14ac:dyDescent="0.25">
      <c r="A33" s="656" t="e">
        <f>VLOOKUP(D33,Bonds!$D:$I,6,0)</f>
        <v>#N/A</v>
      </c>
      <c r="B33" s="960" t="s">
        <v>1</v>
      </c>
      <c r="C33" s="960" t="s">
        <v>1081</v>
      </c>
      <c r="D33" s="960" t="s">
        <v>1082</v>
      </c>
      <c r="E33" s="965">
        <v>152133.94500000001</v>
      </c>
      <c r="F33" s="960" t="s">
        <v>18</v>
      </c>
      <c r="G33" s="960" t="s">
        <v>18</v>
      </c>
      <c r="H33" s="960" t="s">
        <v>257</v>
      </c>
      <c r="I33" s="960" t="s">
        <v>257</v>
      </c>
      <c r="J33" s="961">
        <v>7.899617669153324</v>
      </c>
      <c r="K33" s="960" t="s">
        <v>459</v>
      </c>
      <c r="L33" s="961">
        <v>8.2200000000000006</v>
      </c>
      <c r="M33" s="960" t="s">
        <v>459</v>
      </c>
      <c r="N33" s="961">
        <v>1250541.03</v>
      </c>
      <c r="O33" s="961">
        <v>0</v>
      </c>
      <c r="P33" s="962">
        <v>4.055668996505242E-2</v>
      </c>
      <c r="Q33" s="961">
        <v>48741.03</v>
      </c>
      <c r="R33" s="961">
        <v>1250541.03</v>
      </c>
      <c r="S33" s="962">
        <v>7.0438718262508221E-2</v>
      </c>
    </row>
    <row r="34" spans="1:19" s="22" customFormat="1" x14ac:dyDescent="0.25">
      <c r="A34" s="656" t="e">
        <f>VLOOKUP(D34,Bonds!$D:$I,6,0)</f>
        <v>#N/A</v>
      </c>
      <c r="B34" s="960" t="s">
        <v>1</v>
      </c>
      <c r="C34" s="960" t="s">
        <v>1176</v>
      </c>
      <c r="D34" s="960" t="s">
        <v>860</v>
      </c>
      <c r="E34" s="964">
        <v>4128</v>
      </c>
      <c r="F34" s="960" t="s">
        <v>18</v>
      </c>
      <c r="G34" s="960" t="s">
        <v>18</v>
      </c>
      <c r="H34" s="960" t="s">
        <v>257</v>
      </c>
      <c r="I34" s="960" t="s">
        <v>257</v>
      </c>
      <c r="J34" s="961">
        <v>243.81257267441862</v>
      </c>
      <c r="K34" s="960" t="s">
        <v>459</v>
      </c>
      <c r="L34" s="961">
        <v>259.93</v>
      </c>
      <c r="M34" s="960" t="s">
        <v>459</v>
      </c>
      <c r="N34" s="961">
        <v>1072991.04</v>
      </c>
      <c r="O34" s="961">
        <v>0</v>
      </c>
      <c r="P34" s="962">
        <v>6.6105808854673861E-2</v>
      </c>
      <c r="Q34" s="961">
        <v>66532.740000000005</v>
      </c>
      <c r="R34" s="961">
        <v>1072991.04</v>
      </c>
      <c r="S34" s="962">
        <v>6.0437931864383267E-2</v>
      </c>
    </row>
    <row r="35" spans="1:19" s="22" customFormat="1" x14ac:dyDescent="0.25">
      <c r="A35" s="656" t="e">
        <f>VLOOKUP(D35,Bonds!$D:$I,6,0)</f>
        <v>#N/A</v>
      </c>
      <c r="B35" s="960" t="s">
        <v>20</v>
      </c>
      <c r="C35" s="960" t="s">
        <v>861</v>
      </c>
      <c r="D35" s="960" t="s">
        <v>862</v>
      </c>
      <c r="E35" s="964">
        <v>6500</v>
      </c>
      <c r="F35" s="960" t="s">
        <v>2266</v>
      </c>
      <c r="G35" s="960" t="s">
        <v>19</v>
      </c>
      <c r="H35" s="960" t="s">
        <v>257</v>
      </c>
      <c r="I35" s="960" t="s">
        <v>257</v>
      </c>
      <c r="J35" s="961">
        <v>19.22484153846154</v>
      </c>
      <c r="K35" s="963">
        <v>1.3509</v>
      </c>
      <c r="L35" s="961">
        <v>27.48</v>
      </c>
      <c r="M35" s="963">
        <v>1.3454999999999999</v>
      </c>
      <c r="N35" s="961">
        <v>178620</v>
      </c>
      <c r="O35" s="961">
        <v>0</v>
      </c>
      <c r="P35" s="962">
        <v>0.42364372017793306</v>
      </c>
      <c r="Q35" s="961">
        <v>71515.11</v>
      </c>
      <c r="R35" s="961">
        <v>240324.67</v>
      </c>
      <c r="S35" s="962">
        <v>1.3536670381507004E-2</v>
      </c>
    </row>
    <row r="36" spans="1:19" s="22" customFormat="1" x14ac:dyDescent="0.25">
      <c r="A36" s="220" t="e">
        <f>VLOOKUP(D36,Bonds!$D:$I,6,0)</f>
        <v>#N/A</v>
      </c>
      <c r="B36" s="960" t="s">
        <v>20</v>
      </c>
      <c r="C36" s="960" t="s">
        <v>1083</v>
      </c>
      <c r="D36" s="960" t="s">
        <v>1084</v>
      </c>
      <c r="E36" s="964">
        <v>3250</v>
      </c>
      <c r="F36" s="960" t="s">
        <v>18</v>
      </c>
      <c r="G36" s="960" t="s">
        <v>18</v>
      </c>
      <c r="H36" s="960" t="s">
        <v>257</v>
      </c>
      <c r="I36" s="960" t="s">
        <v>257</v>
      </c>
      <c r="J36" s="961">
        <v>46.235852307692305</v>
      </c>
      <c r="K36" s="960" t="s">
        <v>459</v>
      </c>
      <c r="L36" s="961">
        <v>60.3</v>
      </c>
      <c r="M36" s="960" t="s">
        <v>459</v>
      </c>
      <c r="N36" s="961">
        <v>195975</v>
      </c>
      <c r="O36" s="961">
        <v>0</v>
      </c>
      <c r="P36" s="962">
        <v>0.30418272812866098</v>
      </c>
      <c r="Q36" s="961">
        <v>45708.480000000003</v>
      </c>
      <c r="R36" s="961">
        <v>195975</v>
      </c>
      <c r="S36" s="962">
        <v>1.1038604476252207E-2</v>
      </c>
    </row>
    <row r="37" spans="1:19" s="22" customFormat="1" x14ac:dyDescent="0.25">
      <c r="A37" s="220" t="e">
        <f>VLOOKUP(D37,Bonds!$D:$I,6,0)</f>
        <v>#N/A</v>
      </c>
      <c r="B37" s="960" t="s">
        <v>20</v>
      </c>
      <c r="C37" s="960" t="s">
        <v>2403</v>
      </c>
      <c r="D37" s="960" t="s">
        <v>2404</v>
      </c>
      <c r="E37" s="964">
        <v>23400</v>
      </c>
      <c r="F37" s="960" t="s">
        <v>21</v>
      </c>
      <c r="G37" s="960" t="s">
        <v>21</v>
      </c>
      <c r="H37" s="960" t="s">
        <v>257</v>
      </c>
      <c r="I37" s="960" t="s">
        <v>257</v>
      </c>
      <c r="J37" s="961">
        <v>17.301253418803419</v>
      </c>
      <c r="K37" s="965">
        <v>1.179</v>
      </c>
      <c r="L37" s="961">
        <v>18.638000000000002</v>
      </c>
      <c r="M37" s="963">
        <v>1.1762999999999999</v>
      </c>
      <c r="N37" s="961">
        <v>436129.2</v>
      </c>
      <c r="O37" s="961">
        <v>0</v>
      </c>
      <c r="P37" s="962">
        <v>7.4765270208502585E-2</v>
      </c>
      <c r="Q37" s="961">
        <v>35686.33</v>
      </c>
      <c r="R37" s="961">
        <v>512997.92</v>
      </c>
      <c r="S37" s="962">
        <v>2.889542613098646E-2</v>
      </c>
    </row>
    <row r="38" spans="1:19" s="22" customFormat="1" x14ac:dyDescent="0.25">
      <c r="A38" s="220" t="e">
        <f>VLOOKUP(D38,Bonds!$D:$I,6,0)</f>
        <v>#N/A</v>
      </c>
      <c r="B38" s="960" t="s">
        <v>20</v>
      </c>
      <c r="C38" s="960" t="s">
        <v>1057</v>
      </c>
      <c r="D38" s="960" t="s">
        <v>1058</v>
      </c>
      <c r="E38" s="964">
        <v>12950</v>
      </c>
      <c r="F38" s="960" t="s">
        <v>18</v>
      </c>
      <c r="G38" s="960" t="s">
        <v>18</v>
      </c>
      <c r="H38" s="960" t="s">
        <v>257</v>
      </c>
      <c r="I38" s="960" t="s">
        <v>257</v>
      </c>
      <c r="J38" s="961">
        <v>38.720798455598455</v>
      </c>
      <c r="K38" s="960" t="s">
        <v>459</v>
      </c>
      <c r="L38" s="961">
        <v>62.57</v>
      </c>
      <c r="M38" s="960" t="s">
        <v>459</v>
      </c>
      <c r="N38" s="961">
        <v>810281.5</v>
      </c>
      <c r="O38" s="961">
        <v>0</v>
      </c>
      <c r="P38" s="962">
        <v>0.61592742132499334</v>
      </c>
      <c r="Q38" s="961">
        <v>308847.15999999997</v>
      </c>
      <c r="R38" s="961">
        <v>810281.5</v>
      </c>
      <c r="S38" s="962">
        <v>4.5640397973845406E-2</v>
      </c>
    </row>
    <row r="39" spans="1:19" s="22" customFormat="1" x14ac:dyDescent="0.25">
      <c r="A39" s="220" t="e">
        <f>VLOOKUP(D39,Bonds!$D:$I,6,0)</f>
        <v>#N/A</v>
      </c>
      <c r="B39" s="960" t="s">
        <v>20</v>
      </c>
      <c r="C39" s="960" t="s">
        <v>863</v>
      </c>
      <c r="D39" s="960" t="s">
        <v>864</v>
      </c>
      <c r="E39" s="964">
        <v>37000</v>
      </c>
      <c r="F39" s="960" t="s">
        <v>19</v>
      </c>
      <c r="G39" s="960" t="s">
        <v>19</v>
      </c>
      <c r="H39" s="960" t="s">
        <v>257</v>
      </c>
      <c r="I39" s="960" t="s">
        <v>257</v>
      </c>
      <c r="J39" s="961">
        <v>3.0100881081081079</v>
      </c>
      <c r="K39" s="963">
        <v>1.3509</v>
      </c>
      <c r="L39" s="961">
        <v>5.05</v>
      </c>
      <c r="M39" s="963">
        <v>1.3454999999999999</v>
      </c>
      <c r="N39" s="961">
        <v>186850</v>
      </c>
      <c r="O39" s="961">
        <v>0</v>
      </c>
      <c r="P39" s="962">
        <v>0.67093969800916442</v>
      </c>
      <c r="Q39" s="961">
        <v>100944.83</v>
      </c>
      <c r="R39" s="961">
        <v>251397.74</v>
      </c>
      <c r="S39" s="962">
        <v>1.4160378711997389E-2</v>
      </c>
    </row>
    <row r="40" spans="1:19" s="22" customFormat="1" x14ac:dyDescent="0.25">
      <c r="A40" s="220" t="e">
        <f>VLOOKUP(D40,Bonds!$D:$I,6,0)</f>
        <v>#N/A</v>
      </c>
      <c r="B40" s="960" t="s">
        <v>20</v>
      </c>
      <c r="C40" s="960" t="s">
        <v>1085</v>
      </c>
      <c r="D40" s="960" t="s">
        <v>1086</v>
      </c>
      <c r="E40" s="964">
        <v>1700</v>
      </c>
      <c r="F40" s="960" t="s">
        <v>18</v>
      </c>
      <c r="G40" s="960" t="s">
        <v>18</v>
      </c>
      <c r="H40" s="960" t="s">
        <v>257</v>
      </c>
      <c r="I40" s="960" t="s">
        <v>257</v>
      </c>
      <c r="J40" s="961">
        <v>88.357841176470586</v>
      </c>
      <c r="K40" s="960" t="s">
        <v>459</v>
      </c>
      <c r="L40" s="961">
        <v>121.86</v>
      </c>
      <c r="M40" s="960" t="s">
        <v>459</v>
      </c>
      <c r="N40" s="961">
        <v>207162</v>
      </c>
      <c r="O40" s="961">
        <v>0</v>
      </c>
      <c r="P40" s="962">
        <v>0.37916452436426129</v>
      </c>
      <c r="Q40" s="961">
        <v>56953.67</v>
      </c>
      <c r="R40" s="961">
        <v>207162</v>
      </c>
      <c r="S40" s="962">
        <v>1.166873009572323E-2</v>
      </c>
    </row>
    <row r="41" spans="1:19" s="22" customFormat="1" x14ac:dyDescent="0.25">
      <c r="A41" s="220" t="e">
        <f>VLOOKUP(D41,Bonds!$D:$I,6,0)</f>
        <v>#N/A</v>
      </c>
      <c r="B41" s="960" t="s">
        <v>20</v>
      </c>
      <c r="C41" s="960" t="s">
        <v>2516</v>
      </c>
      <c r="D41" s="960" t="s">
        <v>2517</v>
      </c>
      <c r="E41" s="965">
        <v>8833.9220000000005</v>
      </c>
      <c r="F41" s="960" t="s">
        <v>18</v>
      </c>
      <c r="G41" s="960" t="s">
        <v>18</v>
      </c>
      <c r="H41" s="960" t="s">
        <v>257</v>
      </c>
      <c r="I41" s="960" t="s">
        <v>257</v>
      </c>
      <c r="J41" s="961">
        <v>34.010939874723817</v>
      </c>
      <c r="K41" s="960" t="s">
        <v>459</v>
      </c>
      <c r="L41" s="961">
        <v>33.9</v>
      </c>
      <c r="M41" s="960" t="s">
        <v>459</v>
      </c>
      <c r="N41" s="961">
        <v>299469.96000000002</v>
      </c>
      <c r="O41" s="961">
        <v>0</v>
      </c>
      <c r="P41" s="962">
        <v>-3.2618739644491249E-3</v>
      </c>
      <c r="Q41" s="961">
        <v>-980.03</v>
      </c>
      <c r="R41" s="961">
        <v>299469.96000000002</v>
      </c>
      <c r="S41" s="962">
        <v>1.6868123183870747E-2</v>
      </c>
    </row>
    <row r="42" spans="1:19" s="22" customFormat="1" x14ac:dyDescent="0.25">
      <c r="A42" s="220" t="e">
        <f>VLOOKUP(D42,Bonds!$D:$I,6,0)</f>
        <v>#N/A</v>
      </c>
      <c r="B42" s="960" t="s">
        <v>20</v>
      </c>
      <c r="C42" s="960" t="s">
        <v>2405</v>
      </c>
      <c r="D42" s="960" t="s">
        <v>2406</v>
      </c>
      <c r="E42" s="964">
        <v>7850</v>
      </c>
      <c r="F42" s="960" t="s">
        <v>21</v>
      </c>
      <c r="G42" s="960" t="s">
        <v>21</v>
      </c>
      <c r="H42" s="960" t="s">
        <v>257</v>
      </c>
      <c r="I42" s="960" t="s">
        <v>257</v>
      </c>
      <c r="J42" s="961">
        <v>51.0180127388535</v>
      </c>
      <c r="K42" s="963">
        <v>1.1791</v>
      </c>
      <c r="L42" s="961">
        <v>55.85</v>
      </c>
      <c r="M42" s="963">
        <v>1.1762999999999999</v>
      </c>
      <c r="N42" s="961">
        <v>438422.5</v>
      </c>
      <c r="O42" s="961">
        <v>0</v>
      </c>
      <c r="P42" s="962">
        <v>9.2091560482037454E-2</v>
      </c>
      <c r="Q42" s="961">
        <v>43486.46</v>
      </c>
      <c r="R42" s="961">
        <v>515695.42</v>
      </c>
      <c r="S42" s="962">
        <v>2.9047367121289767E-2</v>
      </c>
    </row>
    <row r="43" spans="1:19" s="22" customFormat="1" x14ac:dyDescent="0.25">
      <c r="A43" s="220" t="e">
        <f>VLOOKUP(D43,Bonds!$D:$I,6,0)</f>
        <v>#N/A</v>
      </c>
      <c r="B43" s="960" t="s">
        <v>20</v>
      </c>
      <c r="C43" s="960" t="s">
        <v>1087</v>
      </c>
      <c r="D43" s="960" t="s">
        <v>1088</v>
      </c>
      <c r="E43" s="964">
        <v>12105</v>
      </c>
      <c r="F43" s="960" t="s">
        <v>18</v>
      </c>
      <c r="G43" s="960" t="s">
        <v>18</v>
      </c>
      <c r="H43" s="960" t="s">
        <v>257</v>
      </c>
      <c r="I43" s="960" t="s">
        <v>257</v>
      </c>
      <c r="J43" s="961">
        <v>24.789320115654689</v>
      </c>
      <c r="K43" s="960" t="s">
        <v>459</v>
      </c>
      <c r="L43" s="961">
        <v>26.86</v>
      </c>
      <c r="M43" s="960" t="s">
        <v>459</v>
      </c>
      <c r="N43" s="961">
        <v>325140.3</v>
      </c>
      <c r="O43" s="961">
        <v>0</v>
      </c>
      <c r="P43" s="962">
        <v>8.3531128513591554E-2</v>
      </c>
      <c r="Q43" s="961">
        <v>25065.58</v>
      </c>
      <c r="R43" s="961">
        <v>325140.3</v>
      </c>
      <c r="S43" s="962">
        <v>1.8314046031330453E-2</v>
      </c>
    </row>
    <row r="44" spans="1:19" s="22" customFormat="1" x14ac:dyDescent="0.25">
      <c r="A44" s="220" t="e">
        <f>VLOOKUP(D44,Bonds!$D:$I,6,0)</f>
        <v>#N/A</v>
      </c>
      <c r="B44" s="960" t="s">
        <v>20</v>
      </c>
      <c r="C44" s="960" t="s">
        <v>2407</v>
      </c>
      <c r="D44" s="960" t="s">
        <v>2408</v>
      </c>
      <c r="E44" s="964">
        <v>24913</v>
      </c>
      <c r="F44" s="960" t="s">
        <v>21</v>
      </c>
      <c r="G44" s="960" t="s">
        <v>21</v>
      </c>
      <c r="H44" s="960" t="s">
        <v>257</v>
      </c>
      <c r="I44" s="960" t="s">
        <v>257</v>
      </c>
      <c r="J44" s="961">
        <v>16.307437081042025</v>
      </c>
      <c r="K44" s="963">
        <v>1.1792</v>
      </c>
      <c r="L44" s="961">
        <v>18.14</v>
      </c>
      <c r="M44" s="963">
        <v>1.1762999999999999</v>
      </c>
      <c r="N44" s="961">
        <v>451921.82</v>
      </c>
      <c r="O44" s="961">
        <v>0</v>
      </c>
      <c r="P44" s="962">
        <v>0.10959640925743354</v>
      </c>
      <c r="Q44" s="961">
        <v>52504.32</v>
      </c>
      <c r="R44" s="961">
        <v>531574.03</v>
      </c>
      <c r="S44" s="962">
        <v>2.994175515763452E-2</v>
      </c>
    </row>
    <row r="45" spans="1:19" s="22" customFormat="1" x14ac:dyDescent="0.25">
      <c r="A45" s="220" t="e">
        <f>VLOOKUP(D45,Bonds!$D:$I,6,0)</f>
        <v>#N/A</v>
      </c>
      <c r="B45" s="960" t="s">
        <v>20</v>
      </c>
      <c r="C45" s="960" t="s">
        <v>2518</v>
      </c>
      <c r="D45" s="960" t="s">
        <v>2519</v>
      </c>
      <c r="E45" s="964">
        <v>12550</v>
      </c>
      <c r="F45" s="960" t="s">
        <v>21</v>
      </c>
      <c r="G45" s="960" t="s">
        <v>21</v>
      </c>
      <c r="H45" s="960" t="s">
        <v>257</v>
      </c>
      <c r="I45" s="960" t="s">
        <v>257</v>
      </c>
      <c r="J45" s="961">
        <v>0</v>
      </c>
      <c r="K45" s="960" t="s">
        <v>257</v>
      </c>
      <c r="L45" s="960" t="s">
        <v>257</v>
      </c>
      <c r="M45" s="963">
        <v>1.1762999999999999</v>
      </c>
      <c r="N45" s="961">
        <v>0</v>
      </c>
      <c r="O45" s="961">
        <v>0</v>
      </c>
      <c r="P45" s="960" t="s">
        <v>257</v>
      </c>
      <c r="Q45" s="960" t="s">
        <v>257</v>
      </c>
      <c r="R45" s="961">
        <v>0</v>
      </c>
      <c r="S45" s="962">
        <v>0</v>
      </c>
    </row>
    <row r="46" spans="1:19" s="22" customFormat="1" x14ac:dyDescent="0.25">
      <c r="A46" s="220" t="e">
        <f>VLOOKUP(D46,Bonds!$D:$I,6,0)</f>
        <v>#N/A</v>
      </c>
      <c r="B46" s="960" t="s">
        <v>20</v>
      </c>
      <c r="C46" s="960" t="s">
        <v>865</v>
      </c>
      <c r="D46" s="960" t="s">
        <v>866</v>
      </c>
      <c r="E46" s="964">
        <v>2600</v>
      </c>
      <c r="F46" s="960" t="s">
        <v>19</v>
      </c>
      <c r="G46" s="960" t="s">
        <v>19</v>
      </c>
      <c r="H46" s="960" t="s">
        <v>257</v>
      </c>
      <c r="I46" s="960" t="s">
        <v>257</v>
      </c>
      <c r="J46" s="961">
        <v>45.134223076923078</v>
      </c>
      <c r="K46" s="963">
        <v>1.3509</v>
      </c>
      <c r="L46" s="961">
        <v>71.180000000000007</v>
      </c>
      <c r="M46" s="963">
        <v>1.3454999999999999</v>
      </c>
      <c r="N46" s="961">
        <v>185068</v>
      </c>
      <c r="O46" s="961">
        <v>0</v>
      </c>
      <c r="P46" s="962">
        <v>0.57071219012595398</v>
      </c>
      <c r="Q46" s="961">
        <v>90473.24</v>
      </c>
      <c r="R46" s="961">
        <v>249000.15</v>
      </c>
      <c r="S46" s="962">
        <v>1.4025330630832868E-2</v>
      </c>
    </row>
    <row r="47" spans="1:19" x14ac:dyDescent="0.25">
      <c r="A47" s="220" t="e">
        <f>VLOOKUP(D47,Bonds!$D:$I,6,0)</f>
        <v>#N/A</v>
      </c>
      <c r="B47" s="960" t="s">
        <v>20</v>
      </c>
      <c r="C47" s="960" t="s">
        <v>2409</v>
      </c>
      <c r="D47" s="960" t="s">
        <v>2410</v>
      </c>
      <c r="E47" s="964">
        <v>12550</v>
      </c>
      <c r="F47" s="960" t="s">
        <v>21</v>
      </c>
      <c r="G47" s="960" t="s">
        <v>21</v>
      </c>
      <c r="H47" s="960" t="s">
        <v>257</v>
      </c>
      <c r="I47" s="960" t="s">
        <v>257</v>
      </c>
      <c r="J47" s="961">
        <v>32.254486852589643</v>
      </c>
      <c r="K47" s="963">
        <v>1.1791</v>
      </c>
      <c r="L47" s="961">
        <v>33.725000000000001</v>
      </c>
      <c r="M47" s="963">
        <v>1.1762999999999999</v>
      </c>
      <c r="N47" s="961">
        <v>423248.75</v>
      </c>
      <c r="O47" s="961">
        <v>0</v>
      </c>
      <c r="P47" s="962">
        <v>4.3083405458420446E-2</v>
      </c>
      <c r="Q47" s="961">
        <v>20563.03</v>
      </c>
      <c r="R47" s="961">
        <v>497847.26</v>
      </c>
      <c r="S47" s="962">
        <v>2.804204103955044E-2</v>
      </c>
    </row>
    <row r="48" spans="1:19" x14ac:dyDescent="0.25">
      <c r="A48" s="220" t="e">
        <f>VLOOKUP(D48,Bonds!$D:$I,6,0)</f>
        <v>#N/A</v>
      </c>
      <c r="B48" s="960" t="s">
        <v>20</v>
      </c>
      <c r="C48" s="960" t="s">
        <v>2411</v>
      </c>
      <c r="D48" s="960" t="s">
        <v>2412</v>
      </c>
      <c r="E48" s="964">
        <v>6730</v>
      </c>
      <c r="F48" s="960" t="s">
        <v>21</v>
      </c>
      <c r="G48" s="960" t="s">
        <v>21</v>
      </c>
      <c r="H48" s="960" t="s">
        <v>257</v>
      </c>
      <c r="I48" s="960" t="s">
        <v>257</v>
      </c>
      <c r="J48" s="961">
        <v>60.593699851411593</v>
      </c>
      <c r="K48" s="965">
        <v>1.179</v>
      </c>
      <c r="L48" s="961">
        <v>66.53</v>
      </c>
      <c r="M48" s="963">
        <v>1.1762999999999999</v>
      </c>
      <c r="N48" s="961">
        <v>447746.9</v>
      </c>
      <c r="O48" s="961">
        <v>0</v>
      </c>
      <c r="P48" s="962">
        <v>9.5398997116925913E-2</v>
      </c>
      <c r="Q48" s="961">
        <v>45867.44</v>
      </c>
      <c r="R48" s="961">
        <v>526663.27</v>
      </c>
      <c r="S48" s="962">
        <v>2.9665148767442914E-2</v>
      </c>
    </row>
    <row r="49" spans="1:19" x14ac:dyDescent="0.25">
      <c r="A49" s="220" t="e">
        <f>VLOOKUP(D49,Bonds!$D:$I,6,0)</f>
        <v>#N/A</v>
      </c>
      <c r="B49" s="960" t="s">
        <v>20</v>
      </c>
      <c r="C49" s="960" t="s">
        <v>2520</v>
      </c>
      <c r="D49" s="960" t="s">
        <v>2521</v>
      </c>
      <c r="E49" s="964">
        <v>625</v>
      </c>
      <c r="F49" s="960" t="s">
        <v>24</v>
      </c>
      <c r="G49" s="960" t="s">
        <v>24</v>
      </c>
      <c r="H49" s="960" t="s">
        <v>257</v>
      </c>
      <c r="I49" s="960" t="s">
        <v>257</v>
      </c>
      <c r="J49" s="961">
        <v>317.85884800000002</v>
      </c>
      <c r="K49" s="963">
        <v>0.77380000000000004</v>
      </c>
      <c r="L49" s="961">
        <v>319.39999999999998</v>
      </c>
      <c r="M49" s="963">
        <v>0.77569999999999995</v>
      </c>
      <c r="N49" s="961">
        <v>199625</v>
      </c>
      <c r="O49" s="961">
        <v>0</v>
      </c>
      <c r="P49" s="962">
        <v>2.5166454553840097E-3</v>
      </c>
      <c r="Q49" s="961">
        <v>646.07000000000005</v>
      </c>
      <c r="R49" s="961">
        <v>257364.79</v>
      </c>
      <c r="S49" s="962">
        <v>1.4496482321335425E-2</v>
      </c>
    </row>
    <row r="50" spans="1:19" x14ac:dyDescent="0.25">
      <c r="A50" s="220" t="e">
        <f>VLOOKUP(D50,Bonds!$D:$I,6,0)</f>
        <v>#N/A</v>
      </c>
      <c r="B50" s="960" t="s">
        <v>20</v>
      </c>
      <c r="C50" s="960" t="s">
        <v>2522</v>
      </c>
      <c r="D50" s="960" t="s">
        <v>2523</v>
      </c>
      <c r="E50" s="964">
        <v>2140</v>
      </c>
      <c r="F50" s="960" t="s">
        <v>24</v>
      </c>
      <c r="G50" s="960" t="s">
        <v>24</v>
      </c>
      <c r="H50" s="960" t="s">
        <v>257</v>
      </c>
      <c r="I50" s="960" t="s">
        <v>257</v>
      </c>
      <c r="J50" s="961">
        <v>140.39432710280374</v>
      </c>
      <c r="K50" s="963">
        <v>0.77390000000000003</v>
      </c>
      <c r="L50" s="961">
        <v>140.62</v>
      </c>
      <c r="M50" s="963">
        <v>0.77569999999999995</v>
      </c>
      <c r="N50" s="961">
        <v>300926.8</v>
      </c>
      <c r="O50" s="961">
        <v>0</v>
      </c>
      <c r="P50" s="962">
        <v>-7.1694308963192368E-4</v>
      </c>
      <c r="Q50" s="961">
        <v>-278.35000000000002</v>
      </c>
      <c r="R50" s="961">
        <v>387967.25</v>
      </c>
      <c r="S50" s="962">
        <v>2.1852874205838802E-2</v>
      </c>
    </row>
    <row r="51" spans="1:19" x14ac:dyDescent="0.25">
      <c r="A51" s="220" t="e">
        <f>VLOOKUP(D51,Bonds!$D:$I,6,0)</f>
        <v>#N/A</v>
      </c>
      <c r="B51" s="960" t="s">
        <v>20</v>
      </c>
      <c r="C51" s="960" t="s">
        <v>2267</v>
      </c>
      <c r="D51" s="960" t="s">
        <v>2268</v>
      </c>
      <c r="E51" s="964">
        <v>38725</v>
      </c>
      <c r="F51" s="960" t="s">
        <v>458</v>
      </c>
      <c r="G51" s="960" t="s">
        <v>18</v>
      </c>
      <c r="H51" s="960" t="s">
        <v>257</v>
      </c>
      <c r="I51" s="960" t="s">
        <v>257</v>
      </c>
      <c r="J51" s="961">
        <v>12.946720723047127</v>
      </c>
      <c r="K51" s="960" t="s">
        <v>459</v>
      </c>
      <c r="L51" s="961">
        <v>16.100000000000001</v>
      </c>
      <c r="M51" s="960" t="s">
        <v>459</v>
      </c>
      <c r="N51" s="961">
        <v>623472.5</v>
      </c>
      <c r="O51" s="961">
        <v>0</v>
      </c>
      <c r="P51" s="962">
        <v>0.24355814452223082</v>
      </c>
      <c r="Q51" s="961">
        <v>122110.74</v>
      </c>
      <c r="R51" s="961">
        <v>623472.5</v>
      </c>
      <c r="S51" s="962">
        <v>3.5118083068351347E-2</v>
      </c>
    </row>
    <row r="52" spans="1:19" x14ac:dyDescent="0.25">
      <c r="A52" s="220" t="e">
        <f>VLOOKUP(D52,Bonds!$D:$I,6,0)</f>
        <v>#N/A</v>
      </c>
    </row>
    <row r="53" spans="1:19" x14ac:dyDescent="0.25">
      <c r="A53" s="220" t="e">
        <f>VLOOKUP(D53,Bonds!$D:$I,6,0)</f>
        <v>#N/A</v>
      </c>
    </row>
    <row r="54" spans="1:19" x14ac:dyDescent="0.25">
      <c r="A54" s="220" t="e">
        <f>VLOOKUP(D54,Bonds!$D:$I,6,0)</f>
        <v>#N/A</v>
      </c>
    </row>
    <row r="55" spans="1:19" x14ac:dyDescent="0.25">
      <c r="A55" s="220" t="e">
        <f>VLOOKUP(D55,Bonds!$D:$I,6,0)</f>
        <v>#N/A</v>
      </c>
    </row>
    <row r="56" spans="1:19" x14ac:dyDescent="0.25">
      <c r="A56" s="220" t="e">
        <f>VLOOKUP(D56,Bonds!$D:$I,6,0)</f>
        <v>#N/A</v>
      </c>
    </row>
    <row r="57" spans="1:19" x14ac:dyDescent="0.25">
      <c r="A57" s="220" t="e">
        <f>VLOOKUP(D57,Bonds!$D:$I,6,0)</f>
        <v>#N/A</v>
      </c>
    </row>
    <row r="58" spans="1:19" x14ac:dyDescent="0.25">
      <c r="A58" s="220" t="e">
        <f>VLOOKUP(D58,Bonds!$D:$I,6,0)</f>
        <v>#N/A</v>
      </c>
    </row>
    <row r="59" spans="1:19" x14ac:dyDescent="0.25">
      <c r="A59" s="220" t="e">
        <f>VLOOKUP(D59,Bonds!$D:$I,6,0)</f>
        <v>#N/A</v>
      </c>
    </row>
    <row r="60" spans="1:19" x14ac:dyDescent="0.25">
      <c r="A60" s="220" t="e">
        <f>VLOOKUP(D60,Bonds!$D:$I,6,0)</f>
        <v>#N/A</v>
      </c>
    </row>
    <row r="61" spans="1:19" x14ac:dyDescent="0.25">
      <c r="A61" s="220" t="e">
        <f>VLOOKUP(D61,Bonds!$D:$I,6,0)</f>
        <v>#N/A</v>
      </c>
    </row>
    <row r="62" spans="1:19" x14ac:dyDescent="0.25">
      <c r="A62" s="220" t="e">
        <f>VLOOKUP(D62,Bonds!$D:$I,6,0)</f>
        <v>#N/A</v>
      </c>
    </row>
    <row r="63" spans="1:19" x14ac:dyDescent="0.25">
      <c r="A63" s="220" t="e">
        <f>VLOOKUP(D63,Bonds!$D:$I,6,0)</f>
        <v>#N/A</v>
      </c>
    </row>
    <row r="64" spans="1:19" x14ac:dyDescent="0.25">
      <c r="A64" s="220" t="e">
        <f>VLOOKUP(D64,Bonds!$D:$I,6,0)</f>
        <v>#N/A</v>
      </c>
    </row>
    <row r="65" spans="1:1" x14ac:dyDescent="0.25">
      <c r="A65" s="220" t="e">
        <f>VLOOKUP(D65,Bonds!$D:$I,6,0)</f>
        <v>#N/A</v>
      </c>
    </row>
    <row r="66" spans="1:1" x14ac:dyDescent="0.25">
      <c r="A66" s="220" t="e">
        <f>VLOOKUP(D66,Bonds!$D:$I,6,0)</f>
        <v>#N/A</v>
      </c>
    </row>
    <row r="67" spans="1:1" x14ac:dyDescent="0.25">
      <c r="A67" s="220" t="e">
        <f>VLOOKUP(D67,Bonds!$D:$I,6,0)</f>
        <v>#N/A</v>
      </c>
    </row>
    <row r="68" spans="1:1" x14ac:dyDescent="0.25">
      <c r="A68" s="220" t="e">
        <f>VLOOKUP(D68,Bonds!$D:$I,6,0)</f>
        <v>#N/A</v>
      </c>
    </row>
    <row r="69" spans="1:1" x14ac:dyDescent="0.25">
      <c r="A69" s="220" t="e">
        <f>VLOOKUP(D69,Bonds!$D:$I,6,0)</f>
        <v>#N/A</v>
      </c>
    </row>
    <row r="70" spans="1:1" x14ac:dyDescent="0.25">
      <c r="A70" s="220" t="e">
        <f>VLOOKUP(D70,Bonds!$D:$I,6,0)</f>
        <v>#N/A</v>
      </c>
    </row>
    <row r="71" spans="1:1" x14ac:dyDescent="0.25">
      <c r="A71" s="220" t="e">
        <f>VLOOKUP(D71,Bonds!$D:$I,6,0)</f>
        <v>#N/A</v>
      </c>
    </row>
    <row r="72" spans="1:1" x14ac:dyDescent="0.25">
      <c r="A72" s="220" t="e">
        <f>VLOOKUP(D72,Bonds!$D:$I,6,0)</f>
        <v>#N/A</v>
      </c>
    </row>
    <row r="73" spans="1:1" x14ac:dyDescent="0.25">
      <c r="A73" s="220" t="e">
        <f>VLOOKUP(D73,Bonds!$D:$I,6,0)</f>
        <v>#N/A</v>
      </c>
    </row>
    <row r="74" spans="1:1" x14ac:dyDescent="0.25">
      <c r="A74" s="220" t="e">
        <f>VLOOKUP(D74,Bonds!$D:$I,6,0)</f>
        <v>#N/A</v>
      </c>
    </row>
    <row r="75" spans="1:1" x14ac:dyDescent="0.25">
      <c r="A75" s="220" t="e">
        <f>VLOOKUP(D75,Bonds!$D:$I,6,0)</f>
        <v>#N/A</v>
      </c>
    </row>
    <row r="76" spans="1:1" x14ac:dyDescent="0.25">
      <c r="A76" s="220" t="e">
        <f>VLOOKUP(D76,Bonds!$D:$I,6,0)</f>
        <v>#N/A</v>
      </c>
    </row>
    <row r="77" spans="1:1" x14ac:dyDescent="0.25">
      <c r="A77" s="220" t="e">
        <f>VLOOKUP(D77,Bonds!$D:$I,6,0)</f>
        <v>#N/A</v>
      </c>
    </row>
    <row r="78" spans="1:1" x14ac:dyDescent="0.25">
      <c r="A78" s="220" t="e">
        <f>VLOOKUP(D78,Bonds!$D:$I,6,0)</f>
        <v>#N/A</v>
      </c>
    </row>
    <row r="79" spans="1:1" x14ac:dyDescent="0.25">
      <c r="A79" s="220" t="e">
        <f>VLOOKUP(D79,Bonds!$D:$I,6,0)</f>
        <v>#N/A</v>
      </c>
    </row>
    <row r="80" spans="1:1" x14ac:dyDescent="0.25">
      <c r="A80" s="220" t="e">
        <f>VLOOKUP(D80,Bonds!$D:$I,6,0)</f>
        <v>#N/A</v>
      </c>
    </row>
    <row r="81" spans="1:1" x14ac:dyDescent="0.25">
      <c r="A81" s="220" t="e">
        <f>VLOOKUP(D81,Bonds!$D:$I,6,0)</f>
        <v>#N/A</v>
      </c>
    </row>
    <row r="82" spans="1:1" x14ac:dyDescent="0.25">
      <c r="A82" s="220" t="e">
        <f>VLOOKUP(D82,Bonds!$D:$I,6,0)</f>
        <v>#N/A</v>
      </c>
    </row>
    <row r="83" spans="1:1" x14ac:dyDescent="0.25">
      <c r="A83" s="220" t="e">
        <f>VLOOKUP(D83,Bonds!$D:$I,6,0)</f>
        <v>#N/A</v>
      </c>
    </row>
    <row r="84" spans="1:1" x14ac:dyDescent="0.25">
      <c r="A84" s="220" t="e">
        <f>VLOOKUP(D84,Bonds!$D:$I,6,0)</f>
        <v>#N/A</v>
      </c>
    </row>
    <row r="85" spans="1:1" x14ac:dyDescent="0.25">
      <c r="A85" s="220" t="e">
        <f>VLOOKUP(D85,Bonds!$D:$I,6,0)</f>
        <v>#N/A</v>
      </c>
    </row>
    <row r="86" spans="1:1" x14ac:dyDescent="0.25">
      <c r="A86" s="220" t="e">
        <f>VLOOKUP(D86,Bonds!$D:$I,6,0)</f>
        <v>#N/A</v>
      </c>
    </row>
    <row r="87" spans="1:1" x14ac:dyDescent="0.25">
      <c r="A87" s="220" t="e">
        <f>VLOOKUP(D87,Bonds!$D:$I,6,0)</f>
        <v>#N/A</v>
      </c>
    </row>
    <row r="88" spans="1:1" x14ac:dyDescent="0.25">
      <c r="A88" s="220" t="e">
        <f>VLOOKUP(D88,Bonds!$D:$I,6,0)</f>
        <v>#N/A</v>
      </c>
    </row>
    <row r="89" spans="1:1" x14ac:dyDescent="0.25">
      <c r="A89" s="220" t="e">
        <f>VLOOKUP(D89,Bonds!$D:$I,6,0)</f>
        <v>#N/A</v>
      </c>
    </row>
    <row r="90" spans="1:1" x14ac:dyDescent="0.25">
      <c r="A90" s="220" t="e">
        <f>VLOOKUP(D90,Bonds!$D:$I,6,0)</f>
        <v>#N/A</v>
      </c>
    </row>
    <row r="91" spans="1:1" x14ac:dyDescent="0.25">
      <c r="A91" s="220" t="e">
        <f>VLOOKUP(D91,Bonds!$D:$I,6,0)</f>
        <v>#N/A</v>
      </c>
    </row>
    <row r="92" spans="1:1" x14ac:dyDescent="0.25">
      <c r="A92" s="220" t="e">
        <f>VLOOKUP(D92,Bonds!$D:$I,6,0)</f>
        <v>#N/A</v>
      </c>
    </row>
    <row r="93" spans="1:1" x14ac:dyDescent="0.25">
      <c r="A93" s="220" t="e">
        <f>VLOOKUP(D93,Bonds!$D:$I,6,0)</f>
        <v>#N/A</v>
      </c>
    </row>
    <row r="94" spans="1:1" x14ac:dyDescent="0.25">
      <c r="A94" s="220" t="e">
        <f>VLOOKUP(D94,Bonds!$D:$I,6,0)</f>
        <v>#N/A</v>
      </c>
    </row>
    <row r="95" spans="1:1" x14ac:dyDescent="0.25">
      <c r="A95" s="220" t="e">
        <f>VLOOKUP(D95,Bonds!$D:$I,6,0)</f>
        <v>#N/A</v>
      </c>
    </row>
    <row r="96" spans="1:1" x14ac:dyDescent="0.25">
      <c r="A96" s="220" t="e">
        <f>VLOOKUP(D96,Bonds!$D:$I,6,0)</f>
        <v>#N/A</v>
      </c>
    </row>
    <row r="97" spans="1:1" x14ac:dyDescent="0.25">
      <c r="A97" s="220" t="e">
        <f>VLOOKUP(D97,Bonds!$D:$I,6,0)</f>
        <v>#N/A</v>
      </c>
    </row>
    <row r="98" spans="1:1" x14ac:dyDescent="0.25">
      <c r="A98" s="220" t="e">
        <f>VLOOKUP(D98,Bonds!$D:$I,6,0)</f>
        <v>#N/A</v>
      </c>
    </row>
    <row r="99" spans="1:1" x14ac:dyDescent="0.25">
      <c r="A99" s="220" t="e">
        <f>VLOOKUP(D99,Bonds!$D:$I,6,0)</f>
        <v>#N/A</v>
      </c>
    </row>
    <row r="100" spans="1:1" x14ac:dyDescent="0.25">
      <c r="A100" s="220" t="e">
        <f>VLOOKUP(D100,Bonds!$D:$I,6,0)</f>
        <v>#N/A</v>
      </c>
    </row>
    <row r="101" spans="1:1" x14ac:dyDescent="0.25">
      <c r="A101" s="220" t="e">
        <f>VLOOKUP(D101,Bonds!$D:$I,6,0)</f>
        <v>#N/A</v>
      </c>
    </row>
    <row r="102" spans="1:1" x14ac:dyDescent="0.25">
      <c r="A102" s="220" t="e">
        <f>VLOOKUP(D102,Bonds!$D:$I,6,0)</f>
        <v>#N/A</v>
      </c>
    </row>
    <row r="103" spans="1:1" x14ac:dyDescent="0.25">
      <c r="A103" s="220" t="e">
        <f>VLOOKUP(D103,Bonds!$D:$I,6,0)</f>
        <v>#N/A</v>
      </c>
    </row>
    <row r="104" spans="1:1" x14ac:dyDescent="0.25">
      <c r="A104" s="220" t="e">
        <f>VLOOKUP(D104,Bonds!$D:$I,6,0)</f>
        <v>#N/A</v>
      </c>
    </row>
    <row r="105" spans="1:1" x14ac:dyDescent="0.25">
      <c r="A105" s="220" t="e">
        <f>VLOOKUP(D105,Bonds!$D:$I,6,0)</f>
        <v>#N/A</v>
      </c>
    </row>
    <row r="106" spans="1:1" x14ac:dyDescent="0.25">
      <c r="A106" s="220" t="e">
        <f>VLOOKUP(D106,Bonds!$D:$I,6,0)</f>
        <v>#N/A</v>
      </c>
    </row>
    <row r="107" spans="1:1" x14ac:dyDescent="0.25">
      <c r="A107" s="220" t="e">
        <f>VLOOKUP(D107,Bonds!$D:$I,6,0)</f>
        <v>#N/A</v>
      </c>
    </row>
    <row r="108" spans="1:1" x14ac:dyDescent="0.25">
      <c r="A108" s="220" t="e">
        <f>VLOOKUP(D108,Bonds!$D:$I,6,0)</f>
        <v>#N/A</v>
      </c>
    </row>
    <row r="109" spans="1:1" x14ac:dyDescent="0.25">
      <c r="A109" s="220" t="e">
        <f>VLOOKUP(D109,Bonds!$D:$I,6,0)</f>
        <v>#N/A</v>
      </c>
    </row>
    <row r="110" spans="1:1" x14ac:dyDescent="0.25">
      <c r="A110" s="220" t="e">
        <f>VLOOKUP(D110,Bonds!$D:$I,6,0)</f>
        <v>#N/A</v>
      </c>
    </row>
    <row r="111" spans="1:1" x14ac:dyDescent="0.25">
      <c r="A111" s="220" t="e">
        <f>VLOOKUP(D111,Bonds!$D:$I,6,0)</f>
        <v>#N/A</v>
      </c>
    </row>
    <row r="112" spans="1:1" x14ac:dyDescent="0.25">
      <c r="A112" s="220" t="e">
        <f>VLOOKUP(D112,Bonds!$D:$I,6,0)</f>
        <v>#N/A</v>
      </c>
    </row>
    <row r="113" spans="1:1" x14ac:dyDescent="0.25">
      <c r="A113" s="220" t="e">
        <f>VLOOKUP(D113,Bonds!$D:$I,6,0)</f>
        <v>#N/A</v>
      </c>
    </row>
    <row r="114" spans="1:1" x14ac:dyDescent="0.25">
      <c r="A114" s="220" t="e">
        <f>VLOOKUP(D114,Bonds!$D:$I,6,0)</f>
        <v>#N/A</v>
      </c>
    </row>
    <row r="115" spans="1:1" x14ac:dyDescent="0.25">
      <c r="A115" s="220" t="e">
        <f>VLOOKUP(D115,Bonds!$D:$I,6,0)</f>
        <v>#N/A</v>
      </c>
    </row>
    <row r="116" spans="1:1" x14ac:dyDescent="0.25">
      <c r="A116" s="220" t="e">
        <f>VLOOKUP(D116,Bonds!$D:$I,6,0)</f>
        <v>#N/A</v>
      </c>
    </row>
    <row r="117" spans="1:1" x14ac:dyDescent="0.25">
      <c r="A117" s="220" t="e">
        <f>VLOOKUP(D117,Bonds!$D:$I,6,0)</f>
        <v>#N/A</v>
      </c>
    </row>
    <row r="118" spans="1:1" x14ac:dyDescent="0.25">
      <c r="A118" s="220" t="e">
        <f>VLOOKUP(D118,Bonds!$D:$I,6,0)</f>
        <v>#N/A</v>
      </c>
    </row>
    <row r="119" spans="1:1" x14ac:dyDescent="0.25">
      <c r="A119" s="220" t="e">
        <f>VLOOKUP(D119,Bonds!$D:$I,6,0)</f>
        <v>#N/A</v>
      </c>
    </row>
    <row r="120" spans="1:1" x14ac:dyDescent="0.25">
      <c r="A120" s="220" t="e">
        <f>VLOOKUP(D120,Bonds!$D:$I,6,0)</f>
        <v>#N/A</v>
      </c>
    </row>
    <row r="121" spans="1:1" x14ac:dyDescent="0.25">
      <c r="A121" s="220" t="e">
        <f>VLOOKUP(D121,Bonds!$D:$I,6,0)</f>
        <v>#N/A</v>
      </c>
    </row>
    <row r="122" spans="1:1" x14ac:dyDescent="0.25">
      <c r="A122" s="220" t="e">
        <f>VLOOKUP(D122,Bonds!$D:$I,6,0)</f>
        <v>#N/A</v>
      </c>
    </row>
    <row r="123" spans="1:1" x14ac:dyDescent="0.25">
      <c r="A123" s="220" t="e">
        <f>VLOOKUP(D123,Bonds!$D:$I,6,0)</f>
        <v>#N/A</v>
      </c>
    </row>
    <row r="124" spans="1:1" x14ac:dyDescent="0.25">
      <c r="A124" s="220" t="e">
        <f>VLOOKUP(D124,Bonds!$D:$I,6,0)</f>
        <v>#N/A</v>
      </c>
    </row>
    <row r="125" spans="1:1" x14ac:dyDescent="0.25">
      <c r="A125" s="220" t="e">
        <f>VLOOKUP(D125,Bonds!$D:$I,6,0)</f>
        <v>#N/A</v>
      </c>
    </row>
    <row r="126" spans="1:1" x14ac:dyDescent="0.25">
      <c r="A126" s="220" t="e">
        <f>VLOOKUP(D126,Bonds!$D:$I,6,0)</f>
        <v>#N/A</v>
      </c>
    </row>
    <row r="127" spans="1:1" x14ac:dyDescent="0.25">
      <c r="A127" s="220" t="e">
        <f>VLOOKUP(D127,Bonds!$D:$I,6,0)</f>
        <v>#N/A</v>
      </c>
    </row>
    <row r="128" spans="1:1" x14ac:dyDescent="0.25">
      <c r="A128" s="220" t="e">
        <f>VLOOKUP(D128,Bonds!$D:$I,6,0)</f>
        <v>#N/A</v>
      </c>
    </row>
    <row r="129" spans="1:1" x14ac:dyDescent="0.25">
      <c r="A129" s="220" t="e">
        <f>VLOOKUP(D129,Bonds!$D:$I,6,0)</f>
        <v>#N/A</v>
      </c>
    </row>
    <row r="130" spans="1:1" x14ac:dyDescent="0.25">
      <c r="A130" s="220" t="e">
        <f>VLOOKUP(D130,Bonds!$D:$I,6,0)</f>
        <v>#N/A</v>
      </c>
    </row>
    <row r="131" spans="1:1" x14ac:dyDescent="0.25">
      <c r="A131" s="220" t="e">
        <f>VLOOKUP(D131,Bonds!$D:$I,6,0)</f>
        <v>#N/A</v>
      </c>
    </row>
    <row r="132" spans="1:1" x14ac:dyDescent="0.25">
      <c r="A132" s="220" t="e">
        <f>VLOOKUP(D132,Bonds!$D:$I,6,0)</f>
        <v>#N/A</v>
      </c>
    </row>
    <row r="133" spans="1:1" x14ac:dyDescent="0.25">
      <c r="A133" s="220" t="e">
        <f>VLOOKUP(D133,Bonds!$D:$I,6,0)</f>
        <v>#N/A</v>
      </c>
    </row>
    <row r="134" spans="1:1" x14ac:dyDescent="0.25">
      <c r="A134" s="220" t="e">
        <f>VLOOKUP(D134,Bonds!$D:$I,6,0)</f>
        <v>#N/A</v>
      </c>
    </row>
    <row r="135" spans="1:1" x14ac:dyDescent="0.25">
      <c r="A135" s="220" t="e">
        <f>VLOOKUP(D135,Bonds!$D:$I,6,0)</f>
        <v>#N/A</v>
      </c>
    </row>
    <row r="136" spans="1:1" x14ac:dyDescent="0.25">
      <c r="A136" s="220" t="e">
        <f>VLOOKUP(D136,Bonds!$D:$I,6,0)</f>
        <v>#N/A</v>
      </c>
    </row>
    <row r="137" spans="1:1" x14ac:dyDescent="0.25">
      <c r="A137" s="220" t="e">
        <f>VLOOKUP(D137,Bonds!$D:$I,6,0)</f>
        <v>#N/A</v>
      </c>
    </row>
    <row r="138" spans="1:1" x14ac:dyDescent="0.25">
      <c r="A138" s="220" t="e">
        <f>VLOOKUP(D138,Bonds!$D:$I,6,0)</f>
        <v>#N/A</v>
      </c>
    </row>
    <row r="139" spans="1:1" x14ac:dyDescent="0.25">
      <c r="A139" s="220" t="e">
        <f>VLOOKUP(D139,Bonds!$D:$I,6,0)</f>
        <v>#N/A</v>
      </c>
    </row>
    <row r="140" spans="1:1" x14ac:dyDescent="0.25">
      <c r="A140" s="220" t="e">
        <f>VLOOKUP(D140,Bonds!$D:$I,6,0)</f>
        <v>#N/A</v>
      </c>
    </row>
    <row r="141" spans="1:1" x14ac:dyDescent="0.25">
      <c r="A141" s="220" t="e">
        <f>VLOOKUP(D141,Bonds!$D:$I,6,0)</f>
        <v>#N/A</v>
      </c>
    </row>
    <row r="142" spans="1:1" x14ac:dyDescent="0.25">
      <c r="A142" s="220" t="e">
        <f>VLOOKUP(D142,Bonds!$D:$I,6,0)</f>
        <v>#N/A</v>
      </c>
    </row>
    <row r="143" spans="1:1" x14ac:dyDescent="0.25">
      <c r="A143" s="220" t="e">
        <f>VLOOKUP(D143,Bonds!$D:$I,6,0)</f>
        <v>#N/A</v>
      </c>
    </row>
    <row r="144" spans="1:1" x14ac:dyDescent="0.25">
      <c r="A144" s="220" t="e">
        <f>VLOOKUP(D144,Bonds!$D:$I,6,0)</f>
        <v>#N/A</v>
      </c>
    </row>
    <row r="145" spans="1:1" x14ac:dyDescent="0.25">
      <c r="A145" s="220" t="e">
        <f>VLOOKUP(D145,Bonds!$D:$I,6,0)</f>
        <v>#N/A</v>
      </c>
    </row>
    <row r="146" spans="1:1" x14ac:dyDescent="0.25">
      <c r="A146" s="220" t="e">
        <f>VLOOKUP(D146,Bonds!$D:$I,6,0)</f>
        <v>#N/A</v>
      </c>
    </row>
    <row r="147" spans="1:1" x14ac:dyDescent="0.25">
      <c r="A147" s="220" t="e">
        <f>VLOOKUP(D147,Bonds!$D:$I,6,0)</f>
        <v>#N/A</v>
      </c>
    </row>
    <row r="148" spans="1:1" x14ac:dyDescent="0.25">
      <c r="A148" s="220" t="e">
        <f>VLOOKUP(D148,Bonds!$D:$I,6,0)</f>
        <v>#N/A</v>
      </c>
    </row>
    <row r="149" spans="1:1" x14ac:dyDescent="0.25">
      <c r="A149" s="220" t="e">
        <f>VLOOKUP(D149,Bonds!$D:$I,6,0)</f>
        <v>#N/A</v>
      </c>
    </row>
    <row r="150" spans="1:1" x14ac:dyDescent="0.25">
      <c r="A150" s="220" t="e">
        <f>VLOOKUP(D150,Bonds!$D:$I,6,0)</f>
        <v>#N/A</v>
      </c>
    </row>
    <row r="151" spans="1:1" x14ac:dyDescent="0.25">
      <c r="A151" s="220" t="e">
        <f>VLOOKUP(D151,Bonds!$D:$I,6,0)</f>
        <v>#N/A</v>
      </c>
    </row>
    <row r="152" spans="1:1" x14ac:dyDescent="0.25">
      <c r="A152" s="220" t="e">
        <f>VLOOKUP(D152,Bonds!$D:$I,6,0)</f>
        <v>#N/A</v>
      </c>
    </row>
    <row r="153" spans="1:1" x14ac:dyDescent="0.25">
      <c r="A153" s="220" t="e">
        <f>VLOOKUP(D153,Bonds!$D:$I,6,0)</f>
        <v>#N/A</v>
      </c>
    </row>
    <row r="154" spans="1:1" x14ac:dyDescent="0.25">
      <c r="A154" s="220" t="e">
        <f>VLOOKUP(D154,Bonds!$D:$I,6,0)</f>
        <v>#N/A</v>
      </c>
    </row>
    <row r="155" spans="1:1" x14ac:dyDescent="0.25">
      <c r="A155" s="220" t="e">
        <f>VLOOKUP(D155,Bonds!$D:$I,6,0)</f>
        <v>#N/A</v>
      </c>
    </row>
    <row r="156" spans="1:1" x14ac:dyDescent="0.25">
      <c r="A156" s="220" t="e">
        <f>VLOOKUP(D156,Bonds!$D:$I,6,0)</f>
        <v>#N/A</v>
      </c>
    </row>
    <row r="157" spans="1:1" x14ac:dyDescent="0.25">
      <c r="A157" s="220" t="e">
        <f>VLOOKUP(D157,Bonds!$D:$I,6,0)</f>
        <v>#N/A</v>
      </c>
    </row>
    <row r="158" spans="1:1" x14ac:dyDescent="0.25">
      <c r="A158" s="220" t="e">
        <f>VLOOKUP(D158,Bonds!$D:$I,6,0)</f>
        <v>#N/A</v>
      </c>
    </row>
    <row r="159" spans="1:1" x14ac:dyDescent="0.25">
      <c r="A159" s="220" t="e">
        <f>VLOOKUP(D159,Bonds!$D:$I,6,0)</f>
        <v>#N/A</v>
      </c>
    </row>
    <row r="160" spans="1:1" x14ac:dyDescent="0.25">
      <c r="A160" s="220" t="e">
        <f>VLOOKUP(D160,Bonds!$D:$I,6,0)</f>
        <v>#N/A</v>
      </c>
    </row>
    <row r="161" spans="1:1" x14ac:dyDescent="0.25">
      <c r="A161" s="220" t="e">
        <f>VLOOKUP(D161,Bonds!$D:$I,6,0)</f>
        <v>#N/A</v>
      </c>
    </row>
    <row r="162" spans="1:1" x14ac:dyDescent="0.25">
      <c r="A162" s="220" t="e">
        <f>VLOOKUP(D162,Bonds!$D:$I,6,0)</f>
        <v>#N/A</v>
      </c>
    </row>
    <row r="163" spans="1:1" x14ac:dyDescent="0.25">
      <c r="A163" s="220" t="e">
        <f>VLOOKUP(D163,Bonds!$D:$I,6,0)</f>
        <v>#N/A</v>
      </c>
    </row>
    <row r="164" spans="1:1" x14ac:dyDescent="0.25">
      <c r="A164" s="220" t="e">
        <f>VLOOKUP(D164,Bonds!$D:$I,6,0)</f>
        <v>#N/A</v>
      </c>
    </row>
    <row r="165" spans="1:1" x14ac:dyDescent="0.25">
      <c r="A165" s="220" t="e">
        <f>VLOOKUP(D165,Bonds!$D:$I,6,0)</f>
        <v>#N/A</v>
      </c>
    </row>
    <row r="166" spans="1:1" x14ac:dyDescent="0.25">
      <c r="A166" s="220" t="e">
        <f>VLOOKUP(D166,Bonds!$D:$I,6,0)</f>
        <v>#N/A</v>
      </c>
    </row>
    <row r="167" spans="1:1" x14ac:dyDescent="0.25">
      <c r="A167" s="220" t="e">
        <f>VLOOKUP(D167,Bonds!$D:$I,6,0)</f>
        <v>#N/A</v>
      </c>
    </row>
    <row r="168" spans="1:1" x14ac:dyDescent="0.25">
      <c r="A168" s="220" t="e">
        <f>VLOOKUP(D168,Bonds!$D:$I,6,0)</f>
        <v>#N/A</v>
      </c>
    </row>
    <row r="169" spans="1:1" x14ac:dyDescent="0.25">
      <c r="A169" s="220" t="e">
        <f>VLOOKUP(D169,Bonds!$D:$I,6,0)</f>
        <v>#N/A</v>
      </c>
    </row>
    <row r="170" spans="1:1" x14ac:dyDescent="0.25">
      <c r="A170" s="220" t="e">
        <f>VLOOKUP(D170,Bonds!$D:$I,6,0)</f>
        <v>#N/A</v>
      </c>
    </row>
    <row r="171" spans="1:1" x14ac:dyDescent="0.25">
      <c r="A171" s="220" t="e">
        <f>VLOOKUP(D171,Bonds!$D:$I,6,0)</f>
        <v>#N/A</v>
      </c>
    </row>
    <row r="172" spans="1:1" x14ac:dyDescent="0.25">
      <c r="A172" s="220" t="e">
        <f>VLOOKUP(D172,Bonds!$D:$I,6,0)</f>
        <v>#N/A</v>
      </c>
    </row>
    <row r="173" spans="1:1" x14ac:dyDescent="0.25">
      <c r="A173" s="220" t="e">
        <f>VLOOKUP(D173,Bonds!$D:$I,6,0)</f>
        <v>#N/A</v>
      </c>
    </row>
    <row r="174" spans="1:1" x14ac:dyDescent="0.25">
      <c r="A174" s="220" t="e">
        <f>VLOOKUP(D174,Bonds!$D:$I,6,0)</f>
        <v>#N/A</v>
      </c>
    </row>
    <row r="175" spans="1:1" x14ac:dyDescent="0.25">
      <c r="A175" s="220" t="e">
        <f>VLOOKUP(D175,Bonds!$D:$I,6,0)</f>
        <v>#N/A</v>
      </c>
    </row>
    <row r="176" spans="1:1" x14ac:dyDescent="0.25">
      <c r="A176" s="220" t="e">
        <f>VLOOKUP(D176,Bonds!$D:$I,6,0)</f>
        <v>#N/A</v>
      </c>
    </row>
    <row r="177" spans="1:1" x14ac:dyDescent="0.25">
      <c r="A177" s="220" t="e">
        <f>VLOOKUP(D177,Bonds!$D:$I,6,0)</f>
        <v>#N/A</v>
      </c>
    </row>
    <row r="178" spans="1:1" x14ac:dyDescent="0.25">
      <c r="A178" s="220" t="e">
        <f>VLOOKUP(D178,Bonds!$D:$I,6,0)</f>
        <v>#N/A</v>
      </c>
    </row>
    <row r="179" spans="1:1" x14ac:dyDescent="0.25">
      <c r="A179" s="220" t="e">
        <f>VLOOKUP(D179,Bonds!$D:$I,6,0)</f>
        <v>#N/A</v>
      </c>
    </row>
    <row r="180" spans="1:1" x14ac:dyDescent="0.25">
      <c r="A180" s="220" t="e">
        <f>VLOOKUP(D180,Bonds!$D:$I,6,0)</f>
        <v>#N/A</v>
      </c>
    </row>
    <row r="181" spans="1:1" x14ac:dyDescent="0.25">
      <c r="A181" s="220" t="e">
        <f>VLOOKUP(D181,Bonds!$D:$I,6,0)</f>
        <v>#N/A</v>
      </c>
    </row>
    <row r="182" spans="1:1" x14ac:dyDescent="0.25">
      <c r="A182" s="220" t="e">
        <f>VLOOKUP(D182,Bonds!$D:$I,6,0)</f>
        <v>#N/A</v>
      </c>
    </row>
    <row r="183" spans="1:1" x14ac:dyDescent="0.25">
      <c r="A183" s="220" t="e">
        <f>VLOOKUP(D183,Bonds!$D:$I,6,0)</f>
        <v>#N/A</v>
      </c>
    </row>
    <row r="184" spans="1:1" x14ac:dyDescent="0.25">
      <c r="A184" s="220" t="e">
        <f>VLOOKUP(D184,Bonds!$D:$I,6,0)</f>
        <v>#N/A</v>
      </c>
    </row>
    <row r="185" spans="1:1" x14ac:dyDescent="0.25">
      <c r="A185" s="220" t="e">
        <f>VLOOKUP(D185,Bonds!$D:$I,6,0)</f>
        <v>#N/A</v>
      </c>
    </row>
    <row r="186" spans="1:1" x14ac:dyDescent="0.25">
      <c r="A186" s="220" t="e">
        <f>VLOOKUP(D186,Bonds!$D:$I,6,0)</f>
        <v>#N/A</v>
      </c>
    </row>
    <row r="187" spans="1:1" x14ac:dyDescent="0.25">
      <c r="A187" s="220" t="e">
        <f>VLOOKUP(D187,Bonds!$D:$I,6,0)</f>
        <v>#N/A</v>
      </c>
    </row>
    <row r="188" spans="1:1" x14ac:dyDescent="0.25">
      <c r="A188" s="220" t="e">
        <f>VLOOKUP(D188,Bonds!$D:$I,6,0)</f>
        <v>#N/A</v>
      </c>
    </row>
    <row r="189" spans="1:1" x14ac:dyDescent="0.25">
      <c r="A189" s="220" t="e">
        <f>VLOOKUP(D189,Bonds!$D:$I,6,0)</f>
        <v>#N/A</v>
      </c>
    </row>
    <row r="190" spans="1:1" x14ac:dyDescent="0.25">
      <c r="A190" s="220" t="e">
        <f>VLOOKUP(D190,Bonds!$D:$I,6,0)</f>
        <v>#N/A</v>
      </c>
    </row>
    <row r="191" spans="1:1" x14ac:dyDescent="0.25">
      <c r="A191" s="220" t="e">
        <f>VLOOKUP(D191,Bonds!$D:$I,6,0)</f>
        <v>#N/A</v>
      </c>
    </row>
    <row r="192" spans="1:1" x14ac:dyDescent="0.25">
      <c r="A192" s="220" t="e">
        <f>VLOOKUP(D192,Bonds!$D:$I,6,0)</f>
        <v>#N/A</v>
      </c>
    </row>
    <row r="193" spans="1:1" x14ac:dyDescent="0.25">
      <c r="A193" s="220" t="e">
        <f>VLOOKUP(D193,Bonds!$D:$I,6,0)</f>
        <v>#N/A</v>
      </c>
    </row>
    <row r="194" spans="1:1" x14ac:dyDescent="0.25">
      <c r="A194" s="220" t="e">
        <f>VLOOKUP(D194,Bonds!$D:$I,6,0)</f>
        <v>#N/A</v>
      </c>
    </row>
    <row r="195" spans="1:1" x14ac:dyDescent="0.25">
      <c r="A195" s="220" t="e">
        <f>VLOOKUP(D195,Bonds!$D:$I,6,0)</f>
        <v>#N/A</v>
      </c>
    </row>
    <row r="196" spans="1:1" x14ac:dyDescent="0.25">
      <c r="A196" s="220" t="e">
        <f>VLOOKUP(D196,Bonds!$D:$I,6,0)</f>
        <v>#N/A</v>
      </c>
    </row>
    <row r="197" spans="1:1" x14ac:dyDescent="0.25">
      <c r="A197" s="220" t="e">
        <f>VLOOKUP(D197,Bonds!$D:$I,6,0)</f>
        <v>#N/A</v>
      </c>
    </row>
    <row r="198" spans="1:1" x14ac:dyDescent="0.25">
      <c r="A198" s="220" t="e">
        <f>VLOOKUP(D198,Bonds!$D:$I,6,0)</f>
        <v>#N/A</v>
      </c>
    </row>
    <row r="199" spans="1:1" x14ac:dyDescent="0.25">
      <c r="A199" s="220" t="e">
        <f>VLOOKUP(D199,Bonds!$D:$I,6,0)</f>
        <v>#N/A</v>
      </c>
    </row>
    <row r="200" spans="1:1" x14ac:dyDescent="0.25">
      <c r="A200" s="220" t="e">
        <f>VLOOKUP(D200,Bonds!$D:$I,6,0)</f>
        <v>#N/A</v>
      </c>
    </row>
    <row r="201" spans="1:1" x14ac:dyDescent="0.25">
      <c r="A201" s="220" t="e">
        <f>VLOOKUP(D201,Bonds!$D:$I,6,0)</f>
        <v>#N/A</v>
      </c>
    </row>
    <row r="202" spans="1:1" x14ac:dyDescent="0.25">
      <c r="A202" s="220" t="e">
        <f>VLOOKUP(D202,Bonds!$D:$I,6,0)</f>
        <v>#N/A</v>
      </c>
    </row>
    <row r="203" spans="1:1" x14ac:dyDescent="0.25">
      <c r="A203" s="220" t="e">
        <f>VLOOKUP(D203,Bonds!$D:$I,6,0)</f>
        <v>#N/A</v>
      </c>
    </row>
    <row r="204" spans="1:1" x14ac:dyDescent="0.25">
      <c r="A204" s="220" t="e">
        <f>VLOOKUP(D204,Bonds!$D:$I,6,0)</f>
        <v>#N/A</v>
      </c>
    </row>
    <row r="205" spans="1:1" x14ac:dyDescent="0.25">
      <c r="A205" s="220" t="e">
        <f>VLOOKUP(D205,Bonds!$D:$I,6,0)</f>
        <v>#N/A</v>
      </c>
    </row>
    <row r="206" spans="1:1" x14ac:dyDescent="0.25">
      <c r="A206" s="220" t="e">
        <f>VLOOKUP(D206,Bonds!$D:$I,6,0)</f>
        <v>#N/A</v>
      </c>
    </row>
    <row r="207" spans="1:1" x14ac:dyDescent="0.25">
      <c r="A207" s="220" t="e">
        <f>VLOOKUP(D207,Bonds!$D:$I,6,0)</f>
        <v>#N/A</v>
      </c>
    </row>
    <row r="208" spans="1:1" x14ac:dyDescent="0.25">
      <c r="A208" s="220" t="e">
        <f>VLOOKUP(D208,Bonds!$D:$I,6,0)</f>
        <v>#N/A</v>
      </c>
    </row>
    <row r="209" spans="1:1" x14ac:dyDescent="0.25">
      <c r="A209" s="220" t="e">
        <f>VLOOKUP(D209,Bonds!$D:$I,6,0)</f>
        <v>#N/A</v>
      </c>
    </row>
    <row r="210" spans="1:1" x14ac:dyDescent="0.25">
      <c r="A210" s="220" t="e">
        <f>VLOOKUP(D210,Bonds!$D:$I,6,0)</f>
        <v>#N/A</v>
      </c>
    </row>
    <row r="211" spans="1:1" x14ac:dyDescent="0.25">
      <c r="A211" s="220" t="e">
        <f>VLOOKUP(D211,Bonds!$D:$I,6,0)</f>
        <v>#N/A</v>
      </c>
    </row>
    <row r="212" spans="1:1" x14ac:dyDescent="0.25">
      <c r="A212" s="220" t="e">
        <f>VLOOKUP(D212,Bonds!$D:$I,6,0)</f>
        <v>#N/A</v>
      </c>
    </row>
    <row r="213" spans="1:1" x14ac:dyDescent="0.25">
      <c r="A213" s="220" t="e">
        <f>VLOOKUP(D213,Bonds!$D:$I,6,0)</f>
        <v>#N/A</v>
      </c>
    </row>
    <row r="214" spans="1:1" x14ac:dyDescent="0.25">
      <c r="A214" s="220" t="e">
        <f>VLOOKUP(D214,Bonds!$D:$I,6,0)</f>
        <v>#N/A</v>
      </c>
    </row>
    <row r="215" spans="1:1" x14ac:dyDescent="0.25">
      <c r="A215" s="220" t="e">
        <f>VLOOKUP(D215,Bonds!$D:$I,6,0)</f>
        <v>#N/A</v>
      </c>
    </row>
    <row r="216" spans="1:1" x14ac:dyDescent="0.25">
      <c r="A216" s="220" t="e">
        <f>VLOOKUP(D216,Bonds!$D:$I,6,0)</f>
        <v>#N/A</v>
      </c>
    </row>
    <row r="217" spans="1:1" x14ac:dyDescent="0.25">
      <c r="A217" s="220" t="e">
        <f>VLOOKUP(D217,Bonds!$D:$I,6,0)</f>
        <v>#N/A</v>
      </c>
    </row>
    <row r="218" spans="1:1" x14ac:dyDescent="0.25">
      <c r="A218" s="220" t="e">
        <f>VLOOKUP(D218,Bonds!$D:$I,6,0)</f>
        <v>#N/A</v>
      </c>
    </row>
    <row r="219" spans="1:1" x14ac:dyDescent="0.25">
      <c r="A219" s="220" t="e">
        <f>VLOOKUP(D219,Bonds!$D:$I,6,0)</f>
        <v>#N/A</v>
      </c>
    </row>
    <row r="220" spans="1:1" x14ac:dyDescent="0.25">
      <c r="A220" s="220" t="e">
        <f>VLOOKUP(D220,Bonds!$D:$I,6,0)</f>
        <v>#N/A</v>
      </c>
    </row>
    <row r="221" spans="1:1" x14ac:dyDescent="0.25">
      <c r="A221" s="220" t="e">
        <f>VLOOKUP(D221,Bonds!$D:$I,6,0)</f>
        <v>#N/A</v>
      </c>
    </row>
    <row r="222" spans="1:1" x14ac:dyDescent="0.25">
      <c r="A222" s="220" t="e">
        <f>VLOOKUP(D222,Bonds!$D:$I,6,0)</f>
        <v>#N/A</v>
      </c>
    </row>
    <row r="223" spans="1:1" x14ac:dyDescent="0.25">
      <c r="A223" s="220" t="e">
        <f>VLOOKUP(D223,Bonds!$D:$I,6,0)</f>
        <v>#N/A</v>
      </c>
    </row>
    <row r="224" spans="1:1" x14ac:dyDescent="0.25">
      <c r="A224" s="220" t="e">
        <f>VLOOKUP(D224,Bonds!$D:$I,6,0)</f>
        <v>#N/A</v>
      </c>
    </row>
    <row r="225" spans="1:1" x14ac:dyDescent="0.25">
      <c r="A225" s="220" t="e">
        <f>VLOOKUP(D225,Bonds!$D:$I,6,0)</f>
        <v>#N/A</v>
      </c>
    </row>
    <row r="226" spans="1:1" x14ac:dyDescent="0.25">
      <c r="A226" s="220" t="e">
        <f>VLOOKUP(D226,Bonds!$D:$I,6,0)</f>
        <v>#N/A</v>
      </c>
    </row>
    <row r="227" spans="1:1" x14ac:dyDescent="0.25">
      <c r="A227" s="220" t="e">
        <f>VLOOKUP(D227,Bonds!$D:$I,6,0)</f>
        <v>#N/A</v>
      </c>
    </row>
    <row r="228" spans="1:1" x14ac:dyDescent="0.25">
      <c r="A228" s="220" t="e">
        <f>VLOOKUP(D228,Bonds!$D:$I,6,0)</f>
        <v>#N/A</v>
      </c>
    </row>
    <row r="229" spans="1:1" x14ac:dyDescent="0.25">
      <c r="A229" s="220" t="e">
        <f>VLOOKUP(D229,Bonds!$D:$I,6,0)</f>
        <v>#N/A</v>
      </c>
    </row>
    <row r="230" spans="1:1" x14ac:dyDescent="0.25">
      <c r="A230" s="220" t="e">
        <f>VLOOKUP(D230,Bonds!$D:$I,6,0)</f>
        <v>#N/A</v>
      </c>
    </row>
    <row r="231" spans="1:1" x14ac:dyDescent="0.25">
      <c r="A231" s="220" t="e">
        <f>VLOOKUP(D231,Bonds!$D:$I,6,0)</f>
        <v>#N/A</v>
      </c>
    </row>
    <row r="232" spans="1:1" x14ac:dyDescent="0.25">
      <c r="A232" s="220" t="e">
        <f>VLOOKUP(D232,Bonds!$D:$I,6,0)</f>
        <v>#N/A</v>
      </c>
    </row>
    <row r="233" spans="1:1" x14ac:dyDescent="0.25">
      <c r="A233" s="220" t="e">
        <f>VLOOKUP(D233,Bonds!$D:$I,6,0)</f>
        <v>#N/A</v>
      </c>
    </row>
    <row r="234" spans="1:1" x14ac:dyDescent="0.25">
      <c r="A234" s="220" t="e">
        <f>VLOOKUP(D234,Bonds!$D:$I,6,0)</f>
        <v>#N/A</v>
      </c>
    </row>
    <row r="235" spans="1:1" x14ac:dyDescent="0.25">
      <c r="A235" s="220" t="e">
        <f>VLOOKUP(D235,Bonds!$D:$I,6,0)</f>
        <v>#N/A</v>
      </c>
    </row>
    <row r="236" spans="1:1" x14ac:dyDescent="0.25">
      <c r="A236" s="220" t="e">
        <f>VLOOKUP(D236,Bonds!$D:$I,6,0)</f>
        <v>#N/A</v>
      </c>
    </row>
    <row r="237" spans="1:1" x14ac:dyDescent="0.25">
      <c r="A237" s="220" t="e">
        <f>VLOOKUP(D237,Bonds!$D:$I,6,0)</f>
        <v>#N/A</v>
      </c>
    </row>
    <row r="238" spans="1:1" x14ac:dyDescent="0.25">
      <c r="A238" s="220" t="e">
        <f>VLOOKUP(D238,Bonds!$D:$I,6,0)</f>
        <v>#N/A</v>
      </c>
    </row>
    <row r="239" spans="1:1" x14ac:dyDescent="0.25">
      <c r="A239" s="220" t="e">
        <f>VLOOKUP(D239,Bonds!$D:$I,6,0)</f>
        <v>#N/A</v>
      </c>
    </row>
    <row r="240" spans="1:1" x14ac:dyDescent="0.25">
      <c r="A240" s="220" t="e">
        <f>VLOOKUP(D240,Bonds!$D:$I,6,0)</f>
        <v>#N/A</v>
      </c>
    </row>
    <row r="241" spans="1:1" x14ac:dyDescent="0.25">
      <c r="A241" s="220" t="e">
        <f>VLOOKUP(D241,Bonds!$D:$I,6,0)</f>
        <v>#N/A</v>
      </c>
    </row>
    <row r="242" spans="1:1" x14ac:dyDescent="0.25">
      <c r="A242" s="220" t="e">
        <f>VLOOKUP(D242,Bonds!$D:$I,6,0)</f>
        <v>#N/A</v>
      </c>
    </row>
    <row r="243" spans="1:1" x14ac:dyDescent="0.25">
      <c r="A243" s="220" t="e">
        <f>VLOOKUP(D243,Bonds!$D:$I,6,0)</f>
        <v>#N/A</v>
      </c>
    </row>
    <row r="244" spans="1:1" x14ac:dyDescent="0.25">
      <c r="A244" s="220" t="e">
        <f>VLOOKUP(D244,Bonds!$D:$I,6,0)</f>
        <v>#N/A</v>
      </c>
    </row>
    <row r="245" spans="1:1" x14ac:dyDescent="0.25">
      <c r="A245" s="220" t="e">
        <f>VLOOKUP(D245,Bonds!$D:$I,6,0)</f>
        <v>#N/A</v>
      </c>
    </row>
    <row r="246" spans="1:1" x14ac:dyDescent="0.25">
      <c r="A246" s="220" t="e">
        <f>VLOOKUP(D246,Bonds!$D:$I,6,0)</f>
        <v>#N/A</v>
      </c>
    </row>
    <row r="247" spans="1:1" x14ac:dyDescent="0.25">
      <c r="A247" s="220" t="e">
        <f>VLOOKUP(D247,Bonds!$D:$I,6,0)</f>
        <v>#N/A</v>
      </c>
    </row>
    <row r="248" spans="1:1" x14ac:dyDescent="0.25">
      <c r="A248" s="220" t="e">
        <f>VLOOKUP(D248,Bonds!$D:$I,6,0)</f>
        <v>#N/A</v>
      </c>
    </row>
    <row r="249" spans="1:1" x14ac:dyDescent="0.25">
      <c r="A249" s="220" t="e">
        <f>VLOOKUP(D249,Bonds!$D:$I,6,0)</f>
        <v>#N/A</v>
      </c>
    </row>
    <row r="250" spans="1:1" x14ac:dyDescent="0.25">
      <c r="A250" s="220" t="e">
        <f>VLOOKUP(D250,Bonds!$D:$I,6,0)</f>
        <v>#N/A</v>
      </c>
    </row>
    <row r="251" spans="1:1" x14ac:dyDescent="0.25">
      <c r="A251" s="220" t="e">
        <f>VLOOKUP(D251,Bonds!$D:$I,6,0)</f>
        <v>#N/A</v>
      </c>
    </row>
    <row r="252" spans="1:1" x14ac:dyDescent="0.25">
      <c r="A252" s="220" t="e">
        <f>VLOOKUP(D252,Bonds!$D:$I,6,0)</f>
        <v>#N/A</v>
      </c>
    </row>
    <row r="253" spans="1:1" x14ac:dyDescent="0.25">
      <c r="A253" s="220" t="e">
        <f>VLOOKUP(D253,Bonds!$D:$I,6,0)</f>
        <v>#N/A</v>
      </c>
    </row>
    <row r="254" spans="1:1" x14ac:dyDescent="0.25">
      <c r="A254" s="220" t="e">
        <f>VLOOKUP(D254,Bonds!$D:$I,6,0)</f>
        <v>#N/A</v>
      </c>
    </row>
    <row r="255" spans="1:1" x14ac:dyDescent="0.25">
      <c r="A255" s="220" t="e">
        <f>VLOOKUP(D255,Bonds!$D:$I,6,0)</f>
        <v>#N/A</v>
      </c>
    </row>
    <row r="256" spans="1:1" x14ac:dyDescent="0.25">
      <c r="A256" s="220" t="e">
        <f>VLOOKUP(D256,Bonds!$D:$I,6,0)</f>
        <v>#N/A</v>
      </c>
    </row>
    <row r="257" spans="1:1" x14ac:dyDescent="0.25">
      <c r="A257" s="220" t="e">
        <f>VLOOKUP(D257,Bonds!$D:$I,6,0)</f>
        <v>#N/A</v>
      </c>
    </row>
    <row r="258" spans="1:1" x14ac:dyDescent="0.25">
      <c r="A258" s="220" t="e">
        <f>VLOOKUP(D258,Bonds!$D:$I,6,0)</f>
        <v>#N/A</v>
      </c>
    </row>
    <row r="259" spans="1:1" x14ac:dyDescent="0.25">
      <c r="A259" s="220" t="e">
        <f>VLOOKUP(D259,Bonds!$D:$I,6,0)</f>
        <v>#N/A</v>
      </c>
    </row>
    <row r="260" spans="1:1" x14ac:dyDescent="0.25">
      <c r="A260" s="220" t="e">
        <f>VLOOKUP(D260,Bonds!$D:$I,6,0)</f>
        <v>#N/A</v>
      </c>
    </row>
    <row r="261" spans="1:1" x14ac:dyDescent="0.25">
      <c r="A261" s="220" t="e">
        <f>VLOOKUP(D261,Bonds!$D:$I,6,0)</f>
        <v>#N/A</v>
      </c>
    </row>
    <row r="262" spans="1:1" x14ac:dyDescent="0.25">
      <c r="A262" s="220" t="e">
        <f>VLOOKUP(D262,Bonds!$D:$I,6,0)</f>
        <v>#N/A</v>
      </c>
    </row>
    <row r="263" spans="1:1" x14ac:dyDescent="0.25">
      <c r="A263" s="220" t="e">
        <f>VLOOKUP(D263,Bonds!$D:$I,6,0)</f>
        <v>#N/A</v>
      </c>
    </row>
    <row r="264" spans="1:1" x14ac:dyDescent="0.25">
      <c r="A264" s="220" t="e">
        <f>VLOOKUP(D264,Bonds!$D:$I,6,0)</f>
        <v>#N/A</v>
      </c>
    </row>
    <row r="265" spans="1:1" x14ac:dyDescent="0.25">
      <c r="A265" s="220" t="e">
        <f>VLOOKUP(D265,Bonds!$D:$I,6,0)</f>
        <v>#N/A</v>
      </c>
    </row>
    <row r="266" spans="1:1" x14ac:dyDescent="0.25">
      <c r="A266" s="220" t="e">
        <f>VLOOKUP(D266,Bonds!$D:$I,6,0)</f>
        <v>#N/A</v>
      </c>
    </row>
    <row r="267" spans="1:1" x14ac:dyDescent="0.25">
      <c r="A267" s="220" t="e">
        <f>VLOOKUP(D267,Bonds!$D:$I,6,0)</f>
        <v>#N/A</v>
      </c>
    </row>
    <row r="268" spans="1:1" x14ac:dyDescent="0.25">
      <c r="A268" s="220" t="e">
        <f>VLOOKUP(D268,Bonds!$D:$I,6,0)</f>
        <v>#N/A</v>
      </c>
    </row>
    <row r="269" spans="1:1" x14ac:dyDescent="0.25">
      <c r="A269" s="220" t="e">
        <f>VLOOKUP(D269,Bonds!$D:$I,6,0)</f>
        <v>#N/A</v>
      </c>
    </row>
    <row r="270" spans="1:1" x14ac:dyDescent="0.25">
      <c r="A270" s="220" t="e">
        <f>VLOOKUP(D270,Bonds!$D:$I,6,0)</f>
        <v>#N/A</v>
      </c>
    </row>
    <row r="271" spans="1:1" x14ac:dyDescent="0.25">
      <c r="A271" s="220" t="e">
        <f>VLOOKUP(D271,Bonds!$D:$I,6,0)</f>
        <v>#N/A</v>
      </c>
    </row>
    <row r="272" spans="1:1" x14ac:dyDescent="0.25">
      <c r="A272" s="220" t="e">
        <f>VLOOKUP(D272,Bonds!$D:$I,6,0)</f>
        <v>#N/A</v>
      </c>
    </row>
    <row r="273" spans="1:1" x14ac:dyDescent="0.25">
      <c r="A273" s="220" t="e">
        <f>VLOOKUP(D273,Bonds!$D:$I,6,0)</f>
        <v>#N/A</v>
      </c>
    </row>
    <row r="274" spans="1:1" x14ac:dyDescent="0.25">
      <c r="A274" s="220" t="e">
        <f>VLOOKUP(D274,Bonds!$D:$I,6,0)</f>
        <v>#N/A</v>
      </c>
    </row>
    <row r="275" spans="1:1" x14ac:dyDescent="0.25">
      <c r="A275" s="220" t="e">
        <f>VLOOKUP(D275,Bonds!$D:$I,6,0)</f>
        <v>#N/A</v>
      </c>
    </row>
    <row r="276" spans="1:1" x14ac:dyDescent="0.25">
      <c r="A276" s="220" t="e">
        <f>VLOOKUP(D276,Bonds!$D:$I,6,0)</f>
        <v>#N/A</v>
      </c>
    </row>
    <row r="277" spans="1:1" x14ac:dyDescent="0.25">
      <c r="A277" s="220" t="e">
        <f>VLOOKUP(D277,Bonds!$D:$I,6,0)</f>
        <v>#N/A</v>
      </c>
    </row>
    <row r="278" spans="1:1" x14ac:dyDescent="0.25">
      <c r="A278" s="220" t="e">
        <f>VLOOKUP(D278,Bonds!$D:$I,6,0)</f>
        <v>#N/A</v>
      </c>
    </row>
    <row r="279" spans="1:1" x14ac:dyDescent="0.25">
      <c r="A279" s="220" t="e">
        <f>VLOOKUP(D279,Bonds!$D:$I,6,0)</f>
        <v>#N/A</v>
      </c>
    </row>
    <row r="280" spans="1:1" x14ac:dyDescent="0.25">
      <c r="A280" s="220" t="e">
        <f>VLOOKUP(D280,Bonds!$D:$I,6,0)</f>
        <v>#N/A</v>
      </c>
    </row>
    <row r="281" spans="1:1" x14ac:dyDescent="0.25">
      <c r="A281" s="220" t="e">
        <f>VLOOKUP(D281,Bonds!$D:$I,6,0)</f>
        <v>#N/A</v>
      </c>
    </row>
    <row r="282" spans="1:1" x14ac:dyDescent="0.25">
      <c r="A282" s="220" t="e">
        <f>VLOOKUP(D282,Bonds!$D:$I,6,0)</f>
        <v>#N/A</v>
      </c>
    </row>
  </sheetData>
  <conditionalFormatting sqref="A1:A1048576">
    <cfRule type="cellIs" dxfId="0" priority="1" operator="notEqual">
      <formula>E1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21">
    <tabColor theme="2" tint="-9.9978637043366805E-2"/>
  </sheetPr>
  <dimension ref="A1:BI524"/>
  <sheetViews>
    <sheetView tabSelected="1" zoomScaleNormal="100" workbookViewId="0">
      <selection activeCell="L22" sqref="L22"/>
    </sheetView>
  </sheetViews>
  <sheetFormatPr defaultRowHeight="15" x14ac:dyDescent="0.25"/>
  <cols>
    <col min="1" max="1" width="14.42578125" bestFit="1" customWidth="1"/>
    <col min="2" max="4" width="14.42578125" customWidth="1"/>
    <col min="5" max="5" width="10.140625" bestFit="1" customWidth="1"/>
    <col min="6" max="6" width="10.85546875" bestFit="1" customWidth="1"/>
    <col min="7" max="7" width="12.7109375" customWidth="1"/>
    <col min="9" max="9" width="14.42578125" bestFit="1" customWidth="1"/>
    <col min="10" max="11" width="14.42578125" customWidth="1"/>
    <col min="12" max="12" width="14.42578125" style="7" customWidth="1"/>
    <col min="13" max="14" width="10.140625" bestFit="1" customWidth="1"/>
    <col min="15" max="15" width="12" bestFit="1" customWidth="1"/>
    <col min="17" max="17" width="14.42578125" bestFit="1" customWidth="1"/>
    <col min="18" max="19" width="14.42578125" customWidth="1"/>
    <col min="20" max="20" width="14.42578125" style="7" customWidth="1"/>
    <col min="21" max="21" width="10.5703125" customWidth="1"/>
    <col min="22" max="22" width="10.140625" bestFit="1" customWidth="1"/>
    <col min="23" max="23" width="12.5703125" customWidth="1"/>
    <col min="25" max="25" width="14.42578125" bestFit="1" customWidth="1"/>
    <col min="26" max="27" width="14.42578125" customWidth="1"/>
    <col min="28" max="28" width="14.42578125" style="7" customWidth="1"/>
    <col min="29" max="29" width="11.140625" customWidth="1"/>
    <col min="30" max="30" width="10.140625" bestFit="1" customWidth="1"/>
    <col min="31" max="31" width="12.5703125" bestFit="1" customWidth="1"/>
    <col min="33" max="33" width="14.42578125" bestFit="1" customWidth="1"/>
    <col min="34" max="35" width="14.42578125" customWidth="1"/>
    <col min="36" max="36" width="12.85546875" bestFit="1" customWidth="1"/>
    <col min="37" max="37" width="9.7109375" bestFit="1" customWidth="1"/>
    <col min="38" max="38" width="11.5703125" customWidth="1"/>
    <col min="39" max="43" width="11" style="7" customWidth="1"/>
    <col min="44" max="44" width="13.140625" style="7" bestFit="1" customWidth="1"/>
    <col min="45" max="48" width="11" style="7" customWidth="1"/>
    <col min="49" max="49" width="10.7109375" bestFit="1" customWidth="1"/>
    <col min="50" max="50" width="9.7109375" bestFit="1" customWidth="1"/>
    <col min="52" max="52" width="11.140625" customWidth="1"/>
    <col min="53" max="53" width="11.140625" bestFit="1" customWidth="1"/>
    <col min="54" max="54" width="10.5703125" bestFit="1" customWidth="1"/>
    <col min="55" max="55" width="13.140625" bestFit="1" customWidth="1"/>
    <col min="56" max="56" width="12.85546875" bestFit="1" customWidth="1"/>
    <col min="57" max="58" width="12.85546875" customWidth="1"/>
    <col min="59" max="59" width="10.7109375" style="36" bestFit="1" customWidth="1"/>
    <col min="60" max="60" width="21.140625" style="35" bestFit="1" customWidth="1"/>
    <col min="61" max="61" width="9.140625" style="35"/>
  </cols>
  <sheetData>
    <row r="1" spans="1:61" x14ac:dyDescent="0.25">
      <c r="E1">
        <v>2023</v>
      </c>
      <c r="F1" s="8">
        <f>PRODUCT(F5:F17)-1</f>
        <v>4.3678996727249286E-2</v>
      </c>
      <c r="M1">
        <v>2023</v>
      </c>
      <c r="N1" s="8">
        <f>PRODUCT(N4:N22)-1</f>
        <v>5.3393371500560782E-2</v>
      </c>
      <c r="U1">
        <v>2023</v>
      </c>
      <c r="V1" s="8">
        <f>PRODUCT(V5:V21)-1</f>
        <v>6.111918105354186E-2</v>
      </c>
      <c r="AC1">
        <v>2023</v>
      </c>
      <c r="AD1" s="8">
        <f>PRODUCT(AD5:AD16)-1</f>
        <v>4.0346847996791668E-2</v>
      </c>
      <c r="AO1"/>
      <c r="AP1"/>
      <c r="AQ1"/>
      <c r="AS1">
        <v>2023</v>
      </c>
      <c r="AT1" s="8">
        <v>6.0199999999999997E-2</v>
      </c>
      <c r="AU1"/>
    </row>
    <row r="2" spans="1:61" x14ac:dyDescent="0.25">
      <c r="E2">
        <v>2024</v>
      </c>
      <c r="F2" s="8">
        <f>PRODUCT(F18:F29)-1</f>
        <v>4.6128634249595013E-2</v>
      </c>
      <c r="M2">
        <v>2024</v>
      </c>
      <c r="N2" s="8">
        <f>PRODUCT(N23:N34)-1</f>
        <v>6.1784036458832903E-2</v>
      </c>
      <c r="U2">
        <v>2024</v>
      </c>
      <c r="V2" s="8">
        <f>PRODUCT(V22:V34)-1</f>
        <v>6.3605083493298409E-2</v>
      </c>
      <c r="AC2">
        <v>2024</v>
      </c>
      <c r="AD2" s="8">
        <f>PRODUCT(AD17:AD28)-1</f>
        <v>4.868045907039531E-2</v>
      </c>
      <c r="AK2">
        <v>2024</v>
      </c>
      <c r="AL2" s="33" t="e">
        <f>(Loans!#REF!*Loans!#REF!+Loans!D6*Loans!F6+Loans!#REF!*Loans!#REF!)/SUM(Loans!#REF!)</f>
        <v>#REF!</v>
      </c>
      <c r="AO2"/>
      <c r="AP2"/>
      <c r="AQ2"/>
      <c r="AS2">
        <v>2024</v>
      </c>
      <c r="AT2" s="8"/>
      <c r="AU2"/>
      <c r="BG2" s="36" t="s">
        <v>402</v>
      </c>
    </row>
    <row r="3" spans="1:61" ht="15.75" thickBot="1" x14ac:dyDescent="0.3">
      <c r="A3" s="29" t="s">
        <v>403</v>
      </c>
      <c r="B3" s="29" t="s">
        <v>404</v>
      </c>
      <c r="C3" s="29" t="s">
        <v>405</v>
      </c>
      <c r="D3" s="29" t="s">
        <v>406</v>
      </c>
      <c r="E3" s="30" t="s">
        <v>407</v>
      </c>
      <c r="F3" s="29" t="s">
        <v>51</v>
      </c>
      <c r="I3" s="29" t="s">
        <v>403</v>
      </c>
      <c r="J3" s="29" t="s">
        <v>404</v>
      </c>
      <c r="K3" s="29" t="s">
        <v>405</v>
      </c>
      <c r="L3" s="34" t="s">
        <v>406</v>
      </c>
      <c r="M3" s="30" t="s">
        <v>408</v>
      </c>
      <c r="N3" s="29" t="s">
        <v>51</v>
      </c>
      <c r="O3" s="28"/>
      <c r="Q3" s="29" t="s">
        <v>403</v>
      </c>
      <c r="R3" s="29" t="s">
        <v>404</v>
      </c>
      <c r="S3" s="29" t="s">
        <v>405</v>
      </c>
      <c r="T3" s="34" t="s">
        <v>406</v>
      </c>
      <c r="U3" s="30" t="s">
        <v>409</v>
      </c>
      <c r="V3" s="29" t="s">
        <v>51</v>
      </c>
      <c r="W3" s="28"/>
      <c r="Y3" s="29" t="s">
        <v>403</v>
      </c>
      <c r="Z3" s="29" t="s">
        <v>404</v>
      </c>
      <c r="AA3" s="29" t="s">
        <v>405</v>
      </c>
      <c r="AB3" s="34" t="s">
        <v>406</v>
      </c>
      <c r="AC3" s="30" t="s">
        <v>407</v>
      </c>
      <c r="AD3" s="29" t="s">
        <v>49</v>
      </c>
      <c r="AE3" s="28"/>
      <c r="AG3" s="29" t="s">
        <v>403</v>
      </c>
      <c r="AH3" s="29" t="s">
        <v>404</v>
      </c>
      <c r="AI3" s="29" t="s">
        <v>405</v>
      </c>
      <c r="AJ3" s="29" t="s">
        <v>406</v>
      </c>
      <c r="AK3" s="30" t="s">
        <v>24</v>
      </c>
      <c r="AL3" s="29" t="s">
        <v>51</v>
      </c>
      <c r="AO3" s="29" t="s">
        <v>403</v>
      </c>
      <c r="AP3" s="29" t="s">
        <v>404</v>
      </c>
      <c r="AQ3" s="29" t="s">
        <v>405</v>
      </c>
      <c r="AR3" s="34" t="s">
        <v>406</v>
      </c>
      <c r="AS3" s="30" t="s">
        <v>409</v>
      </c>
      <c r="AT3" s="29" t="s">
        <v>49</v>
      </c>
      <c r="AU3" s="28"/>
      <c r="AW3" s="29" t="s">
        <v>403</v>
      </c>
      <c r="AX3" s="29" t="s">
        <v>404</v>
      </c>
      <c r="AY3" s="29" t="s">
        <v>405</v>
      </c>
      <c r="AZ3" s="29" t="s">
        <v>406</v>
      </c>
      <c r="BA3" s="30" t="s">
        <v>25</v>
      </c>
      <c r="BB3" s="29" t="s">
        <v>90</v>
      </c>
      <c r="BD3" s="7">
        <f t="shared" ref="BD3:BD66" si="0">ROUNDUP(MONTH(BG3)/3,0)</f>
        <v>1</v>
      </c>
      <c r="BE3" s="7">
        <f t="shared" ref="BE3:BE66" si="1">MONTH(BG3)</f>
        <v>1</v>
      </c>
      <c r="BF3" s="7">
        <f t="shared" ref="BF3:BF66" si="2">YEAR(BG3)</f>
        <v>2023</v>
      </c>
      <c r="BG3" s="36">
        <v>44928</v>
      </c>
      <c r="BH3" s="33">
        <v>1.9060000000000001E-2</v>
      </c>
      <c r="BI3" s="35">
        <f t="shared" ref="BI3:BI66" si="3">BH3+0.7%</f>
        <v>2.606E-2</v>
      </c>
    </row>
    <row r="4" spans="1:61" ht="15.75" thickTop="1" x14ac:dyDescent="0.25">
      <c r="A4" s="41">
        <v>44908</v>
      </c>
      <c r="B4" s="6">
        <f t="shared" ref="B4:B30" si="4">YEAR(A4)</f>
        <v>2022</v>
      </c>
      <c r="C4" s="6">
        <f t="shared" ref="C4:C30" si="5">MONTH(A4)</f>
        <v>12</v>
      </c>
      <c r="D4" s="7">
        <v>3500000</v>
      </c>
      <c r="E4" s="202">
        <v>2.5909000000000001E-2</v>
      </c>
      <c r="F4" s="31">
        <f>E4*(A5-A4)/360+1</f>
        <v>1</v>
      </c>
      <c r="G4" s="32">
        <f t="shared" ref="G4:G29" si="6">D4*E4/12</f>
        <v>7556.791666666667</v>
      </c>
      <c r="I4" s="17">
        <v>44931</v>
      </c>
      <c r="J4" s="6">
        <f t="shared" ref="J4:J35" si="7">YEAR(I4)</f>
        <v>2023</v>
      </c>
      <c r="K4" s="6">
        <f t="shared" ref="K4:K35" si="8">MONTH(I4)</f>
        <v>1</v>
      </c>
      <c r="L4" s="7">
        <v>3500000</v>
      </c>
      <c r="M4" s="9">
        <v>4.1954999999999999E-2</v>
      </c>
      <c r="N4" s="31">
        <f>M4*(I5-I4)/360+1</f>
        <v>1.001748125</v>
      </c>
      <c r="O4" s="27">
        <f t="shared" ref="O4:O34" si="9">L4*M4/12</f>
        <v>12236.875</v>
      </c>
      <c r="Q4" s="17">
        <v>44911</v>
      </c>
      <c r="R4" s="6">
        <f t="shared" ref="R4:R16" si="10">YEAR(Q4)</f>
        <v>2022</v>
      </c>
      <c r="S4" s="6">
        <f t="shared" ref="S4:S16" si="11">MONTH(Q4)</f>
        <v>12</v>
      </c>
      <c r="T4" s="7">
        <v>1950000</v>
      </c>
      <c r="U4" s="9">
        <v>5.0208000000000003E-2</v>
      </c>
      <c r="V4" s="31">
        <f>U4*(EDATE(Q4,1)-Q4)/360+1</f>
        <v>1.0043234666666667</v>
      </c>
      <c r="W4" s="27">
        <f>T4*U4/12</f>
        <v>8158.8</v>
      </c>
      <c r="Y4" s="17">
        <v>44926</v>
      </c>
      <c r="Z4" s="6">
        <f t="shared" ref="Z4:Z28" si="12">YEAR(Y4)</f>
        <v>2022</v>
      </c>
      <c r="AA4" s="6">
        <f t="shared" ref="AA4:AA28" si="13">MONTH(Y4)</f>
        <v>12</v>
      </c>
      <c r="AB4" s="7">
        <v>1391760.47</v>
      </c>
      <c r="AC4" s="33">
        <v>1.8744199999999999E-2</v>
      </c>
      <c r="AD4" s="31"/>
      <c r="AE4" s="27">
        <f t="shared" ref="AE4:AE28" si="14">AB4*AC4/12</f>
        <v>2173.9530501478334</v>
      </c>
      <c r="AG4" s="17">
        <v>45196</v>
      </c>
      <c r="AH4" s="6">
        <f t="shared" ref="AH4:AH9" si="15">YEAR(AG4)</f>
        <v>2023</v>
      </c>
      <c r="AI4" s="6">
        <f t="shared" ref="AI4:AI9" si="16">MONTH(AG4)</f>
        <v>9</v>
      </c>
      <c r="AJ4" s="18">
        <v>1000000</v>
      </c>
      <c r="AK4" s="33">
        <v>2.3041000000000089E-2</v>
      </c>
      <c r="AL4" s="31">
        <f>AK4*(AG5-AG4)/360+1</f>
        <v>1.0008960388888888</v>
      </c>
      <c r="AM4" s="27">
        <f t="shared" ref="AM4:AM9" si="17">AJ4*AK4/12</f>
        <v>1920.083333333341</v>
      </c>
      <c r="AN4" s="27"/>
      <c r="AO4" s="17">
        <v>45245</v>
      </c>
      <c r="AP4" s="6">
        <f t="shared" ref="AP4:AP11" si="18">YEAR(AO4)</f>
        <v>2023</v>
      </c>
      <c r="AQ4" s="6">
        <f t="shared" ref="AQ4:AQ11" si="19">MONTH(AO4)</f>
        <v>11</v>
      </c>
      <c r="AR4" s="7">
        <v>796644.84</v>
      </c>
      <c r="AS4" s="33">
        <f>5.32%+0.007</f>
        <v>6.0200000000000004E-2</v>
      </c>
      <c r="AT4" s="31"/>
      <c r="AU4" s="27">
        <f t="shared" ref="AU4:AU11" si="20">AR4*AS4/12</f>
        <v>3996.5016140000002</v>
      </c>
      <c r="AV4" s="27"/>
      <c r="AW4" s="17">
        <v>45096</v>
      </c>
      <c r="AX4" s="6">
        <f t="shared" ref="AX4:AX22" si="21">YEAR(AW4)</f>
        <v>2023</v>
      </c>
      <c r="AY4" s="6">
        <f>MONTH(AW4)</f>
        <v>6</v>
      </c>
      <c r="AZ4">
        <v>139550000</v>
      </c>
      <c r="BA4" s="23">
        <v>5.7000000000000002E-3</v>
      </c>
      <c r="BB4" s="31">
        <f>BA4*(AW5-AW4)/360+1</f>
        <v>1.000475</v>
      </c>
      <c r="BC4" s="27">
        <f t="shared" ref="BC4:BC22" si="22">AZ4*BA4/12</f>
        <v>66286.25</v>
      </c>
      <c r="BD4" s="7">
        <f t="shared" si="0"/>
        <v>1</v>
      </c>
      <c r="BE4" s="7">
        <f t="shared" si="1"/>
        <v>1</v>
      </c>
      <c r="BF4" s="7">
        <f t="shared" si="2"/>
        <v>2023</v>
      </c>
      <c r="BG4" s="36">
        <v>44929</v>
      </c>
      <c r="BH4" s="33">
        <v>1.9040000000000001E-2</v>
      </c>
      <c r="BI4" s="35">
        <f t="shared" si="3"/>
        <v>2.6040000000000001E-2</v>
      </c>
    </row>
    <row r="5" spans="1:61" x14ac:dyDescent="0.25">
      <c r="A5" s="41">
        <v>44908</v>
      </c>
      <c r="B5" s="6">
        <f t="shared" si="4"/>
        <v>2022</v>
      </c>
      <c r="C5" s="6">
        <f t="shared" si="5"/>
        <v>12</v>
      </c>
      <c r="D5" s="7">
        <v>1000000</v>
      </c>
      <c r="E5" s="202">
        <v>2.6064E-2</v>
      </c>
      <c r="F5" s="31">
        <f>E5*(A6-A5)/360+1</f>
        <v>1.0021720000000001</v>
      </c>
      <c r="G5" s="32">
        <f t="shared" si="6"/>
        <v>2172</v>
      </c>
      <c r="I5" s="17">
        <v>44946</v>
      </c>
      <c r="J5" s="6">
        <f t="shared" si="7"/>
        <v>2023</v>
      </c>
      <c r="K5" s="6">
        <f t="shared" si="8"/>
        <v>1</v>
      </c>
      <c r="L5" s="7">
        <v>1800000</v>
      </c>
      <c r="M5" s="9">
        <v>4.0655999999999998E-2</v>
      </c>
      <c r="N5" s="31">
        <f>M5*(I5-I4)/360+1</f>
        <v>1.0016940000000001</v>
      </c>
      <c r="O5" s="27">
        <f t="shared" si="9"/>
        <v>6098.4000000000005</v>
      </c>
      <c r="Q5" s="17">
        <v>44938</v>
      </c>
      <c r="R5" s="6">
        <f t="shared" si="10"/>
        <v>2023</v>
      </c>
      <c r="S5" s="6">
        <f t="shared" si="11"/>
        <v>1</v>
      </c>
      <c r="T5" s="7">
        <v>1950000</v>
      </c>
      <c r="U5" s="9">
        <v>5.2047000000000003E-2</v>
      </c>
      <c r="V5" s="31">
        <f>U5*(Q5-Q4)/360+1</f>
        <v>1.0039035249999999</v>
      </c>
      <c r="W5" s="27">
        <f t="shared" ref="W5:W16" si="23">T5*U5/12</f>
        <v>8457.6375000000007</v>
      </c>
      <c r="Y5" s="17">
        <f>EDATE(Y4,1)</f>
        <v>44957</v>
      </c>
      <c r="Z5" s="6">
        <f t="shared" si="12"/>
        <v>2023</v>
      </c>
      <c r="AA5" s="6">
        <f t="shared" si="13"/>
        <v>1</v>
      </c>
      <c r="AB5" s="7">
        <f>AB4+AE4+41000</f>
        <v>1434934.4230501477</v>
      </c>
      <c r="AC5" s="33">
        <f t="shared" ref="AC5:AC21" si="24">AVERAGEIFS(BI:BI,BF:BF,Z5,BE:BE,AA5)</f>
        <v>2.6019090909090901E-2</v>
      </c>
      <c r="AD5" s="31">
        <f>AC5*(Y5-Y4)/360+1</f>
        <v>1.0022405328282828</v>
      </c>
      <c r="AE5" s="27">
        <f t="shared" si="14"/>
        <v>3111.3074334938083</v>
      </c>
      <c r="AG5" s="17">
        <v>45210</v>
      </c>
      <c r="AH5" s="6">
        <f t="shared" si="15"/>
        <v>2023</v>
      </c>
      <c r="AI5" s="6">
        <f t="shared" si="16"/>
        <v>10</v>
      </c>
      <c r="AJ5" s="18">
        <v>1000000</v>
      </c>
      <c r="AK5" s="33">
        <v>2.3646000000000056E-2</v>
      </c>
      <c r="AL5" s="31">
        <f t="shared" ref="AL5:AL23" si="25">AK5*(AG6-AG5)/360+1</f>
        <v>1.0010509333333333</v>
      </c>
      <c r="AM5" s="27">
        <f t="shared" si="17"/>
        <v>1970.5000000000045</v>
      </c>
      <c r="AN5" s="27"/>
      <c r="AO5" s="17">
        <f>EDATE(AO4,1)</f>
        <v>45275</v>
      </c>
      <c r="AP5" s="6">
        <f t="shared" si="18"/>
        <v>2023</v>
      </c>
      <c r="AQ5" s="6">
        <f t="shared" si="19"/>
        <v>12</v>
      </c>
      <c r="AR5" s="7">
        <v>1212345</v>
      </c>
      <c r="AS5" s="33">
        <f t="shared" ref="AS5:AS18" si="26">5.32%+0.007</f>
        <v>6.0200000000000004E-2</v>
      </c>
      <c r="AT5" s="31">
        <f>AS5*(AO5-AO4)/360+1</f>
        <v>1.0050166666666667</v>
      </c>
      <c r="AU5" s="27">
        <f>AR5*AS5/24</f>
        <v>3040.9653750000002</v>
      </c>
      <c r="AV5" s="27"/>
      <c r="AW5" s="17">
        <f t="shared" ref="AW5:AW23" si="27">EDATE(AW4,1)</f>
        <v>45126</v>
      </c>
      <c r="AX5" s="6">
        <f t="shared" si="21"/>
        <v>2023</v>
      </c>
      <c r="AY5" s="6">
        <f t="shared" ref="AY5:AY22" si="28">MONTH(AW5)</f>
        <v>7</v>
      </c>
      <c r="AZ5">
        <v>139550000</v>
      </c>
      <c r="BA5" s="23">
        <v>5.7000000000000002E-3</v>
      </c>
      <c r="BB5" s="31">
        <f t="shared" ref="BB5:BB22" si="29">BA5*(AW6-AW5)/360+1</f>
        <v>1.0004908333333333</v>
      </c>
      <c r="BC5" s="27">
        <f t="shared" si="22"/>
        <v>66286.25</v>
      </c>
      <c r="BD5" s="7">
        <f t="shared" si="0"/>
        <v>1</v>
      </c>
      <c r="BE5" s="7">
        <f t="shared" si="1"/>
        <v>1</v>
      </c>
      <c r="BF5" s="7">
        <f t="shared" si="2"/>
        <v>2023</v>
      </c>
      <c r="BG5" s="36">
        <v>44930</v>
      </c>
      <c r="BH5" s="33">
        <v>1.9040000000000001E-2</v>
      </c>
      <c r="BI5" s="35">
        <f t="shared" si="3"/>
        <v>2.6040000000000001E-2</v>
      </c>
    </row>
    <row r="6" spans="1:61" x14ac:dyDescent="0.25">
      <c r="A6" s="41">
        <v>44938</v>
      </c>
      <c r="B6" s="6">
        <f t="shared" si="4"/>
        <v>2023</v>
      </c>
      <c r="C6" s="6">
        <f t="shared" si="5"/>
        <v>1</v>
      </c>
      <c r="D6" s="7">
        <v>4500000</v>
      </c>
      <c r="E6" s="202">
        <v>2.7984999999999999E-2</v>
      </c>
      <c r="F6" s="31">
        <f>E6*(A7-A6)/360+1</f>
        <v>1.0024875555555555</v>
      </c>
      <c r="G6" s="32">
        <f t="shared" si="6"/>
        <v>10494.375</v>
      </c>
      <c r="I6" s="17">
        <v>44960</v>
      </c>
      <c r="J6" s="6">
        <f t="shared" si="7"/>
        <v>2023</v>
      </c>
      <c r="K6" s="6">
        <f t="shared" si="8"/>
        <v>2</v>
      </c>
      <c r="L6" s="7">
        <v>3500000</v>
      </c>
      <c r="M6" s="9">
        <v>3.9654000000000002E-2</v>
      </c>
      <c r="N6" s="31">
        <f t="shared" ref="N6:N34" si="30">M6*(I6-I5)/360+1</f>
        <v>1.0015421</v>
      </c>
      <c r="O6" s="27">
        <f t="shared" si="9"/>
        <v>11565.75</v>
      </c>
      <c r="Q6" s="17">
        <v>44946</v>
      </c>
      <c r="R6" s="6">
        <f t="shared" si="10"/>
        <v>2023</v>
      </c>
      <c r="S6" s="6">
        <f t="shared" si="11"/>
        <v>1</v>
      </c>
      <c r="T6" s="7">
        <v>320000</v>
      </c>
      <c r="U6" s="9">
        <v>5.3615000000000003E-2</v>
      </c>
      <c r="V6" s="31">
        <f t="shared" ref="V6:V33" si="31">U6*(Q6-Q5)/360+1</f>
        <v>1.0011914444444445</v>
      </c>
      <c r="W6" s="27">
        <f t="shared" si="23"/>
        <v>1429.7333333333333</v>
      </c>
      <c r="Y6" s="17">
        <f>EDATE(Y5,1)</f>
        <v>44985</v>
      </c>
      <c r="Z6" s="6">
        <f t="shared" si="12"/>
        <v>2023</v>
      </c>
      <c r="AA6" s="6">
        <f t="shared" si="13"/>
        <v>2</v>
      </c>
      <c r="AB6" s="7">
        <f>AB5+AE5+110000-13494</f>
        <v>1534551.7304836416</v>
      </c>
      <c r="AC6" s="33">
        <f t="shared" si="24"/>
        <v>2.9745000000000004E-2</v>
      </c>
      <c r="AD6" s="31">
        <f t="shared" ref="AD6:AD28" si="32">AC6*(Y6-Y5)/360+1</f>
        <v>1.0023135000000001</v>
      </c>
      <c r="AE6" s="27">
        <f t="shared" si="14"/>
        <v>3803.7701019363271</v>
      </c>
      <c r="AG6" s="38">
        <v>45226</v>
      </c>
      <c r="AH6" s="6">
        <f t="shared" si="15"/>
        <v>2023</v>
      </c>
      <c r="AI6" s="6">
        <f t="shared" si="16"/>
        <v>10</v>
      </c>
      <c r="AJ6">
        <v>1001792.08</v>
      </c>
      <c r="AK6" s="33">
        <v>2.3647999999999891E-2</v>
      </c>
      <c r="AL6" s="31">
        <f t="shared" si="25"/>
        <v>1.0001970666666666</v>
      </c>
      <c r="AM6" s="27">
        <f t="shared" si="17"/>
        <v>1974.1982589866575</v>
      </c>
      <c r="AN6" s="27"/>
      <c r="AO6" s="17">
        <f>EDATE(AO5,1)</f>
        <v>45306</v>
      </c>
      <c r="AP6" s="6">
        <f t="shared" si="18"/>
        <v>2024</v>
      </c>
      <c r="AQ6" s="6">
        <f t="shared" si="19"/>
        <v>1</v>
      </c>
      <c r="AS6" s="33">
        <f t="shared" si="26"/>
        <v>6.0200000000000004E-2</v>
      </c>
      <c r="AT6" s="31">
        <f t="shared" ref="AT6:AT11" si="33">AS6*(AO6-AO5)/360+1</f>
        <v>1.0051838888888889</v>
      </c>
      <c r="AU6" s="27">
        <f t="shared" si="20"/>
        <v>0</v>
      </c>
      <c r="AV6" s="27"/>
      <c r="AW6" s="17">
        <f t="shared" si="27"/>
        <v>45157</v>
      </c>
      <c r="AX6" s="6">
        <f t="shared" si="21"/>
        <v>2023</v>
      </c>
      <c r="AY6" s="6">
        <f t="shared" si="28"/>
        <v>8</v>
      </c>
      <c r="AZ6">
        <v>139550000</v>
      </c>
      <c r="BA6" s="23">
        <v>5.7000000000000002E-3</v>
      </c>
      <c r="BB6" s="31">
        <f t="shared" si="29"/>
        <v>1.0004908333333333</v>
      </c>
      <c r="BC6" s="27">
        <f t="shared" si="22"/>
        <v>66286.25</v>
      </c>
      <c r="BD6" s="7">
        <f t="shared" si="0"/>
        <v>1</v>
      </c>
      <c r="BE6" s="7">
        <f t="shared" si="1"/>
        <v>1</v>
      </c>
      <c r="BF6" s="7">
        <f t="shared" si="2"/>
        <v>2023</v>
      </c>
      <c r="BG6" s="36">
        <v>44931</v>
      </c>
      <c r="BH6" s="33">
        <v>1.9E-2</v>
      </c>
      <c r="BI6" s="35">
        <f t="shared" si="3"/>
        <v>2.5999999999999999E-2</v>
      </c>
    </row>
    <row r="7" spans="1:61" x14ac:dyDescent="0.25">
      <c r="A7" s="41">
        <v>44970</v>
      </c>
      <c r="B7" s="6">
        <f t="shared" si="4"/>
        <v>2023</v>
      </c>
      <c r="C7" s="6">
        <f t="shared" si="5"/>
        <v>2</v>
      </c>
      <c r="D7" s="7">
        <v>4859000</v>
      </c>
      <c r="E7" s="202">
        <v>3.0098E-2</v>
      </c>
      <c r="F7" s="31">
        <f t="shared" ref="F7:F29" si="34">E7*(A8-A7)/360+1</f>
        <v>1.002090138888889</v>
      </c>
      <c r="G7" s="32">
        <f t="shared" si="6"/>
        <v>12187.181833333334</v>
      </c>
      <c r="I7" s="17">
        <v>44979</v>
      </c>
      <c r="J7" s="6">
        <f t="shared" si="7"/>
        <v>2023</v>
      </c>
      <c r="K7" s="6">
        <f t="shared" si="8"/>
        <v>2</v>
      </c>
      <c r="L7" s="7">
        <v>1800000</v>
      </c>
      <c r="M7" s="9">
        <v>3.9642999999999998E-2</v>
      </c>
      <c r="N7" s="31">
        <f t="shared" si="30"/>
        <v>1.0020922694444445</v>
      </c>
      <c r="O7" s="27">
        <f t="shared" si="9"/>
        <v>5946.45</v>
      </c>
      <c r="Q7" s="17">
        <v>44970</v>
      </c>
      <c r="R7" s="6">
        <f t="shared" si="10"/>
        <v>2023</v>
      </c>
      <c r="S7" s="6">
        <f t="shared" si="11"/>
        <v>2</v>
      </c>
      <c r="T7" s="7">
        <v>1918000</v>
      </c>
      <c r="U7" s="9">
        <v>5.0401000000000001E-2</v>
      </c>
      <c r="V7" s="31">
        <f t="shared" si="31"/>
        <v>1.0033600666666667</v>
      </c>
      <c r="W7" s="27">
        <f t="shared" si="23"/>
        <v>8055.7598333333335</v>
      </c>
      <c r="Y7" s="17">
        <f>EDATE(Y6,1)+3</f>
        <v>45016</v>
      </c>
      <c r="Z7" s="6">
        <f t="shared" si="12"/>
        <v>2023</v>
      </c>
      <c r="AA7" s="6">
        <f t="shared" si="13"/>
        <v>3</v>
      </c>
      <c r="AB7" s="7">
        <v>1549737.85</v>
      </c>
      <c r="AC7" s="33">
        <f t="shared" si="24"/>
        <v>3.2721304347826073E-2</v>
      </c>
      <c r="AD7" s="31">
        <f t="shared" si="32"/>
        <v>1.0028176678743961</v>
      </c>
      <c r="AE7" s="27">
        <f t="shared" si="14"/>
        <v>4225.786987432969</v>
      </c>
      <c r="AG7" s="38">
        <v>45229</v>
      </c>
      <c r="AH7" s="6">
        <f t="shared" si="15"/>
        <v>2023</v>
      </c>
      <c r="AI7" s="6">
        <f t="shared" si="16"/>
        <v>10</v>
      </c>
      <c r="AJ7">
        <v>1000000</v>
      </c>
      <c r="AK7" s="33">
        <v>2.3665999999999965E-2</v>
      </c>
      <c r="AL7" s="31">
        <f t="shared" si="25"/>
        <v>1.0007231277777777</v>
      </c>
      <c r="AM7" s="27">
        <f t="shared" si="17"/>
        <v>1972.1666666666636</v>
      </c>
      <c r="AN7" s="27"/>
      <c r="AO7" s="17">
        <f>EDATE(AO6,1)+3</f>
        <v>45340</v>
      </c>
      <c r="AP7" s="6">
        <f t="shared" si="18"/>
        <v>2024</v>
      </c>
      <c r="AQ7" s="6">
        <f t="shared" si="19"/>
        <v>2</v>
      </c>
      <c r="AS7" s="33">
        <f t="shared" si="26"/>
        <v>6.0200000000000004E-2</v>
      </c>
      <c r="AT7" s="31">
        <f t="shared" si="33"/>
        <v>1.0056855555555555</v>
      </c>
      <c r="AU7" s="27">
        <f t="shared" si="20"/>
        <v>0</v>
      </c>
      <c r="AV7" s="27"/>
      <c r="AW7" s="17">
        <f t="shared" si="27"/>
        <v>45188</v>
      </c>
      <c r="AX7" s="6">
        <f t="shared" si="21"/>
        <v>2023</v>
      </c>
      <c r="AY7" s="6">
        <f t="shared" si="28"/>
        <v>9</v>
      </c>
      <c r="AZ7">
        <v>139550000</v>
      </c>
      <c r="BA7" s="23">
        <v>5.7000000000000002E-3</v>
      </c>
      <c r="BB7" s="31">
        <f t="shared" si="29"/>
        <v>1.000475</v>
      </c>
      <c r="BC7" s="27">
        <f t="shared" si="22"/>
        <v>66286.25</v>
      </c>
      <c r="BD7" s="7">
        <f t="shared" si="0"/>
        <v>1</v>
      </c>
      <c r="BE7" s="7">
        <f t="shared" si="1"/>
        <v>1</v>
      </c>
      <c r="BF7" s="7">
        <f t="shared" si="2"/>
        <v>2023</v>
      </c>
      <c r="BG7" s="36">
        <v>44932</v>
      </c>
      <c r="BH7" s="33">
        <v>1.898E-2</v>
      </c>
      <c r="BI7" s="35">
        <f t="shared" si="3"/>
        <v>2.598E-2</v>
      </c>
    </row>
    <row r="8" spans="1:61" x14ac:dyDescent="0.25">
      <c r="A8" s="41">
        <v>44995</v>
      </c>
      <c r="B8" s="6">
        <f t="shared" si="4"/>
        <v>2023</v>
      </c>
      <c r="C8" s="6">
        <f t="shared" si="5"/>
        <v>3</v>
      </c>
      <c r="D8" s="7">
        <v>4870400</v>
      </c>
      <c r="E8" s="202">
        <v>3.5333000000000003E-2</v>
      </c>
      <c r="F8" s="31">
        <f t="shared" si="34"/>
        <v>1.0038277416666668</v>
      </c>
      <c r="G8" s="32">
        <f t="shared" si="6"/>
        <v>14340.486933333334</v>
      </c>
      <c r="I8" s="17">
        <v>44988</v>
      </c>
      <c r="J8" s="6">
        <f t="shared" si="7"/>
        <v>2023</v>
      </c>
      <c r="K8" s="6">
        <f t="shared" si="8"/>
        <v>3</v>
      </c>
      <c r="L8" s="7">
        <v>1800000</v>
      </c>
      <c r="M8" s="9">
        <v>4.4059000000000001E-2</v>
      </c>
      <c r="N8" s="31">
        <f t="shared" si="30"/>
        <v>1.001101475</v>
      </c>
      <c r="O8" s="27">
        <f t="shared" si="9"/>
        <v>6608.8499999999995</v>
      </c>
      <c r="Q8" s="17">
        <v>44993</v>
      </c>
      <c r="R8" s="6">
        <f t="shared" si="10"/>
        <v>2023</v>
      </c>
      <c r="S8" s="6">
        <f t="shared" si="11"/>
        <v>3</v>
      </c>
      <c r="T8" s="7">
        <v>476000</v>
      </c>
      <c r="U8" s="9">
        <v>5.6592999999999997E-2</v>
      </c>
      <c r="V8" s="31">
        <f t="shared" si="31"/>
        <v>1.0036156638888889</v>
      </c>
      <c r="W8" s="27">
        <f t="shared" si="23"/>
        <v>2244.8556666666668</v>
      </c>
      <c r="Y8" s="17">
        <f t="shared" ref="Y8:Y28" si="35">EDATE(Y7,1)</f>
        <v>45046</v>
      </c>
      <c r="Z8" s="6">
        <f t="shared" si="12"/>
        <v>2023</v>
      </c>
      <c r="AA8" s="6">
        <f t="shared" si="13"/>
        <v>4</v>
      </c>
      <c r="AB8" s="7">
        <f>AB7-93709-19125</f>
        <v>1436903.85</v>
      </c>
      <c r="AC8" s="33">
        <f t="shared" si="24"/>
        <v>3.6001500000000006E-2</v>
      </c>
      <c r="AD8" s="31">
        <f t="shared" si="32"/>
        <v>1.003000125</v>
      </c>
      <c r="AE8" s="27">
        <f t="shared" si="14"/>
        <v>4310.891162981251</v>
      </c>
      <c r="AG8" s="38">
        <v>45240</v>
      </c>
      <c r="AH8" s="6">
        <f t="shared" si="15"/>
        <v>2023</v>
      </c>
      <c r="AI8" s="6">
        <f t="shared" si="16"/>
        <v>11</v>
      </c>
      <c r="AJ8">
        <v>1002036.18</v>
      </c>
      <c r="AK8" s="33">
        <v>2.3560000000000025E-2</v>
      </c>
      <c r="AL8" s="31">
        <f t="shared" si="25"/>
        <v>1</v>
      </c>
      <c r="AM8" s="27">
        <f t="shared" si="17"/>
        <v>1967.3310334000023</v>
      </c>
      <c r="AN8" s="27"/>
      <c r="AO8" s="17">
        <f t="shared" ref="AO8:AO18" si="36">EDATE(AO7,1)</f>
        <v>45369</v>
      </c>
      <c r="AP8" s="6">
        <f t="shared" si="18"/>
        <v>2024</v>
      </c>
      <c r="AQ8" s="6">
        <f t="shared" si="19"/>
        <v>3</v>
      </c>
      <c r="AR8" s="7">
        <v>278863.69</v>
      </c>
      <c r="AS8" s="33">
        <f t="shared" si="26"/>
        <v>6.0200000000000004E-2</v>
      </c>
      <c r="AT8" s="31">
        <f t="shared" si="33"/>
        <v>1.0048494444444445</v>
      </c>
      <c r="AU8" s="27">
        <f t="shared" si="20"/>
        <v>1398.9661781666666</v>
      </c>
      <c r="AV8" s="27"/>
      <c r="AW8" s="17">
        <f t="shared" si="27"/>
        <v>45218</v>
      </c>
      <c r="AX8" s="6">
        <f t="shared" si="21"/>
        <v>2023</v>
      </c>
      <c r="AY8" s="6">
        <f t="shared" si="28"/>
        <v>10</v>
      </c>
      <c r="AZ8">
        <v>139550000</v>
      </c>
      <c r="BA8" s="23">
        <v>5.7000000000000002E-3</v>
      </c>
      <c r="BB8" s="31">
        <f t="shared" si="29"/>
        <v>1.0004908333333333</v>
      </c>
      <c r="BC8" s="27">
        <f t="shared" si="22"/>
        <v>66286.25</v>
      </c>
      <c r="BD8" s="7">
        <f t="shared" si="0"/>
        <v>1</v>
      </c>
      <c r="BE8" s="7">
        <f t="shared" si="1"/>
        <v>1</v>
      </c>
      <c r="BF8" s="7">
        <f t="shared" si="2"/>
        <v>2023</v>
      </c>
      <c r="BG8" s="36">
        <v>44935</v>
      </c>
      <c r="BH8" s="33">
        <v>1.9E-2</v>
      </c>
      <c r="BI8" s="35">
        <f t="shared" si="3"/>
        <v>2.5999999999999999E-2</v>
      </c>
    </row>
    <row r="9" spans="1:61" x14ac:dyDescent="0.25">
      <c r="A9" s="41">
        <v>45034</v>
      </c>
      <c r="B9" s="6">
        <f t="shared" si="4"/>
        <v>2023</v>
      </c>
      <c r="C9" s="6">
        <f t="shared" si="5"/>
        <v>4</v>
      </c>
      <c r="D9" s="7">
        <v>4882000</v>
      </c>
      <c r="E9" s="202">
        <v>3.6963000000000003E-2</v>
      </c>
      <c r="F9" s="31">
        <f t="shared" si="34"/>
        <v>1.0028748999999999</v>
      </c>
      <c r="G9" s="32">
        <f t="shared" si="6"/>
        <v>15037.780500000001</v>
      </c>
      <c r="I9" s="17">
        <v>44988</v>
      </c>
      <c r="J9" s="6">
        <f t="shared" si="7"/>
        <v>2023</v>
      </c>
      <c r="K9" s="6">
        <f t="shared" si="8"/>
        <v>3</v>
      </c>
      <c r="L9" s="7">
        <v>3500000</v>
      </c>
      <c r="M9" s="9">
        <v>4.4059000000000001E-2</v>
      </c>
      <c r="N9" s="31">
        <f t="shared" si="30"/>
        <v>1</v>
      </c>
      <c r="O9" s="27">
        <f t="shared" si="9"/>
        <v>12850.541666666666</v>
      </c>
      <c r="Q9" s="17">
        <v>44995</v>
      </c>
      <c r="R9" s="6">
        <f t="shared" si="10"/>
        <v>2023</v>
      </c>
      <c r="S9" s="6">
        <f t="shared" si="11"/>
        <v>3</v>
      </c>
      <c r="T9" s="7">
        <v>1918000</v>
      </c>
      <c r="U9" s="9">
        <v>5.6833000000000002E-2</v>
      </c>
      <c r="V9" s="31">
        <f t="shared" si="31"/>
        <v>1.0003157388888888</v>
      </c>
      <c r="W9" s="27">
        <f t="shared" si="23"/>
        <v>9083.8078333333342</v>
      </c>
      <c r="Y9" s="17">
        <f t="shared" si="35"/>
        <v>45076</v>
      </c>
      <c r="Z9" s="6">
        <f t="shared" si="12"/>
        <v>2023</v>
      </c>
      <c r="AA9" s="6">
        <f t="shared" si="13"/>
        <v>5</v>
      </c>
      <c r="AB9" s="7">
        <f>AB8-93709-19125</f>
        <v>1324069.8500000001</v>
      </c>
      <c r="AC9" s="33">
        <f t="shared" si="24"/>
        <v>3.7719565217391296E-2</v>
      </c>
      <c r="AD9" s="31">
        <f t="shared" si="32"/>
        <v>1.0031432971014493</v>
      </c>
      <c r="AE9" s="27">
        <f t="shared" si="14"/>
        <v>4161.9449216213761</v>
      </c>
      <c r="AG9" s="38">
        <v>45240</v>
      </c>
      <c r="AH9" s="6">
        <f t="shared" si="15"/>
        <v>2023</v>
      </c>
      <c r="AI9" s="6">
        <f t="shared" si="16"/>
        <v>11</v>
      </c>
      <c r="AJ9">
        <v>1000000</v>
      </c>
      <c r="AK9" s="33">
        <v>2.3568999999999951E-2</v>
      </c>
      <c r="AL9" s="31">
        <f t="shared" si="25"/>
        <v>1.0000654694444444</v>
      </c>
      <c r="AM9" s="27">
        <f t="shared" si="17"/>
        <v>1964.0833333333294</v>
      </c>
      <c r="AN9" s="27"/>
      <c r="AO9" s="17">
        <f t="shared" si="36"/>
        <v>45400</v>
      </c>
      <c r="AP9" s="6">
        <f t="shared" si="18"/>
        <v>2024</v>
      </c>
      <c r="AQ9" s="6">
        <f t="shared" si="19"/>
        <v>4</v>
      </c>
      <c r="AS9" s="33">
        <f t="shared" si="26"/>
        <v>6.0200000000000004E-2</v>
      </c>
      <c r="AT9" s="31">
        <f t="shared" si="33"/>
        <v>1.0051838888888889</v>
      </c>
      <c r="AU9" s="27">
        <f t="shared" si="20"/>
        <v>0</v>
      </c>
      <c r="AV9" s="27"/>
      <c r="AW9" s="17">
        <f t="shared" si="27"/>
        <v>45249</v>
      </c>
      <c r="AX9" s="6">
        <f t="shared" si="21"/>
        <v>2023</v>
      </c>
      <c r="AY9" s="6">
        <f t="shared" si="28"/>
        <v>11</v>
      </c>
      <c r="AZ9">
        <v>139550000</v>
      </c>
      <c r="BA9" s="23">
        <v>5.7000000000000002E-3</v>
      </c>
      <c r="BB9" s="31">
        <f t="shared" si="29"/>
        <v>1.000475</v>
      </c>
      <c r="BC9" s="27">
        <f t="shared" si="22"/>
        <v>66286.25</v>
      </c>
      <c r="BD9" s="7">
        <f t="shared" si="0"/>
        <v>1</v>
      </c>
      <c r="BE9" s="7">
        <f t="shared" si="1"/>
        <v>1</v>
      </c>
      <c r="BF9" s="7">
        <f t="shared" si="2"/>
        <v>2023</v>
      </c>
      <c r="BG9" s="36">
        <v>44936</v>
      </c>
      <c r="BH9" s="33">
        <v>1.9E-2</v>
      </c>
      <c r="BI9" s="35">
        <f t="shared" si="3"/>
        <v>2.5999999999999999E-2</v>
      </c>
    </row>
    <row r="10" spans="1:61" x14ac:dyDescent="0.25">
      <c r="A10" s="41">
        <v>45062</v>
      </c>
      <c r="B10" s="6">
        <f t="shared" si="4"/>
        <v>2023</v>
      </c>
      <c r="C10" s="6">
        <f t="shared" si="5"/>
        <v>5</v>
      </c>
      <c r="D10" s="15">
        <v>4896536</v>
      </c>
      <c r="E10" s="202">
        <v>3.8581999999999998E-2</v>
      </c>
      <c r="F10" s="31">
        <f t="shared" si="34"/>
        <v>1.0032151666666667</v>
      </c>
      <c r="G10" s="32">
        <f t="shared" si="6"/>
        <v>15743.179329333332</v>
      </c>
      <c r="I10" s="17">
        <v>45019</v>
      </c>
      <c r="J10" s="6">
        <f t="shared" si="7"/>
        <v>2023</v>
      </c>
      <c r="K10" s="6">
        <f t="shared" si="8"/>
        <v>4</v>
      </c>
      <c r="L10" s="7">
        <v>3500000</v>
      </c>
      <c r="M10" s="9">
        <v>4.4225E-2</v>
      </c>
      <c r="N10" s="31">
        <f t="shared" si="30"/>
        <v>1.003808263888889</v>
      </c>
      <c r="O10" s="27">
        <f t="shared" si="9"/>
        <v>12898.958333333334</v>
      </c>
      <c r="Q10" s="17">
        <v>45022</v>
      </c>
      <c r="R10" s="6">
        <f t="shared" si="10"/>
        <v>2023</v>
      </c>
      <c r="S10" s="6">
        <f t="shared" si="11"/>
        <v>4</v>
      </c>
      <c r="T10" s="7">
        <v>476000</v>
      </c>
      <c r="U10" s="9">
        <v>5.5920999999999998E-2</v>
      </c>
      <c r="V10" s="31">
        <f t="shared" si="31"/>
        <v>1.004194075</v>
      </c>
      <c r="W10" s="27">
        <f t="shared" si="23"/>
        <v>2218.1996666666669</v>
      </c>
      <c r="Y10" s="17">
        <f t="shared" si="35"/>
        <v>45107</v>
      </c>
      <c r="Z10" s="6">
        <f t="shared" si="12"/>
        <v>2023</v>
      </c>
      <c r="AA10" s="6">
        <f t="shared" si="13"/>
        <v>6</v>
      </c>
      <c r="AB10" s="7">
        <v>1032755.28</v>
      </c>
      <c r="AC10" s="33">
        <f t="shared" si="24"/>
        <v>3.9380454545454552E-2</v>
      </c>
      <c r="AD10" s="31">
        <f t="shared" si="32"/>
        <v>1.0033910946969697</v>
      </c>
      <c r="AE10" s="27">
        <f t="shared" si="14"/>
        <v>3389.1976967181822</v>
      </c>
      <c r="AG10" s="17">
        <f>EDATE(AG5,1)</f>
        <v>45241</v>
      </c>
      <c r="AH10" s="6">
        <f t="shared" ref="AH10:AH24" si="37">YEAR(AG10)</f>
        <v>2023</v>
      </c>
      <c r="AI10" s="6">
        <f t="shared" ref="AI10:AI24" si="38">MONTH(AG10)</f>
        <v>11</v>
      </c>
      <c r="AJ10" s="18">
        <v>5025009.26</v>
      </c>
      <c r="AK10" s="33">
        <v>1.9400000000000001E-2</v>
      </c>
      <c r="AL10" s="31">
        <f t="shared" si="25"/>
        <v>1.0016166666666666</v>
      </c>
      <c r="AM10" s="27">
        <f t="shared" ref="AM10:AM23" si="39">AJ10*AK10/12</f>
        <v>8123.7649703333336</v>
      </c>
      <c r="AN10" s="27"/>
      <c r="AO10" s="17">
        <f t="shared" si="36"/>
        <v>45430</v>
      </c>
      <c r="AP10" s="6">
        <f t="shared" si="18"/>
        <v>2024</v>
      </c>
      <c r="AQ10" s="6">
        <f t="shared" si="19"/>
        <v>5</v>
      </c>
      <c r="AR10" s="7">
        <v>588666</v>
      </c>
      <c r="AS10" s="33">
        <f t="shared" si="26"/>
        <v>6.0200000000000004E-2</v>
      </c>
      <c r="AT10" s="31">
        <f t="shared" si="33"/>
        <v>1.0050166666666667</v>
      </c>
      <c r="AU10" s="27">
        <f t="shared" si="20"/>
        <v>2953.1411000000003</v>
      </c>
      <c r="AV10" s="27"/>
      <c r="AW10" s="17">
        <f t="shared" si="27"/>
        <v>45279</v>
      </c>
      <c r="AX10" s="6">
        <f t="shared" si="21"/>
        <v>2023</v>
      </c>
      <c r="AY10" s="6">
        <f t="shared" si="28"/>
        <v>12</v>
      </c>
      <c r="AZ10">
        <v>139550000</v>
      </c>
      <c r="BA10" s="23">
        <v>8.6999999999999994E-3</v>
      </c>
      <c r="BB10" s="31">
        <f t="shared" si="29"/>
        <v>1.0007491666666666</v>
      </c>
      <c r="BC10" s="27">
        <f t="shared" si="22"/>
        <v>101173.75</v>
      </c>
      <c r="BD10" s="7">
        <f t="shared" si="0"/>
        <v>1</v>
      </c>
      <c r="BE10" s="7">
        <f t="shared" si="1"/>
        <v>1</v>
      </c>
      <c r="BF10" s="7">
        <f t="shared" si="2"/>
        <v>2023</v>
      </c>
      <c r="BG10" s="36">
        <v>44937</v>
      </c>
      <c r="BH10" s="33">
        <v>1.9E-2</v>
      </c>
      <c r="BI10" s="35">
        <f t="shared" si="3"/>
        <v>2.5999999999999999E-2</v>
      </c>
    </row>
    <row r="11" spans="1:61" x14ac:dyDescent="0.25">
      <c r="A11" s="41">
        <v>45092</v>
      </c>
      <c r="B11" s="6">
        <f t="shared" si="4"/>
        <v>2023</v>
      </c>
      <c r="C11" s="6">
        <f t="shared" si="5"/>
        <v>6</v>
      </c>
      <c r="D11" s="15">
        <v>5697000</v>
      </c>
      <c r="E11" s="202">
        <v>4.0717000000000003E-2</v>
      </c>
      <c r="F11" s="31">
        <f t="shared" si="34"/>
        <v>1.0032799805555555</v>
      </c>
      <c r="G11" s="32">
        <f t="shared" si="6"/>
        <v>19330.39575</v>
      </c>
      <c r="I11" s="17">
        <v>45019</v>
      </c>
      <c r="J11" s="6">
        <f t="shared" si="7"/>
        <v>2023</v>
      </c>
      <c r="K11" s="6">
        <f t="shared" si="8"/>
        <v>4</v>
      </c>
      <c r="L11" s="7">
        <v>1800000</v>
      </c>
      <c r="M11" s="9">
        <v>4.4225E-2</v>
      </c>
      <c r="N11" s="31">
        <f t="shared" si="30"/>
        <v>1</v>
      </c>
      <c r="O11" s="27">
        <f t="shared" si="9"/>
        <v>6633.75</v>
      </c>
      <c r="Q11" s="17">
        <v>45034</v>
      </c>
      <c r="R11" s="6">
        <f t="shared" si="10"/>
        <v>2023</v>
      </c>
      <c r="S11" s="6">
        <f t="shared" si="11"/>
        <v>4</v>
      </c>
      <c r="T11" s="7">
        <v>1918400</v>
      </c>
      <c r="U11" s="9">
        <v>5.7327000000000003E-2</v>
      </c>
      <c r="V11" s="31">
        <f t="shared" si="31"/>
        <v>1.0019108999999999</v>
      </c>
      <c r="W11" s="27">
        <f t="shared" si="23"/>
        <v>9164.6764000000003</v>
      </c>
      <c r="Y11" s="17">
        <f t="shared" si="35"/>
        <v>45137</v>
      </c>
      <c r="Z11" s="6">
        <f t="shared" si="12"/>
        <v>2023</v>
      </c>
      <c r="AA11" s="6">
        <f t="shared" si="13"/>
        <v>7</v>
      </c>
      <c r="AB11" s="7">
        <f>AB10+AE10</f>
        <v>1036144.4776967182</v>
      </c>
      <c r="AC11" s="33">
        <f t="shared" si="24"/>
        <v>4.1021904761904759E-2</v>
      </c>
      <c r="AD11" s="31">
        <f t="shared" si="32"/>
        <v>1.0034184920634921</v>
      </c>
      <c r="AE11" s="27">
        <f t="shared" si="14"/>
        <v>3542.0516736373606</v>
      </c>
      <c r="AG11" s="17">
        <f t="shared" ref="AG11:AG24" si="40">EDATE(AG10,1)</f>
        <v>45271</v>
      </c>
      <c r="AH11" s="6">
        <f t="shared" si="37"/>
        <v>2023</v>
      </c>
      <c r="AI11" s="6">
        <f t="shared" si="38"/>
        <v>12</v>
      </c>
      <c r="AJ11" s="18">
        <v>5025009.26</v>
      </c>
      <c r="AK11" s="33">
        <v>1.9400000000000001E-2</v>
      </c>
      <c r="AL11" s="31">
        <f t="shared" si="25"/>
        <v>1.0016705555555556</v>
      </c>
      <c r="AM11" s="27">
        <f t="shared" si="39"/>
        <v>8123.7649703333336</v>
      </c>
      <c r="AN11" s="27"/>
      <c r="AO11" s="17">
        <f t="shared" si="36"/>
        <v>45461</v>
      </c>
      <c r="AP11" s="6">
        <f t="shared" si="18"/>
        <v>2024</v>
      </c>
      <c r="AQ11" s="6">
        <f t="shared" si="19"/>
        <v>6</v>
      </c>
      <c r="AR11" s="7">
        <f>AR10+AU10</f>
        <v>591619.14110000001</v>
      </c>
      <c r="AS11" s="33">
        <f t="shared" si="26"/>
        <v>6.0200000000000004E-2</v>
      </c>
      <c r="AT11" s="31">
        <f t="shared" si="33"/>
        <v>1.0051838888888889</v>
      </c>
      <c r="AU11" s="27">
        <f t="shared" si="20"/>
        <v>2967.9560245183334</v>
      </c>
      <c r="AV11" s="27"/>
      <c r="AW11" s="17">
        <f t="shared" si="27"/>
        <v>45310</v>
      </c>
      <c r="AX11" s="6">
        <f t="shared" si="21"/>
        <v>2024</v>
      </c>
      <c r="AY11" s="6">
        <f t="shared" si="28"/>
        <v>1</v>
      </c>
      <c r="AZ11">
        <v>139550000</v>
      </c>
      <c r="BA11" s="23">
        <v>8.6999999999999994E-3</v>
      </c>
      <c r="BB11" s="31">
        <f t="shared" si="29"/>
        <v>1.0007491666666666</v>
      </c>
      <c r="BC11" s="27">
        <f t="shared" si="22"/>
        <v>101173.75</v>
      </c>
      <c r="BD11" s="7">
        <f t="shared" si="0"/>
        <v>1</v>
      </c>
      <c r="BE11" s="7">
        <f t="shared" si="1"/>
        <v>1</v>
      </c>
      <c r="BF11" s="7">
        <f t="shared" si="2"/>
        <v>2023</v>
      </c>
      <c r="BG11" s="36">
        <v>44938</v>
      </c>
      <c r="BH11" s="33">
        <v>1.9E-2</v>
      </c>
      <c r="BI11" s="35">
        <f t="shared" si="3"/>
        <v>2.5999999999999999E-2</v>
      </c>
    </row>
    <row r="12" spans="1:61" x14ac:dyDescent="0.25">
      <c r="A12" s="41">
        <v>45121</v>
      </c>
      <c r="B12" s="6">
        <f t="shared" si="4"/>
        <v>2023</v>
      </c>
      <c r="C12" s="6">
        <f t="shared" si="5"/>
        <v>7</v>
      </c>
      <c r="D12" s="15">
        <v>5696666</v>
      </c>
      <c r="E12" s="202">
        <v>4.2154999999999998E-2</v>
      </c>
      <c r="F12" s="31">
        <f t="shared" si="34"/>
        <v>1.0032787222222221</v>
      </c>
      <c r="G12" s="32">
        <f t="shared" si="6"/>
        <v>20011.912935833334</v>
      </c>
      <c r="I12" s="17">
        <v>45049</v>
      </c>
      <c r="J12" s="6">
        <f t="shared" si="7"/>
        <v>2023</v>
      </c>
      <c r="K12" s="6">
        <f t="shared" si="8"/>
        <v>5</v>
      </c>
      <c r="L12" s="7">
        <v>5300000</v>
      </c>
      <c r="M12" s="9">
        <v>5.2553999999999997E-2</v>
      </c>
      <c r="N12" s="31">
        <f t="shared" si="30"/>
        <v>1.0043795</v>
      </c>
      <c r="O12" s="27">
        <f t="shared" si="9"/>
        <v>23211.349999999995</v>
      </c>
      <c r="Q12" s="17">
        <v>45041</v>
      </c>
      <c r="R12" s="6">
        <f t="shared" si="10"/>
        <v>2023</v>
      </c>
      <c r="S12" s="6">
        <f t="shared" si="11"/>
        <v>4</v>
      </c>
      <c r="T12" s="7">
        <v>264000</v>
      </c>
      <c r="U12" s="9">
        <v>5.7716000000000003E-2</v>
      </c>
      <c r="V12" s="31">
        <f t="shared" si="31"/>
        <v>1.0011222555555555</v>
      </c>
      <c r="W12" s="27">
        <f t="shared" si="23"/>
        <v>1269.7520000000002</v>
      </c>
      <c r="Y12" s="17">
        <f t="shared" si="35"/>
        <v>45168</v>
      </c>
      <c r="Z12" s="6">
        <f t="shared" si="12"/>
        <v>2023</v>
      </c>
      <c r="AA12" s="6">
        <f t="shared" si="13"/>
        <v>8</v>
      </c>
      <c r="AB12" s="7">
        <f>AB11+AE11</f>
        <v>1039686.5293703555</v>
      </c>
      <c r="AC12" s="33">
        <f t="shared" si="24"/>
        <v>4.3418695652173919E-2</v>
      </c>
      <c r="AD12" s="31">
        <f t="shared" si="32"/>
        <v>1.0037388321256038</v>
      </c>
      <c r="AE12" s="27">
        <f t="shared" si="14"/>
        <v>3761.8194160330372</v>
      </c>
      <c r="AG12" s="17">
        <f t="shared" si="40"/>
        <v>45302</v>
      </c>
      <c r="AH12" s="6">
        <f t="shared" si="37"/>
        <v>2024</v>
      </c>
      <c r="AI12" s="6">
        <f t="shared" si="38"/>
        <v>1</v>
      </c>
      <c r="AJ12" s="18">
        <v>5025009.26</v>
      </c>
      <c r="AK12" s="33">
        <v>1.9400000000000001E-2</v>
      </c>
      <c r="AL12" s="31">
        <f t="shared" si="25"/>
        <v>1.0016705555555556</v>
      </c>
      <c r="AM12" s="27">
        <f t="shared" si="39"/>
        <v>8123.7649703333336</v>
      </c>
      <c r="AN12" s="27"/>
      <c r="AO12" s="17">
        <f t="shared" si="36"/>
        <v>45491</v>
      </c>
      <c r="AP12" s="6">
        <f t="shared" ref="AP12:AP17" si="41">YEAR(AO12)</f>
        <v>2024</v>
      </c>
      <c r="AQ12" s="6">
        <f t="shared" ref="AQ12:AQ17" si="42">MONTH(AO12)</f>
        <v>7</v>
      </c>
      <c r="AR12" s="7">
        <f t="shared" ref="AR12:AR18" si="43">AR11+AU11</f>
        <v>594587.09712451836</v>
      </c>
      <c r="AS12" s="33">
        <f t="shared" si="26"/>
        <v>6.0200000000000004E-2</v>
      </c>
      <c r="AT12" s="31">
        <f t="shared" ref="AT12:AT17" si="44">AS12*(AO12-AO11)/360+1</f>
        <v>1.0050166666666667</v>
      </c>
      <c r="AU12" s="27">
        <f t="shared" ref="AU12:AU17" si="45">AR12*AS12/12</f>
        <v>2982.8452705746672</v>
      </c>
      <c r="AV12" s="27"/>
      <c r="AW12" s="17">
        <f t="shared" si="27"/>
        <v>45341</v>
      </c>
      <c r="AX12" s="6">
        <f t="shared" si="21"/>
        <v>2024</v>
      </c>
      <c r="AY12" s="6">
        <f t="shared" si="28"/>
        <v>2</v>
      </c>
      <c r="AZ12">
        <v>139550000</v>
      </c>
      <c r="BA12" s="23">
        <v>8.6999999999999994E-3</v>
      </c>
      <c r="BB12" s="31">
        <f t="shared" si="29"/>
        <v>1.0007008333333334</v>
      </c>
      <c r="BC12" s="27">
        <f t="shared" si="22"/>
        <v>101173.75</v>
      </c>
      <c r="BD12" s="7">
        <f t="shared" si="0"/>
        <v>1</v>
      </c>
      <c r="BE12" s="7">
        <f t="shared" si="1"/>
        <v>1</v>
      </c>
      <c r="BF12" s="7">
        <f t="shared" si="2"/>
        <v>2023</v>
      </c>
      <c r="BG12" s="36">
        <v>44939</v>
      </c>
      <c r="BH12" s="33">
        <v>1.9009999999999999E-2</v>
      </c>
      <c r="BI12" s="35">
        <f t="shared" si="3"/>
        <v>2.6009999999999998E-2</v>
      </c>
    </row>
    <row r="13" spans="1:61" x14ac:dyDescent="0.25">
      <c r="A13" s="41">
        <v>45149</v>
      </c>
      <c r="B13" s="6">
        <f t="shared" si="4"/>
        <v>2023</v>
      </c>
      <c r="C13" s="6">
        <f t="shared" si="5"/>
        <v>8</v>
      </c>
      <c r="D13" s="15">
        <v>5717400</v>
      </c>
      <c r="E13" s="202">
        <v>4.3861999999999998E-2</v>
      </c>
      <c r="F13" s="31">
        <f t="shared" si="34"/>
        <v>1.0040206833333334</v>
      </c>
      <c r="G13" s="32">
        <f t="shared" si="6"/>
        <v>20898.049899999998</v>
      </c>
      <c r="I13" s="17">
        <v>45079</v>
      </c>
      <c r="J13" s="6">
        <f t="shared" si="7"/>
        <v>2023</v>
      </c>
      <c r="K13" s="6">
        <f t="shared" si="8"/>
        <v>6</v>
      </c>
      <c r="L13" s="7">
        <v>5320000</v>
      </c>
      <c r="M13" s="9">
        <v>5.2816000000000002E-2</v>
      </c>
      <c r="N13" s="31">
        <f t="shared" si="30"/>
        <v>1.0044013333333333</v>
      </c>
      <c r="O13" s="27">
        <f t="shared" si="9"/>
        <v>23415.093333333334</v>
      </c>
      <c r="Q13" s="17">
        <v>45049</v>
      </c>
      <c r="R13" s="6">
        <f t="shared" si="10"/>
        <v>2023</v>
      </c>
      <c r="S13" s="6">
        <f t="shared" si="11"/>
        <v>5</v>
      </c>
      <c r="T13" s="7">
        <v>476000</v>
      </c>
      <c r="U13" s="9">
        <v>6.0158000000000003E-2</v>
      </c>
      <c r="V13" s="31">
        <f t="shared" si="31"/>
        <v>1.0013368444444444</v>
      </c>
      <c r="W13" s="27">
        <f t="shared" si="23"/>
        <v>2386.2673333333337</v>
      </c>
      <c r="Y13" s="17">
        <f t="shared" si="35"/>
        <v>45199</v>
      </c>
      <c r="Z13" s="6">
        <f t="shared" si="12"/>
        <v>2023</v>
      </c>
      <c r="AA13" s="6">
        <f t="shared" si="13"/>
        <v>9</v>
      </c>
      <c r="AB13" s="7">
        <v>1044062.34</v>
      </c>
      <c r="AC13" s="33">
        <f t="shared" si="24"/>
        <v>4.4466190476190479E-2</v>
      </c>
      <c r="AD13" s="31">
        <f t="shared" si="32"/>
        <v>1.0038290330687831</v>
      </c>
      <c r="AE13" s="27">
        <f t="shared" si="14"/>
        <v>3868.7895732880952</v>
      </c>
      <c r="AG13" s="17">
        <f t="shared" si="40"/>
        <v>45333</v>
      </c>
      <c r="AH13" s="6">
        <f t="shared" si="37"/>
        <v>2024</v>
      </c>
      <c r="AI13" s="6">
        <f t="shared" si="38"/>
        <v>2</v>
      </c>
      <c r="AJ13" s="18">
        <v>5025009.26</v>
      </c>
      <c r="AK13" s="33">
        <v>1.9400000000000001E-2</v>
      </c>
      <c r="AL13" s="31">
        <f t="shared" si="25"/>
        <v>1.0015627777777778</v>
      </c>
      <c r="AM13" s="27">
        <f t="shared" si="39"/>
        <v>8123.7649703333336</v>
      </c>
      <c r="AN13" s="27"/>
      <c r="AO13" s="17">
        <f t="shared" si="36"/>
        <v>45522</v>
      </c>
      <c r="AP13" s="6">
        <f t="shared" si="41"/>
        <v>2024</v>
      </c>
      <c r="AQ13" s="6">
        <f t="shared" si="42"/>
        <v>8</v>
      </c>
      <c r="AR13" s="7">
        <f t="shared" si="43"/>
        <v>597569.94239509304</v>
      </c>
      <c r="AS13" s="33">
        <f t="shared" si="26"/>
        <v>6.0200000000000004E-2</v>
      </c>
      <c r="AT13" s="31">
        <f t="shared" si="44"/>
        <v>1.0051838888888889</v>
      </c>
      <c r="AU13" s="27">
        <f t="shared" si="45"/>
        <v>2997.8092110153834</v>
      </c>
      <c r="AV13" s="27"/>
      <c r="AW13" s="17">
        <f t="shared" si="27"/>
        <v>45370</v>
      </c>
      <c r="AX13" s="6">
        <f t="shared" si="21"/>
        <v>2024</v>
      </c>
      <c r="AY13" s="6">
        <f t="shared" si="28"/>
        <v>3</v>
      </c>
      <c r="AZ13">
        <v>139550000</v>
      </c>
      <c r="BA13" s="23">
        <v>8.6999999999999994E-3</v>
      </c>
      <c r="BB13" s="31">
        <f t="shared" si="29"/>
        <v>1.0007491666666666</v>
      </c>
      <c r="BC13" s="27">
        <f t="shared" si="22"/>
        <v>101173.75</v>
      </c>
      <c r="BD13" s="7">
        <f t="shared" si="0"/>
        <v>1</v>
      </c>
      <c r="BE13" s="7">
        <f t="shared" si="1"/>
        <v>1</v>
      </c>
      <c r="BF13" s="7">
        <f t="shared" si="2"/>
        <v>2023</v>
      </c>
      <c r="BG13" s="36">
        <v>44942</v>
      </c>
      <c r="BH13" s="33">
        <v>1.9019999999999999E-2</v>
      </c>
      <c r="BI13" s="35">
        <f t="shared" si="3"/>
        <v>2.6019999999999998E-2</v>
      </c>
    </row>
    <row r="14" spans="1:61" x14ac:dyDescent="0.25">
      <c r="A14" s="41">
        <v>45182</v>
      </c>
      <c r="B14" s="6">
        <f t="shared" si="4"/>
        <v>2023</v>
      </c>
      <c r="C14" s="6">
        <f t="shared" si="5"/>
        <v>9</v>
      </c>
      <c r="D14" s="15">
        <v>5717400</v>
      </c>
      <c r="E14" s="202">
        <v>4.4882999999999999E-2</v>
      </c>
      <c r="F14" s="31">
        <f t="shared" si="34"/>
        <v>1.0037402499999999</v>
      </c>
      <c r="G14" s="32">
        <f t="shared" si="6"/>
        <v>21384.505349999999</v>
      </c>
      <c r="I14" s="17">
        <v>45092</v>
      </c>
      <c r="J14" s="6">
        <f t="shared" si="7"/>
        <v>2023</v>
      </c>
      <c r="K14" s="6">
        <f t="shared" si="8"/>
        <v>6</v>
      </c>
      <c r="L14" s="7">
        <v>275000</v>
      </c>
      <c r="M14" s="9">
        <v>5.4081999999999998E-2</v>
      </c>
      <c r="N14" s="31">
        <f t="shared" si="30"/>
        <v>1.0019529611111111</v>
      </c>
      <c r="O14" s="27">
        <f t="shared" si="9"/>
        <v>1239.3791666666666</v>
      </c>
      <c r="Q14" s="17">
        <v>45149</v>
      </c>
      <c r="R14" s="6">
        <f t="shared" si="10"/>
        <v>2023</v>
      </c>
      <c r="S14" s="6">
        <f t="shared" si="11"/>
        <v>8</v>
      </c>
      <c r="T14" s="7">
        <v>1465200</v>
      </c>
      <c r="U14" s="9">
        <v>6.1512999999999998E-2</v>
      </c>
      <c r="V14" s="31">
        <f t="shared" si="31"/>
        <v>1.0170869444444444</v>
      </c>
      <c r="W14" s="27">
        <f t="shared" si="23"/>
        <v>7510.7372999999998</v>
      </c>
      <c r="Y14" s="17">
        <f t="shared" si="35"/>
        <v>45229</v>
      </c>
      <c r="Z14" s="6">
        <f t="shared" si="12"/>
        <v>2023</v>
      </c>
      <c r="AA14" s="6">
        <f t="shared" si="13"/>
        <v>10</v>
      </c>
      <c r="AB14" s="7">
        <f>AB13+150000</f>
        <v>1194062.3399999999</v>
      </c>
      <c r="AC14" s="33">
        <f t="shared" si="24"/>
        <v>4.5947272727272705E-2</v>
      </c>
      <c r="AD14" s="31">
        <f t="shared" si="32"/>
        <v>1.0038289393939395</v>
      </c>
      <c r="AE14" s="27">
        <f t="shared" si="14"/>
        <v>4571.9923324454512</v>
      </c>
      <c r="AG14" s="17">
        <f t="shared" si="40"/>
        <v>45362</v>
      </c>
      <c r="AH14" s="6">
        <f t="shared" si="37"/>
        <v>2024</v>
      </c>
      <c r="AI14" s="6">
        <f t="shared" si="38"/>
        <v>3</v>
      </c>
      <c r="AJ14" s="18">
        <v>7025009.2599999998</v>
      </c>
      <c r="AK14" s="33">
        <v>1.9400000000000001E-2</v>
      </c>
      <c r="AL14" s="31">
        <f t="shared" si="25"/>
        <v>1.0016705555555556</v>
      </c>
      <c r="AM14" s="27">
        <f t="shared" si="39"/>
        <v>11357.098303666666</v>
      </c>
      <c r="AN14" s="27"/>
      <c r="AO14" s="17">
        <f t="shared" si="36"/>
        <v>45553</v>
      </c>
      <c r="AP14" s="6">
        <f t="shared" si="41"/>
        <v>2024</v>
      </c>
      <c r="AQ14" s="6">
        <f t="shared" si="42"/>
        <v>9</v>
      </c>
      <c r="AR14" s="7">
        <f t="shared" si="43"/>
        <v>600567.75160610839</v>
      </c>
      <c r="AS14" s="33">
        <f t="shared" si="26"/>
        <v>6.0200000000000004E-2</v>
      </c>
      <c r="AT14" s="31">
        <f t="shared" si="44"/>
        <v>1.0051838888888889</v>
      </c>
      <c r="AU14" s="27">
        <f t="shared" si="45"/>
        <v>3012.8482205573105</v>
      </c>
      <c r="AV14" s="27"/>
      <c r="AW14" s="17">
        <f t="shared" si="27"/>
        <v>45401</v>
      </c>
      <c r="AX14" s="6">
        <f t="shared" si="21"/>
        <v>2024</v>
      </c>
      <c r="AY14" s="6">
        <f t="shared" si="28"/>
        <v>4</v>
      </c>
      <c r="AZ14">
        <v>139550000</v>
      </c>
      <c r="BA14" s="23">
        <v>8.6999999999999994E-3</v>
      </c>
      <c r="BB14" s="31">
        <f t="shared" si="29"/>
        <v>1.0007250000000001</v>
      </c>
      <c r="BC14" s="27">
        <f t="shared" si="22"/>
        <v>101173.75</v>
      </c>
      <c r="BD14" s="7">
        <f t="shared" si="0"/>
        <v>1</v>
      </c>
      <c r="BE14" s="7">
        <f t="shared" si="1"/>
        <v>1</v>
      </c>
      <c r="BF14" s="7">
        <f t="shared" si="2"/>
        <v>2023</v>
      </c>
      <c r="BG14" s="36">
        <v>44943</v>
      </c>
      <c r="BH14" s="33">
        <v>1.9009999999999999E-2</v>
      </c>
      <c r="BI14" s="35">
        <f t="shared" si="3"/>
        <v>2.6009999999999998E-2</v>
      </c>
    </row>
    <row r="15" spans="1:61" x14ac:dyDescent="0.25">
      <c r="A15" s="41">
        <v>45212</v>
      </c>
      <c r="B15" s="6">
        <f t="shared" si="4"/>
        <v>2023</v>
      </c>
      <c r="C15" s="6">
        <f t="shared" si="5"/>
        <v>10</v>
      </c>
      <c r="D15" s="15">
        <v>5382876</v>
      </c>
      <c r="E15" s="202">
        <v>4.7057000000000002E-2</v>
      </c>
      <c r="F15" s="31">
        <f t="shared" si="34"/>
        <v>1.0044442722222222</v>
      </c>
      <c r="G15" s="32">
        <f t="shared" si="6"/>
        <v>21108.499661000002</v>
      </c>
      <c r="I15" s="17">
        <v>45111</v>
      </c>
      <c r="J15" s="6">
        <f t="shared" si="7"/>
        <v>2023</v>
      </c>
      <c r="K15" s="6">
        <f t="shared" si="8"/>
        <v>7</v>
      </c>
      <c r="L15" s="7">
        <v>5320000</v>
      </c>
      <c r="M15" s="9">
        <v>5.8637000000000002E-2</v>
      </c>
      <c r="N15" s="31">
        <f t="shared" si="30"/>
        <v>1.0030947305555555</v>
      </c>
      <c r="O15" s="27">
        <f t="shared" si="9"/>
        <v>25995.736666666668</v>
      </c>
      <c r="Q15" s="17">
        <v>45182</v>
      </c>
      <c r="R15" s="6">
        <f t="shared" si="10"/>
        <v>2023</v>
      </c>
      <c r="S15" s="6">
        <f t="shared" si="11"/>
        <v>9</v>
      </c>
      <c r="T15" s="7">
        <v>1465200</v>
      </c>
      <c r="U15" s="9">
        <v>6.1322000000000002E-2</v>
      </c>
      <c r="V15" s="31">
        <f t="shared" si="31"/>
        <v>1.0056211833333333</v>
      </c>
      <c r="W15" s="27">
        <f t="shared" si="23"/>
        <v>7487.4161999999997</v>
      </c>
      <c r="Y15" s="17">
        <f t="shared" si="35"/>
        <v>45260</v>
      </c>
      <c r="Z15" s="6">
        <f t="shared" si="12"/>
        <v>2023</v>
      </c>
      <c r="AA15" s="6">
        <f t="shared" si="13"/>
        <v>11</v>
      </c>
      <c r="AB15" s="7">
        <v>1176562.3400000001</v>
      </c>
      <c r="AC15" s="33">
        <f t="shared" si="24"/>
        <v>4.5919999999999989E-2</v>
      </c>
      <c r="AD15" s="31">
        <f t="shared" si="32"/>
        <v>1.0039542222222222</v>
      </c>
      <c r="AE15" s="27">
        <f t="shared" si="14"/>
        <v>4502.3118877333327</v>
      </c>
      <c r="AG15" s="17">
        <f t="shared" si="40"/>
        <v>45393</v>
      </c>
      <c r="AH15" s="6">
        <f t="shared" si="37"/>
        <v>2024</v>
      </c>
      <c r="AI15" s="6">
        <f t="shared" si="38"/>
        <v>4</v>
      </c>
      <c r="AJ15" s="18">
        <f>-SUMIFS(Loans!D:D,Loans!C:C,"CHF")</f>
        <v>13640418.9</v>
      </c>
      <c r="AK15" s="33">
        <v>1.9400000000000001E-2</v>
      </c>
      <c r="AL15" s="31">
        <f t="shared" si="25"/>
        <v>1.0016166666666666</v>
      </c>
      <c r="AM15" s="27">
        <f t="shared" si="39"/>
        <v>22052.010555000001</v>
      </c>
      <c r="AN15" s="27"/>
      <c r="AO15" s="17">
        <f t="shared" si="36"/>
        <v>45583</v>
      </c>
      <c r="AP15" s="6">
        <f t="shared" si="41"/>
        <v>2024</v>
      </c>
      <c r="AQ15" s="6">
        <f t="shared" si="42"/>
        <v>10</v>
      </c>
      <c r="AR15" s="7">
        <f t="shared" si="43"/>
        <v>603580.59982666571</v>
      </c>
      <c r="AS15" s="33">
        <f t="shared" si="26"/>
        <v>6.0200000000000004E-2</v>
      </c>
      <c r="AT15" s="31">
        <f t="shared" si="44"/>
        <v>1.0050166666666667</v>
      </c>
      <c r="AU15" s="27">
        <f t="shared" si="45"/>
        <v>3027.9626757971068</v>
      </c>
      <c r="AV15" s="27"/>
      <c r="AW15" s="17">
        <f t="shared" si="27"/>
        <v>45431</v>
      </c>
      <c r="AX15" s="6">
        <f t="shared" si="21"/>
        <v>2024</v>
      </c>
      <c r="AY15" s="6">
        <f t="shared" si="28"/>
        <v>5</v>
      </c>
      <c r="AZ15">
        <v>139550000</v>
      </c>
      <c r="BA15" s="23">
        <v>8.6999999999999994E-3</v>
      </c>
      <c r="BB15" s="31">
        <f t="shared" si="29"/>
        <v>1.0007491666666666</v>
      </c>
      <c r="BC15" s="27">
        <f t="shared" si="22"/>
        <v>101173.75</v>
      </c>
      <c r="BD15" s="7">
        <f t="shared" si="0"/>
        <v>1</v>
      </c>
      <c r="BE15" s="7">
        <f t="shared" si="1"/>
        <v>1</v>
      </c>
      <c r="BF15" s="7">
        <f t="shared" si="2"/>
        <v>2023</v>
      </c>
      <c r="BG15" s="36">
        <v>44944</v>
      </c>
      <c r="BH15" s="33">
        <v>1.9019999999999999E-2</v>
      </c>
      <c r="BI15" s="35">
        <f t="shared" si="3"/>
        <v>2.6019999999999998E-2</v>
      </c>
    </row>
    <row r="16" spans="1:61" x14ac:dyDescent="0.25">
      <c r="A16" s="41">
        <v>45246</v>
      </c>
      <c r="B16" s="6">
        <f t="shared" si="4"/>
        <v>2023</v>
      </c>
      <c r="C16" s="6">
        <f t="shared" si="5"/>
        <v>11</v>
      </c>
      <c r="D16" s="15">
        <v>5403280.8799999999</v>
      </c>
      <c r="E16" s="9">
        <v>4.6659999999999924E-2</v>
      </c>
      <c r="F16" s="31">
        <f t="shared" si="34"/>
        <v>1.0038883333333333</v>
      </c>
      <c r="G16" s="32">
        <f t="shared" si="6"/>
        <v>21009.757155066633</v>
      </c>
      <c r="I16" s="17">
        <v>45133</v>
      </c>
      <c r="J16" s="6">
        <f t="shared" si="7"/>
        <v>2023</v>
      </c>
      <c r="K16" s="6">
        <f t="shared" si="8"/>
        <v>7</v>
      </c>
      <c r="L16" s="7">
        <v>1084813</v>
      </c>
      <c r="M16" s="9">
        <v>6.1152999999999999E-2</v>
      </c>
      <c r="N16" s="31">
        <f t="shared" si="30"/>
        <v>1.0037371277777778</v>
      </c>
      <c r="O16" s="27">
        <f t="shared" si="9"/>
        <v>5528.297449083333</v>
      </c>
      <c r="Q16" s="17">
        <v>45215</v>
      </c>
      <c r="R16" s="6">
        <f t="shared" si="10"/>
        <v>2023</v>
      </c>
      <c r="S16" s="6">
        <f t="shared" si="11"/>
        <v>10</v>
      </c>
      <c r="T16" s="7">
        <v>215150</v>
      </c>
      <c r="U16" s="9">
        <v>6.2371999999999997E-2</v>
      </c>
      <c r="V16" s="31">
        <f t="shared" si="31"/>
        <v>1.0057174333333334</v>
      </c>
      <c r="W16" s="27">
        <f t="shared" si="23"/>
        <v>1118.2779833333332</v>
      </c>
      <c r="Y16" s="17">
        <f t="shared" si="35"/>
        <v>45290</v>
      </c>
      <c r="Z16" s="6">
        <f t="shared" si="12"/>
        <v>2023</v>
      </c>
      <c r="AA16" s="6">
        <f t="shared" si="13"/>
        <v>12</v>
      </c>
      <c r="AB16" s="7">
        <v>1118978.97</v>
      </c>
      <c r="AC16" s="33">
        <f t="shared" si="24"/>
        <v>4.7348571428571441E-2</v>
      </c>
      <c r="AD16" s="31">
        <f t="shared" si="32"/>
        <v>1.0039457142857142</v>
      </c>
      <c r="AE16" s="27">
        <f t="shared" si="14"/>
        <v>4415.1713073428582</v>
      </c>
      <c r="AG16" s="17">
        <f t="shared" si="40"/>
        <v>45423</v>
      </c>
      <c r="AH16" s="6">
        <f t="shared" si="37"/>
        <v>2024</v>
      </c>
      <c r="AI16" s="6">
        <f t="shared" si="38"/>
        <v>5</v>
      </c>
      <c r="AJ16" s="18">
        <f>-SUMIFS(Loans!D:D,Loans!C:C,"CHF")</f>
        <v>13640418.9</v>
      </c>
      <c r="AK16" s="33">
        <v>1.9400000000000001E-2</v>
      </c>
      <c r="AL16" s="31">
        <f t="shared" si="25"/>
        <v>1.0016705555555556</v>
      </c>
      <c r="AM16" s="27">
        <f t="shared" si="39"/>
        <v>22052.010555000001</v>
      </c>
      <c r="AN16" s="27"/>
      <c r="AO16" s="17">
        <f t="shared" si="36"/>
        <v>45614</v>
      </c>
      <c r="AP16" s="6">
        <f t="shared" si="41"/>
        <v>2024</v>
      </c>
      <c r="AQ16" s="6">
        <f t="shared" si="42"/>
        <v>11</v>
      </c>
      <c r="AR16" s="7">
        <f t="shared" si="43"/>
        <v>606608.56250246277</v>
      </c>
      <c r="AS16" s="33">
        <f t="shared" si="26"/>
        <v>6.0200000000000004E-2</v>
      </c>
      <c r="AT16" s="31">
        <f t="shared" si="44"/>
        <v>1.0051838888888889</v>
      </c>
      <c r="AU16" s="27">
        <f t="shared" si="45"/>
        <v>3043.1529552206885</v>
      </c>
      <c r="AV16" s="27"/>
      <c r="AW16" s="17">
        <f t="shared" si="27"/>
        <v>45462</v>
      </c>
      <c r="AX16" s="6">
        <f t="shared" si="21"/>
        <v>2024</v>
      </c>
      <c r="AY16" s="6">
        <f t="shared" si="28"/>
        <v>6</v>
      </c>
      <c r="AZ16">
        <v>139550000</v>
      </c>
      <c r="BA16" s="23">
        <v>8.6999999999999994E-3</v>
      </c>
      <c r="BB16" s="31">
        <f t="shared" si="29"/>
        <v>1.0007250000000001</v>
      </c>
      <c r="BC16" s="27">
        <f t="shared" si="22"/>
        <v>101173.75</v>
      </c>
      <c r="BD16" s="7">
        <f t="shared" si="0"/>
        <v>1</v>
      </c>
      <c r="BE16" s="7">
        <f t="shared" si="1"/>
        <v>1</v>
      </c>
      <c r="BF16" s="7">
        <f t="shared" si="2"/>
        <v>2023</v>
      </c>
      <c r="BG16" s="36">
        <v>44945</v>
      </c>
      <c r="BH16" s="33">
        <v>1.9030000000000002E-2</v>
      </c>
      <c r="BI16" s="35">
        <f t="shared" si="3"/>
        <v>2.6030000000000001E-2</v>
      </c>
    </row>
    <row r="17" spans="1:61" x14ac:dyDescent="0.25">
      <c r="A17" s="16">
        <f t="shared" ref="A17:A30" si="46">EDATE(A16,1)</f>
        <v>45276</v>
      </c>
      <c r="B17" s="6">
        <f t="shared" si="4"/>
        <v>2023</v>
      </c>
      <c r="C17" s="6">
        <f t="shared" si="5"/>
        <v>12</v>
      </c>
      <c r="D17" s="15">
        <v>6596846.0999999996</v>
      </c>
      <c r="E17" s="23">
        <v>4.6742999999999979E-2</v>
      </c>
      <c r="F17" s="31">
        <f t="shared" si="34"/>
        <v>1.0035057249999999</v>
      </c>
      <c r="G17" s="32">
        <f t="shared" si="6"/>
        <v>25696.36477102499</v>
      </c>
      <c r="I17" s="17">
        <v>45141</v>
      </c>
      <c r="J17" s="6">
        <f t="shared" si="7"/>
        <v>2023</v>
      </c>
      <c r="K17" s="6">
        <f t="shared" si="8"/>
        <v>8</v>
      </c>
      <c r="L17" s="7">
        <v>5345000</v>
      </c>
      <c r="M17" s="23">
        <v>6.0921999999999997E-2</v>
      </c>
      <c r="N17" s="31">
        <f t="shared" si="30"/>
        <v>1.0013538222222222</v>
      </c>
      <c r="O17" s="27">
        <f t="shared" si="9"/>
        <v>27135.674166666664</v>
      </c>
      <c r="Q17" s="41">
        <v>45224</v>
      </c>
      <c r="R17" s="6">
        <f>YEAR(Q17)</f>
        <v>2023</v>
      </c>
      <c r="S17" s="6">
        <f>MONTH(Q17)</f>
        <v>10</v>
      </c>
      <c r="T17" s="6">
        <v>149113</v>
      </c>
      <c r="U17" s="9">
        <v>6.2311000000000005E-2</v>
      </c>
      <c r="V17" s="31">
        <f t="shared" si="31"/>
        <v>1.001557775</v>
      </c>
      <c r="W17" s="27">
        <f>T17*U17/12</f>
        <v>774.28167858333336</v>
      </c>
      <c r="Y17" s="17">
        <f t="shared" si="35"/>
        <v>45321</v>
      </c>
      <c r="Z17" s="6">
        <f t="shared" si="12"/>
        <v>2024</v>
      </c>
      <c r="AA17" s="6">
        <f t="shared" si="13"/>
        <v>1</v>
      </c>
      <c r="AB17" s="7">
        <v>1453050.27</v>
      </c>
      <c r="AC17" s="33">
        <f t="shared" si="24"/>
        <v>4.8420000000000005E-2</v>
      </c>
      <c r="AD17" s="31">
        <f t="shared" si="32"/>
        <v>1.0041694999999999</v>
      </c>
      <c r="AE17" s="27">
        <f t="shared" si="14"/>
        <v>5863.0578394500008</v>
      </c>
      <c r="AG17" s="17">
        <f t="shared" si="40"/>
        <v>45454</v>
      </c>
      <c r="AH17" s="6">
        <f t="shared" si="37"/>
        <v>2024</v>
      </c>
      <c r="AI17" s="6">
        <f t="shared" si="38"/>
        <v>6</v>
      </c>
      <c r="AJ17" s="18">
        <f>-SUMIFS(Loans!D:D,Loans!C:C,"CHF")</f>
        <v>13640418.9</v>
      </c>
      <c r="AK17" s="33">
        <v>1.9400000000000001E-2</v>
      </c>
      <c r="AL17" s="31">
        <f t="shared" si="25"/>
        <v>1.0016166666666666</v>
      </c>
      <c r="AM17" s="27">
        <f t="shared" si="39"/>
        <v>22052.010555000001</v>
      </c>
      <c r="AN17" s="27"/>
      <c r="AO17" s="17">
        <f t="shared" si="36"/>
        <v>45644</v>
      </c>
      <c r="AP17" s="6">
        <f t="shared" si="41"/>
        <v>2024</v>
      </c>
      <c r="AQ17" s="6">
        <f t="shared" si="42"/>
        <v>12</v>
      </c>
      <c r="AR17" s="7">
        <f t="shared" si="43"/>
        <v>609651.71545768343</v>
      </c>
      <c r="AS17" s="33">
        <f t="shared" si="26"/>
        <v>6.0200000000000004E-2</v>
      </c>
      <c r="AT17" s="31">
        <f t="shared" si="44"/>
        <v>1.0050166666666667</v>
      </c>
      <c r="AU17" s="27">
        <f t="shared" si="45"/>
        <v>3058.4194392127119</v>
      </c>
      <c r="AV17" s="27"/>
      <c r="AW17" s="17">
        <f t="shared" si="27"/>
        <v>45492</v>
      </c>
      <c r="AX17" s="6">
        <f t="shared" si="21"/>
        <v>2024</v>
      </c>
      <c r="AY17" s="6">
        <f t="shared" si="28"/>
        <v>7</v>
      </c>
      <c r="AZ17">
        <v>139550000</v>
      </c>
      <c r="BA17" s="23">
        <v>8.6999999999999994E-3</v>
      </c>
      <c r="BB17" s="31">
        <f t="shared" si="29"/>
        <v>1.0007491666666666</v>
      </c>
      <c r="BC17" s="27">
        <f t="shared" si="22"/>
        <v>101173.75</v>
      </c>
      <c r="BD17" s="7">
        <f t="shared" si="0"/>
        <v>1</v>
      </c>
      <c r="BE17" s="7">
        <f t="shared" si="1"/>
        <v>1</v>
      </c>
      <c r="BF17" s="7">
        <f t="shared" si="2"/>
        <v>2023</v>
      </c>
      <c r="BG17" s="36">
        <v>44946</v>
      </c>
      <c r="BH17" s="33">
        <v>1.9030000000000002E-2</v>
      </c>
      <c r="BI17" s="35">
        <f t="shared" si="3"/>
        <v>2.6030000000000001E-2</v>
      </c>
    </row>
    <row r="18" spans="1:61" x14ac:dyDescent="0.25">
      <c r="A18" s="16">
        <v>45303</v>
      </c>
      <c r="B18" s="6">
        <f t="shared" si="4"/>
        <v>2024</v>
      </c>
      <c r="C18" s="6">
        <f t="shared" si="5"/>
        <v>1</v>
      </c>
      <c r="D18" s="15">
        <v>6596846.0999999996</v>
      </c>
      <c r="E18" s="23">
        <f t="shared" ref="E18:E24" si="47">E17</f>
        <v>4.6742999999999979E-2</v>
      </c>
      <c r="F18" s="31">
        <f t="shared" si="34"/>
        <v>1.0040250916666666</v>
      </c>
      <c r="G18" s="32">
        <f t="shared" si="6"/>
        <v>25696.36477102499</v>
      </c>
      <c r="I18" s="17">
        <v>45163</v>
      </c>
      <c r="J18" s="6">
        <f t="shared" si="7"/>
        <v>2023</v>
      </c>
      <c r="K18" s="6">
        <f t="shared" si="8"/>
        <v>8</v>
      </c>
      <c r="L18" s="7">
        <v>1070102.05</v>
      </c>
      <c r="M18" s="23">
        <v>6.1394999999999998E-2</v>
      </c>
      <c r="N18" s="31">
        <f t="shared" si="30"/>
        <v>1.0037519166666666</v>
      </c>
      <c r="O18" s="27">
        <f t="shared" si="9"/>
        <v>5474.9096133124995</v>
      </c>
      <c r="Q18" s="41">
        <v>45229</v>
      </c>
      <c r="R18" s="6">
        <f>YEAR(Q18)</f>
        <v>2023</v>
      </c>
      <c r="S18" s="6">
        <f>MONTH(Q18)</f>
        <v>10</v>
      </c>
      <c r="T18" s="6">
        <v>310000</v>
      </c>
      <c r="U18" s="9">
        <v>6.2197999999999976E-2</v>
      </c>
      <c r="V18" s="31">
        <f t="shared" si="31"/>
        <v>1.0008638611111111</v>
      </c>
      <c r="W18" s="27">
        <f>T18*U18/12</f>
        <v>1606.7816666666661</v>
      </c>
      <c r="Y18" s="17">
        <f t="shared" si="35"/>
        <v>45351</v>
      </c>
      <c r="Z18" s="6">
        <f t="shared" si="12"/>
        <v>2024</v>
      </c>
      <c r="AA18" s="6">
        <f t="shared" si="13"/>
        <v>2</v>
      </c>
      <c r="AB18" s="7">
        <f t="shared" ref="AB18:AB28" si="48">AB17+AE17</f>
        <v>1458913.32783945</v>
      </c>
      <c r="AC18" s="33">
        <f t="shared" si="24"/>
        <v>4.8420000000000012E-2</v>
      </c>
      <c r="AD18" s="31">
        <f t="shared" si="32"/>
        <v>1.004035</v>
      </c>
      <c r="AE18" s="27">
        <f t="shared" si="14"/>
        <v>5886.7152778321824</v>
      </c>
      <c r="AG18" s="17">
        <f t="shared" si="40"/>
        <v>45484</v>
      </c>
      <c r="AH18" s="6">
        <f t="shared" si="37"/>
        <v>2024</v>
      </c>
      <c r="AI18" s="6">
        <f t="shared" si="38"/>
        <v>7</v>
      </c>
      <c r="AJ18" s="18">
        <f>-SUMIFS(Loans!D:D,Loans!C:C,"CHF")</f>
        <v>13640418.9</v>
      </c>
      <c r="AK18" s="33">
        <v>1.9400000000000001E-2</v>
      </c>
      <c r="AL18" s="31">
        <f t="shared" si="25"/>
        <v>1.0016705555555556</v>
      </c>
      <c r="AM18" s="27">
        <f t="shared" si="39"/>
        <v>22052.010555000001</v>
      </c>
      <c r="AN18" s="27"/>
      <c r="AO18" s="17">
        <f t="shared" si="36"/>
        <v>45675</v>
      </c>
      <c r="AP18" s="6">
        <f>YEAR(AO18)</f>
        <v>2025</v>
      </c>
      <c r="AQ18" s="6">
        <f>MONTH(AO18)</f>
        <v>1</v>
      </c>
      <c r="AR18" s="7">
        <f t="shared" si="43"/>
        <v>612710.1348968962</v>
      </c>
      <c r="AS18" s="33">
        <f t="shared" si="26"/>
        <v>6.0200000000000004E-2</v>
      </c>
      <c r="AT18" s="31">
        <f>AS18*(AO18-AO17)/360+1</f>
        <v>1.0051838888888889</v>
      </c>
      <c r="AU18" s="27">
        <f>AR18*AS18/12</f>
        <v>3073.7625100660957</v>
      </c>
      <c r="AV18" s="27"/>
      <c r="AW18" s="17">
        <f t="shared" si="27"/>
        <v>45523</v>
      </c>
      <c r="AX18" s="6">
        <f t="shared" si="21"/>
        <v>2024</v>
      </c>
      <c r="AY18" s="6">
        <f t="shared" si="28"/>
        <v>8</v>
      </c>
      <c r="AZ18">
        <v>139550000</v>
      </c>
      <c r="BA18" s="23">
        <v>8.6999999999999994E-3</v>
      </c>
      <c r="BB18" s="31">
        <f t="shared" si="29"/>
        <v>1.0007491666666666</v>
      </c>
      <c r="BC18" s="27">
        <f t="shared" si="22"/>
        <v>101173.75</v>
      </c>
      <c r="BD18" s="7">
        <f t="shared" si="0"/>
        <v>1</v>
      </c>
      <c r="BE18" s="7">
        <f t="shared" si="1"/>
        <v>1</v>
      </c>
      <c r="BF18" s="7">
        <f t="shared" si="2"/>
        <v>2023</v>
      </c>
      <c r="BG18" s="36">
        <v>44949</v>
      </c>
      <c r="BH18" s="33">
        <v>1.9019999999999999E-2</v>
      </c>
      <c r="BI18" s="35">
        <f t="shared" si="3"/>
        <v>2.6019999999999998E-2</v>
      </c>
    </row>
    <row r="19" spans="1:61" x14ac:dyDescent="0.25">
      <c r="A19" s="16">
        <f t="shared" si="46"/>
        <v>45334</v>
      </c>
      <c r="B19" s="6">
        <f t="shared" si="4"/>
        <v>2024</v>
      </c>
      <c r="C19" s="6">
        <f t="shared" si="5"/>
        <v>2</v>
      </c>
      <c r="D19" s="15">
        <v>7189395.4500000002</v>
      </c>
      <c r="E19" s="23">
        <v>4.5446E-2</v>
      </c>
      <c r="F19" s="31">
        <f t="shared" si="34"/>
        <v>1.0036609277777777</v>
      </c>
      <c r="G19" s="32">
        <f t="shared" si="6"/>
        <v>27227.438801725002</v>
      </c>
      <c r="I19" s="17">
        <v>45175</v>
      </c>
      <c r="J19" s="6">
        <f t="shared" si="7"/>
        <v>2023</v>
      </c>
      <c r="K19" s="6">
        <f t="shared" si="8"/>
        <v>9</v>
      </c>
      <c r="L19" s="7">
        <v>5372700</v>
      </c>
      <c r="M19" s="23">
        <v>6.0400000000000002E-2</v>
      </c>
      <c r="N19" s="31">
        <f t="shared" si="30"/>
        <v>1.0020133333333334</v>
      </c>
      <c r="O19" s="27">
        <f t="shared" si="9"/>
        <v>27042.59</v>
      </c>
      <c r="Q19" s="41">
        <v>45240</v>
      </c>
      <c r="R19" s="6">
        <f>YEAR(Q19)</f>
        <v>2023</v>
      </c>
      <c r="S19" s="6">
        <f>MONTH(Q19)</f>
        <v>11</v>
      </c>
      <c r="T19" s="6">
        <v>195000</v>
      </c>
      <c r="U19" s="9">
        <v>6.1887999999999943E-2</v>
      </c>
      <c r="V19" s="31">
        <f t="shared" si="31"/>
        <v>1.0018910222222221</v>
      </c>
      <c r="W19" s="27">
        <f>T19*U19/12</f>
        <v>1005.679999999999</v>
      </c>
      <c r="Y19" s="17">
        <f t="shared" si="35"/>
        <v>45380</v>
      </c>
      <c r="Z19" s="6">
        <f t="shared" si="12"/>
        <v>2024</v>
      </c>
      <c r="AA19" s="6">
        <f t="shared" si="13"/>
        <v>3</v>
      </c>
      <c r="AB19" s="7">
        <v>1453050.27</v>
      </c>
      <c r="AC19" s="33">
        <f t="shared" si="24"/>
        <v>4.8420000000000012E-2</v>
      </c>
      <c r="AD19" s="31">
        <f t="shared" si="32"/>
        <v>1.0039005000000001</v>
      </c>
      <c r="AE19" s="27">
        <f t="shared" si="14"/>
        <v>5863.0578394500017</v>
      </c>
      <c r="AG19" s="17">
        <f t="shared" si="40"/>
        <v>45515</v>
      </c>
      <c r="AH19" s="6">
        <f t="shared" si="37"/>
        <v>2024</v>
      </c>
      <c r="AI19" s="6">
        <f t="shared" si="38"/>
        <v>8</v>
      </c>
      <c r="AJ19" s="18">
        <f>-SUMIFS(Loans!D:D,Loans!C:C,"CHF")</f>
        <v>13640418.9</v>
      </c>
      <c r="AK19" s="33">
        <v>1.9400000000000001E-2</v>
      </c>
      <c r="AL19" s="31">
        <f t="shared" si="25"/>
        <v>1.0016705555555556</v>
      </c>
      <c r="AM19" s="27">
        <f t="shared" si="39"/>
        <v>22052.010555000001</v>
      </c>
      <c r="AN19" s="27"/>
      <c r="AO19" s="17"/>
      <c r="AP19" s="6"/>
      <c r="AQ19" s="6"/>
      <c r="AS19" s="33"/>
      <c r="AT19" s="31"/>
      <c r="AU19" s="27"/>
      <c r="AV19" s="27"/>
      <c r="AW19" s="17">
        <f t="shared" si="27"/>
        <v>45554</v>
      </c>
      <c r="AX19" s="6">
        <f t="shared" si="21"/>
        <v>2024</v>
      </c>
      <c r="AY19" s="6">
        <f t="shared" si="28"/>
        <v>9</v>
      </c>
      <c r="AZ19">
        <v>139550000</v>
      </c>
      <c r="BA19" s="23">
        <v>8.6999999999999994E-3</v>
      </c>
      <c r="BB19" s="31">
        <f t="shared" si="29"/>
        <v>1.0007250000000001</v>
      </c>
      <c r="BC19" s="27">
        <f t="shared" si="22"/>
        <v>101173.75</v>
      </c>
      <c r="BD19" s="7">
        <f t="shared" si="0"/>
        <v>1</v>
      </c>
      <c r="BE19" s="7">
        <f t="shared" si="1"/>
        <v>1</v>
      </c>
      <c r="BF19" s="7">
        <f t="shared" si="2"/>
        <v>2023</v>
      </c>
      <c r="BG19" s="36">
        <v>44950</v>
      </c>
      <c r="BH19" s="33">
        <v>1.9040000000000001E-2</v>
      </c>
      <c r="BI19" s="35">
        <f t="shared" si="3"/>
        <v>2.6040000000000001E-2</v>
      </c>
    </row>
    <row r="20" spans="1:61" x14ac:dyDescent="0.25">
      <c r="A20" s="16">
        <f t="shared" si="46"/>
        <v>45363</v>
      </c>
      <c r="B20" s="6">
        <f t="shared" si="4"/>
        <v>2024</v>
      </c>
      <c r="C20" s="6">
        <f t="shared" si="5"/>
        <v>3</v>
      </c>
      <c r="D20" s="15">
        <v>7850008.2400000002</v>
      </c>
      <c r="E20" s="23">
        <v>4.6600000000000003E-2</v>
      </c>
      <c r="F20" s="31">
        <f t="shared" si="34"/>
        <v>1.0040127777777779</v>
      </c>
      <c r="G20" s="32">
        <f t="shared" si="6"/>
        <v>30484.198665333333</v>
      </c>
      <c r="I20" s="17">
        <v>45204</v>
      </c>
      <c r="J20" s="6">
        <f t="shared" si="7"/>
        <v>2023</v>
      </c>
      <c r="K20" s="6">
        <f t="shared" si="8"/>
        <v>10</v>
      </c>
      <c r="L20" s="7">
        <v>3002000</v>
      </c>
      <c r="M20" s="23">
        <v>6.1771E-2</v>
      </c>
      <c r="N20" s="31">
        <f t="shared" si="30"/>
        <v>1.0049759972222223</v>
      </c>
      <c r="O20" s="27">
        <f t="shared" si="9"/>
        <v>15453.045166666665</v>
      </c>
      <c r="Q20" s="41">
        <v>45246</v>
      </c>
      <c r="R20" s="6">
        <f>YEAR(Q20)</f>
        <v>2023</v>
      </c>
      <c r="S20" s="6">
        <f>MONTH(Q20)</f>
        <v>11</v>
      </c>
      <c r="T20" s="6">
        <v>216231</v>
      </c>
      <c r="U20" s="9">
        <v>6.1970000000000081E-2</v>
      </c>
      <c r="V20" s="31">
        <f t="shared" si="31"/>
        <v>1.0010328333333334</v>
      </c>
      <c r="W20" s="27">
        <f>T20*U20/12</f>
        <v>1116.6529225000015</v>
      </c>
      <c r="Y20" s="17">
        <f t="shared" si="35"/>
        <v>45411</v>
      </c>
      <c r="Z20" s="6">
        <f t="shared" si="12"/>
        <v>2024</v>
      </c>
      <c r="AA20" s="6">
        <f t="shared" si="13"/>
        <v>4</v>
      </c>
      <c r="AB20" s="7">
        <f t="shared" si="48"/>
        <v>1458913.32783945</v>
      </c>
      <c r="AC20" s="33">
        <f t="shared" si="24"/>
        <v>4.8420000000000012E-2</v>
      </c>
      <c r="AD20" s="31">
        <f t="shared" si="32"/>
        <v>1.0041694999999999</v>
      </c>
      <c r="AE20" s="27">
        <f t="shared" si="14"/>
        <v>5886.7152778321824</v>
      </c>
      <c r="AG20" s="17">
        <f t="shared" si="40"/>
        <v>45546</v>
      </c>
      <c r="AH20" s="6">
        <f t="shared" si="37"/>
        <v>2024</v>
      </c>
      <c r="AI20" s="6">
        <f t="shared" si="38"/>
        <v>9</v>
      </c>
      <c r="AJ20" s="18">
        <f>-SUMIFS(Loans!D:D,Loans!C:C,"CHF")</f>
        <v>13640418.9</v>
      </c>
      <c r="AK20" s="33">
        <v>1.9400000000000001E-2</v>
      </c>
      <c r="AL20" s="31">
        <f t="shared" si="25"/>
        <v>1.0016166666666666</v>
      </c>
      <c r="AM20" s="27">
        <f t="shared" si="39"/>
        <v>22052.010555000001</v>
      </c>
      <c r="AN20" s="27"/>
      <c r="AO20" s="17"/>
      <c r="AP20" s="6"/>
      <c r="AQ20" s="6"/>
      <c r="AS20" s="33"/>
      <c r="AT20" s="31"/>
      <c r="AU20" s="27"/>
      <c r="AV20" s="27"/>
      <c r="AW20" s="17">
        <f t="shared" si="27"/>
        <v>45584</v>
      </c>
      <c r="AX20" s="6">
        <f t="shared" si="21"/>
        <v>2024</v>
      </c>
      <c r="AY20" s="6">
        <f t="shared" si="28"/>
        <v>10</v>
      </c>
      <c r="AZ20">
        <v>139550000</v>
      </c>
      <c r="BA20" s="23">
        <v>8.6999999999999994E-3</v>
      </c>
      <c r="BB20" s="31">
        <f t="shared" si="29"/>
        <v>1.0007491666666666</v>
      </c>
      <c r="BC20" s="27">
        <f t="shared" si="22"/>
        <v>101173.75</v>
      </c>
      <c r="BD20" s="7">
        <f t="shared" si="0"/>
        <v>1</v>
      </c>
      <c r="BE20" s="7">
        <f t="shared" si="1"/>
        <v>1</v>
      </c>
      <c r="BF20" s="7">
        <f t="shared" si="2"/>
        <v>2023</v>
      </c>
      <c r="BG20" s="36">
        <v>44951</v>
      </c>
      <c r="BH20" s="33">
        <v>1.9040000000000001E-2</v>
      </c>
      <c r="BI20" s="35">
        <f t="shared" si="3"/>
        <v>2.6040000000000001E-2</v>
      </c>
    </row>
    <row r="21" spans="1:61" x14ac:dyDescent="0.25">
      <c r="A21" s="16">
        <f t="shared" si="46"/>
        <v>45394</v>
      </c>
      <c r="B21" s="6">
        <f t="shared" si="4"/>
        <v>2024</v>
      </c>
      <c r="C21" s="6">
        <f t="shared" si="5"/>
        <v>4</v>
      </c>
      <c r="D21" s="15">
        <v>7850008.2400000002</v>
      </c>
      <c r="E21" s="23">
        <f t="shared" si="47"/>
        <v>4.6600000000000003E-2</v>
      </c>
      <c r="F21" s="31">
        <f t="shared" si="34"/>
        <v>1.0038833333333332</v>
      </c>
      <c r="G21" s="32">
        <f t="shared" si="6"/>
        <v>30484.198665333333</v>
      </c>
      <c r="I21" s="17">
        <f t="shared" ref="I21:I35" si="49">EDATE(I20,1)</f>
        <v>45235</v>
      </c>
      <c r="J21" s="6">
        <f t="shared" si="7"/>
        <v>2023</v>
      </c>
      <c r="K21" s="6">
        <f t="shared" si="8"/>
        <v>11</v>
      </c>
      <c r="L21" s="7">
        <v>3022707</v>
      </c>
      <c r="M21" s="23">
        <v>6.1771E-2</v>
      </c>
      <c r="N21" s="31">
        <f t="shared" si="30"/>
        <v>1.0053191694444445</v>
      </c>
      <c r="O21" s="27">
        <f t="shared" si="9"/>
        <v>15559.63617475</v>
      </c>
      <c r="Q21" s="17">
        <v>45274</v>
      </c>
      <c r="R21" s="6">
        <f t="shared" ref="R21:R34" si="50">YEAR(Q21)</f>
        <v>2023</v>
      </c>
      <c r="S21" s="6">
        <f t="shared" ref="S21:S34" si="51">MONTH(Q21)</f>
        <v>12</v>
      </c>
      <c r="T21" s="7">
        <v>0</v>
      </c>
      <c r="U21" s="9">
        <v>6.2063E-2</v>
      </c>
      <c r="V21" s="31">
        <f t="shared" si="31"/>
        <v>1.0048271222222223</v>
      </c>
      <c r="W21" s="27">
        <f t="shared" ref="W21:W33" si="52">T21*U21/12</f>
        <v>0</v>
      </c>
      <c r="Y21" s="17">
        <f t="shared" si="35"/>
        <v>45441</v>
      </c>
      <c r="Z21" s="6">
        <f t="shared" si="12"/>
        <v>2024</v>
      </c>
      <c r="AA21" s="6">
        <f t="shared" si="13"/>
        <v>5</v>
      </c>
      <c r="AB21" s="7">
        <v>1605494.45</v>
      </c>
      <c r="AC21" s="33">
        <f t="shared" si="24"/>
        <v>4.8420000000000005E-2</v>
      </c>
      <c r="AD21" s="31">
        <f t="shared" si="32"/>
        <v>1.004035</v>
      </c>
      <c r="AE21" s="27">
        <f t="shared" si="14"/>
        <v>6478.1701057500004</v>
      </c>
      <c r="AG21" s="17">
        <f t="shared" si="40"/>
        <v>45576</v>
      </c>
      <c r="AH21" s="6">
        <f t="shared" si="37"/>
        <v>2024</v>
      </c>
      <c r="AI21" s="6">
        <f t="shared" si="38"/>
        <v>10</v>
      </c>
      <c r="AJ21" s="18">
        <f>-SUMIFS(Loans!D:D,Loans!C:C,"CHF")</f>
        <v>13640418.9</v>
      </c>
      <c r="AK21" s="33">
        <v>1.9400000000000001E-2</v>
      </c>
      <c r="AL21" s="31">
        <f t="shared" si="25"/>
        <v>1.0016705555555556</v>
      </c>
      <c r="AM21" s="27">
        <f t="shared" si="39"/>
        <v>22052.010555000001</v>
      </c>
      <c r="AN21" s="27"/>
      <c r="AO21" s="17"/>
      <c r="AP21" s="6"/>
      <c r="AQ21" s="6"/>
      <c r="AS21" s="33"/>
      <c r="AT21" s="31"/>
      <c r="AU21" s="27"/>
      <c r="AV21" s="27"/>
      <c r="AW21" s="17">
        <f t="shared" si="27"/>
        <v>45615</v>
      </c>
      <c r="AX21" s="6">
        <f t="shared" si="21"/>
        <v>2024</v>
      </c>
      <c r="AY21" s="6">
        <f t="shared" si="28"/>
        <v>11</v>
      </c>
      <c r="AZ21">
        <v>139550000</v>
      </c>
      <c r="BA21" s="23">
        <v>8.6999999999999994E-3</v>
      </c>
      <c r="BB21" s="31">
        <f t="shared" si="29"/>
        <v>1.0007250000000001</v>
      </c>
      <c r="BC21" s="27">
        <f t="shared" si="22"/>
        <v>101173.75</v>
      </c>
      <c r="BD21" s="7">
        <f t="shared" si="0"/>
        <v>1</v>
      </c>
      <c r="BE21" s="7">
        <f t="shared" si="1"/>
        <v>1</v>
      </c>
      <c r="BF21" s="7">
        <f t="shared" si="2"/>
        <v>2023</v>
      </c>
      <c r="BG21" s="36">
        <v>44952</v>
      </c>
      <c r="BH21" s="33">
        <v>1.9040000000000001E-2</v>
      </c>
      <c r="BI21" s="35">
        <f t="shared" si="3"/>
        <v>2.6040000000000001E-2</v>
      </c>
    </row>
    <row r="22" spans="1:61" x14ac:dyDescent="0.25">
      <c r="A22" s="16">
        <f t="shared" si="46"/>
        <v>45424</v>
      </c>
      <c r="B22" s="6">
        <f t="shared" si="4"/>
        <v>2024</v>
      </c>
      <c r="C22" s="6">
        <f t="shared" si="5"/>
        <v>5</v>
      </c>
      <c r="D22" s="15">
        <f t="shared" ref="D22:D29" si="53">D21+G21</f>
        <v>7880492.4386653332</v>
      </c>
      <c r="E22" s="23">
        <f t="shared" si="47"/>
        <v>4.6600000000000003E-2</v>
      </c>
      <c r="F22" s="31">
        <f t="shared" si="34"/>
        <v>1.0040127777777779</v>
      </c>
      <c r="G22" s="32">
        <f t="shared" si="6"/>
        <v>30602.578970150378</v>
      </c>
      <c r="I22" s="17">
        <f t="shared" si="49"/>
        <v>45265</v>
      </c>
      <c r="J22" s="6">
        <f t="shared" si="7"/>
        <v>2023</v>
      </c>
      <c r="K22" s="6">
        <f t="shared" si="8"/>
        <v>12</v>
      </c>
      <c r="L22" s="7">
        <v>3052008.84</v>
      </c>
      <c r="M22" s="23">
        <v>6.1767000000000002E-2</v>
      </c>
      <c r="N22" s="31">
        <f t="shared" si="30"/>
        <v>1.00514725</v>
      </c>
      <c r="O22" s="27">
        <f t="shared" si="9"/>
        <v>15709.452501690001</v>
      </c>
      <c r="Q22" s="17">
        <f t="shared" ref="Q22:Q34" si="54">EDATE(Q21,1)</f>
        <v>45305</v>
      </c>
      <c r="R22" s="6">
        <f t="shared" si="50"/>
        <v>2024</v>
      </c>
      <c r="S22" s="6">
        <f t="shared" si="51"/>
        <v>1</v>
      </c>
      <c r="T22" s="7">
        <v>1691947.67</v>
      </c>
      <c r="U22" s="9">
        <v>6.2063E-2</v>
      </c>
      <c r="V22" s="31">
        <f t="shared" si="31"/>
        <v>1.0053443138888889</v>
      </c>
      <c r="W22" s="27">
        <f t="shared" si="52"/>
        <v>8750.6123536008326</v>
      </c>
      <c r="Y22" s="17">
        <f t="shared" si="35"/>
        <v>45472</v>
      </c>
      <c r="Z22" s="6">
        <f t="shared" si="12"/>
        <v>2024</v>
      </c>
      <c r="AA22" s="6">
        <f t="shared" si="13"/>
        <v>6</v>
      </c>
      <c r="AB22" s="7">
        <f t="shared" si="48"/>
        <v>1611972.6201057499</v>
      </c>
      <c r="AC22" s="33">
        <f>AVERAGEIFS(BI:BI,BF:BF,"2024",BD:BD,"2")</f>
        <v>4.8420000000000019E-2</v>
      </c>
      <c r="AD22" s="31">
        <f t="shared" si="32"/>
        <v>1.0041694999999999</v>
      </c>
      <c r="AE22" s="27">
        <f t="shared" si="14"/>
        <v>6504.3095221267031</v>
      </c>
      <c r="AG22" s="17">
        <f t="shared" si="40"/>
        <v>45607</v>
      </c>
      <c r="AH22" s="6">
        <f t="shared" si="37"/>
        <v>2024</v>
      </c>
      <c r="AI22" s="6">
        <f t="shared" si="38"/>
        <v>11</v>
      </c>
      <c r="AJ22" s="18">
        <f>-SUMIFS(Loans!D:D,Loans!C:C,"CHF")</f>
        <v>13640418.9</v>
      </c>
      <c r="AK22" s="33">
        <v>1.9400000000000001E-2</v>
      </c>
      <c r="AL22" s="31">
        <f t="shared" si="25"/>
        <v>1.0016166666666666</v>
      </c>
      <c r="AM22" s="27">
        <f t="shared" si="39"/>
        <v>22052.010555000001</v>
      </c>
      <c r="AN22" s="27"/>
      <c r="AO22" s="17"/>
      <c r="AP22" s="6"/>
      <c r="AQ22" s="6"/>
      <c r="AS22" s="33"/>
      <c r="AT22" s="31"/>
      <c r="AU22" s="27"/>
      <c r="AV22" s="27"/>
      <c r="AW22" s="17">
        <f t="shared" si="27"/>
        <v>45645</v>
      </c>
      <c r="AX22" s="6">
        <f t="shared" si="21"/>
        <v>2024</v>
      </c>
      <c r="AY22" s="6">
        <f t="shared" si="28"/>
        <v>12</v>
      </c>
      <c r="AZ22">
        <v>139550000</v>
      </c>
      <c r="BA22" s="23">
        <v>8.6999999999999994E-3</v>
      </c>
      <c r="BB22" s="31">
        <f t="shared" si="29"/>
        <v>1.0007491666666666</v>
      </c>
      <c r="BC22" s="27">
        <f t="shared" si="22"/>
        <v>101173.75</v>
      </c>
      <c r="BD22" s="7">
        <f t="shared" si="0"/>
        <v>1</v>
      </c>
      <c r="BE22" s="7">
        <f t="shared" si="1"/>
        <v>1</v>
      </c>
      <c r="BF22" s="7">
        <f t="shared" si="2"/>
        <v>2023</v>
      </c>
      <c r="BG22" s="36">
        <v>44953</v>
      </c>
      <c r="BH22" s="33">
        <v>1.9060000000000001E-2</v>
      </c>
      <c r="BI22" s="35">
        <f t="shared" si="3"/>
        <v>2.606E-2</v>
      </c>
    </row>
    <row r="23" spans="1:61" x14ac:dyDescent="0.25">
      <c r="A23" s="16">
        <f t="shared" si="46"/>
        <v>45455</v>
      </c>
      <c r="B23" s="6">
        <f t="shared" si="4"/>
        <v>2024</v>
      </c>
      <c r="C23" s="6">
        <f t="shared" si="5"/>
        <v>6</v>
      </c>
      <c r="D23" s="15">
        <f t="shared" si="53"/>
        <v>7911095.0176354833</v>
      </c>
      <c r="E23" s="23">
        <v>4.4499999999999998E-2</v>
      </c>
      <c r="F23" s="31">
        <f t="shared" si="34"/>
        <v>1.0037083333333334</v>
      </c>
      <c r="G23" s="32">
        <f t="shared" si="6"/>
        <v>29336.977357064916</v>
      </c>
      <c r="I23" s="17">
        <f t="shared" si="49"/>
        <v>45296</v>
      </c>
      <c r="J23" s="6">
        <f t="shared" si="7"/>
        <v>2024</v>
      </c>
      <c r="K23" s="6">
        <f t="shared" si="8"/>
        <v>1</v>
      </c>
      <c r="L23" s="7">
        <v>3065819.19</v>
      </c>
      <c r="M23" s="9">
        <v>6.164600000000009E-2</v>
      </c>
      <c r="N23" s="31">
        <f t="shared" si="30"/>
        <v>1.0053084055555557</v>
      </c>
      <c r="O23" s="27">
        <f t="shared" si="9"/>
        <v>15749.624148895024</v>
      </c>
      <c r="Q23" s="17">
        <f t="shared" si="54"/>
        <v>45336</v>
      </c>
      <c r="R23" s="6">
        <f t="shared" si="50"/>
        <v>2024</v>
      </c>
      <c r="S23" s="6">
        <f t="shared" si="51"/>
        <v>2</v>
      </c>
      <c r="T23" s="7">
        <v>1700704.2041704457</v>
      </c>
      <c r="U23" s="9">
        <f>U22</f>
        <v>6.2063E-2</v>
      </c>
      <c r="V23" s="31">
        <f t="shared" si="31"/>
        <v>1.0053443138888889</v>
      </c>
      <c r="W23" s="27">
        <f t="shared" si="52"/>
        <v>8795.9004186191978</v>
      </c>
      <c r="Y23" s="17">
        <f t="shared" si="35"/>
        <v>45502</v>
      </c>
      <c r="Z23" s="6">
        <f t="shared" si="12"/>
        <v>2024</v>
      </c>
      <c r="AA23" s="6">
        <f t="shared" si="13"/>
        <v>7</v>
      </c>
      <c r="AB23" s="7">
        <f t="shared" si="48"/>
        <v>1618476.9296278767</v>
      </c>
      <c r="AC23" s="33">
        <f>AVERAGEIFS(BI:BI,BF:BF,Z23,BE:BE,AA23)</f>
        <v>4.8420000000000005E-2</v>
      </c>
      <c r="AD23" s="31">
        <f t="shared" si="32"/>
        <v>1.004035</v>
      </c>
      <c r="AE23" s="27">
        <f t="shared" si="14"/>
        <v>6530.5544110484834</v>
      </c>
      <c r="AG23" s="17">
        <f t="shared" si="40"/>
        <v>45637</v>
      </c>
      <c r="AH23" s="6">
        <f t="shared" si="37"/>
        <v>2024</v>
      </c>
      <c r="AI23" s="6">
        <f t="shared" si="38"/>
        <v>12</v>
      </c>
      <c r="AJ23" s="18">
        <f>-SUMIFS(Loans!D:D,Loans!C:C,"CHF")</f>
        <v>13640418.9</v>
      </c>
      <c r="AK23" s="33">
        <v>1.9400000000000001E-2</v>
      </c>
      <c r="AL23" s="31">
        <f t="shared" si="25"/>
        <v>1.0016705555555556</v>
      </c>
      <c r="AM23" s="27">
        <f t="shared" si="39"/>
        <v>22052.010555000001</v>
      </c>
      <c r="AN23" s="27"/>
      <c r="AO23" s="17"/>
      <c r="AP23" s="6"/>
      <c r="AQ23" s="6"/>
      <c r="AS23" s="33"/>
      <c r="AT23" s="31"/>
      <c r="AU23" s="27"/>
      <c r="AV23" s="27"/>
      <c r="AW23" s="17">
        <f t="shared" si="27"/>
        <v>45676</v>
      </c>
      <c r="BD23" s="7">
        <f t="shared" si="0"/>
        <v>1</v>
      </c>
      <c r="BE23" s="7">
        <f t="shared" si="1"/>
        <v>1</v>
      </c>
      <c r="BF23" s="7">
        <f t="shared" si="2"/>
        <v>2023</v>
      </c>
      <c r="BG23" s="36">
        <v>44956</v>
      </c>
      <c r="BH23" s="33">
        <v>1.9040000000000001E-2</v>
      </c>
      <c r="BI23" s="35">
        <f t="shared" si="3"/>
        <v>2.6040000000000001E-2</v>
      </c>
    </row>
    <row r="24" spans="1:61" x14ac:dyDescent="0.25">
      <c r="A24" s="16">
        <f t="shared" si="46"/>
        <v>45485</v>
      </c>
      <c r="B24" s="6">
        <f t="shared" si="4"/>
        <v>2024</v>
      </c>
      <c r="C24" s="6">
        <f t="shared" si="5"/>
        <v>7</v>
      </c>
      <c r="D24" s="15">
        <f t="shared" si="53"/>
        <v>7940431.9949925486</v>
      </c>
      <c r="E24" s="23">
        <f t="shared" si="47"/>
        <v>4.4499999999999998E-2</v>
      </c>
      <c r="F24" s="31">
        <f t="shared" si="34"/>
        <v>1.0042027777777778</v>
      </c>
      <c r="G24" s="32">
        <f t="shared" si="6"/>
        <v>29445.768648097364</v>
      </c>
      <c r="I24" s="17">
        <f t="shared" si="49"/>
        <v>45327</v>
      </c>
      <c r="J24" s="6">
        <f t="shared" si="7"/>
        <v>2024</v>
      </c>
      <c r="K24" s="6">
        <f t="shared" si="8"/>
        <v>2</v>
      </c>
      <c r="L24" s="7">
        <v>3000975.9</v>
      </c>
      <c r="M24" s="9">
        <f>M23</f>
        <v>6.164600000000009E-2</v>
      </c>
      <c r="N24" s="31">
        <f t="shared" si="30"/>
        <v>1.0053084055555557</v>
      </c>
      <c r="O24" s="27">
        <f t="shared" si="9"/>
        <v>15416.513360950021</v>
      </c>
      <c r="Q24" s="17">
        <v>45379</v>
      </c>
      <c r="R24" s="6">
        <f t="shared" si="50"/>
        <v>2024</v>
      </c>
      <c r="S24" s="6">
        <f t="shared" si="51"/>
        <v>3</v>
      </c>
      <c r="T24" s="7">
        <v>2647750.61</v>
      </c>
      <c r="U24" s="9">
        <v>6.1899999999999997E-2</v>
      </c>
      <c r="V24" s="31">
        <f t="shared" si="31"/>
        <v>1.007393611111111</v>
      </c>
      <c r="W24" s="27">
        <f t="shared" si="52"/>
        <v>13657.980229916664</v>
      </c>
      <c r="Y24" s="17">
        <f t="shared" si="35"/>
        <v>45533</v>
      </c>
      <c r="Z24" s="6">
        <f t="shared" si="12"/>
        <v>2024</v>
      </c>
      <c r="AA24" s="6">
        <f t="shared" si="13"/>
        <v>8</v>
      </c>
      <c r="AB24" s="7">
        <f t="shared" si="48"/>
        <v>1625007.4840389253</v>
      </c>
      <c r="AC24" s="33">
        <f>AVERAGEIFS(BI:BI,BF:BF,Z24,BE:BE,AA24)</f>
        <v>4.6942727272727261E-2</v>
      </c>
      <c r="AD24" s="31">
        <f t="shared" si="32"/>
        <v>1.0040422904040405</v>
      </c>
      <c r="AE24" s="27">
        <f t="shared" si="14"/>
        <v>6356.8569282816643</v>
      </c>
      <c r="AG24" s="17">
        <f t="shared" si="40"/>
        <v>45668</v>
      </c>
      <c r="AH24" s="6">
        <f t="shared" si="37"/>
        <v>2025</v>
      </c>
      <c r="AI24" s="6">
        <f t="shared" si="38"/>
        <v>1</v>
      </c>
      <c r="AJ24" s="18"/>
      <c r="AK24" s="33"/>
      <c r="AL24" s="31"/>
      <c r="AM24"/>
      <c r="AN24"/>
      <c r="AO24" s="17"/>
      <c r="AP24" s="6"/>
      <c r="AQ24" s="6"/>
      <c r="AS24" s="33"/>
      <c r="AT24" s="31"/>
      <c r="AU24" s="27"/>
      <c r="AV24"/>
      <c r="AW24" s="9"/>
      <c r="AX24" s="9"/>
      <c r="AY24" s="9"/>
      <c r="AZ24" s="9"/>
      <c r="BA24" s="9"/>
      <c r="BB24" s="9"/>
      <c r="BC24" s="9"/>
      <c r="BD24" s="7">
        <f t="shared" si="0"/>
        <v>1</v>
      </c>
      <c r="BE24" s="7">
        <f t="shared" si="1"/>
        <v>1</v>
      </c>
      <c r="BF24" s="7">
        <f t="shared" si="2"/>
        <v>2023</v>
      </c>
      <c r="BG24" s="36">
        <v>44957</v>
      </c>
      <c r="BH24" s="33">
        <v>1.8940000000000002E-2</v>
      </c>
      <c r="BI24" s="35">
        <f t="shared" si="3"/>
        <v>2.5940000000000001E-2</v>
      </c>
    </row>
    <row r="25" spans="1:61" x14ac:dyDescent="0.25">
      <c r="A25" s="16">
        <v>45519</v>
      </c>
      <c r="B25" s="6">
        <f t="shared" si="4"/>
        <v>2024</v>
      </c>
      <c r="C25" s="6">
        <f t="shared" si="5"/>
        <v>8</v>
      </c>
      <c r="D25" s="15">
        <v>9664598</v>
      </c>
      <c r="E25" s="9">
        <v>4.3092738094228027E-2</v>
      </c>
      <c r="F25" s="31">
        <f t="shared" si="34"/>
        <v>1.0037107635581142</v>
      </c>
      <c r="G25" s="32">
        <f t="shared" si="6"/>
        <v>34706.16586666667</v>
      </c>
      <c r="I25" s="17">
        <f t="shared" si="49"/>
        <v>45356</v>
      </c>
      <c r="J25" s="6">
        <f t="shared" si="7"/>
        <v>2024</v>
      </c>
      <c r="K25" s="6">
        <f t="shared" si="8"/>
        <v>3</v>
      </c>
      <c r="L25" s="7">
        <v>1041753.21</v>
      </c>
      <c r="M25" s="9">
        <v>6.1699999999999998E-2</v>
      </c>
      <c r="N25" s="31">
        <f t="shared" si="30"/>
        <v>1.0049702777777778</v>
      </c>
      <c r="O25" s="27">
        <f t="shared" si="9"/>
        <v>5356.3477547499997</v>
      </c>
      <c r="Q25" s="17">
        <f t="shared" si="54"/>
        <v>45410</v>
      </c>
      <c r="R25" s="6">
        <f t="shared" si="50"/>
        <v>2024</v>
      </c>
      <c r="S25" s="6">
        <f t="shared" si="51"/>
        <v>4</v>
      </c>
      <c r="T25" s="7">
        <f t="shared" ref="T25:T33" si="55">T24+W24</f>
        <v>2661408.5902299164</v>
      </c>
      <c r="U25" s="9">
        <f>U24</f>
        <v>6.1899999999999997E-2</v>
      </c>
      <c r="V25" s="31">
        <f t="shared" si="31"/>
        <v>1.0053302777777777</v>
      </c>
      <c r="W25" s="27">
        <f t="shared" si="52"/>
        <v>13728.432644602652</v>
      </c>
      <c r="Y25" s="17">
        <f t="shared" si="35"/>
        <v>45564</v>
      </c>
      <c r="Z25" s="6">
        <f t="shared" si="12"/>
        <v>2024</v>
      </c>
      <c r="AA25" s="6">
        <f t="shared" si="13"/>
        <v>9</v>
      </c>
      <c r="AB25" s="7">
        <f t="shared" si="48"/>
        <v>1631364.340967207</v>
      </c>
      <c r="AC25" s="33">
        <f>AVERAGEIFS(BI:BI,BF:BF,"2024",BD:BD,"3")</f>
        <v>4.7132121212121264E-2</v>
      </c>
      <c r="AD25" s="31">
        <f>AC25*(Y25-Y24)/360+1</f>
        <v>1.0040585993265994</v>
      </c>
      <c r="AE25" s="27">
        <f t="shared" si="14"/>
        <v>6407.4718216332267</v>
      </c>
      <c r="AO25" s="17"/>
      <c r="AP25" s="6"/>
      <c r="AQ25" s="6"/>
      <c r="AS25" s="33"/>
      <c r="AT25" s="31"/>
      <c r="AU25" s="27"/>
      <c r="AW25" s="9"/>
      <c r="AX25" s="9"/>
      <c r="AY25" s="9"/>
      <c r="AZ25" s="9"/>
      <c r="BA25" s="9"/>
      <c r="BB25" s="9"/>
      <c r="BC25" s="9"/>
      <c r="BD25" s="7">
        <f t="shared" si="0"/>
        <v>1</v>
      </c>
      <c r="BE25" s="7">
        <f t="shared" si="1"/>
        <v>2</v>
      </c>
      <c r="BF25" s="7">
        <f t="shared" si="2"/>
        <v>2023</v>
      </c>
      <c r="BG25" s="36">
        <v>44958</v>
      </c>
      <c r="BH25" s="33">
        <v>1.9009999999999999E-2</v>
      </c>
      <c r="BI25" s="35">
        <f t="shared" si="3"/>
        <v>2.6009999999999998E-2</v>
      </c>
    </row>
    <row r="26" spans="1:61" x14ac:dyDescent="0.25">
      <c r="A26" s="16">
        <f t="shared" si="46"/>
        <v>45550</v>
      </c>
      <c r="B26" s="6">
        <f t="shared" si="4"/>
        <v>2024</v>
      </c>
      <c r="C26" s="6">
        <f t="shared" si="5"/>
        <v>9</v>
      </c>
      <c r="D26" s="15">
        <f t="shared" si="53"/>
        <v>9699304.1658666674</v>
      </c>
      <c r="E26" s="9">
        <f>E25</f>
        <v>4.3092738094228027E-2</v>
      </c>
      <c r="F26" s="31">
        <f t="shared" si="34"/>
        <v>1.0035910615078523</v>
      </c>
      <c r="G26" s="32">
        <f t="shared" si="6"/>
        <v>34830.797842995591</v>
      </c>
      <c r="I26" s="17">
        <f t="shared" si="49"/>
        <v>45387</v>
      </c>
      <c r="J26" s="6">
        <f t="shared" si="7"/>
        <v>2024</v>
      </c>
      <c r="K26" s="6">
        <f t="shared" si="8"/>
        <v>4</v>
      </c>
      <c r="L26" s="7">
        <v>822382.78</v>
      </c>
      <c r="M26" s="9">
        <v>6.1600000000000002E-2</v>
      </c>
      <c r="N26" s="31">
        <f t="shared" si="30"/>
        <v>1.0053044444444443</v>
      </c>
      <c r="O26" s="27">
        <f t="shared" si="9"/>
        <v>4221.5649373333335</v>
      </c>
      <c r="Q26" s="17">
        <f t="shared" si="54"/>
        <v>45440</v>
      </c>
      <c r="R26" s="6">
        <f t="shared" si="50"/>
        <v>2024</v>
      </c>
      <c r="S26" s="6">
        <f t="shared" si="51"/>
        <v>5</v>
      </c>
      <c r="T26" s="7">
        <v>0</v>
      </c>
      <c r="U26" s="9">
        <f>U25</f>
        <v>6.1899999999999997E-2</v>
      </c>
      <c r="V26" s="31">
        <f t="shared" si="31"/>
        <v>1.0051583333333334</v>
      </c>
      <c r="W26" s="27">
        <f t="shared" si="52"/>
        <v>0</v>
      </c>
      <c r="Y26" s="17">
        <f t="shared" si="35"/>
        <v>45594</v>
      </c>
      <c r="Z26" s="6">
        <f t="shared" si="12"/>
        <v>2024</v>
      </c>
      <c r="AA26" s="6">
        <f t="shared" si="13"/>
        <v>10</v>
      </c>
      <c r="AB26" s="7">
        <f t="shared" si="48"/>
        <v>1637771.8127888402</v>
      </c>
      <c r="AC26" s="33">
        <f>AVERAGEIFS(BI:BI,BF:BF,Z26,BE:BE,AA26)</f>
        <v>4.3746086956521747E-2</v>
      </c>
      <c r="AD26" s="31">
        <f t="shared" si="32"/>
        <v>1.0036455072463768</v>
      </c>
      <c r="AE26" s="27">
        <f t="shared" si="14"/>
        <v>5970.5090114334052</v>
      </c>
      <c r="AO26" s="17"/>
      <c r="AP26" s="6"/>
      <c r="AQ26" s="6"/>
      <c r="AS26" s="33"/>
      <c r="AT26" s="31"/>
      <c r="AU26" s="27"/>
      <c r="AW26" s="9"/>
      <c r="AX26" s="9"/>
      <c r="AY26" s="9"/>
      <c r="AZ26" s="9"/>
      <c r="BA26" s="9"/>
      <c r="BB26" s="9"/>
      <c r="BC26" s="9"/>
      <c r="BD26" s="7">
        <f t="shared" si="0"/>
        <v>1</v>
      </c>
      <c r="BE26" s="7">
        <f t="shared" si="1"/>
        <v>2</v>
      </c>
      <c r="BF26" s="7">
        <f t="shared" si="2"/>
        <v>2023</v>
      </c>
      <c r="BG26" s="36">
        <v>44959</v>
      </c>
      <c r="BH26" s="33">
        <v>1.9019999999999999E-2</v>
      </c>
      <c r="BI26" s="35">
        <f t="shared" si="3"/>
        <v>2.6019999999999998E-2</v>
      </c>
    </row>
    <row r="27" spans="1:61" x14ac:dyDescent="0.25">
      <c r="A27" s="16">
        <f t="shared" si="46"/>
        <v>45580</v>
      </c>
      <c r="B27" s="6">
        <f t="shared" si="4"/>
        <v>2024</v>
      </c>
      <c r="C27" s="6">
        <f t="shared" si="5"/>
        <v>10</v>
      </c>
      <c r="D27" s="15">
        <f t="shared" si="53"/>
        <v>9734134.9637096636</v>
      </c>
      <c r="E27" s="9">
        <f>E26-0.25%</f>
        <v>4.0592738094228024E-2</v>
      </c>
      <c r="F27" s="31">
        <f t="shared" si="34"/>
        <v>1.0034954857803362</v>
      </c>
      <c r="G27" s="32">
        <f t="shared" si="6"/>
        <v>32927.932596311184</v>
      </c>
      <c r="I27" s="17">
        <f t="shared" si="49"/>
        <v>45417</v>
      </c>
      <c r="J27" s="6">
        <f t="shared" si="7"/>
        <v>2024</v>
      </c>
      <c r="K27" s="6">
        <f t="shared" si="8"/>
        <v>5</v>
      </c>
      <c r="L27" s="7">
        <f t="shared" ref="L27:L34" si="56">L26+O26</f>
        <v>826604.34493733337</v>
      </c>
      <c r="M27" s="9">
        <f>M26</f>
        <v>6.1600000000000002E-2</v>
      </c>
      <c r="N27" s="31">
        <f t="shared" si="30"/>
        <v>1.0051333333333334</v>
      </c>
      <c r="O27" s="27">
        <f t="shared" si="9"/>
        <v>4243.2356373449784</v>
      </c>
      <c r="Q27" s="17">
        <f t="shared" si="54"/>
        <v>45471</v>
      </c>
      <c r="R27" s="6">
        <f t="shared" si="50"/>
        <v>2024</v>
      </c>
      <c r="S27" s="6">
        <f t="shared" si="51"/>
        <v>6</v>
      </c>
      <c r="T27" s="7">
        <v>0</v>
      </c>
      <c r="U27" s="9">
        <f>U26</f>
        <v>6.1899999999999997E-2</v>
      </c>
      <c r="V27" s="31">
        <f t="shared" si="31"/>
        <v>1.0053302777777777</v>
      </c>
      <c r="W27" s="27">
        <f t="shared" si="52"/>
        <v>0</v>
      </c>
      <c r="Y27" s="17">
        <f t="shared" si="35"/>
        <v>45625</v>
      </c>
      <c r="Z27" s="6">
        <f t="shared" si="12"/>
        <v>2024</v>
      </c>
      <c r="AA27" s="6">
        <f t="shared" si="13"/>
        <v>11</v>
      </c>
      <c r="AB27" s="7">
        <f t="shared" si="48"/>
        <v>1643742.3218002736</v>
      </c>
      <c r="AC27" s="33">
        <f>AVERAGEIFS(BI:BI,BF:BF,Z27,BE:BE,AA27)</f>
        <v>4.3420000000000007E-2</v>
      </c>
      <c r="AD27" s="31">
        <f t="shared" si="32"/>
        <v>1.0037389444444444</v>
      </c>
      <c r="AE27" s="27">
        <f t="shared" si="14"/>
        <v>5947.6076343806571</v>
      </c>
      <c r="AO27" s="17"/>
      <c r="AP27" s="6"/>
      <c r="AQ27" s="6"/>
      <c r="AS27" s="33"/>
      <c r="AT27" s="31"/>
      <c r="AU27" s="27"/>
      <c r="AW27" s="9"/>
      <c r="AX27" s="9"/>
      <c r="AY27" s="9"/>
      <c r="AZ27" s="9"/>
      <c r="BA27" s="9"/>
      <c r="BB27" s="9"/>
      <c r="BC27" s="9"/>
      <c r="BD27" s="7">
        <f t="shared" si="0"/>
        <v>1</v>
      </c>
      <c r="BE27" s="7">
        <f t="shared" si="1"/>
        <v>2</v>
      </c>
      <c r="BF27" s="7">
        <f t="shared" si="2"/>
        <v>2023</v>
      </c>
      <c r="BG27" s="36">
        <v>44960</v>
      </c>
      <c r="BH27" s="33">
        <v>1.898E-2</v>
      </c>
      <c r="BI27" s="35">
        <f t="shared" si="3"/>
        <v>2.598E-2</v>
      </c>
    </row>
    <row r="28" spans="1:61" x14ac:dyDescent="0.25">
      <c r="A28" s="16">
        <f t="shared" si="46"/>
        <v>45611</v>
      </c>
      <c r="B28" s="6">
        <f t="shared" si="4"/>
        <v>2024</v>
      </c>
      <c r="C28" s="6">
        <f t="shared" si="5"/>
        <v>11</v>
      </c>
      <c r="D28" s="15">
        <f t="shared" si="53"/>
        <v>9767062.8963059746</v>
      </c>
      <c r="E28" s="9">
        <f>E27</f>
        <v>4.0592738094228024E-2</v>
      </c>
      <c r="F28" s="31">
        <f t="shared" si="34"/>
        <v>1.0033827281745189</v>
      </c>
      <c r="G28" s="32">
        <f t="shared" si="6"/>
        <v>33039.318841633387</v>
      </c>
      <c r="I28" s="17">
        <f t="shared" si="49"/>
        <v>45448</v>
      </c>
      <c r="J28" s="6">
        <f t="shared" si="7"/>
        <v>2024</v>
      </c>
      <c r="K28" s="6">
        <f t="shared" si="8"/>
        <v>6</v>
      </c>
      <c r="L28" s="7">
        <v>0</v>
      </c>
      <c r="M28" s="9">
        <f>M27</f>
        <v>6.1600000000000002E-2</v>
      </c>
      <c r="N28" s="31">
        <f t="shared" si="30"/>
        <v>1.0053044444444443</v>
      </c>
      <c r="O28" s="27">
        <f t="shared" si="9"/>
        <v>0</v>
      </c>
      <c r="Q28" s="17">
        <v>45486</v>
      </c>
      <c r="R28" s="6">
        <f t="shared" si="50"/>
        <v>2024</v>
      </c>
      <c r="S28" s="6">
        <f t="shared" si="51"/>
        <v>7</v>
      </c>
      <c r="T28" s="7">
        <v>1933350</v>
      </c>
      <c r="U28" s="9">
        <v>6.2799999999999995E-2</v>
      </c>
      <c r="V28" s="31">
        <f t="shared" si="31"/>
        <v>1.0026166666666667</v>
      </c>
      <c r="W28" s="27">
        <f t="shared" si="52"/>
        <v>10117.865</v>
      </c>
      <c r="Y28" s="17">
        <f t="shared" si="35"/>
        <v>45655</v>
      </c>
      <c r="Z28" s="6">
        <f t="shared" si="12"/>
        <v>2024</v>
      </c>
      <c r="AA28" s="6">
        <f t="shared" si="13"/>
        <v>12</v>
      </c>
      <c r="AB28" s="7">
        <f t="shared" si="48"/>
        <v>1649689.9294346543</v>
      </c>
      <c r="AC28" s="33">
        <f>AVERAGEIFS(BI:BI,BF:BF,"2024",BD:BD,"4")</f>
        <v>4.3533636363636309E-2</v>
      </c>
      <c r="AD28" s="31">
        <f t="shared" si="32"/>
        <v>1.003627803030303</v>
      </c>
      <c r="AE28" s="27">
        <f t="shared" si="14"/>
        <v>5984.7501250634232</v>
      </c>
      <c r="AO28" s="17"/>
      <c r="AP28" s="6"/>
      <c r="AQ28" s="6"/>
      <c r="AS28" s="33"/>
      <c r="AT28" s="31"/>
      <c r="AU28" s="27"/>
      <c r="AW28" s="9"/>
      <c r="AX28" s="9"/>
      <c r="AY28" s="9"/>
      <c r="AZ28" s="9"/>
      <c r="BA28" s="9"/>
      <c r="BB28" s="9"/>
      <c r="BC28" s="9"/>
      <c r="BD28" s="7">
        <f t="shared" si="0"/>
        <v>1</v>
      </c>
      <c r="BE28" s="7">
        <f t="shared" si="1"/>
        <v>2</v>
      </c>
      <c r="BF28" s="7">
        <f t="shared" si="2"/>
        <v>2023</v>
      </c>
      <c r="BG28" s="36">
        <v>44963</v>
      </c>
      <c r="BH28" s="33">
        <v>1.9009999999999999E-2</v>
      </c>
      <c r="BI28" s="35">
        <f t="shared" si="3"/>
        <v>2.6009999999999998E-2</v>
      </c>
    </row>
    <row r="29" spans="1:61" x14ac:dyDescent="0.25">
      <c r="A29" s="16">
        <f t="shared" si="46"/>
        <v>45641</v>
      </c>
      <c r="B29" s="6">
        <f t="shared" si="4"/>
        <v>2024</v>
      </c>
      <c r="C29" s="6">
        <f t="shared" si="5"/>
        <v>12</v>
      </c>
      <c r="D29" s="15">
        <f t="shared" si="53"/>
        <v>9800102.215147607</v>
      </c>
      <c r="E29" s="8">
        <f>E28</f>
        <v>4.0592738094228024E-2</v>
      </c>
      <c r="F29" s="31">
        <f t="shared" si="34"/>
        <v>1.0034954857803362</v>
      </c>
      <c r="G29" s="32">
        <f t="shared" si="6"/>
        <v>33151.081876345888</v>
      </c>
      <c r="I29" s="17">
        <f t="shared" si="49"/>
        <v>45478</v>
      </c>
      <c r="J29" s="6">
        <f t="shared" si="7"/>
        <v>2024</v>
      </c>
      <c r="K29" s="6">
        <f t="shared" si="8"/>
        <v>7</v>
      </c>
      <c r="L29" s="7">
        <f t="shared" si="56"/>
        <v>0</v>
      </c>
      <c r="M29" s="9">
        <f>M28-0.25%</f>
        <v>5.91E-2</v>
      </c>
      <c r="N29" s="31">
        <f t="shared" si="30"/>
        <v>1.0049250000000001</v>
      </c>
      <c r="O29" s="27">
        <f t="shared" si="9"/>
        <v>0</v>
      </c>
      <c r="Q29" s="17">
        <f t="shared" si="54"/>
        <v>45517</v>
      </c>
      <c r="R29" s="6">
        <f t="shared" si="50"/>
        <v>2024</v>
      </c>
      <c r="S29" s="6">
        <f t="shared" si="51"/>
        <v>8</v>
      </c>
      <c r="T29" s="7">
        <f t="shared" si="55"/>
        <v>1943467.865</v>
      </c>
      <c r="U29" s="9">
        <v>6.2799999999999995E-2</v>
      </c>
      <c r="V29" s="31">
        <f t="shared" si="31"/>
        <v>1.0054077777777777</v>
      </c>
      <c r="W29" s="27">
        <f t="shared" si="52"/>
        <v>10170.815160166667</v>
      </c>
      <c r="Y29" s="17"/>
      <c r="Z29" s="6"/>
      <c r="AA29" s="6"/>
      <c r="AW29" s="9"/>
      <c r="AX29" s="9"/>
      <c r="AY29" s="9"/>
      <c r="AZ29" s="9"/>
      <c r="BA29" s="9"/>
      <c r="BB29" s="9"/>
      <c r="BC29" s="9"/>
      <c r="BD29" s="7">
        <f t="shared" si="0"/>
        <v>1</v>
      </c>
      <c r="BE29" s="7">
        <f t="shared" si="1"/>
        <v>2</v>
      </c>
      <c r="BF29" s="7">
        <f t="shared" si="2"/>
        <v>2023</v>
      </c>
      <c r="BG29" s="36">
        <v>44964</v>
      </c>
      <c r="BH29" s="33">
        <v>1.9019999999999999E-2</v>
      </c>
      <c r="BI29" s="35">
        <f t="shared" si="3"/>
        <v>2.6019999999999998E-2</v>
      </c>
    </row>
    <row r="30" spans="1:61" x14ac:dyDescent="0.25">
      <c r="A30" s="16">
        <f t="shared" si="46"/>
        <v>45672</v>
      </c>
      <c r="B30" s="6">
        <f t="shared" si="4"/>
        <v>2025</v>
      </c>
      <c r="C30" s="6">
        <f t="shared" si="5"/>
        <v>1</v>
      </c>
      <c r="D30" s="7"/>
      <c r="I30" s="17">
        <f t="shared" si="49"/>
        <v>45509</v>
      </c>
      <c r="J30" s="6">
        <f t="shared" si="7"/>
        <v>2024</v>
      </c>
      <c r="K30" s="6">
        <f t="shared" si="8"/>
        <v>8</v>
      </c>
      <c r="L30" s="7">
        <f t="shared" si="56"/>
        <v>0</v>
      </c>
      <c r="M30" s="9">
        <f>M29</f>
        <v>5.91E-2</v>
      </c>
      <c r="N30" s="31">
        <f t="shared" si="30"/>
        <v>1.0050891666666666</v>
      </c>
      <c r="O30" s="27">
        <f t="shared" si="9"/>
        <v>0</v>
      </c>
      <c r="Q30" s="17">
        <f t="shared" si="54"/>
        <v>45548</v>
      </c>
      <c r="R30" s="6">
        <f t="shared" si="50"/>
        <v>2024</v>
      </c>
      <c r="S30" s="6">
        <f t="shared" si="51"/>
        <v>9</v>
      </c>
      <c r="T30" s="7">
        <f t="shared" si="55"/>
        <v>1953638.6801601667</v>
      </c>
      <c r="U30" s="9">
        <f>U29-0.25%</f>
        <v>6.0299999999999992E-2</v>
      </c>
      <c r="V30" s="31">
        <f t="shared" si="31"/>
        <v>1.0051924999999999</v>
      </c>
      <c r="W30" s="27">
        <f t="shared" si="52"/>
        <v>9817.0343678048357</v>
      </c>
      <c r="Y30" s="17"/>
      <c r="Z30" s="6"/>
      <c r="AA30" s="6"/>
      <c r="AW30" s="9"/>
      <c r="AX30" s="9"/>
      <c r="AY30" s="9"/>
      <c r="AZ30" s="9"/>
      <c r="BA30" s="9"/>
      <c r="BB30" s="9"/>
      <c r="BC30" s="9"/>
      <c r="BD30" s="7">
        <f t="shared" si="0"/>
        <v>1</v>
      </c>
      <c r="BE30" s="7">
        <f t="shared" si="1"/>
        <v>2</v>
      </c>
      <c r="BF30" s="7">
        <f t="shared" si="2"/>
        <v>2023</v>
      </c>
      <c r="BG30" s="36">
        <v>44965</v>
      </c>
      <c r="BH30" s="33">
        <v>2.4009999999999997E-2</v>
      </c>
      <c r="BI30" s="35">
        <f t="shared" si="3"/>
        <v>3.1009999999999996E-2</v>
      </c>
    </row>
    <row r="31" spans="1:61" x14ac:dyDescent="0.25">
      <c r="I31" s="17">
        <f t="shared" si="49"/>
        <v>45540</v>
      </c>
      <c r="J31" s="6">
        <f t="shared" si="7"/>
        <v>2024</v>
      </c>
      <c r="K31" s="6">
        <f t="shared" si="8"/>
        <v>9</v>
      </c>
      <c r="L31" s="7">
        <f t="shared" si="56"/>
        <v>0</v>
      </c>
      <c r="M31" s="9">
        <f>M30-0.25%</f>
        <v>5.6599999999999998E-2</v>
      </c>
      <c r="N31" s="31">
        <f t="shared" si="30"/>
        <v>1.0048738888888888</v>
      </c>
      <c r="O31" s="27">
        <f t="shared" si="9"/>
        <v>0</v>
      </c>
      <c r="Q31" s="17">
        <f t="shared" si="54"/>
        <v>45578</v>
      </c>
      <c r="R31" s="6">
        <f t="shared" si="50"/>
        <v>2024</v>
      </c>
      <c r="S31" s="6">
        <f t="shared" si="51"/>
        <v>10</v>
      </c>
      <c r="T31" s="7">
        <f t="shared" si="55"/>
        <v>1963455.7145279716</v>
      </c>
      <c r="U31" s="9">
        <v>5.9871999999999995E-2</v>
      </c>
      <c r="V31" s="31">
        <f t="shared" si="31"/>
        <v>1.0049893333333333</v>
      </c>
      <c r="W31" s="27">
        <f t="shared" si="52"/>
        <v>9796.3350450182243</v>
      </c>
      <c r="Y31" s="17"/>
      <c r="Z31" s="6"/>
      <c r="AA31" s="6"/>
      <c r="AW31" s="9"/>
      <c r="AX31" s="9"/>
      <c r="AY31" s="9"/>
      <c r="AZ31" s="9"/>
      <c r="BA31" s="9"/>
      <c r="BB31" s="9"/>
      <c r="BC31" s="9"/>
      <c r="BD31" s="7">
        <f t="shared" si="0"/>
        <v>1</v>
      </c>
      <c r="BE31" s="7">
        <f t="shared" si="1"/>
        <v>2</v>
      </c>
      <c r="BF31" s="7">
        <f t="shared" si="2"/>
        <v>2023</v>
      </c>
      <c r="BG31" s="36">
        <v>44966</v>
      </c>
      <c r="BH31" s="33">
        <v>2.4009999999999997E-2</v>
      </c>
      <c r="BI31" s="35">
        <f t="shared" si="3"/>
        <v>3.1009999999999996E-2</v>
      </c>
    </row>
    <row r="32" spans="1:61" x14ac:dyDescent="0.25">
      <c r="I32" s="17">
        <f t="shared" si="49"/>
        <v>45570</v>
      </c>
      <c r="J32" s="6">
        <f t="shared" si="7"/>
        <v>2024</v>
      </c>
      <c r="K32" s="6">
        <f t="shared" si="8"/>
        <v>10</v>
      </c>
      <c r="L32" s="7">
        <f t="shared" si="56"/>
        <v>0</v>
      </c>
      <c r="M32" s="9">
        <f>M31</f>
        <v>5.6599999999999998E-2</v>
      </c>
      <c r="N32" s="31">
        <f t="shared" si="30"/>
        <v>1.0047166666666667</v>
      </c>
      <c r="O32" s="27">
        <f t="shared" si="9"/>
        <v>0</v>
      </c>
      <c r="Q32" s="17">
        <f t="shared" si="54"/>
        <v>45609</v>
      </c>
      <c r="R32" s="6">
        <f t="shared" si="50"/>
        <v>2024</v>
      </c>
      <c r="S32" s="6">
        <f t="shared" si="51"/>
        <v>11</v>
      </c>
      <c r="T32" s="7">
        <f t="shared" si="55"/>
        <v>1973252.0495729898</v>
      </c>
      <c r="U32" s="9">
        <f>U31-0.25%</f>
        <v>5.7371999999999992E-2</v>
      </c>
      <c r="V32" s="31">
        <f t="shared" si="31"/>
        <v>1.0049403666666668</v>
      </c>
      <c r="W32" s="27">
        <f t="shared" si="52"/>
        <v>9434.1180490084625</v>
      </c>
      <c r="AW32" s="9"/>
      <c r="AX32" s="9"/>
      <c r="AY32" s="9"/>
      <c r="AZ32" s="9"/>
      <c r="BA32" s="9"/>
      <c r="BB32" s="9"/>
      <c r="BC32" s="9"/>
      <c r="BD32" s="7">
        <f t="shared" si="0"/>
        <v>1</v>
      </c>
      <c r="BE32" s="7">
        <f t="shared" si="1"/>
        <v>2</v>
      </c>
      <c r="BF32" s="7">
        <f t="shared" si="2"/>
        <v>2023</v>
      </c>
      <c r="BG32" s="36">
        <v>44967</v>
      </c>
      <c r="BH32" s="33">
        <v>2.4009999999999997E-2</v>
      </c>
      <c r="BI32" s="35">
        <f t="shared" si="3"/>
        <v>3.1009999999999996E-2</v>
      </c>
    </row>
    <row r="33" spans="9:61" x14ac:dyDescent="0.25">
      <c r="I33" s="17">
        <f t="shared" si="49"/>
        <v>45601</v>
      </c>
      <c r="J33" s="6">
        <f t="shared" si="7"/>
        <v>2024</v>
      </c>
      <c r="K33" s="6">
        <f t="shared" si="8"/>
        <v>11</v>
      </c>
      <c r="L33" s="7">
        <f t="shared" si="56"/>
        <v>0</v>
      </c>
      <c r="M33" s="9">
        <f>M32-0.25%</f>
        <v>5.4099999999999995E-2</v>
      </c>
      <c r="N33" s="31">
        <f t="shared" si="30"/>
        <v>1.0046586111111111</v>
      </c>
      <c r="O33" s="27">
        <f t="shared" si="9"/>
        <v>0</v>
      </c>
      <c r="Q33" s="17">
        <f t="shared" si="54"/>
        <v>45639</v>
      </c>
      <c r="R33" s="6">
        <f t="shared" si="50"/>
        <v>2024</v>
      </c>
      <c r="S33" s="6">
        <f t="shared" si="51"/>
        <v>12</v>
      </c>
      <c r="T33" s="7">
        <f t="shared" si="55"/>
        <v>1982686.1676219983</v>
      </c>
      <c r="U33" s="9">
        <v>5.7371999999999992E-2</v>
      </c>
      <c r="V33" s="31">
        <f t="shared" si="31"/>
        <v>1.0047809999999999</v>
      </c>
      <c r="W33" s="27">
        <f t="shared" si="52"/>
        <v>9479.2225674007732</v>
      </c>
      <c r="AW33" s="9"/>
      <c r="AX33" s="9"/>
      <c r="AY33" s="9"/>
      <c r="AZ33" s="9"/>
      <c r="BA33" s="9"/>
      <c r="BB33" s="9"/>
      <c r="BC33" s="9"/>
      <c r="BD33" s="7">
        <f t="shared" si="0"/>
        <v>1</v>
      </c>
      <c r="BE33" s="7">
        <f t="shared" si="1"/>
        <v>2</v>
      </c>
      <c r="BF33" s="7">
        <f t="shared" si="2"/>
        <v>2023</v>
      </c>
      <c r="BG33" s="36">
        <v>44970</v>
      </c>
      <c r="BH33" s="33">
        <v>2.4E-2</v>
      </c>
      <c r="BI33" s="35">
        <f t="shared" si="3"/>
        <v>3.1E-2</v>
      </c>
    </row>
    <row r="34" spans="9:61" x14ac:dyDescent="0.25">
      <c r="I34" s="17">
        <f t="shared" si="49"/>
        <v>45631</v>
      </c>
      <c r="J34" s="6">
        <f t="shared" si="7"/>
        <v>2024</v>
      </c>
      <c r="K34" s="6">
        <f t="shared" si="8"/>
        <v>12</v>
      </c>
      <c r="L34" s="7">
        <f t="shared" si="56"/>
        <v>0</v>
      </c>
      <c r="M34" s="9">
        <f>M33</f>
        <v>5.4099999999999995E-2</v>
      </c>
      <c r="N34" s="31">
        <f t="shared" si="30"/>
        <v>1.0045083333333333</v>
      </c>
      <c r="O34" s="27">
        <f t="shared" si="9"/>
        <v>0</v>
      </c>
      <c r="Q34" s="17">
        <f t="shared" si="54"/>
        <v>45670</v>
      </c>
      <c r="R34" s="6">
        <f t="shared" si="50"/>
        <v>2025</v>
      </c>
      <c r="S34" s="6">
        <f t="shared" si="51"/>
        <v>1</v>
      </c>
      <c r="AW34" s="9"/>
      <c r="AX34" s="9"/>
      <c r="AY34" s="9"/>
      <c r="AZ34" s="9"/>
      <c r="BA34" s="9"/>
      <c r="BB34" s="9"/>
      <c r="BC34" s="9"/>
      <c r="BD34" s="7">
        <f t="shared" si="0"/>
        <v>1</v>
      </c>
      <c r="BE34" s="7">
        <f t="shared" si="1"/>
        <v>2</v>
      </c>
      <c r="BF34" s="7">
        <f t="shared" si="2"/>
        <v>2023</v>
      </c>
      <c r="BG34" s="36">
        <v>44971</v>
      </c>
      <c r="BH34" s="33">
        <v>2.4E-2</v>
      </c>
      <c r="BI34" s="35">
        <f t="shared" si="3"/>
        <v>3.1E-2</v>
      </c>
    </row>
    <row r="35" spans="9:61" x14ac:dyDescent="0.25">
      <c r="I35" s="17">
        <f t="shared" si="49"/>
        <v>45662</v>
      </c>
      <c r="J35" s="6">
        <f t="shared" si="7"/>
        <v>2025</v>
      </c>
      <c r="K35" s="6">
        <f t="shared" si="8"/>
        <v>1</v>
      </c>
      <c r="Q35" s="17"/>
      <c r="R35" s="6"/>
      <c r="S35" s="6"/>
      <c r="AW35" s="9"/>
      <c r="AX35" s="9"/>
      <c r="AY35" s="9"/>
      <c r="AZ35" s="9"/>
      <c r="BA35" s="9"/>
      <c r="BB35" s="9"/>
      <c r="BC35" s="9"/>
      <c r="BD35" s="7">
        <f t="shared" si="0"/>
        <v>1</v>
      </c>
      <c r="BE35" s="7">
        <f t="shared" si="1"/>
        <v>2</v>
      </c>
      <c r="BF35" s="7">
        <f t="shared" si="2"/>
        <v>2023</v>
      </c>
      <c r="BG35" s="36">
        <v>44972</v>
      </c>
      <c r="BH35" s="33">
        <v>2.4049999999999998E-2</v>
      </c>
      <c r="BI35" s="35">
        <f t="shared" si="3"/>
        <v>3.1049999999999998E-2</v>
      </c>
    </row>
    <row r="36" spans="9:61" x14ac:dyDescent="0.25">
      <c r="I36" s="17"/>
      <c r="J36" s="6"/>
      <c r="K36" s="6"/>
      <c r="AW36" s="9"/>
      <c r="AX36" s="9"/>
      <c r="AY36" s="9"/>
      <c r="AZ36" s="9"/>
      <c r="BA36" s="9"/>
      <c r="BB36" s="9"/>
      <c r="BC36" s="9"/>
      <c r="BD36" s="7">
        <f t="shared" si="0"/>
        <v>1</v>
      </c>
      <c r="BE36" s="7">
        <f t="shared" si="1"/>
        <v>2</v>
      </c>
      <c r="BF36" s="7">
        <f t="shared" si="2"/>
        <v>2023</v>
      </c>
      <c r="BG36" s="36">
        <v>44973</v>
      </c>
      <c r="BH36" s="33">
        <v>2.4E-2</v>
      </c>
      <c r="BI36" s="35">
        <f t="shared" si="3"/>
        <v>3.1E-2</v>
      </c>
    </row>
    <row r="37" spans="9:61" x14ac:dyDescent="0.25">
      <c r="AW37" s="9"/>
      <c r="AX37" s="9"/>
      <c r="AY37" s="9"/>
      <c r="AZ37" s="9"/>
      <c r="BA37" s="9"/>
      <c r="BB37" s="9"/>
      <c r="BC37" s="9"/>
      <c r="BD37" s="7">
        <f t="shared" si="0"/>
        <v>1</v>
      </c>
      <c r="BE37" s="7">
        <f t="shared" si="1"/>
        <v>2</v>
      </c>
      <c r="BF37" s="7">
        <f t="shared" si="2"/>
        <v>2023</v>
      </c>
      <c r="BG37" s="36">
        <v>44974</v>
      </c>
      <c r="BH37" s="33">
        <v>2.3980000000000001E-2</v>
      </c>
      <c r="BI37" s="35">
        <f t="shared" si="3"/>
        <v>3.0980000000000001E-2</v>
      </c>
    </row>
    <row r="38" spans="9:61" x14ac:dyDescent="0.25">
      <c r="AW38" s="9"/>
      <c r="AX38" s="9"/>
      <c r="AY38" s="9"/>
      <c r="AZ38" s="9"/>
      <c r="BA38" s="9"/>
      <c r="BB38" s="9"/>
      <c r="BC38" s="9"/>
      <c r="BD38" s="7">
        <f t="shared" si="0"/>
        <v>1</v>
      </c>
      <c r="BE38" s="7">
        <f t="shared" si="1"/>
        <v>2</v>
      </c>
      <c r="BF38" s="7">
        <f t="shared" si="2"/>
        <v>2023</v>
      </c>
      <c r="BG38" s="36">
        <v>44977</v>
      </c>
      <c r="BH38" s="33">
        <v>2.4E-2</v>
      </c>
      <c r="BI38" s="35">
        <f t="shared" si="3"/>
        <v>3.1E-2</v>
      </c>
    </row>
    <row r="39" spans="9:61" x14ac:dyDescent="0.25">
      <c r="AW39" s="9"/>
      <c r="AX39" s="9"/>
      <c r="AY39" s="9"/>
      <c r="AZ39" s="9"/>
      <c r="BA39" s="9"/>
      <c r="BB39" s="9"/>
      <c r="BC39" s="9"/>
      <c r="BD39" s="7">
        <f t="shared" si="0"/>
        <v>1</v>
      </c>
      <c r="BE39" s="7">
        <f t="shared" si="1"/>
        <v>2</v>
      </c>
      <c r="BF39" s="7">
        <f t="shared" si="2"/>
        <v>2023</v>
      </c>
      <c r="BG39" s="36">
        <v>44978</v>
      </c>
      <c r="BH39" s="33">
        <v>2.3980000000000001E-2</v>
      </c>
      <c r="BI39" s="35">
        <f t="shared" si="3"/>
        <v>3.0980000000000001E-2</v>
      </c>
    </row>
    <row r="40" spans="9:61" x14ac:dyDescent="0.25">
      <c r="AW40" s="9"/>
      <c r="AX40" s="9"/>
      <c r="AY40" s="9"/>
      <c r="AZ40" s="9"/>
      <c r="BA40" s="9"/>
      <c r="BB40" s="9"/>
      <c r="BC40" s="9"/>
      <c r="BD40" s="7">
        <f t="shared" si="0"/>
        <v>1</v>
      </c>
      <c r="BE40" s="7">
        <f t="shared" si="1"/>
        <v>2</v>
      </c>
      <c r="BF40" s="7">
        <f t="shared" si="2"/>
        <v>2023</v>
      </c>
      <c r="BG40" s="36">
        <v>44979</v>
      </c>
      <c r="BH40" s="33">
        <v>2.3990000000000001E-2</v>
      </c>
      <c r="BI40" s="35">
        <f t="shared" si="3"/>
        <v>3.099E-2</v>
      </c>
    </row>
    <row r="41" spans="9:61" x14ac:dyDescent="0.25">
      <c r="AW41" s="9"/>
      <c r="AX41" s="9"/>
      <c r="AY41" s="9"/>
      <c r="AZ41" s="9"/>
      <c r="BA41" s="9"/>
      <c r="BB41" s="9"/>
      <c r="BC41" s="9"/>
      <c r="BD41" s="7">
        <f t="shared" si="0"/>
        <v>1</v>
      </c>
      <c r="BE41" s="7">
        <f t="shared" si="1"/>
        <v>2</v>
      </c>
      <c r="BF41" s="7">
        <f t="shared" si="2"/>
        <v>2023</v>
      </c>
      <c r="BG41" s="36">
        <v>44980</v>
      </c>
      <c r="BH41" s="33">
        <v>2.3990000000000001E-2</v>
      </c>
      <c r="BI41" s="35">
        <f t="shared" si="3"/>
        <v>3.099E-2</v>
      </c>
    </row>
    <row r="42" spans="9:61" x14ac:dyDescent="0.25">
      <c r="AW42" s="9"/>
      <c r="AX42" s="9"/>
      <c r="AY42" s="9"/>
      <c r="AZ42" s="9"/>
      <c r="BA42" s="9"/>
      <c r="BB42" s="9"/>
      <c r="BC42" s="9"/>
      <c r="BD42" s="7">
        <f t="shared" si="0"/>
        <v>1</v>
      </c>
      <c r="BE42" s="7">
        <f t="shared" si="1"/>
        <v>2</v>
      </c>
      <c r="BF42" s="7">
        <f t="shared" si="2"/>
        <v>2023</v>
      </c>
      <c r="BG42" s="36">
        <v>44981</v>
      </c>
      <c r="BH42" s="33">
        <v>2.3980000000000001E-2</v>
      </c>
      <c r="BI42" s="35">
        <f t="shared" si="3"/>
        <v>3.0980000000000001E-2</v>
      </c>
    </row>
    <row r="43" spans="9:61" x14ac:dyDescent="0.25">
      <c r="AW43" s="9"/>
      <c r="AX43" s="9"/>
      <c r="AY43" s="9"/>
      <c r="AZ43" s="9"/>
      <c r="BA43" s="9"/>
      <c r="BB43" s="9"/>
      <c r="BC43" s="9"/>
      <c r="BD43" s="7">
        <f t="shared" si="0"/>
        <v>1</v>
      </c>
      <c r="BE43" s="7">
        <f t="shared" si="1"/>
        <v>2</v>
      </c>
      <c r="BF43" s="7">
        <f t="shared" si="2"/>
        <v>2023</v>
      </c>
      <c r="BG43" s="36">
        <v>44984</v>
      </c>
      <c r="BH43" s="33">
        <v>2.3980000000000001E-2</v>
      </c>
      <c r="BI43" s="35">
        <f t="shared" si="3"/>
        <v>3.0980000000000001E-2</v>
      </c>
    </row>
    <row r="44" spans="9:61" x14ac:dyDescent="0.25">
      <c r="AW44" s="9"/>
      <c r="AX44" s="9"/>
      <c r="AY44" s="9"/>
      <c r="AZ44" s="9"/>
      <c r="BA44" s="9"/>
      <c r="BB44" s="9"/>
      <c r="BC44" s="9"/>
      <c r="BD44" s="7">
        <f t="shared" si="0"/>
        <v>1</v>
      </c>
      <c r="BE44" s="7">
        <f t="shared" si="1"/>
        <v>2</v>
      </c>
      <c r="BF44" s="7">
        <f t="shared" si="2"/>
        <v>2023</v>
      </c>
      <c r="BG44" s="36">
        <v>44985</v>
      </c>
      <c r="BH44" s="33">
        <v>2.3879999999999998E-2</v>
      </c>
      <c r="BI44" s="35">
        <f t="shared" si="3"/>
        <v>3.0879999999999998E-2</v>
      </c>
    </row>
    <row r="45" spans="9:61" x14ac:dyDescent="0.25">
      <c r="AW45" s="9"/>
      <c r="AX45" s="9"/>
      <c r="AY45" s="9"/>
      <c r="AZ45" s="9"/>
      <c r="BA45" s="9"/>
      <c r="BB45" s="9"/>
      <c r="BC45" s="9"/>
      <c r="BD45" s="7">
        <f t="shared" si="0"/>
        <v>1</v>
      </c>
      <c r="BE45" s="7">
        <f t="shared" si="1"/>
        <v>3</v>
      </c>
      <c r="BF45" s="7">
        <f t="shared" si="2"/>
        <v>2023</v>
      </c>
      <c r="BG45" s="36">
        <v>44986</v>
      </c>
      <c r="BH45" s="33">
        <v>2.3980000000000001E-2</v>
      </c>
      <c r="BI45" s="35">
        <f t="shared" si="3"/>
        <v>3.0980000000000001E-2</v>
      </c>
    </row>
    <row r="46" spans="9:61" x14ac:dyDescent="0.25">
      <c r="AW46" s="9"/>
      <c r="AX46" s="9"/>
      <c r="AY46" s="9"/>
      <c r="AZ46" s="9"/>
      <c r="BA46" s="9"/>
      <c r="BB46" s="9"/>
      <c r="BC46" s="9"/>
      <c r="BD46" s="7">
        <f t="shared" si="0"/>
        <v>1</v>
      </c>
      <c r="BE46" s="7">
        <f t="shared" si="1"/>
        <v>3</v>
      </c>
      <c r="BF46" s="7">
        <f t="shared" si="2"/>
        <v>2023</v>
      </c>
      <c r="BG46" s="36">
        <v>44987</v>
      </c>
      <c r="BH46" s="33">
        <v>2.3990000000000001E-2</v>
      </c>
      <c r="BI46" s="35">
        <f t="shared" si="3"/>
        <v>3.099E-2</v>
      </c>
    </row>
    <row r="47" spans="9:61" x14ac:dyDescent="0.25">
      <c r="AW47" s="9"/>
      <c r="AX47" s="9"/>
      <c r="AY47" s="9"/>
      <c r="AZ47" s="9"/>
      <c r="BA47" s="9"/>
      <c r="BB47" s="9"/>
      <c r="BC47" s="9"/>
      <c r="BD47" s="7">
        <f t="shared" si="0"/>
        <v>1</v>
      </c>
      <c r="BE47" s="7">
        <f t="shared" si="1"/>
        <v>3</v>
      </c>
      <c r="BF47" s="7">
        <f t="shared" si="2"/>
        <v>2023</v>
      </c>
      <c r="BG47" s="36">
        <v>44988</v>
      </c>
      <c r="BH47" s="33">
        <v>2.4E-2</v>
      </c>
      <c r="BI47" s="35">
        <f t="shared" si="3"/>
        <v>3.1E-2</v>
      </c>
    </row>
    <row r="48" spans="9:61" x14ac:dyDescent="0.25">
      <c r="BD48" s="7">
        <f t="shared" si="0"/>
        <v>1</v>
      </c>
      <c r="BE48" s="7">
        <f t="shared" si="1"/>
        <v>3</v>
      </c>
      <c r="BF48" s="7">
        <f t="shared" si="2"/>
        <v>2023</v>
      </c>
      <c r="BG48" s="36">
        <v>44991</v>
      </c>
      <c r="BH48" s="33">
        <v>2.3990000000000001E-2</v>
      </c>
      <c r="BI48" s="35">
        <f t="shared" si="3"/>
        <v>3.099E-2</v>
      </c>
    </row>
    <row r="49" spans="5:61" x14ac:dyDescent="0.25">
      <c r="BD49" s="7">
        <f t="shared" si="0"/>
        <v>1</v>
      </c>
      <c r="BE49" s="7">
        <f t="shared" si="1"/>
        <v>3</v>
      </c>
      <c r="BF49" s="7">
        <f t="shared" si="2"/>
        <v>2023</v>
      </c>
      <c r="BG49" s="36">
        <v>44992</v>
      </c>
      <c r="BH49" s="33">
        <v>2.3980000000000001E-2</v>
      </c>
      <c r="BI49" s="35">
        <f t="shared" si="3"/>
        <v>3.0980000000000001E-2</v>
      </c>
    </row>
    <row r="50" spans="5:61" x14ac:dyDescent="0.25">
      <c r="BD50" s="7">
        <f t="shared" si="0"/>
        <v>1</v>
      </c>
      <c r="BE50" s="7">
        <f t="shared" si="1"/>
        <v>3</v>
      </c>
      <c r="BF50" s="7">
        <f t="shared" si="2"/>
        <v>2023</v>
      </c>
      <c r="BG50" s="36">
        <v>44993</v>
      </c>
      <c r="BH50" s="33">
        <v>2.3990000000000001E-2</v>
      </c>
      <c r="BI50" s="35">
        <f t="shared" si="3"/>
        <v>3.099E-2</v>
      </c>
    </row>
    <row r="51" spans="5:61" x14ac:dyDescent="0.25">
      <c r="BD51" s="7">
        <f t="shared" si="0"/>
        <v>1</v>
      </c>
      <c r="BE51" s="7">
        <f t="shared" si="1"/>
        <v>3</v>
      </c>
      <c r="BF51" s="7">
        <f t="shared" si="2"/>
        <v>2023</v>
      </c>
      <c r="BG51" s="36">
        <v>44994</v>
      </c>
      <c r="BH51" s="33">
        <v>2.4009999999999997E-2</v>
      </c>
      <c r="BI51" s="35">
        <f t="shared" si="3"/>
        <v>3.1009999999999996E-2</v>
      </c>
    </row>
    <row r="52" spans="5:61" x14ac:dyDescent="0.25">
      <c r="BD52" s="7">
        <f t="shared" si="0"/>
        <v>1</v>
      </c>
      <c r="BE52" s="7">
        <f t="shared" si="1"/>
        <v>3</v>
      </c>
      <c r="BF52" s="7">
        <f t="shared" si="2"/>
        <v>2023</v>
      </c>
      <c r="BG52" s="36">
        <v>44995</v>
      </c>
      <c r="BH52" s="33">
        <v>2.4029999999999999E-2</v>
      </c>
      <c r="BI52" s="35">
        <f t="shared" si="3"/>
        <v>3.1029999999999999E-2</v>
      </c>
    </row>
    <row r="53" spans="5:61" x14ac:dyDescent="0.25">
      <c r="BD53" s="7">
        <f t="shared" si="0"/>
        <v>1</v>
      </c>
      <c r="BE53" s="7">
        <f t="shared" si="1"/>
        <v>3</v>
      </c>
      <c r="BF53" s="7">
        <f t="shared" si="2"/>
        <v>2023</v>
      </c>
      <c r="BG53" s="36">
        <v>44998</v>
      </c>
      <c r="BH53" s="33">
        <v>2.4009999999999997E-2</v>
      </c>
      <c r="BI53" s="35">
        <f t="shared" si="3"/>
        <v>3.1009999999999996E-2</v>
      </c>
    </row>
    <row r="54" spans="5:61" x14ac:dyDescent="0.25">
      <c r="BD54" s="7">
        <f t="shared" si="0"/>
        <v>1</v>
      </c>
      <c r="BE54" s="7">
        <f t="shared" si="1"/>
        <v>3</v>
      </c>
      <c r="BF54" s="7">
        <f t="shared" si="2"/>
        <v>2023</v>
      </c>
      <c r="BG54" s="36">
        <v>44999</v>
      </c>
      <c r="BH54" s="33">
        <v>2.4009999999999997E-2</v>
      </c>
      <c r="BI54" s="35">
        <f t="shared" si="3"/>
        <v>3.1009999999999996E-2</v>
      </c>
    </row>
    <row r="55" spans="5:61" x14ac:dyDescent="0.25">
      <c r="BD55" s="7">
        <f t="shared" si="0"/>
        <v>1</v>
      </c>
      <c r="BE55" s="7">
        <f t="shared" si="1"/>
        <v>3</v>
      </c>
      <c r="BF55" s="7">
        <f t="shared" si="2"/>
        <v>2023</v>
      </c>
      <c r="BG55" s="36">
        <v>45000</v>
      </c>
      <c r="BH55" s="33">
        <v>2.4E-2</v>
      </c>
      <c r="BI55" s="35">
        <f t="shared" si="3"/>
        <v>3.1E-2</v>
      </c>
    </row>
    <row r="56" spans="5:61" x14ac:dyDescent="0.25">
      <c r="BD56" s="7">
        <f t="shared" si="0"/>
        <v>1</v>
      </c>
      <c r="BE56" s="7">
        <f t="shared" si="1"/>
        <v>3</v>
      </c>
      <c r="BF56" s="7">
        <f t="shared" si="2"/>
        <v>2023</v>
      </c>
      <c r="BG56" s="36">
        <v>45001</v>
      </c>
      <c r="BH56" s="33">
        <v>2.3990000000000001E-2</v>
      </c>
      <c r="BI56" s="35">
        <f t="shared" si="3"/>
        <v>3.099E-2</v>
      </c>
    </row>
    <row r="57" spans="5:61" x14ac:dyDescent="0.25">
      <c r="BD57" s="7">
        <f t="shared" si="0"/>
        <v>1</v>
      </c>
      <c r="BE57" s="7">
        <f t="shared" si="1"/>
        <v>3</v>
      </c>
      <c r="BF57" s="7">
        <f t="shared" si="2"/>
        <v>2023</v>
      </c>
      <c r="BG57" s="36">
        <v>45002</v>
      </c>
      <c r="BH57" s="33">
        <v>2.4019999999999996E-2</v>
      </c>
      <c r="BI57" s="35">
        <f t="shared" si="3"/>
        <v>3.1019999999999995E-2</v>
      </c>
    </row>
    <row r="58" spans="5:61" x14ac:dyDescent="0.25">
      <c r="BD58" s="7">
        <f t="shared" si="0"/>
        <v>1</v>
      </c>
      <c r="BE58" s="7">
        <f t="shared" si="1"/>
        <v>3</v>
      </c>
      <c r="BF58" s="7">
        <f t="shared" si="2"/>
        <v>2023</v>
      </c>
      <c r="BG58" s="36">
        <v>45005</v>
      </c>
      <c r="BH58" s="33">
        <v>2.3980000000000001E-2</v>
      </c>
      <c r="BI58" s="35">
        <f t="shared" si="3"/>
        <v>3.0980000000000001E-2</v>
      </c>
    </row>
    <row r="59" spans="5:61" x14ac:dyDescent="0.25">
      <c r="E59" s="6">
        <v>2023</v>
      </c>
      <c r="F59">
        <v>1</v>
      </c>
      <c r="G59" s="25">
        <f t="shared" ref="G59:G82" si="57">AVERAGEIFS(D:D,B:B,E59,C:C,F59)</f>
        <v>4500000</v>
      </c>
      <c r="H59" s="9">
        <f t="shared" ref="H59:H82" si="58">AVERAGEIFS(E:E,B:B,E59,C:C,F59)</f>
        <v>2.7984999999999999E-2</v>
      </c>
      <c r="M59" s="6">
        <v>2023</v>
      </c>
      <c r="N59">
        <v>1</v>
      </c>
      <c r="O59" s="25">
        <f t="shared" ref="O59:O82" si="59">AVERAGEIFS(L:L,J:J,M59,K:K,N59)</f>
        <v>2650000</v>
      </c>
      <c r="P59" s="9">
        <f t="shared" ref="P59:P82" si="60">AVERAGEIFS(M:M,J:J,M59,K:K,N59)</f>
        <v>4.1305499999999995E-2</v>
      </c>
      <c r="U59" s="6">
        <v>2023</v>
      </c>
      <c r="V59">
        <v>1</v>
      </c>
      <c r="W59" s="25">
        <f>AVERAGEIFS(T:T,R:R,U59,S:S,V59)</f>
        <v>1135000</v>
      </c>
      <c r="X59" s="9">
        <f t="shared" ref="X59:X82" si="61">AVERAGEIFS(U:U,R:R,U59,S:S,V59)</f>
        <v>5.2831000000000003E-2</v>
      </c>
      <c r="AC59" s="6">
        <v>2023</v>
      </c>
      <c r="AD59">
        <v>1</v>
      </c>
      <c r="AE59" s="25">
        <f t="shared" ref="AE59:AE82" si="62">AVERAGEIFS(AB:AB,Z:Z,AC59,AA:AA,AD59)</f>
        <v>1434934.4230501477</v>
      </c>
      <c r="AF59" s="9">
        <f t="shared" ref="AF59:AF82" si="63">AVERAGEIFS(AC:AC,Z:Z,AC59,AA:AA,AD59)</f>
        <v>2.6019090909090901E-2</v>
      </c>
      <c r="AK59" s="6">
        <v>2023</v>
      </c>
      <c r="AL59">
        <v>9</v>
      </c>
      <c r="AM59" s="25">
        <f t="shared" ref="AM59:AM74" si="64">AVERAGEIFS(AJ:AJ,AH:AH,AK59,AI:AI,AL59)</f>
        <v>1000000</v>
      </c>
      <c r="AN59" s="9">
        <f t="shared" ref="AN59:AN74" si="65">AVERAGEIFS(AK:AK,AH:AH,AK59,AI:AI,AL59)</f>
        <v>2.3041000000000089E-2</v>
      </c>
      <c r="AO59" s="9"/>
      <c r="AP59" s="9"/>
      <c r="AQ59" s="9"/>
      <c r="AR59" s="9"/>
      <c r="AS59" s="6">
        <v>2023</v>
      </c>
      <c r="AT59">
        <v>11</v>
      </c>
      <c r="AU59" s="25">
        <f>IFERROR(AVERAGEIFS(AR:AR,AP:AP,AS59,AQ:AQ,AT59),"")</f>
        <v>796644.84</v>
      </c>
      <c r="AV59" s="9">
        <f>IFERROR(AVERAGEIFS(AS:AS,AP:AP,AS59,AQ:AQ,AT59),"")</f>
        <v>6.0200000000000004E-2</v>
      </c>
      <c r="BD59" s="7">
        <f t="shared" si="0"/>
        <v>1</v>
      </c>
      <c r="BE59" s="7">
        <f t="shared" si="1"/>
        <v>3</v>
      </c>
      <c r="BF59" s="7">
        <f t="shared" si="2"/>
        <v>2023</v>
      </c>
      <c r="BG59" s="36">
        <v>45006</v>
      </c>
      <c r="BH59" s="33">
        <v>2.3990000000000001E-2</v>
      </c>
      <c r="BI59" s="35">
        <f t="shared" si="3"/>
        <v>3.099E-2</v>
      </c>
    </row>
    <row r="60" spans="5:61" x14ac:dyDescent="0.25">
      <c r="E60" s="6">
        <v>2023</v>
      </c>
      <c r="F60">
        <v>2</v>
      </c>
      <c r="G60" s="25">
        <f t="shared" si="57"/>
        <v>4859000</v>
      </c>
      <c r="H60" s="9">
        <f t="shared" si="58"/>
        <v>3.0098E-2</v>
      </c>
      <c r="M60" s="6">
        <v>2023</v>
      </c>
      <c r="N60">
        <v>2</v>
      </c>
      <c r="O60" s="25">
        <f t="shared" si="59"/>
        <v>2650000</v>
      </c>
      <c r="P60" s="9">
        <f t="shared" si="60"/>
        <v>3.9648500000000003E-2</v>
      </c>
      <c r="U60" s="6">
        <v>2023</v>
      </c>
      <c r="V60">
        <v>2</v>
      </c>
      <c r="W60" s="25">
        <f>AVERAGEIFS(T:T,R:R,U60,S:S,V60)</f>
        <v>1918000</v>
      </c>
      <c r="X60" s="9">
        <f t="shared" si="61"/>
        <v>5.0401000000000001E-2</v>
      </c>
      <c r="AC60" s="6">
        <v>2023</v>
      </c>
      <c r="AD60">
        <v>2</v>
      </c>
      <c r="AE60" s="25">
        <f t="shared" si="62"/>
        <v>1534551.7304836416</v>
      </c>
      <c r="AF60" s="9">
        <f t="shared" si="63"/>
        <v>2.9745000000000004E-2</v>
      </c>
      <c r="AK60" s="6">
        <v>2023</v>
      </c>
      <c r="AL60">
        <v>10</v>
      </c>
      <c r="AM60" s="25">
        <f t="shared" si="64"/>
        <v>1000597.36</v>
      </c>
      <c r="AN60" s="9">
        <f t="shared" si="65"/>
        <v>2.3653333333333304E-2</v>
      </c>
      <c r="AO60" s="9"/>
      <c r="AP60" s="9"/>
      <c r="AQ60" s="9"/>
      <c r="AR60" s="9"/>
      <c r="AS60" s="6">
        <v>2023</v>
      </c>
      <c r="AT60">
        <v>12</v>
      </c>
      <c r="AU60" s="25">
        <f t="shared" ref="AU60:AU74" si="66">IFERROR(AVERAGEIFS(AR:AR,AP:AP,AS60,AQ:AQ,AT60),"")</f>
        <v>1212345</v>
      </c>
      <c r="AV60" s="9">
        <f t="shared" ref="AV60:AV74" si="67">IFERROR(AVERAGEIFS(AS:AS,AP:AP,AS60,AQ:AQ,AT60),"")</f>
        <v>6.0200000000000004E-2</v>
      </c>
      <c r="BD60" s="7">
        <f t="shared" si="0"/>
        <v>1</v>
      </c>
      <c r="BE60" s="7">
        <f t="shared" si="1"/>
        <v>3</v>
      </c>
      <c r="BF60" s="7">
        <f t="shared" si="2"/>
        <v>2023</v>
      </c>
      <c r="BG60" s="36">
        <v>45007</v>
      </c>
      <c r="BH60" s="33">
        <v>2.8980000000000002E-2</v>
      </c>
      <c r="BI60" s="35">
        <f t="shared" si="3"/>
        <v>3.5979999999999998E-2</v>
      </c>
    </row>
    <row r="61" spans="5:61" x14ac:dyDescent="0.25">
      <c r="E61" s="6">
        <v>2023</v>
      </c>
      <c r="F61">
        <v>3</v>
      </c>
      <c r="G61" s="25">
        <f t="shared" si="57"/>
        <v>4870400</v>
      </c>
      <c r="H61" s="9">
        <f t="shared" si="58"/>
        <v>3.5333000000000003E-2</v>
      </c>
      <c r="M61" s="6">
        <v>2023</v>
      </c>
      <c r="N61">
        <v>3</v>
      </c>
      <c r="O61" s="25">
        <f t="shared" si="59"/>
        <v>2650000</v>
      </c>
      <c r="P61" s="9">
        <f t="shared" si="60"/>
        <v>4.4059000000000001E-2</v>
      </c>
      <c r="U61" s="6">
        <v>2023</v>
      </c>
      <c r="V61">
        <v>3</v>
      </c>
      <c r="W61" s="25">
        <f>AVERAGEIFS(T:T,R:R,U61,S:S,V61)</f>
        <v>1197000</v>
      </c>
      <c r="X61" s="9">
        <f t="shared" si="61"/>
        <v>5.6713E-2</v>
      </c>
      <c r="AC61" s="6">
        <v>2023</v>
      </c>
      <c r="AD61">
        <v>3</v>
      </c>
      <c r="AE61" s="25">
        <f t="shared" si="62"/>
        <v>1549737.85</v>
      </c>
      <c r="AF61" s="9">
        <f t="shared" si="63"/>
        <v>3.2721304347826073E-2</v>
      </c>
      <c r="AK61" s="6">
        <v>2023</v>
      </c>
      <c r="AL61">
        <v>11</v>
      </c>
      <c r="AM61" s="25">
        <f t="shared" si="64"/>
        <v>2342348.48</v>
      </c>
      <c r="AN61" s="9">
        <f t="shared" si="65"/>
        <v>2.2176333333333326E-2</v>
      </c>
      <c r="AO61" s="9"/>
      <c r="AP61" s="9"/>
      <c r="AQ61" s="9"/>
      <c r="AR61" s="9"/>
      <c r="AS61" s="7">
        <v>2024</v>
      </c>
      <c r="AT61">
        <v>1</v>
      </c>
      <c r="AU61" s="25" t="str">
        <f t="shared" si="66"/>
        <v/>
      </c>
      <c r="AV61" s="9">
        <f t="shared" si="67"/>
        <v>6.0200000000000004E-2</v>
      </c>
      <c r="BD61" s="7">
        <f t="shared" si="0"/>
        <v>1</v>
      </c>
      <c r="BE61" s="7">
        <f t="shared" si="1"/>
        <v>3</v>
      </c>
      <c r="BF61" s="7">
        <f t="shared" si="2"/>
        <v>2023</v>
      </c>
      <c r="BG61" s="36">
        <v>45008</v>
      </c>
      <c r="BH61" s="33">
        <v>2.8989999999999995E-2</v>
      </c>
      <c r="BI61" s="35">
        <f t="shared" si="3"/>
        <v>3.5989999999999994E-2</v>
      </c>
    </row>
    <row r="62" spans="5:61" x14ac:dyDescent="0.25">
      <c r="E62" s="6">
        <v>2023</v>
      </c>
      <c r="F62">
        <v>4</v>
      </c>
      <c r="G62" s="25">
        <f t="shared" si="57"/>
        <v>4882000</v>
      </c>
      <c r="H62" s="9">
        <f t="shared" si="58"/>
        <v>3.6963000000000003E-2</v>
      </c>
      <c r="M62" s="6">
        <v>2023</v>
      </c>
      <c r="N62">
        <v>4</v>
      </c>
      <c r="O62" s="25">
        <f t="shared" si="59"/>
        <v>2650000</v>
      </c>
      <c r="P62" s="9">
        <f t="shared" si="60"/>
        <v>4.4225E-2</v>
      </c>
      <c r="U62" s="6">
        <v>2023</v>
      </c>
      <c r="V62">
        <v>4</v>
      </c>
      <c r="W62" s="25">
        <f>AVERAGEIFS(T:T,R:R,U62,S:S,V62)</f>
        <v>886133.33333333337</v>
      </c>
      <c r="X62" s="9">
        <f t="shared" si="61"/>
        <v>5.6988000000000004E-2</v>
      </c>
      <c r="AC62" s="6">
        <v>2023</v>
      </c>
      <c r="AD62">
        <v>4</v>
      </c>
      <c r="AE62" s="25">
        <f t="shared" si="62"/>
        <v>1436903.85</v>
      </c>
      <c r="AF62" s="9">
        <f t="shared" si="63"/>
        <v>3.6001500000000006E-2</v>
      </c>
      <c r="AK62" s="6">
        <v>2023</v>
      </c>
      <c r="AL62">
        <v>12</v>
      </c>
      <c r="AM62" s="25">
        <f t="shared" si="64"/>
        <v>5025009.26</v>
      </c>
      <c r="AN62" s="9">
        <f t="shared" si="65"/>
        <v>1.9400000000000001E-2</v>
      </c>
      <c r="AO62" s="9"/>
      <c r="AP62" s="9"/>
      <c r="AQ62" s="9"/>
      <c r="AR62" s="9"/>
      <c r="AS62" s="7">
        <v>2024</v>
      </c>
      <c r="AT62">
        <v>2</v>
      </c>
      <c r="AU62" s="25" t="str">
        <f t="shared" si="66"/>
        <v/>
      </c>
      <c r="AV62" s="9">
        <f t="shared" si="67"/>
        <v>6.0200000000000004E-2</v>
      </c>
      <c r="BD62" s="7">
        <f t="shared" si="0"/>
        <v>1</v>
      </c>
      <c r="BE62" s="7">
        <f t="shared" si="1"/>
        <v>3</v>
      </c>
      <c r="BF62" s="7">
        <f t="shared" si="2"/>
        <v>2023</v>
      </c>
      <c r="BG62" s="36">
        <v>45009</v>
      </c>
      <c r="BH62" s="33">
        <v>2.8989999999999995E-2</v>
      </c>
      <c r="BI62" s="35">
        <f t="shared" si="3"/>
        <v>3.5989999999999994E-2</v>
      </c>
    </row>
    <row r="63" spans="5:61" x14ac:dyDescent="0.25">
      <c r="E63" s="6">
        <v>2023</v>
      </c>
      <c r="F63">
        <v>5</v>
      </c>
      <c r="G63" s="25">
        <f t="shared" si="57"/>
        <v>4896536</v>
      </c>
      <c r="H63" s="9">
        <f t="shared" si="58"/>
        <v>3.8581999999999998E-2</v>
      </c>
      <c r="M63" s="6">
        <v>2023</v>
      </c>
      <c r="N63">
        <v>5</v>
      </c>
      <c r="O63" s="25">
        <f t="shared" si="59"/>
        <v>5300000</v>
      </c>
      <c r="P63" s="9">
        <f t="shared" si="60"/>
        <v>5.2553999999999997E-2</v>
      </c>
      <c r="U63" s="6">
        <v>2023</v>
      </c>
      <c r="V63">
        <v>5</v>
      </c>
      <c r="W63" s="25">
        <f>AVERAGEIFS(T:T,R:R,U63,S:S,V63)</f>
        <v>476000</v>
      </c>
      <c r="X63" s="9">
        <f t="shared" si="61"/>
        <v>6.0158000000000003E-2</v>
      </c>
      <c r="AC63" s="6">
        <v>2023</v>
      </c>
      <c r="AD63">
        <v>5</v>
      </c>
      <c r="AE63" s="25">
        <f t="shared" si="62"/>
        <v>1324069.8500000001</v>
      </c>
      <c r="AF63" s="9">
        <f t="shared" si="63"/>
        <v>3.7719565217391296E-2</v>
      </c>
      <c r="AK63" s="7">
        <v>2024</v>
      </c>
      <c r="AL63">
        <v>1</v>
      </c>
      <c r="AM63" s="25">
        <f t="shared" si="64"/>
        <v>5025009.26</v>
      </c>
      <c r="AN63" s="9">
        <f t="shared" si="65"/>
        <v>1.9400000000000001E-2</v>
      </c>
      <c r="AO63" s="9"/>
      <c r="AP63" s="9"/>
      <c r="AQ63" s="9"/>
      <c r="AR63" s="9"/>
      <c r="AS63" s="7">
        <v>2024</v>
      </c>
      <c r="AT63">
        <v>3</v>
      </c>
      <c r="AU63" s="25">
        <f t="shared" si="66"/>
        <v>278863.69</v>
      </c>
      <c r="AV63" s="9">
        <f t="shared" si="67"/>
        <v>6.0200000000000004E-2</v>
      </c>
      <c r="BD63" s="7">
        <f t="shared" si="0"/>
        <v>1</v>
      </c>
      <c r="BE63" s="7">
        <f t="shared" si="1"/>
        <v>3</v>
      </c>
      <c r="BF63" s="7">
        <f t="shared" si="2"/>
        <v>2023</v>
      </c>
      <c r="BG63" s="36">
        <v>45012</v>
      </c>
      <c r="BH63" s="33">
        <v>2.8980000000000002E-2</v>
      </c>
      <c r="BI63" s="35">
        <f t="shared" si="3"/>
        <v>3.5979999999999998E-2</v>
      </c>
    </row>
    <row r="64" spans="5:61" x14ac:dyDescent="0.25">
      <c r="E64" s="6">
        <v>2023</v>
      </c>
      <c r="F64">
        <v>6</v>
      </c>
      <c r="G64" s="25">
        <f t="shared" si="57"/>
        <v>5697000</v>
      </c>
      <c r="H64" s="9">
        <f t="shared" si="58"/>
        <v>4.0717000000000003E-2</v>
      </c>
      <c r="M64" s="6">
        <v>2023</v>
      </c>
      <c r="N64">
        <v>6</v>
      </c>
      <c r="O64" s="25">
        <f t="shared" si="59"/>
        <v>2797500</v>
      </c>
      <c r="P64" s="9">
        <f t="shared" si="60"/>
        <v>5.3448999999999997E-2</v>
      </c>
      <c r="U64" s="6">
        <v>2023</v>
      </c>
      <c r="V64">
        <v>6</v>
      </c>
      <c r="W64" s="25"/>
      <c r="X64" s="9" t="e">
        <f t="shared" si="61"/>
        <v>#DIV/0!</v>
      </c>
      <c r="AC64" s="6">
        <v>2023</v>
      </c>
      <c r="AD64">
        <v>6</v>
      </c>
      <c r="AE64" s="25">
        <f t="shared" si="62"/>
        <v>1032755.28</v>
      </c>
      <c r="AF64" s="9">
        <f t="shared" si="63"/>
        <v>3.9380454545454552E-2</v>
      </c>
      <c r="AK64" s="7">
        <v>2024</v>
      </c>
      <c r="AL64">
        <v>2</v>
      </c>
      <c r="AM64" s="25">
        <f t="shared" si="64"/>
        <v>5025009.26</v>
      </c>
      <c r="AN64" s="9">
        <f t="shared" si="65"/>
        <v>1.9400000000000001E-2</v>
      </c>
      <c r="AO64" s="9"/>
      <c r="AP64" s="9"/>
      <c r="AQ64" s="9"/>
      <c r="AR64" s="9"/>
      <c r="AS64" s="7">
        <v>2024</v>
      </c>
      <c r="AT64">
        <v>4</v>
      </c>
      <c r="AU64" s="25" t="str">
        <f t="shared" si="66"/>
        <v/>
      </c>
      <c r="AV64" s="9">
        <f t="shared" si="67"/>
        <v>6.0200000000000004E-2</v>
      </c>
      <c r="BD64" s="7">
        <f t="shared" si="0"/>
        <v>1</v>
      </c>
      <c r="BE64" s="7">
        <f t="shared" si="1"/>
        <v>3</v>
      </c>
      <c r="BF64" s="7">
        <f t="shared" si="2"/>
        <v>2023</v>
      </c>
      <c r="BG64" s="36">
        <v>45013</v>
      </c>
      <c r="BH64" s="33">
        <v>2.8939999999999997E-2</v>
      </c>
      <c r="BI64" s="35">
        <f t="shared" si="3"/>
        <v>3.594E-2</v>
      </c>
    </row>
    <row r="65" spans="5:61" x14ac:dyDescent="0.25">
      <c r="E65" s="6">
        <v>2023</v>
      </c>
      <c r="F65">
        <v>7</v>
      </c>
      <c r="G65" s="25">
        <f t="shared" si="57"/>
        <v>5696666</v>
      </c>
      <c r="H65" s="9">
        <f t="shared" si="58"/>
        <v>4.2154999999999998E-2</v>
      </c>
      <c r="M65" s="6">
        <v>2023</v>
      </c>
      <c r="N65">
        <v>7</v>
      </c>
      <c r="O65" s="25">
        <f t="shared" si="59"/>
        <v>3202406.5</v>
      </c>
      <c r="P65" s="9">
        <f t="shared" si="60"/>
        <v>5.9895000000000004E-2</v>
      </c>
      <c r="U65" s="6">
        <v>2023</v>
      </c>
      <c r="V65">
        <v>7</v>
      </c>
      <c r="W65" s="25"/>
      <c r="X65" s="9" t="e">
        <f t="shared" si="61"/>
        <v>#DIV/0!</v>
      </c>
      <c r="AC65" s="6">
        <v>2023</v>
      </c>
      <c r="AD65">
        <v>7</v>
      </c>
      <c r="AE65" s="25">
        <f t="shared" si="62"/>
        <v>1036144.4776967182</v>
      </c>
      <c r="AF65" s="9">
        <f t="shared" si="63"/>
        <v>4.1021904761904759E-2</v>
      </c>
      <c r="AK65" s="7">
        <v>2024</v>
      </c>
      <c r="AL65">
        <v>3</v>
      </c>
      <c r="AM65" s="25">
        <f t="shared" si="64"/>
        <v>7025009.2599999998</v>
      </c>
      <c r="AN65" s="9">
        <f t="shared" si="65"/>
        <v>1.9400000000000001E-2</v>
      </c>
      <c r="AO65" s="9"/>
      <c r="AP65" s="9"/>
      <c r="AQ65" s="9"/>
      <c r="AR65" s="9"/>
      <c r="AS65" s="7">
        <v>2024</v>
      </c>
      <c r="AT65">
        <v>5</v>
      </c>
      <c r="AU65" s="25">
        <f t="shared" si="66"/>
        <v>588666</v>
      </c>
      <c r="AV65" s="9">
        <f t="shared" si="67"/>
        <v>6.0200000000000004E-2</v>
      </c>
      <c r="BD65" s="7">
        <f t="shared" si="0"/>
        <v>1</v>
      </c>
      <c r="BE65" s="7">
        <f t="shared" si="1"/>
        <v>3</v>
      </c>
      <c r="BF65" s="7">
        <f t="shared" si="2"/>
        <v>2023</v>
      </c>
      <c r="BG65" s="36">
        <v>45014</v>
      </c>
      <c r="BH65" s="33">
        <v>2.8939999999999997E-2</v>
      </c>
      <c r="BI65" s="35">
        <f t="shared" si="3"/>
        <v>3.594E-2</v>
      </c>
    </row>
    <row r="66" spans="5:61" x14ac:dyDescent="0.25">
      <c r="E66" s="6">
        <v>2023</v>
      </c>
      <c r="F66">
        <v>8</v>
      </c>
      <c r="G66" s="25">
        <f t="shared" si="57"/>
        <v>5717400</v>
      </c>
      <c r="H66" s="9">
        <f t="shared" si="58"/>
        <v>4.3861999999999998E-2</v>
      </c>
      <c r="M66" s="6">
        <v>2023</v>
      </c>
      <c r="N66">
        <v>8</v>
      </c>
      <c r="O66" s="25">
        <f t="shared" si="59"/>
        <v>3207551.0249999999</v>
      </c>
      <c r="P66" s="9">
        <f t="shared" si="60"/>
        <v>6.1158499999999998E-2</v>
      </c>
      <c r="U66" s="6">
        <v>2023</v>
      </c>
      <c r="V66">
        <v>8</v>
      </c>
      <c r="W66" s="25">
        <f t="shared" ref="W66:W82" si="68">AVERAGEIFS(T:T,R:R,U66,S:S,V66)</f>
        <v>1465200</v>
      </c>
      <c r="X66" s="9">
        <f t="shared" si="61"/>
        <v>6.1512999999999998E-2</v>
      </c>
      <c r="AC66" s="6">
        <v>2023</v>
      </c>
      <c r="AD66">
        <v>8</v>
      </c>
      <c r="AE66" s="25">
        <f t="shared" si="62"/>
        <v>1039686.5293703555</v>
      </c>
      <c r="AF66" s="9">
        <f t="shared" si="63"/>
        <v>4.3418695652173919E-2</v>
      </c>
      <c r="AK66" s="7">
        <v>2024</v>
      </c>
      <c r="AL66">
        <v>4</v>
      </c>
      <c r="AM66" s="25">
        <f t="shared" si="64"/>
        <v>13640418.9</v>
      </c>
      <c r="AN66" s="9">
        <f t="shared" si="65"/>
        <v>1.9400000000000001E-2</v>
      </c>
      <c r="AO66" s="9"/>
      <c r="AP66" s="9"/>
      <c r="AQ66" s="9"/>
      <c r="AR66" s="9"/>
      <c r="AS66" s="7">
        <v>2024</v>
      </c>
      <c r="AT66">
        <v>6</v>
      </c>
      <c r="AU66" s="25">
        <f t="shared" si="66"/>
        <v>591619.14110000001</v>
      </c>
      <c r="AV66" s="9">
        <f t="shared" si="67"/>
        <v>6.0200000000000004E-2</v>
      </c>
      <c r="BD66" s="7">
        <f t="shared" si="0"/>
        <v>1</v>
      </c>
      <c r="BE66" s="7">
        <f t="shared" si="1"/>
        <v>3</v>
      </c>
      <c r="BF66" s="7">
        <f t="shared" si="2"/>
        <v>2023</v>
      </c>
      <c r="BG66" s="36">
        <v>45015</v>
      </c>
      <c r="BH66" s="33">
        <v>2.8960000000000003E-2</v>
      </c>
      <c r="BI66" s="35">
        <f t="shared" si="3"/>
        <v>3.5960000000000006E-2</v>
      </c>
    </row>
    <row r="67" spans="5:61" x14ac:dyDescent="0.25">
      <c r="E67" s="6">
        <v>2023</v>
      </c>
      <c r="F67">
        <v>9</v>
      </c>
      <c r="G67" s="25">
        <f t="shared" si="57"/>
        <v>5717400</v>
      </c>
      <c r="H67" s="9">
        <f t="shared" si="58"/>
        <v>4.4882999999999999E-2</v>
      </c>
      <c r="M67" s="6">
        <v>2023</v>
      </c>
      <c r="N67">
        <v>9</v>
      </c>
      <c r="O67" s="25">
        <f t="shared" si="59"/>
        <v>5372700</v>
      </c>
      <c r="P67" s="9">
        <f t="shared" si="60"/>
        <v>6.0400000000000002E-2</v>
      </c>
      <c r="U67" s="6">
        <v>2023</v>
      </c>
      <c r="V67">
        <v>9</v>
      </c>
      <c r="W67" s="25">
        <f t="shared" si="68"/>
        <v>1465200</v>
      </c>
      <c r="X67" s="9">
        <f t="shared" si="61"/>
        <v>6.1322000000000002E-2</v>
      </c>
      <c r="AC67" s="6">
        <v>2023</v>
      </c>
      <c r="AD67">
        <v>9</v>
      </c>
      <c r="AE67" s="25">
        <f t="shared" si="62"/>
        <v>1044062.34</v>
      </c>
      <c r="AF67" s="9">
        <f t="shared" si="63"/>
        <v>4.4466190476190479E-2</v>
      </c>
      <c r="AK67" s="7">
        <v>2024</v>
      </c>
      <c r="AL67">
        <v>5</v>
      </c>
      <c r="AM67" s="25">
        <f t="shared" si="64"/>
        <v>13640418.9</v>
      </c>
      <c r="AN67" s="9">
        <f t="shared" si="65"/>
        <v>1.9400000000000001E-2</v>
      </c>
      <c r="AO67" s="9"/>
      <c r="AP67" s="9"/>
      <c r="AQ67" s="9"/>
      <c r="AR67" s="9"/>
      <c r="AS67" s="7">
        <v>2024</v>
      </c>
      <c r="AT67">
        <v>7</v>
      </c>
      <c r="AU67" s="25">
        <f t="shared" si="66"/>
        <v>594587.09712451836</v>
      </c>
      <c r="AV67" s="9">
        <f t="shared" si="67"/>
        <v>6.0200000000000004E-2</v>
      </c>
      <c r="BD67" s="7">
        <f t="shared" ref="BD67:BD130" si="69">ROUNDUP(MONTH(BG67)/3,0)</f>
        <v>1</v>
      </c>
      <c r="BE67" s="7">
        <f t="shared" ref="BE67:BE130" si="70">MONTH(BG67)</f>
        <v>3</v>
      </c>
      <c r="BF67" s="7">
        <f t="shared" ref="BF67:BF130" si="71">YEAR(BG67)</f>
        <v>2023</v>
      </c>
      <c r="BG67" s="36">
        <v>45016</v>
      </c>
      <c r="BH67" s="33">
        <v>2.8839999999999998E-2</v>
      </c>
      <c r="BI67" s="35">
        <f t="shared" ref="BI67:BI130" si="72">BH67+0.7%</f>
        <v>3.5839999999999997E-2</v>
      </c>
    </row>
    <row r="68" spans="5:61" x14ac:dyDescent="0.25">
      <c r="E68" s="6">
        <v>2023</v>
      </c>
      <c r="F68">
        <v>10</v>
      </c>
      <c r="G68" s="25">
        <f t="shared" si="57"/>
        <v>5382876</v>
      </c>
      <c r="H68" s="9">
        <f t="shared" si="58"/>
        <v>4.7057000000000002E-2</v>
      </c>
      <c r="M68" s="6">
        <v>2023</v>
      </c>
      <c r="N68">
        <v>10</v>
      </c>
      <c r="O68" s="25">
        <f t="shared" si="59"/>
        <v>3002000</v>
      </c>
      <c r="P68" s="9">
        <f t="shared" si="60"/>
        <v>6.1771E-2</v>
      </c>
      <c r="U68" s="6">
        <v>2023</v>
      </c>
      <c r="V68">
        <v>10</v>
      </c>
      <c r="W68" s="25">
        <f t="shared" si="68"/>
        <v>224754.33333333334</v>
      </c>
      <c r="X68" s="9">
        <f t="shared" si="61"/>
        <v>6.2293666666666657E-2</v>
      </c>
      <c r="AC68" s="6">
        <v>2023</v>
      </c>
      <c r="AD68">
        <v>10</v>
      </c>
      <c r="AE68" s="25">
        <f t="shared" si="62"/>
        <v>1194062.3399999999</v>
      </c>
      <c r="AF68" s="9">
        <f t="shared" si="63"/>
        <v>4.5947272727272705E-2</v>
      </c>
      <c r="AK68" s="7">
        <v>2024</v>
      </c>
      <c r="AL68">
        <v>6</v>
      </c>
      <c r="AM68" s="25">
        <f t="shared" si="64"/>
        <v>13640418.9</v>
      </c>
      <c r="AN68" s="9">
        <f t="shared" si="65"/>
        <v>1.9400000000000001E-2</v>
      </c>
      <c r="AO68" s="9"/>
      <c r="AP68" s="9"/>
      <c r="AQ68" s="9"/>
      <c r="AR68" s="9"/>
      <c r="AS68" s="7">
        <v>2024</v>
      </c>
      <c r="AT68">
        <v>8</v>
      </c>
      <c r="AU68" s="25">
        <f t="shared" si="66"/>
        <v>597569.94239509304</v>
      </c>
      <c r="AV68" s="9">
        <f t="shared" si="67"/>
        <v>6.0200000000000004E-2</v>
      </c>
      <c r="BD68" s="7">
        <f t="shared" si="69"/>
        <v>2</v>
      </c>
      <c r="BE68" s="7">
        <f t="shared" si="70"/>
        <v>4</v>
      </c>
      <c r="BF68" s="7">
        <f t="shared" si="71"/>
        <v>2023</v>
      </c>
      <c r="BG68" s="36">
        <v>45019</v>
      </c>
      <c r="BH68" s="33">
        <v>2.8980000000000002E-2</v>
      </c>
      <c r="BI68" s="35">
        <f t="shared" si="72"/>
        <v>3.5979999999999998E-2</v>
      </c>
    </row>
    <row r="69" spans="5:61" x14ac:dyDescent="0.25">
      <c r="E69" s="6">
        <v>2023</v>
      </c>
      <c r="F69">
        <v>11</v>
      </c>
      <c r="G69" s="25">
        <f t="shared" si="57"/>
        <v>5403280.8799999999</v>
      </c>
      <c r="H69" s="9">
        <f t="shared" si="58"/>
        <v>4.6659999999999924E-2</v>
      </c>
      <c r="M69" s="6">
        <v>2023</v>
      </c>
      <c r="N69">
        <v>11</v>
      </c>
      <c r="O69" s="25">
        <f t="shared" si="59"/>
        <v>3022707</v>
      </c>
      <c r="P69" s="9">
        <f t="shared" si="60"/>
        <v>6.1771E-2</v>
      </c>
      <c r="U69" s="6">
        <v>2023</v>
      </c>
      <c r="V69">
        <v>11</v>
      </c>
      <c r="W69" s="25">
        <f t="shared" si="68"/>
        <v>205615.5</v>
      </c>
      <c r="X69" s="9">
        <f t="shared" si="61"/>
        <v>6.1929000000000012E-2</v>
      </c>
      <c r="AC69" s="6">
        <v>2023</v>
      </c>
      <c r="AD69">
        <v>11</v>
      </c>
      <c r="AE69" s="25">
        <f t="shared" si="62"/>
        <v>1176562.3400000001</v>
      </c>
      <c r="AF69" s="9">
        <f t="shared" si="63"/>
        <v>4.5919999999999989E-2</v>
      </c>
      <c r="AK69" s="7">
        <v>2024</v>
      </c>
      <c r="AL69">
        <v>7</v>
      </c>
      <c r="AM69" s="25">
        <f t="shared" si="64"/>
        <v>13640418.9</v>
      </c>
      <c r="AN69" s="9">
        <f t="shared" si="65"/>
        <v>1.9400000000000001E-2</v>
      </c>
      <c r="AO69" s="9"/>
      <c r="AP69" s="9"/>
      <c r="AQ69" s="9"/>
      <c r="AR69" s="9"/>
      <c r="AS69" s="7">
        <v>2024</v>
      </c>
      <c r="AT69">
        <v>9</v>
      </c>
      <c r="AU69" s="25">
        <f t="shared" si="66"/>
        <v>600567.75160610839</v>
      </c>
      <c r="AV69" s="9">
        <f t="shared" si="67"/>
        <v>6.0200000000000004E-2</v>
      </c>
      <c r="BD69" s="7">
        <f t="shared" si="69"/>
        <v>2</v>
      </c>
      <c r="BE69" s="7">
        <f t="shared" si="70"/>
        <v>4</v>
      </c>
      <c r="BF69" s="7">
        <f t="shared" si="71"/>
        <v>2023</v>
      </c>
      <c r="BG69" s="36">
        <v>45020</v>
      </c>
      <c r="BH69" s="33">
        <v>2.8980000000000002E-2</v>
      </c>
      <c r="BI69" s="35">
        <f t="shared" si="72"/>
        <v>3.5979999999999998E-2</v>
      </c>
    </row>
    <row r="70" spans="5:61" x14ac:dyDescent="0.25">
      <c r="E70" s="6">
        <v>2023</v>
      </c>
      <c r="F70">
        <v>12</v>
      </c>
      <c r="G70" s="25">
        <f t="shared" si="57"/>
        <v>6596846.0999999996</v>
      </c>
      <c r="H70" s="9">
        <f t="shared" si="58"/>
        <v>4.6742999999999979E-2</v>
      </c>
      <c r="M70" s="6">
        <v>2023</v>
      </c>
      <c r="N70">
        <v>12</v>
      </c>
      <c r="O70" s="25">
        <f t="shared" si="59"/>
        <v>3052008.84</v>
      </c>
      <c r="P70" s="9">
        <f t="shared" si="60"/>
        <v>6.1767000000000002E-2</v>
      </c>
      <c r="U70" s="6">
        <v>2023</v>
      </c>
      <c r="V70">
        <v>12</v>
      </c>
      <c r="W70" s="25">
        <f>AVERAGEIFS(T:T,R:R,U70,S:S,V70)</f>
        <v>0</v>
      </c>
      <c r="X70" s="9">
        <f t="shared" si="61"/>
        <v>6.2063E-2</v>
      </c>
      <c r="AC70" s="6">
        <v>2023</v>
      </c>
      <c r="AD70">
        <v>12</v>
      </c>
      <c r="AE70" s="25">
        <f t="shared" si="62"/>
        <v>1118978.97</v>
      </c>
      <c r="AF70" s="9">
        <f t="shared" si="63"/>
        <v>4.7348571428571441E-2</v>
      </c>
      <c r="AK70" s="7">
        <v>2024</v>
      </c>
      <c r="AL70">
        <v>8</v>
      </c>
      <c r="AM70" s="25">
        <f t="shared" si="64"/>
        <v>13640418.9</v>
      </c>
      <c r="AN70" s="9">
        <f t="shared" si="65"/>
        <v>1.9400000000000001E-2</v>
      </c>
      <c r="AO70" s="9"/>
      <c r="AP70" s="9"/>
      <c r="AQ70" s="9"/>
      <c r="AR70" s="9"/>
      <c r="AS70" s="7">
        <v>2024</v>
      </c>
      <c r="AT70">
        <v>10</v>
      </c>
      <c r="AU70" s="25">
        <f t="shared" si="66"/>
        <v>603580.59982666571</v>
      </c>
      <c r="AV70" s="9">
        <f t="shared" si="67"/>
        <v>6.0200000000000004E-2</v>
      </c>
      <c r="BD70" s="7">
        <f t="shared" si="69"/>
        <v>2</v>
      </c>
      <c r="BE70" s="7">
        <f t="shared" si="70"/>
        <v>4</v>
      </c>
      <c r="BF70" s="7">
        <f t="shared" si="71"/>
        <v>2023</v>
      </c>
      <c r="BG70" s="36">
        <v>45021</v>
      </c>
      <c r="BH70" s="33">
        <v>2.9019999999999997E-2</v>
      </c>
      <c r="BI70" s="35">
        <f t="shared" si="72"/>
        <v>3.6019999999999996E-2</v>
      </c>
    </row>
    <row r="71" spans="5:61" x14ac:dyDescent="0.25">
      <c r="E71" s="7">
        <v>2024</v>
      </c>
      <c r="F71">
        <v>1</v>
      </c>
      <c r="G71" s="25">
        <f t="shared" si="57"/>
        <v>6596846.0999999996</v>
      </c>
      <c r="H71" s="9">
        <f t="shared" si="58"/>
        <v>4.6742999999999979E-2</v>
      </c>
      <c r="M71" s="7">
        <v>2024</v>
      </c>
      <c r="N71">
        <v>1</v>
      </c>
      <c r="O71" s="25">
        <f t="shared" si="59"/>
        <v>3065819.19</v>
      </c>
      <c r="P71" s="9">
        <f t="shared" si="60"/>
        <v>6.164600000000009E-2</v>
      </c>
      <c r="U71" s="7">
        <v>2024</v>
      </c>
      <c r="V71">
        <v>1</v>
      </c>
      <c r="W71" s="25">
        <f t="shared" si="68"/>
        <v>1691947.67</v>
      </c>
      <c r="X71" s="9">
        <f t="shared" si="61"/>
        <v>6.2063E-2</v>
      </c>
      <c r="AC71" s="7">
        <v>2024</v>
      </c>
      <c r="AD71">
        <v>1</v>
      </c>
      <c r="AE71" s="25">
        <f t="shared" si="62"/>
        <v>1453050.27</v>
      </c>
      <c r="AF71" s="9">
        <f t="shared" si="63"/>
        <v>4.8420000000000005E-2</v>
      </c>
      <c r="AK71" s="7">
        <v>2024</v>
      </c>
      <c r="AL71">
        <v>9</v>
      </c>
      <c r="AM71" s="25">
        <f t="shared" si="64"/>
        <v>13640418.9</v>
      </c>
      <c r="AN71" s="9">
        <f t="shared" si="65"/>
        <v>1.9400000000000001E-2</v>
      </c>
      <c r="AO71" s="9"/>
      <c r="AP71" s="9"/>
      <c r="AQ71" s="9"/>
      <c r="AR71" s="9"/>
      <c r="AS71" s="7">
        <v>2024</v>
      </c>
      <c r="AT71">
        <v>11</v>
      </c>
      <c r="AU71" s="25">
        <f t="shared" si="66"/>
        <v>606608.56250246277</v>
      </c>
      <c r="AV71" s="9">
        <f t="shared" si="67"/>
        <v>6.0200000000000004E-2</v>
      </c>
      <c r="BD71" s="7">
        <f t="shared" si="69"/>
        <v>2</v>
      </c>
      <c r="BE71" s="7">
        <f t="shared" si="70"/>
        <v>4</v>
      </c>
      <c r="BF71" s="7">
        <f t="shared" si="71"/>
        <v>2023</v>
      </c>
      <c r="BG71" s="36">
        <v>45022</v>
      </c>
      <c r="BH71" s="33">
        <v>2.903E-2</v>
      </c>
      <c r="BI71" s="35">
        <f t="shared" si="72"/>
        <v>3.603E-2</v>
      </c>
    </row>
    <row r="72" spans="5:61" x14ac:dyDescent="0.25">
      <c r="E72" s="7">
        <v>2024</v>
      </c>
      <c r="F72">
        <v>2</v>
      </c>
      <c r="G72" s="25">
        <f t="shared" si="57"/>
        <v>7189395.4500000002</v>
      </c>
      <c r="H72" s="9">
        <f t="shared" si="58"/>
        <v>4.5446E-2</v>
      </c>
      <c r="M72" s="7">
        <v>2024</v>
      </c>
      <c r="N72">
        <v>2</v>
      </c>
      <c r="O72" s="25">
        <f t="shared" si="59"/>
        <v>3000975.9</v>
      </c>
      <c r="P72" s="9">
        <f t="shared" si="60"/>
        <v>6.164600000000009E-2</v>
      </c>
      <c r="U72" s="7">
        <v>2024</v>
      </c>
      <c r="V72">
        <v>2</v>
      </c>
      <c r="W72" s="25">
        <f t="shared" si="68"/>
        <v>1700704.2041704457</v>
      </c>
      <c r="X72" s="9">
        <f t="shared" si="61"/>
        <v>6.2063E-2</v>
      </c>
      <c r="AC72" s="7">
        <v>2024</v>
      </c>
      <c r="AD72">
        <v>2</v>
      </c>
      <c r="AE72" s="25">
        <f t="shared" si="62"/>
        <v>1458913.32783945</v>
      </c>
      <c r="AF72" s="9">
        <f t="shared" si="63"/>
        <v>4.8420000000000012E-2</v>
      </c>
      <c r="AK72" s="7">
        <v>2024</v>
      </c>
      <c r="AL72">
        <v>10</v>
      </c>
      <c r="AM72" s="25">
        <f t="shared" si="64"/>
        <v>13640418.9</v>
      </c>
      <c r="AN72" s="9">
        <f t="shared" si="65"/>
        <v>1.9400000000000001E-2</v>
      </c>
      <c r="AO72" s="9"/>
      <c r="AP72" s="9"/>
      <c r="AQ72" s="9"/>
      <c r="AR72" s="9"/>
      <c r="AS72" s="7">
        <v>2024</v>
      </c>
      <c r="AT72">
        <v>12</v>
      </c>
      <c r="AU72" s="25">
        <f t="shared" si="66"/>
        <v>609651.71545768343</v>
      </c>
      <c r="AV72" s="9">
        <f t="shared" si="67"/>
        <v>6.0200000000000004E-2</v>
      </c>
      <c r="BD72" s="7">
        <f t="shared" si="69"/>
        <v>2</v>
      </c>
      <c r="BE72" s="7">
        <f t="shared" si="70"/>
        <v>4</v>
      </c>
      <c r="BF72" s="7">
        <f t="shared" si="71"/>
        <v>2023</v>
      </c>
      <c r="BG72" s="36">
        <v>45023</v>
      </c>
      <c r="BH72" s="33">
        <v>2.903E-2</v>
      </c>
      <c r="BI72" s="35">
        <f t="shared" si="72"/>
        <v>3.603E-2</v>
      </c>
    </row>
    <row r="73" spans="5:61" x14ac:dyDescent="0.25">
      <c r="E73" s="7">
        <v>2024</v>
      </c>
      <c r="F73">
        <v>3</v>
      </c>
      <c r="G73" s="25">
        <f t="shared" si="57"/>
        <v>7850008.2400000002</v>
      </c>
      <c r="H73" s="9">
        <f t="shared" si="58"/>
        <v>4.6600000000000003E-2</v>
      </c>
      <c r="M73" s="7">
        <v>2024</v>
      </c>
      <c r="N73">
        <v>3</v>
      </c>
      <c r="O73" s="25">
        <f t="shared" si="59"/>
        <v>1041753.21</v>
      </c>
      <c r="P73" s="9">
        <f t="shared" si="60"/>
        <v>6.1699999999999998E-2</v>
      </c>
      <c r="U73" s="7">
        <v>2024</v>
      </c>
      <c r="V73">
        <v>3</v>
      </c>
      <c r="W73" s="25">
        <f t="shared" si="68"/>
        <v>2647750.61</v>
      </c>
      <c r="X73" s="9">
        <f t="shared" si="61"/>
        <v>6.1899999999999997E-2</v>
      </c>
      <c r="AC73" s="7">
        <v>2024</v>
      </c>
      <c r="AD73">
        <v>3</v>
      </c>
      <c r="AE73" s="25">
        <f t="shared" si="62"/>
        <v>1453050.27</v>
      </c>
      <c r="AF73" s="9">
        <f t="shared" si="63"/>
        <v>4.8420000000000012E-2</v>
      </c>
      <c r="AK73" s="7">
        <v>2024</v>
      </c>
      <c r="AL73">
        <v>11</v>
      </c>
      <c r="AM73" s="25">
        <f t="shared" si="64"/>
        <v>13640418.9</v>
      </c>
      <c r="AN73" s="9">
        <f t="shared" si="65"/>
        <v>1.9400000000000001E-2</v>
      </c>
      <c r="AO73" s="9"/>
      <c r="AP73" s="9"/>
      <c r="AQ73" s="9"/>
      <c r="AR73" s="9"/>
      <c r="AT73"/>
      <c r="AU73" s="25" t="str">
        <f t="shared" si="66"/>
        <v/>
      </c>
      <c r="AV73" s="9" t="str">
        <f t="shared" si="67"/>
        <v/>
      </c>
      <c r="BD73" s="7">
        <f t="shared" si="69"/>
        <v>2</v>
      </c>
      <c r="BE73" s="7">
        <f t="shared" si="70"/>
        <v>4</v>
      </c>
      <c r="BF73" s="7">
        <f t="shared" si="71"/>
        <v>2023</v>
      </c>
      <c r="BG73" s="36">
        <v>45026</v>
      </c>
      <c r="BH73" s="33">
        <v>2.903E-2</v>
      </c>
      <c r="BI73" s="35">
        <f t="shared" si="72"/>
        <v>3.603E-2</v>
      </c>
    </row>
    <row r="74" spans="5:61" x14ac:dyDescent="0.25">
      <c r="E74" s="7">
        <v>2024</v>
      </c>
      <c r="F74">
        <v>4</v>
      </c>
      <c r="G74" s="25">
        <f t="shared" si="57"/>
        <v>7850008.2400000002</v>
      </c>
      <c r="H74" s="9">
        <f t="shared" si="58"/>
        <v>4.6600000000000003E-2</v>
      </c>
      <c r="M74" s="7">
        <v>2024</v>
      </c>
      <c r="N74">
        <v>4</v>
      </c>
      <c r="O74" s="25">
        <f t="shared" si="59"/>
        <v>822382.78</v>
      </c>
      <c r="P74" s="9">
        <f t="shared" si="60"/>
        <v>6.1600000000000002E-2</v>
      </c>
      <c r="U74" s="7">
        <v>2024</v>
      </c>
      <c r="V74">
        <v>4</v>
      </c>
      <c r="W74" s="25">
        <f t="shared" si="68"/>
        <v>2661408.5902299164</v>
      </c>
      <c r="X74" s="9">
        <f t="shared" si="61"/>
        <v>6.1899999999999997E-2</v>
      </c>
      <c r="AC74" s="7">
        <v>2024</v>
      </c>
      <c r="AD74">
        <v>4</v>
      </c>
      <c r="AE74" s="25">
        <f t="shared" si="62"/>
        <v>1458913.32783945</v>
      </c>
      <c r="AF74" s="9">
        <f t="shared" si="63"/>
        <v>4.8420000000000012E-2</v>
      </c>
      <c r="AK74" s="7">
        <v>2024</v>
      </c>
      <c r="AL74">
        <v>12</v>
      </c>
      <c r="AM74" s="25">
        <f t="shared" si="64"/>
        <v>13640418.9</v>
      </c>
      <c r="AN74" s="9">
        <f t="shared" si="65"/>
        <v>1.9400000000000001E-2</v>
      </c>
      <c r="AO74" s="9"/>
      <c r="AP74" s="9"/>
      <c r="AQ74" s="9"/>
      <c r="AR74" s="9"/>
      <c r="AT74"/>
      <c r="AU74" s="25" t="str">
        <f t="shared" si="66"/>
        <v/>
      </c>
      <c r="AV74" s="9" t="str">
        <f t="shared" si="67"/>
        <v/>
      </c>
      <c r="BD74" s="7">
        <f t="shared" si="69"/>
        <v>2</v>
      </c>
      <c r="BE74" s="7">
        <f t="shared" si="70"/>
        <v>4</v>
      </c>
      <c r="BF74" s="7">
        <f t="shared" si="71"/>
        <v>2023</v>
      </c>
      <c r="BG74" s="36">
        <v>45027</v>
      </c>
      <c r="BH74" s="33">
        <v>2.8969999999999999E-2</v>
      </c>
      <c r="BI74" s="35">
        <f t="shared" si="72"/>
        <v>3.5970000000000002E-2</v>
      </c>
    </row>
    <row r="75" spans="5:61" x14ac:dyDescent="0.25">
      <c r="E75" s="7">
        <v>2024</v>
      </c>
      <c r="F75">
        <v>5</v>
      </c>
      <c r="G75" s="25">
        <f t="shared" si="57"/>
        <v>7880492.4386653332</v>
      </c>
      <c r="H75" s="9">
        <f t="shared" si="58"/>
        <v>4.6600000000000003E-2</v>
      </c>
      <c r="M75" s="7">
        <v>2024</v>
      </c>
      <c r="N75">
        <v>5</v>
      </c>
      <c r="O75" s="25">
        <f t="shared" si="59"/>
        <v>826604.34493733337</v>
      </c>
      <c r="P75" s="9">
        <f t="shared" si="60"/>
        <v>6.1600000000000002E-2</v>
      </c>
      <c r="U75" s="7">
        <v>2024</v>
      </c>
      <c r="V75">
        <v>5</v>
      </c>
      <c r="W75" s="25">
        <f t="shared" si="68"/>
        <v>0</v>
      </c>
      <c r="X75" s="9">
        <f t="shared" si="61"/>
        <v>6.1899999999999997E-2</v>
      </c>
      <c r="AC75" s="7">
        <v>2024</v>
      </c>
      <c r="AD75">
        <v>5</v>
      </c>
      <c r="AE75" s="25">
        <f t="shared" si="62"/>
        <v>1605494.45</v>
      </c>
      <c r="AF75" s="9">
        <f t="shared" si="63"/>
        <v>4.8420000000000005E-2</v>
      </c>
      <c r="BD75" s="7">
        <f t="shared" si="69"/>
        <v>2</v>
      </c>
      <c r="BE75" s="7">
        <f t="shared" si="70"/>
        <v>4</v>
      </c>
      <c r="BF75" s="7">
        <f t="shared" si="71"/>
        <v>2023</v>
      </c>
      <c r="BG75" s="36">
        <v>45028</v>
      </c>
      <c r="BH75" s="33">
        <v>2.8980000000000002E-2</v>
      </c>
      <c r="BI75" s="35">
        <f t="shared" si="72"/>
        <v>3.5979999999999998E-2</v>
      </c>
    </row>
    <row r="76" spans="5:61" x14ac:dyDescent="0.25">
      <c r="E76" s="7">
        <v>2024</v>
      </c>
      <c r="F76">
        <v>6</v>
      </c>
      <c r="G76" s="25">
        <f t="shared" si="57"/>
        <v>7911095.0176354833</v>
      </c>
      <c r="H76" s="9">
        <f t="shared" si="58"/>
        <v>4.4499999999999998E-2</v>
      </c>
      <c r="M76" s="7">
        <v>2024</v>
      </c>
      <c r="N76">
        <v>6</v>
      </c>
      <c r="O76" s="25">
        <f t="shared" si="59"/>
        <v>0</v>
      </c>
      <c r="P76" s="9">
        <f t="shared" si="60"/>
        <v>6.1600000000000002E-2</v>
      </c>
      <c r="U76" s="7">
        <v>2024</v>
      </c>
      <c r="V76">
        <v>6</v>
      </c>
      <c r="W76" s="25">
        <f t="shared" si="68"/>
        <v>0</v>
      </c>
      <c r="X76" s="9">
        <f t="shared" si="61"/>
        <v>6.1899999999999997E-2</v>
      </c>
      <c r="AC76" s="7">
        <v>2024</v>
      </c>
      <c r="AD76">
        <v>6</v>
      </c>
      <c r="AE76" s="25">
        <f t="shared" si="62"/>
        <v>1611972.6201057499</v>
      </c>
      <c r="AF76" s="9">
        <f t="shared" si="63"/>
        <v>4.8420000000000019E-2</v>
      </c>
      <c r="BD76" s="7">
        <f t="shared" si="69"/>
        <v>2</v>
      </c>
      <c r="BE76" s="7">
        <f t="shared" si="70"/>
        <v>4</v>
      </c>
      <c r="BF76" s="7">
        <f t="shared" si="71"/>
        <v>2023</v>
      </c>
      <c r="BG76" s="36">
        <v>45029</v>
      </c>
      <c r="BH76" s="33">
        <v>2.8989999999999995E-2</v>
      </c>
      <c r="BI76" s="35">
        <f t="shared" si="72"/>
        <v>3.5989999999999994E-2</v>
      </c>
    </row>
    <row r="77" spans="5:61" x14ac:dyDescent="0.25">
      <c r="E77" s="7">
        <v>2024</v>
      </c>
      <c r="F77">
        <v>7</v>
      </c>
      <c r="G77" s="25">
        <f t="shared" si="57"/>
        <v>7940431.9949925486</v>
      </c>
      <c r="H77" s="9">
        <f t="shared" si="58"/>
        <v>4.4499999999999998E-2</v>
      </c>
      <c r="M77" s="7">
        <v>2024</v>
      </c>
      <c r="N77">
        <v>7</v>
      </c>
      <c r="O77" s="25">
        <f t="shared" si="59"/>
        <v>0</v>
      </c>
      <c r="P77" s="9">
        <f t="shared" si="60"/>
        <v>5.91E-2</v>
      </c>
      <c r="U77" s="7">
        <v>2024</v>
      </c>
      <c r="V77">
        <v>7</v>
      </c>
      <c r="W77" s="25">
        <f t="shared" si="68"/>
        <v>1933350</v>
      </c>
      <c r="X77" s="9">
        <f t="shared" si="61"/>
        <v>6.2799999999999995E-2</v>
      </c>
      <c r="AC77" s="7">
        <v>2024</v>
      </c>
      <c r="AD77">
        <v>7</v>
      </c>
      <c r="AE77" s="25">
        <f t="shared" si="62"/>
        <v>1618476.9296278767</v>
      </c>
      <c r="AF77" s="9">
        <f t="shared" si="63"/>
        <v>4.8420000000000005E-2</v>
      </c>
      <c r="BD77" s="7">
        <f t="shared" si="69"/>
        <v>2</v>
      </c>
      <c r="BE77" s="7">
        <f t="shared" si="70"/>
        <v>4</v>
      </c>
      <c r="BF77" s="7">
        <f t="shared" si="71"/>
        <v>2023</v>
      </c>
      <c r="BG77" s="36">
        <v>45030</v>
      </c>
      <c r="BH77" s="33">
        <v>2.8960000000000003E-2</v>
      </c>
      <c r="BI77" s="35">
        <f t="shared" si="72"/>
        <v>3.5960000000000006E-2</v>
      </c>
    </row>
    <row r="78" spans="5:61" x14ac:dyDescent="0.25">
      <c r="E78" s="7">
        <v>2024</v>
      </c>
      <c r="F78">
        <v>8</v>
      </c>
      <c r="G78" s="25">
        <f t="shared" si="57"/>
        <v>9664598</v>
      </c>
      <c r="H78" s="9">
        <f t="shared" si="58"/>
        <v>4.3092738094228027E-2</v>
      </c>
      <c r="M78" s="7">
        <v>2024</v>
      </c>
      <c r="N78">
        <v>8</v>
      </c>
      <c r="O78" s="25">
        <f t="shared" si="59"/>
        <v>0</v>
      </c>
      <c r="P78" s="9">
        <f t="shared" si="60"/>
        <v>5.91E-2</v>
      </c>
      <c r="U78" s="7">
        <v>2024</v>
      </c>
      <c r="V78">
        <v>8</v>
      </c>
      <c r="W78" s="25">
        <f t="shared" si="68"/>
        <v>1943467.865</v>
      </c>
      <c r="X78" s="9">
        <f t="shared" si="61"/>
        <v>6.2799999999999995E-2</v>
      </c>
      <c r="AC78" s="7">
        <v>2024</v>
      </c>
      <c r="AD78">
        <v>8</v>
      </c>
      <c r="AE78" s="25">
        <f t="shared" si="62"/>
        <v>1625007.4840389253</v>
      </c>
      <c r="AF78" s="9">
        <f t="shared" si="63"/>
        <v>4.6942727272727261E-2</v>
      </c>
      <c r="BD78" s="7">
        <f t="shared" si="69"/>
        <v>2</v>
      </c>
      <c r="BE78" s="7">
        <f t="shared" si="70"/>
        <v>4</v>
      </c>
      <c r="BF78" s="7">
        <f t="shared" si="71"/>
        <v>2023</v>
      </c>
      <c r="BG78" s="36">
        <v>45033</v>
      </c>
      <c r="BH78" s="33">
        <v>2.8969999999999999E-2</v>
      </c>
      <c r="BI78" s="35">
        <f t="shared" si="72"/>
        <v>3.5970000000000002E-2</v>
      </c>
    </row>
    <row r="79" spans="5:61" x14ac:dyDescent="0.25">
      <c r="E79" s="7">
        <v>2024</v>
      </c>
      <c r="F79">
        <v>9</v>
      </c>
      <c r="G79" s="25">
        <f t="shared" si="57"/>
        <v>9699304.1658666674</v>
      </c>
      <c r="H79" s="9">
        <f t="shared" si="58"/>
        <v>4.3092738094228027E-2</v>
      </c>
      <c r="M79" s="7">
        <v>2024</v>
      </c>
      <c r="N79">
        <v>9</v>
      </c>
      <c r="O79" s="25">
        <f t="shared" si="59"/>
        <v>0</v>
      </c>
      <c r="P79" s="9">
        <f t="shared" si="60"/>
        <v>5.6599999999999998E-2</v>
      </c>
      <c r="U79" s="7">
        <v>2024</v>
      </c>
      <c r="V79">
        <v>9</v>
      </c>
      <c r="W79" s="25">
        <f t="shared" si="68"/>
        <v>1953638.6801601667</v>
      </c>
      <c r="X79" s="9">
        <f t="shared" si="61"/>
        <v>6.0299999999999992E-2</v>
      </c>
      <c r="AC79" s="7">
        <v>2024</v>
      </c>
      <c r="AD79">
        <v>9</v>
      </c>
      <c r="AE79" s="25">
        <f t="shared" si="62"/>
        <v>1631364.340967207</v>
      </c>
      <c r="AF79" s="9">
        <f t="shared" si="63"/>
        <v>4.7132121212121264E-2</v>
      </c>
      <c r="BD79" s="7">
        <f t="shared" si="69"/>
        <v>2</v>
      </c>
      <c r="BE79" s="7">
        <f t="shared" si="70"/>
        <v>4</v>
      </c>
      <c r="BF79" s="7">
        <f t="shared" si="71"/>
        <v>2023</v>
      </c>
      <c r="BG79" s="36">
        <v>45034</v>
      </c>
      <c r="BH79" s="33">
        <v>2.9010000000000001E-2</v>
      </c>
      <c r="BI79" s="35">
        <f t="shared" si="72"/>
        <v>3.601E-2</v>
      </c>
    </row>
    <row r="80" spans="5:61" x14ac:dyDescent="0.25">
      <c r="E80" s="7">
        <v>2024</v>
      </c>
      <c r="F80">
        <v>10</v>
      </c>
      <c r="G80" s="25">
        <f t="shared" si="57"/>
        <v>9734134.9637096636</v>
      </c>
      <c r="H80" s="9">
        <f t="shared" si="58"/>
        <v>4.0592738094228024E-2</v>
      </c>
      <c r="M80" s="7">
        <v>2024</v>
      </c>
      <c r="N80">
        <v>10</v>
      </c>
      <c r="O80" s="25">
        <f t="shared" si="59"/>
        <v>0</v>
      </c>
      <c r="P80" s="9">
        <f t="shared" si="60"/>
        <v>5.6599999999999998E-2</v>
      </c>
      <c r="U80" s="7">
        <v>2024</v>
      </c>
      <c r="V80">
        <v>10</v>
      </c>
      <c r="W80" s="25">
        <f t="shared" si="68"/>
        <v>1963455.7145279716</v>
      </c>
      <c r="X80" s="9">
        <f t="shared" si="61"/>
        <v>5.9871999999999995E-2</v>
      </c>
      <c r="AC80" s="7">
        <v>2024</v>
      </c>
      <c r="AD80">
        <v>10</v>
      </c>
      <c r="AE80" s="25">
        <f t="shared" si="62"/>
        <v>1637771.8127888402</v>
      </c>
      <c r="AF80" s="9">
        <f t="shared" si="63"/>
        <v>4.3746086956521747E-2</v>
      </c>
      <c r="BD80" s="7">
        <f t="shared" si="69"/>
        <v>2</v>
      </c>
      <c r="BE80" s="7">
        <f t="shared" si="70"/>
        <v>4</v>
      </c>
      <c r="BF80" s="7">
        <f t="shared" si="71"/>
        <v>2023</v>
      </c>
      <c r="BG80" s="36">
        <v>45035</v>
      </c>
      <c r="BH80" s="33">
        <v>2.9019999999999997E-2</v>
      </c>
      <c r="BI80" s="35">
        <f t="shared" si="72"/>
        <v>3.6019999999999996E-2</v>
      </c>
    </row>
    <row r="81" spans="5:61" x14ac:dyDescent="0.25">
      <c r="E81" s="7">
        <v>2024</v>
      </c>
      <c r="F81">
        <v>11</v>
      </c>
      <c r="G81" s="25">
        <f t="shared" si="57"/>
        <v>9767062.8963059746</v>
      </c>
      <c r="H81" s="9">
        <f t="shared" si="58"/>
        <v>4.0592738094228024E-2</v>
      </c>
      <c r="M81" s="7">
        <v>2024</v>
      </c>
      <c r="N81">
        <v>11</v>
      </c>
      <c r="O81" s="25">
        <f t="shared" si="59"/>
        <v>0</v>
      </c>
      <c r="P81" s="9">
        <f t="shared" si="60"/>
        <v>5.4099999999999995E-2</v>
      </c>
      <c r="U81" s="7">
        <v>2024</v>
      </c>
      <c r="V81">
        <v>11</v>
      </c>
      <c r="W81" s="25">
        <f t="shared" si="68"/>
        <v>1973252.0495729898</v>
      </c>
      <c r="X81" s="9">
        <f t="shared" si="61"/>
        <v>5.7371999999999992E-2</v>
      </c>
      <c r="AC81" s="7">
        <v>2024</v>
      </c>
      <c r="AD81">
        <v>11</v>
      </c>
      <c r="AE81" s="25">
        <f t="shared" si="62"/>
        <v>1643742.3218002736</v>
      </c>
      <c r="AF81" s="9">
        <f t="shared" si="63"/>
        <v>4.3420000000000007E-2</v>
      </c>
      <c r="BD81" s="7">
        <f t="shared" si="69"/>
        <v>2</v>
      </c>
      <c r="BE81" s="7">
        <f t="shared" si="70"/>
        <v>4</v>
      </c>
      <c r="BF81" s="7">
        <f t="shared" si="71"/>
        <v>2023</v>
      </c>
      <c r="BG81" s="36">
        <v>45036</v>
      </c>
      <c r="BH81" s="33">
        <v>2.904E-2</v>
      </c>
      <c r="BI81" s="35">
        <f t="shared" si="72"/>
        <v>3.6040000000000003E-2</v>
      </c>
    </row>
    <row r="82" spans="5:61" x14ac:dyDescent="0.25">
      <c r="E82" s="7">
        <v>2024</v>
      </c>
      <c r="F82">
        <v>12</v>
      </c>
      <c r="G82" s="25">
        <f t="shared" si="57"/>
        <v>9800102.215147607</v>
      </c>
      <c r="H82" s="9">
        <f t="shared" si="58"/>
        <v>4.0592738094228024E-2</v>
      </c>
      <c r="M82" s="7">
        <v>2024</v>
      </c>
      <c r="N82">
        <v>12</v>
      </c>
      <c r="O82" s="25">
        <f t="shared" si="59"/>
        <v>0</v>
      </c>
      <c r="P82" s="9">
        <f t="shared" si="60"/>
        <v>5.4099999999999995E-2</v>
      </c>
      <c r="U82" s="7">
        <v>2024</v>
      </c>
      <c r="V82">
        <v>12</v>
      </c>
      <c r="W82" s="25">
        <f t="shared" si="68"/>
        <v>1982686.1676219983</v>
      </c>
      <c r="X82" s="9">
        <f t="shared" si="61"/>
        <v>5.7371999999999992E-2</v>
      </c>
      <c r="AC82" s="7">
        <v>2024</v>
      </c>
      <c r="AD82">
        <v>12</v>
      </c>
      <c r="AE82" s="25">
        <f t="shared" si="62"/>
        <v>1649689.9294346543</v>
      </c>
      <c r="AF82" s="9">
        <f t="shared" si="63"/>
        <v>4.3533636363636309E-2</v>
      </c>
      <c r="BD82" s="7">
        <f t="shared" si="69"/>
        <v>2</v>
      </c>
      <c r="BE82" s="7">
        <f t="shared" si="70"/>
        <v>4</v>
      </c>
      <c r="BF82" s="7">
        <f t="shared" si="71"/>
        <v>2023</v>
      </c>
      <c r="BG82" s="36">
        <v>45037</v>
      </c>
      <c r="BH82" s="33">
        <v>2.9019999999999997E-2</v>
      </c>
      <c r="BI82" s="35">
        <f t="shared" si="72"/>
        <v>3.6019999999999996E-2</v>
      </c>
    </row>
    <row r="83" spans="5:61" x14ac:dyDescent="0.25">
      <c r="BD83" s="7">
        <f t="shared" si="69"/>
        <v>2</v>
      </c>
      <c r="BE83" s="7">
        <f t="shared" si="70"/>
        <v>4</v>
      </c>
      <c r="BF83" s="7">
        <f t="shared" si="71"/>
        <v>2023</v>
      </c>
      <c r="BG83" s="36">
        <v>45040</v>
      </c>
      <c r="BH83" s="33">
        <v>2.9049999999999999E-2</v>
      </c>
      <c r="BI83" s="35">
        <f t="shared" si="72"/>
        <v>3.6049999999999999E-2</v>
      </c>
    </row>
    <row r="84" spans="5:61" x14ac:dyDescent="0.25">
      <c r="BD84" s="7">
        <f t="shared" si="69"/>
        <v>2</v>
      </c>
      <c r="BE84" s="7">
        <f t="shared" si="70"/>
        <v>4</v>
      </c>
      <c r="BF84" s="7">
        <f t="shared" si="71"/>
        <v>2023</v>
      </c>
      <c r="BG84" s="36">
        <v>45041</v>
      </c>
      <c r="BH84" s="33">
        <v>2.9010000000000001E-2</v>
      </c>
      <c r="BI84" s="35">
        <f t="shared" si="72"/>
        <v>3.601E-2</v>
      </c>
    </row>
    <row r="85" spans="5:61" x14ac:dyDescent="0.25">
      <c r="BD85" s="7">
        <f t="shared" si="69"/>
        <v>2</v>
      </c>
      <c r="BE85" s="7">
        <f t="shared" si="70"/>
        <v>4</v>
      </c>
      <c r="BF85" s="7">
        <f t="shared" si="71"/>
        <v>2023</v>
      </c>
      <c r="BG85" s="36">
        <v>45042</v>
      </c>
      <c r="BH85" s="33">
        <v>2.8999999999999998E-2</v>
      </c>
      <c r="BI85" s="35">
        <f t="shared" si="72"/>
        <v>3.5999999999999997E-2</v>
      </c>
    </row>
    <row r="86" spans="5:61" x14ac:dyDescent="0.25">
      <c r="BD86" s="7">
        <f t="shared" si="69"/>
        <v>2</v>
      </c>
      <c r="BE86" s="7">
        <f t="shared" si="70"/>
        <v>4</v>
      </c>
      <c r="BF86" s="7">
        <f t="shared" si="71"/>
        <v>2023</v>
      </c>
      <c r="BG86" s="36">
        <v>45043</v>
      </c>
      <c r="BH86" s="33">
        <v>2.8999999999999998E-2</v>
      </c>
      <c r="BI86" s="35">
        <f t="shared" si="72"/>
        <v>3.5999999999999997E-2</v>
      </c>
    </row>
    <row r="87" spans="5:61" x14ac:dyDescent="0.25">
      <c r="BD87" s="7">
        <f t="shared" si="69"/>
        <v>2</v>
      </c>
      <c r="BE87" s="7">
        <f t="shared" si="70"/>
        <v>4</v>
      </c>
      <c r="BF87" s="7">
        <f t="shared" si="71"/>
        <v>2023</v>
      </c>
      <c r="BG87" s="36">
        <v>45044</v>
      </c>
      <c r="BH87" s="33">
        <v>2.8939999999999997E-2</v>
      </c>
      <c r="BI87" s="35">
        <f t="shared" si="72"/>
        <v>3.594E-2</v>
      </c>
    </row>
    <row r="88" spans="5:61" x14ac:dyDescent="0.25">
      <c r="BD88" s="7">
        <f t="shared" si="69"/>
        <v>2</v>
      </c>
      <c r="BE88" s="7">
        <f t="shared" si="70"/>
        <v>5</v>
      </c>
      <c r="BF88" s="7">
        <f t="shared" si="71"/>
        <v>2023</v>
      </c>
      <c r="BG88" s="36">
        <v>45047</v>
      </c>
      <c r="BH88" s="33">
        <v>2.903E-2</v>
      </c>
      <c r="BI88" s="35">
        <f t="shared" si="72"/>
        <v>3.603E-2</v>
      </c>
    </row>
    <row r="89" spans="5:61" x14ac:dyDescent="0.25">
      <c r="BD89" s="7">
        <f t="shared" si="69"/>
        <v>2</v>
      </c>
      <c r="BE89" s="7">
        <f t="shared" si="70"/>
        <v>5</v>
      </c>
      <c r="BF89" s="7">
        <f t="shared" si="71"/>
        <v>2023</v>
      </c>
      <c r="BG89" s="36">
        <v>45048</v>
      </c>
      <c r="BH89" s="33">
        <v>2.8960000000000003E-2</v>
      </c>
      <c r="BI89" s="35">
        <f t="shared" si="72"/>
        <v>3.5960000000000006E-2</v>
      </c>
    </row>
    <row r="90" spans="5:61" x14ac:dyDescent="0.25">
      <c r="BD90" s="7">
        <f t="shared" si="69"/>
        <v>2</v>
      </c>
      <c r="BE90" s="7">
        <f t="shared" si="70"/>
        <v>5</v>
      </c>
      <c r="BF90" s="7">
        <f t="shared" si="71"/>
        <v>2023</v>
      </c>
      <c r="BG90" s="36">
        <v>45049</v>
      </c>
      <c r="BH90" s="33">
        <v>2.8960000000000003E-2</v>
      </c>
      <c r="BI90" s="35">
        <f t="shared" si="72"/>
        <v>3.5960000000000006E-2</v>
      </c>
    </row>
    <row r="91" spans="5:61" x14ac:dyDescent="0.25">
      <c r="BD91" s="7">
        <f t="shared" si="69"/>
        <v>2</v>
      </c>
      <c r="BE91" s="7">
        <f t="shared" si="70"/>
        <v>5</v>
      </c>
      <c r="BF91" s="7">
        <f t="shared" si="71"/>
        <v>2023</v>
      </c>
      <c r="BG91" s="36">
        <v>45050</v>
      </c>
      <c r="BH91" s="33">
        <v>2.8969999999999999E-2</v>
      </c>
      <c r="BI91" s="35">
        <f t="shared" si="72"/>
        <v>3.5970000000000002E-2</v>
      </c>
    </row>
    <row r="92" spans="5:61" x14ac:dyDescent="0.25">
      <c r="BD92" s="7">
        <f t="shared" si="69"/>
        <v>2</v>
      </c>
      <c r="BE92" s="7">
        <f t="shared" si="70"/>
        <v>5</v>
      </c>
      <c r="BF92" s="7">
        <f t="shared" si="71"/>
        <v>2023</v>
      </c>
      <c r="BG92" s="36">
        <v>45051</v>
      </c>
      <c r="BH92" s="33">
        <v>2.8980000000000002E-2</v>
      </c>
      <c r="BI92" s="35">
        <f t="shared" si="72"/>
        <v>3.5979999999999998E-2</v>
      </c>
    </row>
    <row r="93" spans="5:61" x14ac:dyDescent="0.25">
      <c r="BD93" s="7">
        <f t="shared" si="69"/>
        <v>2</v>
      </c>
      <c r="BE93" s="7">
        <f t="shared" si="70"/>
        <v>5</v>
      </c>
      <c r="BF93" s="7">
        <f t="shared" si="71"/>
        <v>2023</v>
      </c>
      <c r="BG93" s="36">
        <v>45054</v>
      </c>
      <c r="BH93" s="33">
        <v>2.8919999999999998E-2</v>
      </c>
      <c r="BI93" s="35">
        <f t="shared" si="72"/>
        <v>3.5919999999999994E-2</v>
      </c>
    </row>
    <row r="94" spans="5:61" x14ac:dyDescent="0.25">
      <c r="BD94" s="7">
        <f t="shared" si="69"/>
        <v>2</v>
      </c>
      <c r="BE94" s="7">
        <f t="shared" si="70"/>
        <v>5</v>
      </c>
      <c r="BF94" s="7">
        <f t="shared" si="71"/>
        <v>2023</v>
      </c>
      <c r="BG94" s="36">
        <v>45055</v>
      </c>
      <c r="BH94" s="33">
        <v>2.8939999999999997E-2</v>
      </c>
      <c r="BI94" s="35">
        <f t="shared" si="72"/>
        <v>3.594E-2</v>
      </c>
    </row>
    <row r="95" spans="5:61" x14ac:dyDescent="0.25">
      <c r="BD95" s="7">
        <f t="shared" si="69"/>
        <v>2</v>
      </c>
      <c r="BE95" s="7">
        <f t="shared" si="70"/>
        <v>5</v>
      </c>
      <c r="BF95" s="7">
        <f t="shared" si="71"/>
        <v>2023</v>
      </c>
      <c r="BG95" s="36">
        <v>45056</v>
      </c>
      <c r="BH95" s="33">
        <v>3.1449999999999999E-2</v>
      </c>
      <c r="BI95" s="35">
        <f t="shared" si="72"/>
        <v>3.8449999999999998E-2</v>
      </c>
    </row>
    <row r="96" spans="5:61" x14ac:dyDescent="0.25">
      <c r="BD96" s="7">
        <f t="shared" si="69"/>
        <v>2</v>
      </c>
      <c r="BE96" s="7">
        <f t="shared" si="70"/>
        <v>5</v>
      </c>
      <c r="BF96" s="7">
        <f t="shared" si="71"/>
        <v>2023</v>
      </c>
      <c r="BG96" s="36">
        <v>45057</v>
      </c>
      <c r="BH96" s="33">
        <v>3.1449999999999999E-2</v>
      </c>
      <c r="BI96" s="35">
        <f t="shared" si="72"/>
        <v>3.8449999999999998E-2</v>
      </c>
    </row>
    <row r="97" spans="56:61" x14ac:dyDescent="0.25">
      <c r="BD97" s="7">
        <f t="shared" si="69"/>
        <v>2</v>
      </c>
      <c r="BE97" s="7">
        <f t="shared" si="70"/>
        <v>5</v>
      </c>
      <c r="BF97" s="7">
        <f t="shared" si="71"/>
        <v>2023</v>
      </c>
      <c r="BG97" s="36">
        <v>45058</v>
      </c>
      <c r="BH97" s="33">
        <v>3.1480000000000001E-2</v>
      </c>
      <c r="BI97" s="35">
        <f t="shared" si="72"/>
        <v>3.848E-2</v>
      </c>
    </row>
    <row r="98" spans="56:61" x14ac:dyDescent="0.25">
      <c r="BD98" s="7">
        <f t="shared" si="69"/>
        <v>2</v>
      </c>
      <c r="BE98" s="7">
        <f t="shared" si="70"/>
        <v>5</v>
      </c>
      <c r="BF98" s="7">
        <f t="shared" si="71"/>
        <v>2023</v>
      </c>
      <c r="BG98" s="36">
        <v>45061</v>
      </c>
      <c r="BH98" s="33">
        <v>3.1449999999999999E-2</v>
      </c>
      <c r="BI98" s="35">
        <f t="shared" si="72"/>
        <v>3.8449999999999998E-2</v>
      </c>
    </row>
    <row r="99" spans="56:61" x14ac:dyDescent="0.25">
      <c r="BD99" s="7">
        <f t="shared" si="69"/>
        <v>2</v>
      </c>
      <c r="BE99" s="7">
        <f t="shared" si="70"/>
        <v>5</v>
      </c>
      <c r="BF99" s="7">
        <f t="shared" si="71"/>
        <v>2023</v>
      </c>
      <c r="BG99" s="36">
        <v>45062</v>
      </c>
      <c r="BH99" s="33">
        <v>3.1469999999999998E-2</v>
      </c>
      <c r="BI99" s="35">
        <f t="shared" si="72"/>
        <v>3.8469999999999997E-2</v>
      </c>
    </row>
    <row r="100" spans="56:61" x14ac:dyDescent="0.25">
      <c r="BD100" s="7">
        <f t="shared" si="69"/>
        <v>2</v>
      </c>
      <c r="BE100" s="7">
        <f t="shared" si="70"/>
        <v>5</v>
      </c>
      <c r="BF100" s="7">
        <f t="shared" si="71"/>
        <v>2023</v>
      </c>
      <c r="BG100" s="36">
        <v>45063</v>
      </c>
      <c r="BH100" s="33">
        <v>3.1510000000000003E-2</v>
      </c>
      <c r="BI100" s="35">
        <f t="shared" si="72"/>
        <v>3.8510000000000003E-2</v>
      </c>
    </row>
    <row r="101" spans="56:61" x14ac:dyDescent="0.25">
      <c r="BD101" s="7">
        <f t="shared" si="69"/>
        <v>2</v>
      </c>
      <c r="BE101" s="7">
        <f t="shared" si="70"/>
        <v>5</v>
      </c>
      <c r="BF101" s="7">
        <f t="shared" si="71"/>
        <v>2023</v>
      </c>
      <c r="BG101" s="36">
        <v>45064</v>
      </c>
      <c r="BH101" s="33">
        <v>3.1530000000000002E-2</v>
      </c>
      <c r="BI101" s="35">
        <f t="shared" si="72"/>
        <v>3.8530000000000002E-2</v>
      </c>
    </row>
    <row r="102" spans="56:61" x14ac:dyDescent="0.25">
      <c r="BD102" s="7">
        <f t="shared" si="69"/>
        <v>2</v>
      </c>
      <c r="BE102" s="7">
        <f t="shared" si="70"/>
        <v>5</v>
      </c>
      <c r="BF102" s="7">
        <f t="shared" si="71"/>
        <v>2023</v>
      </c>
      <c r="BG102" s="36">
        <v>45065</v>
      </c>
      <c r="BH102" s="33">
        <v>3.1510000000000003E-2</v>
      </c>
      <c r="BI102" s="35">
        <f t="shared" si="72"/>
        <v>3.8510000000000003E-2</v>
      </c>
    </row>
    <row r="103" spans="56:61" x14ac:dyDescent="0.25">
      <c r="BD103" s="7">
        <f t="shared" si="69"/>
        <v>2</v>
      </c>
      <c r="BE103" s="7">
        <f t="shared" si="70"/>
        <v>5</v>
      </c>
      <c r="BF103" s="7">
        <f t="shared" si="71"/>
        <v>2023</v>
      </c>
      <c r="BG103" s="36">
        <v>45068</v>
      </c>
      <c r="BH103" s="33">
        <v>3.15E-2</v>
      </c>
      <c r="BI103" s="35">
        <f t="shared" si="72"/>
        <v>3.85E-2</v>
      </c>
    </row>
    <row r="104" spans="56:61" x14ac:dyDescent="0.25">
      <c r="BD104" s="7">
        <f t="shared" si="69"/>
        <v>2</v>
      </c>
      <c r="BE104" s="7">
        <f t="shared" si="70"/>
        <v>5</v>
      </c>
      <c r="BF104" s="7">
        <f t="shared" si="71"/>
        <v>2023</v>
      </c>
      <c r="BG104" s="36">
        <v>45069</v>
      </c>
      <c r="BH104" s="33">
        <v>3.1570000000000001E-2</v>
      </c>
      <c r="BI104" s="35">
        <f t="shared" si="72"/>
        <v>3.857E-2</v>
      </c>
    </row>
    <row r="105" spans="56:61" x14ac:dyDescent="0.25">
      <c r="BD105" s="7">
        <f t="shared" si="69"/>
        <v>2</v>
      </c>
      <c r="BE105" s="7">
        <f t="shared" si="70"/>
        <v>5</v>
      </c>
      <c r="BF105" s="7">
        <f t="shared" si="71"/>
        <v>2023</v>
      </c>
      <c r="BG105" s="36">
        <v>45070</v>
      </c>
      <c r="BH105" s="33">
        <v>3.1480000000000001E-2</v>
      </c>
      <c r="BI105" s="35">
        <f t="shared" si="72"/>
        <v>3.848E-2</v>
      </c>
    </row>
    <row r="106" spans="56:61" x14ac:dyDescent="0.25">
      <c r="BD106" s="7">
        <f t="shared" si="69"/>
        <v>2</v>
      </c>
      <c r="BE106" s="7">
        <f t="shared" si="70"/>
        <v>5</v>
      </c>
      <c r="BF106" s="7">
        <f t="shared" si="71"/>
        <v>2023</v>
      </c>
      <c r="BG106" s="36">
        <v>45071</v>
      </c>
      <c r="BH106" s="33">
        <v>3.1480000000000001E-2</v>
      </c>
      <c r="BI106" s="35">
        <f t="shared" si="72"/>
        <v>3.848E-2</v>
      </c>
    </row>
    <row r="107" spans="56:61" x14ac:dyDescent="0.25">
      <c r="BD107" s="7">
        <f t="shared" si="69"/>
        <v>2</v>
      </c>
      <c r="BE107" s="7">
        <f t="shared" si="70"/>
        <v>5</v>
      </c>
      <c r="BF107" s="7">
        <f t="shared" si="71"/>
        <v>2023</v>
      </c>
      <c r="BG107" s="36">
        <v>45072</v>
      </c>
      <c r="BH107" s="33">
        <v>3.1519999999999999E-2</v>
      </c>
      <c r="BI107" s="35">
        <f t="shared" si="72"/>
        <v>3.8519999999999999E-2</v>
      </c>
    </row>
    <row r="108" spans="56:61" x14ac:dyDescent="0.25">
      <c r="BD108" s="7">
        <f t="shared" si="69"/>
        <v>2</v>
      </c>
      <c r="BE108" s="7">
        <f t="shared" si="70"/>
        <v>5</v>
      </c>
      <c r="BF108" s="7">
        <f t="shared" si="71"/>
        <v>2023</v>
      </c>
      <c r="BG108" s="36">
        <v>45075</v>
      </c>
      <c r="BH108" s="33">
        <v>3.1469999999999998E-2</v>
      </c>
      <c r="BI108" s="35">
        <f t="shared" si="72"/>
        <v>3.8469999999999997E-2</v>
      </c>
    </row>
    <row r="109" spans="56:61" x14ac:dyDescent="0.25">
      <c r="BD109" s="7">
        <f t="shared" si="69"/>
        <v>2</v>
      </c>
      <c r="BE109" s="7">
        <f t="shared" si="70"/>
        <v>5</v>
      </c>
      <c r="BF109" s="7">
        <f t="shared" si="71"/>
        <v>2023</v>
      </c>
      <c r="BG109" s="36">
        <v>45076</v>
      </c>
      <c r="BH109" s="33">
        <v>3.1480000000000001E-2</v>
      </c>
      <c r="BI109" s="35">
        <f t="shared" si="72"/>
        <v>3.848E-2</v>
      </c>
    </row>
    <row r="110" spans="56:61" x14ac:dyDescent="0.25">
      <c r="BD110" s="7">
        <f t="shared" si="69"/>
        <v>2</v>
      </c>
      <c r="BE110" s="7">
        <f t="shared" si="70"/>
        <v>5</v>
      </c>
      <c r="BF110" s="7">
        <f t="shared" si="71"/>
        <v>2023</v>
      </c>
      <c r="BG110" s="36">
        <v>45077</v>
      </c>
      <c r="BH110" s="33">
        <v>3.1439999999999996E-2</v>
      </c>
      <c r="BI110" s="35">
        <f t="shared" si="72"/>
        <v>3.8439999999999995E-2</v>
      </c>
    </row>
    <row r="111" spans="56:61" x14ac:dyDescent="0.25">
      <c r="BD111" s="7">
        <f t="shared" si="69"/>
        <v>2</v>
      </c>
      <c r="BE111" s="7">
        <f t="shared" si="70"/>
        <v>6</v>
      </c>
      <c r="BF111" s="7">
        <f t="shared" si="71"/>
        <v>2023</v>
      </c>
      <c r="BG111" s="36">
        <v>45078</v>
      </c>
      <c r="BH111" s="33">
        <v>3.1469999999999998E-2</v>
      </c>
      <c r="BI111" s="35">
        <f t="shared" si="72"/>
        <v>3.8469999999999997E-2</v>
      </c>
    </row>
    <row r="112" spans="56:61" x14ac:dyDescent="0.25">
      <c r="BD112" s="7">
        <f t="shared" si="69"/>
        <v>2</v>
      </c>
      <c r="BE112" s="7">
        <f t="shared" si="70"/>
        <v>6</v>
      </c>
      <c r="BF112" s="7">
        <f t="shared" si="71"/>
        <v>2023</v>
      </c>
      <c r="BG112" s="36">
        <v>45079</v>
      </c>
      <c r="BH112" s="33">
        <v>3.1480000000000001E-2</v>
      </c>
      <c r="BI112" s="35">
        <f t="shared" si="72"/>
        <v>3.848E-2</v>
      </c>
    </row>
    <row r="113" spans="56:61" x14ac:dyDescent="0.25">
      <c r="BD113" s="7">
        <f t="shared" si="69"/>
        <v>2</v>
      </c>
      <c r="BE113" s="7">
        <f t="shared" si="70"/>
        <v>6</v>
      </c>
      <c r="BF113" s="7">
        <f t="shared" si="71"/>
        <v>2023</v>
      </c>
      <c r="BG113" s="36">
        <v>45082</v>
      </c>
      <c r="BH113" s="33">
        <v>3.1480000000000001E-2</v>
      </c>
      <c r="BI113" s="35">
        <f t="shared" si="72"/>
        <v>3.848E-2</v>
      </c>
    </row>
    <row r="114" spans="56:61" x14ac:dyDescent="0.25">
      <c r="BD114" s="7">
        <f t="shared" si="69"/>
        <v>2</v>
      </c>
      <c r="BE114" s="7">
        <f t="shared" si="70"/>
        <v>6</v>
      </c>
      <c r="BF114" s="7">
        <f t="shared" si="71"/>
        <v>2023</v>
      </c>
      <c r="BG114" s="36">
        <v>45083</v>
      </c>
      <c r="BH114" s="33">
        <v>3.1449999999999999E-2</v>
      </c>
      <c r="BI114" s="35">
        <f t="shared" si="72"/>
        <v>3.8449999999999998E-2</v>
      </c>
    </row>
    <row r="115" spans="56:61" x14ac:dyDescent="0.25">
      <c r="BD115" s="7">
        <f t="shared" si="69"/>
        <v>2</v>
      </c>
      <c r="BE115" s="7">
        <f t="shared" si="70"/>
        <v>6</v>
      </c>
      <c r="BF115" s="7">
        <f t="shared" si="71"/>
        <v>2023</v>
      </c>
      <c r="BG115" s="36">
        <v>45084</v>
      </c>
      <c r="BH115" s="33">
        <v>3.1439999999999996E-2</v>
      </c>
      <c r="BI115" s="35">
        <f t="shared" si="72"/>
        <v>3.8439999999999995E-2</v>
      </c>
    </row>
    <row r="116" spans="56:61" x14ac:dyDescent="0.25">
      <c r="BD116" s="7">
        <f t="shared" si="69"/>
        <v>2</v>
      </c>
      <c r="BE116" s="7">
        <f t="shared" si="70"/>
        <v>6</v>
      </c>
      <c r="BF116" s="7">
        <f t="shared" si="71"/>
        <v>2023</v>
      </c>
      <c r="BG116" s="36">
        <v>45085</v>
      </c>
      <c r="BH116" s="33">
        <v>3.1460000000000002E-2</v>
      </c>
      <c r="BI116" s="35">
        <f t="shared" si="72"/>
        <v>3.8460000000000001E-2</v>
      </c>
    </row>
    <row r="117" spans="56:61" x14ac:dyDescent="0.25">
      <c r="BD117" s="7">
        <f t="shared" si="69"/>
        <v>2</v>
      </c>
      <c r="BE117" s="7">
        <f t="shared" si="70"/>
        <v>6</v>
      </c>
      <c r="BF117" s="7">
        <f t="shared" si="71"/>
        <v>2023</v>
      </c>
      <c r="BG117" s="36">
        <v>45086</v>
      </c>
      <c r="BH117" s="33">
        <v>3.1469999999999998E-2</v>
      </c>
      <c r="BI117" s="35">
        <f t="shared" si="72"/>
        <v>3.8469999999999997E-2</v>
      </c>
    </row>
    <row r="118" spans="56:61" x14ac:dyDescent="0.25">
      <c r="BD118" s="7">
        <f t="shared" si="69"/>
        <v>2</v>
      </c>
      <c r="BE118" s="7">
        <f t="shared" si="70"/>
        <v>6</v>
      </c>
      <c r="BF118" s="7">
        <f t="shared" si="71"/>
        <v>2023</v>
      </c>
      <c r="BG118" s="36">
        <v>45089</v>
      </c>
      <c r="BH118" s="33">
        <v>3.1469999999999998E-2</v>
      </c>
      <c r="BI118" s="35">
        <f t="shared" si="72"/>
        <v>3.8469999999999997E-2</v>
      </c>
    </row>
    <row r="119" spans="56:61" x14ac:dyDescent="0.25">
      <c r="BD119" s="7">
        <f t="shared" si="69"/>
        <v>2</v>
      </c>
      <c r="BE119" s="7">
        <f t="shared" si="70"/>
        <v>6</v>
      </c>
      <c r="BF119" s="7">
        <f t="shared" si="71"/>
        <v>2023</v>
      </c>
      <c r="BG119" s="36">
        <v>45090</v>
      </c>
      <c r="BH119" s="33">
        <v>3.1469999999999998E-2</v>
      </c>
      <c r="BI119" s="35">
        <f t="shared" si="72"/>
        <v>3.8469999999999997E-2</v>
      </c>
    </row>
    <row r="120" spans="56:61" x14ac:dyDescent="0.25">
      <c r="BD120" s="7">
        <f t="shared" si="69"/>
        <v>2</v>
      </c>
      <c r="BE120" s="7">
        <f t="shared" si="70"/>
        <v>6</v>
      </c>
      <c r="BF120" s="7">
        <f t="shared" si="71"/>
        <v>2023</v>
      </c>
      <c r="BG120" s="36">
        <v>45091</v>
      </c>
      <c r="BH120" s="33">
        <v>3.15E-2</v>
      </c>
      <c r="BI120" s="35">
        <f t="shared" si="72"/>
        <v>3.85E-2</v>
      </c>
    </row>
    <row r="121" spans="56:61" x14ac:dyDescent="0.25">
      <c r="BD121" s="7">
        <f t="shared" si="69"/>
        <v>2</v>
      </c>
      <c r="BE121" s="7">
        <f t="shared" si="70"/>
        <v>6</v>
      </c>
      <c r="BF121" s="7">
        <f t="shared" si="71"/>
        <v>2023</v>
      </c>
      <c r="BG121" s="36">
        <v>45092</v>
      </c>
      <c r="BH121" s="33">
        <v>3.1469999999999998E-2</v>
      </c>
      <c r="BI121" s="35">
        <f t="shared" si="72"/>
        <v>3.8469999999999997E-2</v>
      </c>
    </row>
    <row r="122" spans="56:61" x14ac:dyDescent="0.25">
      <c r="BD122" s="7">
        <f t="shared" si="69"/>
        <v>2</v>
      </c>
      <c r="BE122" s="7">
        <f t="shared" si="70"/>
        <v>6</v>
      </c>
      <c r="BF122" s="7">
        <f t="shared" si="71"/>
        <v>2023</v>
      </c>
      <c r="BG122" s="36">
        <v>45093</v>
      </c>
      <c r="BH122" s="33">
        <v>3.1439999999999996E-2</v>
      </c>
      <c r="BI122" s="35">
        <f t="shared" si="72"/>
        <v>3.8439999999999995E-2</v>
      </c>
    </row>
    <row r="123" spans="56:61" x14ac:dyDescent="0.25">
      <c r="BD123" s="7">
        <f t="shared" si="69"/>
        <v>2</v>
      </c>
      <c r="BE123" s="7">
        <f t="shared" si="70"/>
        <v>6</v>
      </c>
      <c r="BF123" s="7">
        <f t="shared" si="71"/>
        <v>2023</v>
      </c>
      <c r="BG123" s="36">
        <v>45096</v>
      </c>
      <c r="BH123" s="33">
        <v>3.1439999999999996E-2</v>
      </c>
      <c r="BI123" s="35">
        <f t="shared" si="72"/>
        <v>3.8439999999999995E-2</v>
      </c>
    </row>
    <row r="124" spans="56:61" x14ac:dyDescent="0.25">
      <c r="BD124" s="7">
        <f t="shared" si="69"/>
        <v>2</v>
      </c>
      <c r="BE124" s="7">
        <f t="shared" si="70"/>
        <v>6</v>
      </c>
      <c r="BF124" s="7">
        <f t="shared" si="71"/>
        <v>2023</v>
      </c>
      <c r="BG124" s="36">
        <v>45097</v>
      </c>
      <c r="BH124" s="33">
        <v>3.1439999999999996E-2</v>
      </c>
      <c r="BI124" s="35">
        <f t="shared" si="72"/>
        <v>3.8439999999999995E-2</v>
      </c>
    </row>
    <row r="125" spans="56:61" x14ac:dyDescent="0.25">
      <c r="BD125" s="7">
        <f t="shared" si="69"/>
        <v>2</v>
      </c>
      <c r="BE125" s="7">
        <f t="shared" si="70"/>
        <v>6</v>
      </c>
      <c r="BF125" s="7">
        <f t="shared" si="71"/>
        <v>2023</v>
      </c>
      <c r="BG125" s="36">
        <v>45098</v>
      </c>
      <c r="BH125" s="33">
        <v>3.3950000000000001E-2</v>
      </c>
      <c r="BI125" s="35">
        <f t="shared" si="72"/>
        <v>4.095E-2</v>
      </c>
    </row>
    <row r="126" spans="56:61" x14ac:dyDescent="0.25">
      <c r="BD126" s="7">
        <f t="shared" si="69"/>
        <v>2</v>
      </c>
      <c r="BE126" s="7">
        <f t="shared" si="70"/>
        <v>6</v>
      </c>
      <c r="BF126" s="7">
        <f t="shared" si="71"/>
        <v>2023</v>
      </c>
      <c r="BG126" s="36">
        <v>45099</v>
      </c>
      <c r="BH126" s="33">
        <v>3.397E-2</v>
      </c>
      <c r="BI126" s="35">
        <f t="shared" si="72"/>
        <v>4.0969999999999999E-2</v>
      </c>
    </row>
    <row r="127" spans="56:61" x14ac:dyDescent="0.25">
      <c r="BD127" s="7">
        <f t="shared" si="69"/>
        <v>2</v>
      </c>
      <c r="BE127" s="7">
        <f t="shared" si="70"/>
        <v>6</v>
      </c>
      <c r="BF127" s="7">
        <f t="shared" si="71"/>
        <v>2023</v>
      </c>
      <c r="BG127" s="36">
        <v>45100</v>
      </c>
      <c r="BH127" s="33">
        <v>3.4000000000000002E-2</v>
      </c>
      <c r="BI127" s="35">
        <f t="shared" si="72"/>
        <v>4.1000000000000002E-2</v>
      </c>
    </row>
    <row r="128" spans="56:61" x14ac:dyDescent="0.25">
      <c r="BD128" s="7">
        <f t="shared" si="69"/>
        <v>2</v>
      </c>
      <c r="BE128" s="7">
        <f t="shared" si="70"/>
        <v>6</v>
      </c>
      <c r="BF128" s="7">
        <f t="shared" si="71"/>
        <v>2023</v>
      </c>
      <c r="BG128" s="36">
        <v>45103</v>
      </c>
      <c r="BH128" s="33">
        <v>3.4000000000000002E-2</v>
      </c>
      <c r="BI128" s="35">
        <f t="shared" si="72"/>
        <v>4.1000000000000002E-2</v>
      </c>
    </row>
    <row r="129" spans="56:61" x14ac:dyDescent="0.25">
      <c r="BD129" s="7">
        <f t="shared" si="69"/>
        <v>2</v>
      </c>
      <c r="BE129" s="7">
        <f t="shared" si="70"/>
        <v>6</v>
      </c>
      <c r="BF129" s="7">
        <f t="shared" si="71"/>
        <v>2023</v>
      </c>
      <c r="BG129" s="36">
        <v>45104</v>
      </c>
      <c r="BH129" s="33">
        <v>3.397E-2</v>
      </c>
      <c r="BI129" s="35">
        <f t="shared" si="72"/>
        <v>4.0969999999999999E-2</v>
      </c>
    </row>
    <row r="130" spans="56:61" x14ac:dyDescent="0.25">
      <c r="BD130" s="7">
        <f t="shared" si="69"/>
        <v>2</v>
      </c>
      <c r="BE130" s="7">
        <f t="shared" si="70"/>
        <v>6</v>
      </c>
      <c r="BF130" s="7">
        <f t="shared" si="71"/>
        <v>2023</v>
      </c>
      <c r="BG130" s="36">
        <v>45105</v>
      </c>
      <c r="BH130" s="33">
        <v>3.4000000000000002E-2</v>
      </c>
      <c r="BI130" s="35">
        <f t="shared" si="72"/>
        <v>4.1000000000000002E-2</v>
      </c>
    </row>
    <row r="131" spans="56:61" x14ac:dyDescent="0.25">
      <c r="BD131" s="7">
        <f t="shared" ref="BD131:BD194" si="73">ROUNDUP(MONTH(BG131)/3,0)</f>
        <v>2</v>
      </c>
      <c r="BE131" s="7">
        <f t="shared" ref="BE131:BE194" si="74">MONTH(BG131)</f>
        <v>6</v>
      </c>
      <c r="BF131" s="7">
        <f t="shared" ref="BF131:BF194" si="75">YEAR(BG131)</f>
        <v>2023</v>
      </c>
      <c r="BG131" s="36">
        <v>45106</v>
      </c>
      <c r="BH131" s="33">
        <v>3.4000000000000002E-2</v>
      </c>
      <c r="BI131" s="35">
        <f t="shared" ref="BI131:BI194" si="76">BH131+0.7%</f>
        <v>4.1000000000000002E-2</v>
      </c>
    </row>
    <row r="132" spans="56:61" x14ac:dyDescent="0.25">
      <c r="BD132" s="7">
        <f t="shared" si="73"/>
        <v>2</v>
      </c>
      <c r="BE132" s="7">
        <f t="shared" si="74"/>
        <v>6</v>
      </c>
      <c r="BF132" s="7">
        <f t="shared" si="75"/>
        <v>2023</v>
      </c>
      <c r="BG132" s="36">
        <v>45107</v>
      </c>
      <c r="BH132" s="33">
        <v>3.4000000000000002E-2</v>
      </c>
      <c r="BI132" s="35">
        <f t="shared" si="76"/>
        <v>4.1000000000000002E-2</v>
      </c>
    </row>
    <row r="133" spans="56:61" x14ac:dyDescent="0.25">
      <c r="BD133" s="7">
        <f t="shared" si="73"/>
        <v>3</v>
      </c>
      <c r="BE133" s="7">
        <f t="shared" si="74"/>
        <v>7</v>
      </c>
      <c r="BF133" s="7">
        <f t="shared" si="75"/>
        <v>2023</v>
      </c>
      <c r="BG133" s="36">
        <v>45110</v>
      </c>
      <c r="BH133" s="33">
        <v>3.3989999999999992E-2</v>
      </c>
      <c r="BI133" s="35">
        <f t="shared" si="76"/>
        <v>4.0989999999999992E-2</v>
      </c>
    </row>
    <row r="134" spans="56:61" x14ac:dyDescent="0.25">
      <c r="BD134" s="7">
        <f t="shared" si="73"/>
        <v>3</v>
      </c>
      <c r="BE134" s="7">
        <f t="shared" si="74"/>
        <v>7</v>
      </c>
      <c r="BF134" s="7">
        <f t="shared" si="75"/>
        <v>2023</v>
      </c>
      <c r="BG134" s="36">
        <v>45111</v>
      </c>
      <c r="BH134" s="33">
        <v>3.4010000000000006E-2</v>
      </c>
      <c r="BI134" s="35">
        <f t="shared" si="76"/>
        <v>4.1010000000000005E-2</v>
      </c>
    </row>
    <row r="135" spans="56:61" x14ac:dyDescent="0.25">
      <c r="BD135" s="7">
        <f t="shared" si="73"/>
        <v>3</v>
      </c>
      <c r="BE135" s="7">
        <f t="shared" si="74"/>
        <v>7</v>
      </c>
      <c r="BF135" s="7">
        <f t="shared" si="75"/>
        <v>2023</v>
      </c>
      <c r="BG135" s="36">
        <v>45112</v>
      </c>
      <c r="BH135" s="33">
        <v>3.4040000000000001E-2</v>
      </c>
      <c r="BI135" s="35">
        <f t="shared" si="76"/>
        <v>4.104E-2</v>
      </c>
    </row>
    <row r="136" spans="56:61" x14ac:dyDescent="0.25">
      <c r="BD136" s="7">
        <f t="shared" si="73"/>
        <v>3</v>
      </c>
      <c r="BE136" s="7">
        <f t="shared" si="74"/>
        <v>7</v>
      </c>
      <c r="BF136" s="7">
        <f t="shared" si="75"/>
        <v>2023</v>
      </c>
      <c r="BG136" s="36">
        <v>45113</v>
      </c>
      <c r="BH136" s="33">
        <v>3.406E-2</v>
      </c>
      <c r="BI136" s="35">
        <f t="shared" si="76"/>
        <v>4.1059999999999999E-2</v>
      </c>
    </row>
    <row r="137" spans="56:61" x14ac:dyDescent="0.25">
      <c r="BD137" s="7">
        <f t="shared" si="73"/>
        <v>3</v>
      </c>
      <c r="BE137" s="7">
        <f t="shared" si="74"/>
        <v>7</v>
      </c>
      <c r="BF137" s="7">
        <f t="shared" si="75"/>
        <v>2023</v>
      </c>
      <c r="BG137" s="36">
        <v>45114</v>
      </c>
      <c r="BH137" s="33">
        <v>3.406E-2</v>
      </c>
      <c r="BI137" s="35">
        <f t="shared" si="76"/>
        <v>4.1059999999999999E-2</v>
      </c>
    </row>
    <row r="138" spans="56:61" x14ac:dyDescent="0.25">
      <c r="BD138" s="7">
        <f t="shared" si="73"/>
        <v>3</v>
      </c>
      <c r="BE138" s="7">
        <f t="shared" si="74"/>
        <v>7</v>
      </c>
      <c r="BF138" s="7">
        <f t="shared" si="75"/>
        <v>2023</v>
      </c>
      <c r="BG138" s="36">
        <v>45117</v>
      </c>
      <c r="BH138" s="33">
        <v>3.4019999999999995E-2</v>
      </c>
      <c r="BI138" s="35">
        <f t="shared" si="76"/>
        <v>4.1019999999999994E-2</v>
      </c>
    </row>
    <row r="139" spans="56:61" x14ac:dyDescent="0.25">
      <c r="BD139" s="7">
        <f t="shared" si="73"/>
        <v>3</v>
      </c>
      <c r="BE139" s="7">
        <f t="shared" si="74"/>
        <v>7</v>
      </c>
      <c r="BF139" s="7">
        <f t="shared" si="75"/>
        <v>2023</v>
      </c>
      <c r="BG139" s="36">
        <v>45118</v>
      </c>
      <c r="BH139" s="33">
        <v>3.4040000000000001E-2</v>
      </c>
      <c r="BI139" s="35">
        <f t="shared" si="76"/>
        <v>4.104E-2</v>
      </c>
    </row>
    <row r="140" spans="56:61" x14ac:dyDescent="0.25">
      <c r="BD140" s="7">
        <f t="shared" si="73"/>
        <v>3</v>
      </c>
      <c r="BE140" s="7">
        <f t="shared" si="74"/>
        <v>7</v>
      </c>
      <c r="BF140" s="7">
        <f t="shared" si="75"/>
        <v>2023</v>
      </c>
      <c r="BG140" s="36">
        <v>45119</v>
      </c>
      <c r="BH140" s="33">
        <v>3.4040000000000001E-2</v>
      </c>
      <c r="BI140" s="35">
        <f t="shared" si="76"/>
        <v>4.104E-2</v>
      </c>
    </row>
    <row r="141" spans="56:61" x14ac:dyDescent="0.25">
      <c r="BD141" s="7">
        <f t="shared" si="73"/>
        <v>3</v>
      </c>
      <c r="BE141" s="7">
        <f t="shared" si="74"/>
        <v>7</v>
      </c>
      <c r="BF141" s="7">
        <f t="shared" si="75"/>
        <v>2023</v>
      </c>
      <c r="BG141" s="36">
        <v>45120</v>
      </c>
      <c r="BH141" s="33">
        <v>3.4010000000000006E-2</v>
      </c>
      <c r="BI141" s="35">
        <f t="shared" si="76"/>
        <v>4.1010000000000005E-2</v>
      </c>
    </row>
    <row r="142" spans="56:61" x14ac:dyDescent="0.25">
      <c r="BD142" s="7">
        <f t="shared" si="73"/>
        <v>3</v>
      </c>
      <c r="BE142" s="7">
        <f t="shared" si="74"/>
        <v>7</v>
      </c>
      <c r="BF142" s="7">
        <f t="shared" si="75"/>
        <v>2023</v>
      </c>
      <c r="BG142" s="36">
        <v>45121</v>
      </c>
      <c r="BH142" s="33">
        <v>3.4019999999999995E-2</v>
      </c>
      <c r="BI142" s="35">
        <f t="shared" si="76"/>
        <v>4.1019999999999994E-2</v>
      </c>
    </row>
    <row r="143" spans="56:61" x14ac:dyDescent="0.25">
      <c r="BD143" s="7">
        <f t="shared" si="73"/>
        <v>3</v>
      </c>
      <c r="BE143" s="7">
        <f t="shared" si="74"/>
        <v>7</v>
      </c>
      <c r="BF143" s="7">
        <f t="shared" si="75"/>
        <v>2023</v>
      </c>
      <c r="BG143" s="36">
        <v>45124</v>
      </c>
      <c r="BH143" s="33">
        <v>3.4000000000000002E-2</v>
      </c>
      <c r="BI143" s="35">
        <f t="shared" si="76"/>
        <v>4.1000000000000002E-2</v>
      </c>
    </row>
    <row r="144" spans="56:61" x14ac:dyDescent="0.25">
      <c r="BD144" s="7">
        <f t="shared" si="73"/>
        <v>3</v>
      </c>
      <c r="BE144" s="7">
        <f t="shared" si="74"/>
        <v>7</v>
      </c>
      <c r="BF144" s="7">
        <f t="shared" si="75"/>
        <v>2023</v>
      </c>
      <c r="BG144" s="36">
        <v>45125</v>
      </c>
      <c r="BH144" s="33">
        <v>3.3989999999999992E-2</v>
      </c>
      <c r="BI144" s="35">
        <f t="shared" si="76"/>
        <v>4.0989999999999992E-2</v>
      </c>
    </row>
    <row r="145" spans="56:61" x14ac:dyDescent="0.25">
      <c r="BD145" s="7">
        <f t="shared" si="73"/>
        <v>3</v>
      </c>
      <c r="BE145" s="7">
        <f t="shared" si="74"/>
        <v>7</v>
      </c>
      <c r="BF145" s="7">
        <f t="shared" si="75"/>
        <v>2023</v>
      </c>
      <c r="BG145" s="36">
        <v>45126</v>
      </c>
      <c r="BH145" s="33">
        <v>3.4000000000000002E-2</v>
      </c>
      <c r="BI145" s="35">
        <f t="shared" si="76"/>
        <v>4.1000000000000002E-2</v>
      </c>
    </row>
    <row r="146" spans="56:61" x14ac:dyDescent="0.25">
      <c r="BD146" s="7">
        <f t="shared" si="73"/>
        <v>3</v>
      </c>
      <c r="BE146" s="7">
        <f t="shared" si="74"/>
        <v>7</v>
      </c>
      <c r="BF146" s="7">
        <f t="shared" si="75"/>
        <v>2023</v>
      </c>
      <c r="BG146" s="36">
        <v>45127</v>
      </c>
      <c r="BH146" s="33">
        <v>3.4029999999999998E-2</v>
      </c>
      <c r="BI146" s="35">
        <f t="shared" si="76"/>
        <v>4.1029999999999997E-2</v>
      </c>
    </row>
    <row r="147" spans="56:61" x14ac:dyDescent="0.25">
      <c r="BD147" s="7">
        <f t="shared" si="73"/>
        <v>3</v>
      </c>
      <c r="BE147" s="7">
        <f t="shared" si="74"/>
        <v>7</v>
      </c>
      <c r="BF147" s="7">
        <f t="shared" si="75"/>
        <v>2023</v>
      </c>
      <c r="BG147" s="36">
        <v>45128</v>
      </c>
      <c r="BH147" s="33">
        <v>3.4040000000000001E-2</v>
      </c>
      <c r="BI147" s="35">
        <f t="shared" si="76"/>
        <v>4.104E-2</v>
      </c>
    </row>
    <row r="148" spans="56:61" x14ac:dyDescent="0.25">
      <c r="BD148" s="7">
        <f t="shared" si="73"/>
        <v>3</v>
      </c>
      <c r="BE148" s="7">
        <f t="shared" si="74"/>
        <v>7</v>
      </c>
      <c r="BF148" s="7">
        <f t="shared" si="75"/>
        <v>2023</v>
      </c>
      <c r="BG148" s="36">
        <v>45131</v>
      </c>
      <c r="BH148" s="33">
        <v>3.4049999999999997E-2</v>
      </c>
      <c r="BI148" s="35">
        <f t="shared" si="76"/>
        <v>4.1049999999999996E-2</v>
      </c>
    </row>
    <row r="149" spans="56:61" x14ac:dyDescent="0.25">
      <c r="BD149" s="7">
        <f t="shared" si="73"/>
        <v>3</v>
      </c>
      <c r="BE149" s="7">
        <f t="shared" si="74"/>
        <v>7</v>
      </c>
      <c r="BF149" s="7">
        <f t="shared" si="75"/>
        <v>2023</v>
      </c>
      <c r="BG149" s="36">
        <v>45132</v>
      </c>
      <c r="BH149" s="33">
        <v>3.4049999999999997E-2</v>
      </c>
      <c r="BI149" s="35">
        <f t="shared" si="76"/>
        <v>4.1049999999999996E-2</v>
      </c>
    </row>
    <row r="150" spans="56:61" x14ac:dyDescent="0.25">
      <c r="BD150" s="7">
        <f t="shared" si="73"/>
        <v>3</v>
      </c>
      <c r="BE150" s="7">
        <f t="shared" si="74"/>
        <v>7</v>
      </c>
      <c r="BF150" s="7">
        <f t="shared" si="75"/>
        <v>2023</v>
      </c>
      <c r="BG150" s="36">
        <v>45133</v>
      </c>
      <c r="BH150" s="33">
        <v>3.4019999999999995E-2</v>
      </c>
      <c r="BI150" s="35">
        <f t="shared" si="76"/>
        <v>4.1019999999999994E-2</v>
      </c>
    </row>
    <row r="151" spans="56:61" x14ac:dyDescent="0.25">
      <c r="BD151" s="7">
        <f t="shared" si="73"/>
        <v>3</v>
      </c>
      <c r="BE151" s="7">
        <f t="shared" si="74"/>
        <v>7</v>
      </c>
      <c r="BF151" s="7">
        <f t="shared" si="75"/>
        <v>2023</v>
      </c>
      <c r="BG151" s="36">
        <v>45134</v>
      </c>
      <c r="BH151" s="33">
        <v>3.4029999999999998E-2</v>
      </c>
      <c r="BI151" s="35">
        <f t="shared" si="76"/>
        <v>4.1029999999999997E-2</v>
      </c>
    </row>
    <row r="152" spans="56:61" x14ac:dyDescent="0.25">
      <c r="BD152" s="7">
        <f t="shared" si="73"/>
        <v>3</v>
      </c>
      <c r="BE152" s="7">
        <f t="shared" si="74"/>
        <v>7</v>
      </c>
      <c r="BF152" s="7">
        <f t="shared" si="75"/>
        <v>2023</v>
      </c>
      <c r="BG152" s="36">
        <v>45135</v>
      </c>
      <c r="BH152" s="33">
        <v>3.4040000000000001E-2</v>
      </c>
      <c r="BI152" s="35">
        <f t="shared" si="76"/>
        <v>4.104E-2</v>
      </c>
    </row>
    <row r="153" spans="56:61" x14ac:dyDescent="0.25">
      <c r="BD153" s="7">
        <f t="shared" si="73"/>
        <v>3</v>
      </c>
      <c r="BE153" s="7">
        <f t="shared" si="74"/>
        <v>7</v>
      </c>
      <c r="BF153" s="7">
        <f t="shared" si="75"/>
        <v>2023</v>
      </c>
      <c r="BG153" s="36">
        <v>45138</v>
      </c>
      <c r="BH153" s="33">
        <v>3.3919999999999999E-2</v>
      </c>
      <c r="BI153" s="35">
        <f t="shared" si="76"/>
        <v>4.0919999999999998E-2</v>
      </c>
    </row>
    <row r="154" spans="56:61" x14ac:dyDescent="0.25">
      <c r="BD154" s="7">
        <f t="shared" si="73"/>
        <v>3</v>
      </c>
      <c r="BE154" s="7">
        <f t="shared" si="74"/>
        <v>8</v>
      </c>
      <c r="BF154" s="7">
        <f t="shared" si="75"/>
        <v>2023</v>
      </c>
      <c r="BG154" s="36">
        <v>45139</v>
      </c>
      <c r="BH154" s="33">
        <v>3.4040000000000001E-2</v>
      </c>
      <c r="BI154" s="35">
        <f t="shared" si="76"/>
        <v>4.104E-2</v>
      </c>
    </row>
    <row r="155" spans="56:61" x14ac:dyDescent="0.25">
      <c r="BD155" s="7">
        <f t="shared" si="73"/>
        <v>3</v>
      </c>
      <c r="BE155" s="7">
        <f t="shared" si="74"/>
        <v>8</v>
      </c>
      <c r="BF155" s="7">
        <f t="shared" si="75"/>
        <v>2023</v>
      </c>
      <c r="BG155" s="36">
        <v>45140</v>
      </c>
      <c r="BH155" s="33">
        <v>3.6549999999999999E-2</v>
      </c>
      <c r="BI155" s="35">
        <f t="shared" si="76"/>
        <v>4.3549999999999998E-2</v>
      </c>
    </row>
    <row r="156" spans="56:61" x14ac:dyDescent="0.25">
      <c r="BD156" s="7">
        <f t="shared" si="73"/>
        <v>3</v>
      </c>
      <c r="BE156" s="7">
        <f t="shared" si="74"/>
        <v>8</v>
      </c>
      <c r="BF156" s="7">
        <f t="shared" si="75"/>
        <v>2023</v>
      </c>
      <c r="BG156" s="36">
        <v>45141</v>
      </c>
      <c r="BH156" s="33">
        <v>3.653E-2</v>
      </c>
      <c r="BI156" s="35">
        <f t="shared" si="76"/>
        <v>4.3529999999999999E-2</v>
      </c>
    </row>
    <row r="157" spans="56:61" x14ac:dyDescent="0.25">
      <c r="BD157" s="7">
        <f t="shared" si="73"/>
        <v>3</v>
      </c>
      <c r="BE157" s="7">
        <f t="shared" si="74"/>
        <v>8</v>
      </c>
      <c r="BF157" s="7">
        <f t="shared" si="75"/>
        <v>2023</v>
      </c>
      <c r="BG157" s="36">
        <v>45142</v>
      </c>
      <c r="BH157" s="33">
        <v>3.653E-2</v>
      </c>
      <c r="BI157" s="35">
        <f t="shared" si="76"/>
        <v>4.3529999999999999E-2</v>
      </c>
    </row>
    <row r="158" spans="56:61" x14ac:dyDescent="0.25">
      <c r="BD158" s="7">
        <f t="shared" si="73"/>
        <v>3</v>
      </c>
      <c r="BE158" s="7">
        <f t="shared" si="74"/>
        <v>8</v>
      </c>
      <c r="BF158" s="7">
        <f t="shared" si="75"/>
        <v>2023</v>
      </c>
      <c r="BG158" s="36">
        <v>45145</v>
      </c>
      <c r="BH158" s="33">
        <v>3.653E-2</v>
      </c>
      <c r="BI158" s="35">
        <f t="shared" si="76"/>
        <v>4.3529999999999999E-2</v>
      </c>
    </row>
    <row r="159" spans="56:61" x14ac:dyDescent="0.25">
      <c r="BD159" s="7">
        <f t="shared" si="73"/>
        <v>3</v>
      </c>
      <c r="BE159" s="7">
        <f t="shared" si="74"/>
        <v>8</v>
      </c>
      <c r="BF159" s="7">
        <f t="shared" si="75"/>
        <v>2023</v>
      </c>
      <c r="BG159" s="36">
        <v>45146</v>
      </c>
      <c r="BH159" s="33">
        <v>3.6519999999999997E-2</v>
      </c>
      <c r="BI159" s="35">
        <f t="shared" si="76"/>
        <v>4.3519999999999996E-2</v>
      </c>
    </row>
    <row r="160" spans="56:61" x14ac:dyDescent="0.25">
      <c r="BD160" s="7">
        <f t="shared" si="73"/>
        <v>3</v>
      </c>
      <c r="BE160" s="7">
        <f t="shared" si="74"/>
        <v>8</v>
      </c>
      <c r="BF160" s="7">
        <f t="shared" si="75"/>
        <v>2023</v>
      </c>
      <c r="BG160" s="36">
        <v>45147</v>
      </c>
      <c r="BH160" s="33">
        <v>3.6489999999999995E-2</v>
      </c>
      <c r="BI160" s="35">
        <f t="shared" si="76"/>
        <v>4.3489999999999994E-2</v>
      </c>
    </row>
    <row r="161" spans="56:61" x14ac:dyDescent="0.25">
      <c r="BD161" s="7">
        <f t="shared" si="73"/>
        <v>3</v>
      </c>
      <c r="BE161" s="7">
        <f t="shared" si="74"/>
        <v>8</v>
      </c>
      <c r="BF161" s="7">
        <f t="shared" si="75"/>
        <v>2023</v>
      </c>
      <c r="BG161" s="36">
        <v>45148</v>
      </c>
      <c r="BH161" s="33">
        <v>3.6519999999999997E-2</v>
      </c>
      <c r="BI161" s="35">
        <f t="shared" si="76"/>
        <v>4.3519999999999996E-2</v>
      </c>
    </row>
    <row r="162" spans="56:61" x14ac:dyDescent="0.25">
      <c r="BD162" s="7">
        <f t="shared" si="73"/>
        <v>3</v>
      </c>
      <c r="BE162" s="7">
        <f t="shared" si="74"/>
        <v>8</v>
      </c>
      <c r="BF162" s="7">
        <f t="shared" si="75"/>
        <v>2023</v>
      </c>
      <c r="BG162" s="36">
        <v>45149</v>
      </c>
      <c r="BH162" s="33">
        <v>3.653E-2</v>
      </c>
      <c r="BI162" s="35">
        <f t="shared" si="76"/>
        <v>4.3529999999999999E-2</v>
      </c>
    </row>
    <row r="163" spans="56:61" x14ac:dyDescent="0.25">
      <c r="BD163" s="7">
        <f t="shared" si="73"/>
        <v>3</v>
      </c>
      <c r="BE163" s="7">
        <f t="shared" si="74"/>
        <v>8</v>
      </c>
      <c r="BF163" s="7">
        <f t="shared" si="75"/>
        <v>2023</v>
      </c>
      <c r="BG163" s="36">
        <v>45152</v>
      </c>
      <c r="BH163" s="33">
        <v>3.6560000000000002E-2</v>
      </c>
      <c r="BI163" s="35">
        <f t="shared" si="76"/>
        <v>4.3560000000000001E-2</v>
      </c>
    </row>
    <row r="164" spans="56:61" x14ac:dyDescent="0.25">
      <c r="BD164" s="7">
        <f t="shared" si="73"/>
        <v>3</v>
      </c>
      <c r="BE164" s="7">
        <f t="shared" si="74"/>
        <v>8</v>
      </c>
      <c r="BF164" s="7">
        <f t="shared" si="75"/>
        <v>2023</v>
      </c>
      <c r="BG164" s="36">
        <v>45153</v>
      </c>
      <c r="BH164" s="33">
        <v>3.6569999999999998E-2</v>
      </c>
      <c r="BI164" s="35">
        <f t="shared" si="76"/>
        <v>4.3569999999999998E-2</v>
      </c>
    </row>
    <row r="165" spans="56:61" x14ac:dyDescent="0.25">
      <c r="BD165" s="7">
        <f t="shared" si="73"/>
        <v>3</v>
      </c>
      <c r="BE165" s="7">
        <f t="shared" si="74"/>
        <v>8</v>
      </c>
      <c r="BF165" s="7">
        <f t="shared" si="75"/>
        <v>2023</v>
      </c>
      <c r="BG165" s="36">
        <v>45154</v>
      </c>
      <c r="BH165" s="33">
        <v>3.6539999999999996E-2</v>
      </c>
      <c r="BI165" s="35">
        <f t="shared" si="76"/>
        <v>4.3539999999999995E-2</v>
      </c>
    </row>
    <row r="166" spans="56:61" x14ac:dyDescent="0.25">
      <c r="BD166" s="7">
        <f t="shared" si="73"/>
        <v>3</v>
      </c>
      <c r="BE166" s="7">
        <f t="shared" si="74"/>
        <v>8</v>
      </c>
      <c r="BF166" s="7">
        <f t="shared" si="75"/>
        <v>2023</v>
      </c>
      <c r="BG166" s="36">
        <v>45155</v>
      </c>
      <c r="BH166" s="33">
        <v>3.6539999999999996E-2</v>
      </c>
      <c r="BI166" s="35">
        <f t="shared" si="76"/>
        <v>4.3539999999999995E-2</v>
      </c>
    </row>
    <row r="167" spans="56:61" x14ac:dyDescent="0.25">
      <c r="BD167" s="7">
        <f t="shared" si="73"/>
        <v>3</v>
      </c>
      <c r="BE167" s="7">
        <f t="shared" si="74"/>
        <v>8</v>
      </c>
      <c r="BF167" s="7">
        <f t="shared" si="75"/>
        <v>2023</v>
      </c>
      <c r="BG167" s="36">
        <v>45156</v>
      </c>
      <c r="BH167" s="33">
        <v>3.6549999999999999E-2</v>
      </c>
      <c r="BI167" s="35">
        <f t="shared" si="76"/>
        <v>4.3549999999999998E-2</v>
      </c>
    </row>
    <row r="168" spans="56:61" x14ac:dyDescent="0.25">
      <c r="BD168" s="7">
        <f t="shared" si="73"/>
        <v>3</v>
      </c>
      <c r="BE168" s="7">
        <f t="shared" si="74"/>
        <v>8</v>
      </c>
      <c r="BF168" s="7">
        <f t="shared" si="75"/>
        <v>2023</v>
      </c>
      <c r="BG168" s="36">
        <v>45159</v>
      </c>
      <c r="BH168" s="33">
        <v>3.6539999999999996E-2</v>
      </c>
      <c r="BI168" s="35">
        <f t="shared" si="76"/>
        <v>4.3539999999999995E-2</v>
      </c>
    </row>
    <row r="169" spans="56:61" x14ac:dyDescent="0.25">
      <c r="BD169" s="7">
        <f t="shared" si="73"/>
        <v>3</v>
      </c>
      <c r="BE169" s="7">
        <f t="shared" si="74"/>
        <v>8</v>
      </c>
      <c r="BF169" s="7">
        <f t="shared" si="75"/>
        <v>2023</v>
      </c>
      <c r="BG169" s="36">
        <v>45160</v>
      </c>
      <c r="BH169" s="33">
        <v>3.6549999999999999E-2</v>
      </c>
      <c r="BI169" s="35">
        <f t="shared" si="76"/>
        <v>4.3549999999999998E-2</v>
      </c>
    </row>
    <row r="170" spans="56:61" x14ac:dyDescent="0.25">
      <c r="BD170" s="7">
        <f t="shared" si="73"/>
        <v>3</v>
      </c>
      <c r="BE170" s="7">
        <f t="shared" si="74"/>
        <v>8</v>
      </c>
      <c r="BF170" s="7">
        <f t="shared" si="75"/>
        <v>2023</v>
      </c>
      <c r="BG170" s="36">
        <v>45161</v>
      </c>
      <c r="BH170" s="33">
        <v>3.6519999999999997E-2</v>
      </c>
      <c r="BI170" s="35">
        <f t="shared" si="76"/>
        <v>4.3519999999999996E-2</v>
      </c>
    </row>
    <row r="171" spans="56:61" x14ac:dyDescent="0.25">
      <c r="BD171" s="7">
        <f t="shared" si="73"/>
        <v>3</v>
      </c>
      <c r="BE171" s="7">
        <f t="shared" si="74"/>
        <v>8</v>
      </c>
      <c r="BF171" s="7">
        <f t="shared" si="75"/>
        <v>2023</v>
      </c>
      <c r="BG171" s="36">
        <v>45162</v>
      </c>
      <c r="BH171" s="33">
        <v>3.6489999999999995E-2</v>
      </c>
      <c r="BI171" s="35">
        <f t="shared" si="76"/>
        <v>4.3489999999999994E-2</v>
      </c>
    </row>
    <row r="172" spans="56:61" x14ac:dyDescent="0.25">
      <c r="BD172" s="7">
        <f t="shared" si="73"/>
        <v>3</v>
      </c>
      <c r="BE172" s="7">
        <f t="shared" si="74"/>
        <v>8</v>
      </c>
      <c r="BF172" s="7">
        <f t="shared" si="75"/>
        <v>2023</v>
      </c>
      <c r="BG172" s="36">
        <v>45163</v>
      </c>
      <c r="BH172" s="33">
        <v>3.6519999999999997E-2</v>
      </c>
      <c r="BI172" s="35">
        <f t="shared" si="76"/>
        <v>4.3519999999999996E-2</v>
      </c>
    </row>
    <row r="173" spans="56:61" x14ac:dyDescent="0.25">
      <c r="BD173" s="7">
        <f t="shared" si="73"/>
        <v>3</v>
      </c>
      <c r="BE173" s="7">
        <f t="shared" si="74"/>
        <v>8</v>
      </c>
      <c r="BF173" s="7">
        <f t="shared" si="75"/>
        <v>2023</v>
      </c>
      <c r="BG173" s="36">
        <v>45166</v>
      </c>
      <c r="BH173" s="33">
        <v>3.6510000000000001E-2</v>
      </c>
      <c r="BI173" s="35">
        <f t="shared" si="76"/>
        <v>4.351E-2</v>
      </c>
    </row>
    <row r="174" spans="56:61" x14ac:dyDescent="0.25">
      <c r="BD174" s="7">
        <f t="shared" si="73"/>
        <v>3</v>
      </c>
      <c r="BE174" s="7">
        <f t="shared" si="74"/>
        <v>8</v>
      </c>
      <c r="BF174" s="7">
        <f t="shared" si="75"/>
        <v>2023</v>
      </c>
      <c r="BG174" s="36">
        <v>45167</v>
      </c>
      <c r="BH174" s="33">
        <v>3.6519999999999997E-2</v>
      </c>
      <c r="BI174" s="35">
        <f t="shared" si="76"/>
        <v>4.3519999999999996E-2</v>
      </c>
    </row>
    <row r="175" spans="56:61" x14ac:dyDescent="0.25">
      <c r="BD175" s="7">
        <f t="shared" si="73"/>
        <v>3</v>
      </c>
      <c r="BE175" s="7">
        <f t="shared" si="74"/>
        <v>8</v>
      </c>
      <c r="BF175" s="7">
        <f t="shared" si="75"/>
        <v>2023</v>
      </c>
      <c r="BG175" s="36">
        <v>45168</v>
      </c>
      <c r="BH175" s="33">
        <v>3.6519999999999997E-2</v>
      </c>
      <c r="BI175" s="35">
        <f t="shared" si="76"/>
        <v>4.3519999999999996E-2</v>
      </c>
    </row>
    <row r="176" spans="56:61" x14ac:dyDescent="0.25">
      <c r="BD176" s="7">
        <f t="shared" si="73"/>
        <v>3</v>
      </c>
      <c r="BE176" s="7">
        <f t="shared" si="74"/>
        <v>8</v>
      </c>
      <c r="BF176" s="7">
        <f t="shared" si="75"/>
        <v>2023</v>
      </c>
      <c r="BG176" s="36">
        <v>45169</v>
      </c>
      <c r="BH176" s="33">
        <v>3.6460000000000006E-2</v>
      </c>
      <c r="BI176" s="35">
        <f t="shared" si="76"/>
        <v>4.3460000000000006E-2</v>
      </c>
    </row>
    <row r="177" spans="56:61" x14ac:dyDescent="0.25">
      <c r="BD177" s="7">
        <f t="shared" si="73"/>
        <v>3</v>
      </c>
      <c r="BE177" s="7">
        <f t="shared" si="74"/>
        <v>9</v>
      </c>
      <c r="BF177" s="7">
        <f t="shared" si="75"/>
        <v>2023</v>
      </c>
      <c r="BG177" s="36">
        <v>45170</v>
      </c>
      <c r="BH177" s="33">
        <v>3.6519999999999997E-2</v>
      </c>
      <c r="BI177" s="35">
        <f t="shared" si="76"/>
        <v>4.3519999999999996E-2</v>
      </c>
    </row>
    <row r="178" spans="56:61" x14ac:dyDescent="0.25">
      <c r="BD178" s="7">
        <f t="shared" si="73"/>
        <v>3</v>
      </c>
      <c r="BE178" s="7">
        <f t="shared" si="74"/>
        <v>9</v>
      </c>
      <c r="BF178" s="7">
        <f t="shared" si="75"/>
        <v>2023</v>
      </c>
      <c r="BG178" s="36">
        <v>45173</v>
      </c>
      <c r="BH178" s="33">
        <v>3.6519999999999997E-2</v>
      </c>
      <c r="BI178" s="35">
        <f t="shared" si="76"/>
        <v>4.3519999999999996E-2</v>
      </c>
    </row>
    <row r="179" spans="56:61" x14ac:dyDescent="0.25">
      <c r="BD179" s="7">
        <f t="shared" si="73"/>
        <v>3</v>
      </c>
      <c r="BE179" s="7">
        <f t="shared" si="74"/>
        <v>9</v>
      </c>
      <c r="BF179" s="7">
        <f t="shared" si="75"/>
        <v>2023</v>
      </c>
      <c r="BG179" s="36">
        <v>45174</v>
      </c>
      <c r="BH179" s="33">
        <v>3.6510000000000001E-2</v>
      </c>
      <c r="BI179" s="35">
        <f t="shared" si="76"/>
        <v>4.351E-2</v>
      </c>
    </row>
    <row r="180" spans="56:61" x14ac:dyDescent="0.25">
      <c r="BD180" s="7">
        <f t="shared" si="73"/>
        <v>3</v>
      </c>
      <c r="BE180" s="7">
        <f t="shared" si="74"/>
        <v>9</v>
      </c>
      <c r="BF180" s="7">
        <f t="shared" si="75"/>
        <v>2023</v>
      </c>
      <c r="BG180" s="36">
        <v>45175</v>
      </c>
      <c r="BH180" s="33">
        <v>3.6519999999999997E-2</v>
      </c>
      <c r="BI180" s="35">
        <f t="shared" si="76"/>
        <v>4.3519999999999996E-2</v>
      </c>
    </row>
    <row r="181" spans="56:61" x14ac:dyDescent="0.25">
      <c r="BD181" s="7">
        <f t="shared" si="73"/>
        <v>3</v>
      </c>
      <c r="BE181" s="7">
        <f t="shared" si="74"/>
        <v>9</v>
      </c>
      <c r="BF181" s="7">
        <f t="shared" si="75"/>
        <v>2023</v>
      </c>
      <c r="BG181" s="36">
        <v>45176</v>
      </c>
      <c r="BH181" s="33">
        <v>3.6519999999999997E-2</v>
      </c>
      <c r="BI181" s="35">
        <f t="shared" si="76"/>
        <v>4.3519999999999996E-2</v>
      </c>
    </row>
    <row r="182" spans="56:61" x14ac:dyDescent="0.25">
      <c r="BD182" s="7">
        <f t="shared" si="73"/>
        <v>3</v>
      </c>
      <c r="BE182" s="7">
        <f t="shared" si="74"/>
        <v>9</v>
      </c>
      <c r="BF182" s="7">
        <f t="shared" si="75"/>
        <v>2023</v>
      </c>
      <c r="BG182" s="36">
        <v>45177</v>
      </c>
      <c r="BH182" s="33">
        <v>3.653E-2</v>
      </c>
      <c r="BI182" s="35">
        <f t="shared" si="76"/>
        <v>4.3529999999999999E-2</v>
      </c>
    </row>
    <row r="183" spans="56:61" x14ac:dyDescent="0.25">
      <c r="BD183" s="7">
        <f t="shared" si="73"/>
        <v>3</v>
      </c>
      <c r="BE183" s="7">
        <f t="shared" si="74"/>
        <v>9</v>
      </c>
      <c r="BF183" s="7">
        <f t="shared" si="75"/>
        <v>2023</v>
      </c>
      <c r="BG183" s="36">
        <v>45180</v>
      </c>
      <c r="BH183" s="33">
        <v>3.6519999999999997E-2</v>
      </c>
      <c r="BI183" s="35">
        <f t="shared" si="76"/>
        <v>4.3519999999999996E-2</v>
      </c>
    </row>
    <row r="184" spans="56:61" x14ac:dyDescent="0.25">
      <c r="BD184" s="7">
        <f t="shared" si="73"/>
        <v>3</v>
      </c>
      <c r="BE184" s="7">
        <f t="shared" si="74"/>
        <v>9</v>
      </c>
      <c r="BF184" s="7">
        <f t="shared" si="75"/>
        <v>2023</v>
      </c>
      <c r="BG184" s="36">
        <v>45181</v>
      </c>
      <c r="BH184" s="33">
        <v>3.6539999999999996E-2</v>
      </c>
      <c r="BI184" s="35">
        <f t="shared" si="76"/>
        <v>4.3539999999999995E-2</v>
      </c>
    </row>
    <row r="185" spans="56:61" x14ac:dyDescent="0.25">
      <c r="BD185" s="7">
        <f t="shared" si="73"/>
        <v>3</v>
      </c>
      <c r="BE185" s="7">
        <f t="shared" si="74"/>
        <v>9</v>
      </c>
      <c r="BF185" s="7">
        <f t="shared" si="75"/>
        <v>2023</v>
      </c>
      <c r="BG185" s="36">
        <v>45182</v>
      </c>
      <c r="BH185" s="33">
        <v>3.6519999999999997E-2</v>
      </c>
      <c r="BI185" s="35">
        <f t="shared" si="76"/>
        <v>4.3519999999999996E-2</v>
      </c>
    </row>
    <row r="186" spans="56:61" x14ac:dyDescent="0.25">
      <c r="BD186" s="7">
        <f t="shared" si="73"/>
        <v>3</v>
      </c>
      <c r="BE186" s="7">
        <f t="shared" si="74"/>
        <v>9</v>
      </c>
      <c r="BF186" s="7">
        <f t="shared" si="75"/>
        <v>2023</v>
      </c>
      <c r="BG186" s="36">
        <v>45183</v>
      </c>
      <c r="BH186" s="33">
        <v>3.653E-2</v>
      </c>
      <c r="BI186" s="35">
        <f t="shared" si="76"/>
        <v>4.3529999999999999E-2</v>
      </c>
    </row>
    <row r="187" spans="56:61" x14ac:dyDescent="0.25">
      <c r="BD187" s="7">
        <f t="shared" si="73"/>
        <v>3</v>
      </c>
      <c r="BE187" s="7">
        <f t="shared" si="74"/>
        <v>9</v>
      </c>
      <c r="BF187" s="7">
        <f t="shared" si="75"/>
        <v>2023</v>
      </c>
      <c r="BG187" s="36">
        <v>45184</v>
      </c>
      <c r="BH187" s="33">
        <v>3.6499999999999998E-2</v>
      </c>
      <c r="BI187" s="35">
        <f t="shared" si="76"/>
        <v>4.3499999999999997E-2</v>
      </c>
    </row>
    <row r="188" spans="56:61" x14ac:dyDescent="0.25">
      <c r="BD188" s="7">
        <f t="shared" si="73"/>
        <v>3</v>
      </c>
      <c r="BE188" s="7">
        <f t="shared" si="74"/>
        <v>9</v>
      </c>
      <c r="BF188" s="7">
        <f t="shared" si="75"/>
        <v>2023</v>
      </c>
      <c r="BG188" s="36">
        <v>45187</v>
      </c>
      <c r="BH188" s="33">
        <v>3.6479999999999999E-2</v>
      </c>
      <c r="BI188" s="35">
        <f t="shared" si="76"/>
        <v>4.3479999999999998E-2</v>
      </c>
    </row>
    <row r="189" spans="56:61" x14ac:dyDescent="0.25">
      <c r="BD189" s="7">
        <f t="shared" si="73"/>
        <v>3</v>
      </c>
      <c r="BE189" s="7">
        <f t="shared" si="74"/>
        <v>9</v>
      </c>
      <c r="BF189" s="7">
        <f t="shared" si="75"/>
        <v>2023</v>
      </c>
      <c r="BG189" s="36">
        <v>45188</v>
      </c>
      <c r="BH189" s="33">
        <v>3.6510000000000001E-2</v>
      </c>
      <c r="BI189" s="35">
        <f t="shared" si="76"/>
        <v>4.351E-2</v>
      </c>
    </row>
    <row r="190" spans="56:61" x14ac:dyDescent="0.25">
      <c r="BD190" s="7">
        <f t="shared" si="73"/>
        <v>3</v>
      </c>
      <c r="BE190" s="7">
        <f t="shared" si="74"/>
        <v>9</v>
      </c>
      <c r="BF190" s="7">
        <f t="shared" si="75"/>
        <v>2023</v>
      </c>
      <c r="BG190" s="36">
        <v>45189</v>
      </c>
      <c r="BH190" s="33">
        <v>3.9010000000000003E-2</v>
      </c>
      <c r="BI190" s="35">
        <f t="shared" si="76"/>
        <v>4.6010000000000002E-2</v>
      </c>
    </row>
    <row r="191" spans="56:61" x14ac:dyDescent="0.25">
      <c r="BD191" s="7">
        <f t="shared" si="73"/>
        <v>3</v>
      </c>
      <c r="BE191" s="7">
        <f t="shared" si="74"/>
        <v>9</v>
      </c>
      <c r="BF191" s="7">
        <f t="shared" si="75"/>
        <v>2023</v>
      </c>
      <c r="BG191" s="36">
        <v>45190</v>
      </c>
      <c r="BH191" s="33">
        <v>3.9019999999999999E-2</v>
      </c>
      <c r="BI191" s="35">
        <f t="shared" si="76"/>
        <v>4.6019999999999998E-2</v>
      </c>
    </row>
    <row r="192" spans="56:61" x14ac:dyDescent="0.25">
      <c r="BD192" s="7">
        <f t="shared" si="73"/>
        <v>3</v>
      </c>
      <c r="BE192" s="7">
        <f t="shared" si="74"/>
        <v>9</v>
      </c>
      <c r="BF192" s="7">
        <f t="shared" si="75"/>
        <v>2023</v>
      </c>
      <c r="BG192" s="36">
        <v>45191</v>
      </c>
      <c r="BH192" s="33">
        <v>3.9050000000000001E-2</v>
      </c>
      <c r="BI192" s="35">
        <f t="shared" si="76"/>
        <v>4.6050000000000001E-2</v>
      </c>
    </row>
    <row r="193" spans="56:61" x14ac:dyDescent="0.25">
      <c r="BD193" s="7">
        <f t="shared" si="73"/>
        <v>3</v>
      </c>
      <c r="BE193" s="7">
        <f t="shared" si="74"/>
        <v>9</v>
      </c>
      <c r="BF193" s="7">
        <f t="shared" si="75"/>
        <v>2023</v>
      </c>
      <c r="BG193" s="36">
        <v>45194</v>
      </c>
      <c r="BH193" s="33">
        <v>3.9039999999999998E-2</v>
      </c>
      <c r="BI193" s="35">
        <f t="shared" si="76"/>
        <v>4.6039999999999998E-2</v>
      </c>
    </row>
    <row r="194" spans="56:61" x14ac:dyDescent="0.25">
      <c r="BD194" s="7">
        <f t="shared" si="73"/>
        <v>3</v>
      </c>
      <c r="BE194" s="7">
        <f t="shared" si="74"/>
        <v>9</v>
      </c>
      <c r="BF194" s="7">
        <f t="shared" si="75"/>
        <v>2023</v>
      </c>
      <c r="BG194" s="36">
        <v>45195</v>
      </c>
      <c r="BH194" s="33">
        <v>3.9039999999999998E-2</v>
      </c>
      <c r="BI194" s="35">
        <f t="shared" si="76"/>
        <v>4.6039999999999998E-2</v>
      </c>
    </row>
    <row r="195" spans="56:61" x14ac:dyDescent="0.25">
      <c r="BD195" s="7">
        <f t="shared" ref="BD195:BD258" si="77">ROUNDUP(MONTH(BG195)/3,0)</f>
        <v>3</v>
      </c>
      <c r="BE195" s="7">
        <f t="shared" ref="BE195:BE258" si="78">MONTH(BG195)</f>
        <v>9</v>
      </c>
      <c r="BF195" s="7">
        <f t="shared" ref="BF195:BF258" si="79">YEAR(BG195)</f>
        <v>2023</v>
      </c>
      <c r="BG195" s="36">
        <v>45196</v>
      </c>
      <c r="BH195" s="33">
        <v>3.9050000000000001E-2</v>
      </c>
      <c r="BI195" s="35">
        <f t="shared" ref="BI195:BI258" si="80">BH195+0.7%</f>
        <v>4.6050000000000001E-2</v>
      </c>
    </row>
    <row r="196" spans="56:61" x14ac:dyDescent="0.25">
      <c r="BD196" s="7">
        <f t="shared" si="77"/>
        <v>3</v>
      </c>
      <c r="BE196" s="7">
        <f t="shared" si="78"/>
        <v>9</v>
      </c>
      <c r="BF196" s="7">
        <f t="shared" si="79"/>
        <v>2023</v>
      </c>
      <c r="BG196" s="36">
        <v>45197</v>
      </c>
      <c r="BH196" s="33">
        <v>3.9060000000000004E-2</v>
      </c>
      <c r="BI196" s="35">
        <f t="shared" si="80"/>
        <v>4.6060000000000004E-2</v>
      </c>
    </row>
    <row r="197" spans="56:61" x14ac:dyDescent="0.25">
      <c r="BD197" s="7">
        <f t="shared" si="77"/>
        <v>3</v>
      </c>
      <c r="BE197" s="7">
        <f t="shared" si="78"/>
        <v>9</v>
      </c>
      <c r="BF197" s="7">
        <f t="shared" si="79"/>
        <v>2023</v>
      </c>
      <c r="BG197" s="36">
        <v>45198</v>
      </c>
      <c r="BH197" s="33">
        <v>3.8800000000000001E-2</v>
      </c>
      <c r="BI197" s="35">
        <f t="shared" si="80"/>
        <v>4.58E-2</v>
      </c>
    </row>
    <row r="198" spans="56:61" x14ac:dyDescent="0.25">
      <c r="BD198" s="7">
        <f t="shared" si="77"/>
        <v>4</v>
      </c>
      <c r="BE198" s="7">
        <f t="shared" si="78"/>
        <v>10</v>
      </c>
      <c r="BF198" s="7">
        <f t="shared" si="79"/>
        <v>2023</v>
      </c>
      <c r="BG198" s="36">
        <v>45201</v>
      </c>
      <c r="BH198" s="33">
        <v>3.8989999999999997E-2</v>
      </c>
      <c r="BI198" s="35">
        <f t="shared" si="80"/>
        <v>4.5989999999999996E-2</v>
      </c>
    </row>
    <row r="199" spans="56:61" x14ac:dyDescent="0.25">
      <c r="BD199" s="7">
        <f t="shared" si="77"/>
        <v>4</v>
      </c>
      <c r="BE199" s="7">
        <f t="shared" si="78"/>
        <v>10</v>
      </c>
      <c r="BF199" s="7">
        <f t="shared" si="79"/>
        <v>2023</v>
      </c>
      <c r="BG199" s="36">
        <v>45202</v>
      </c>
      <c r="BH199" s="33">
        <v>3.9E-2</v>
      </c>
      <c r="BI199" s="35">
        <f t="shared" si="80"/>
        <v>4.5999999999999999E-2</v>
      </c>
    </row>
    <row r="200" spans="56:61" x14ac:dyDescent="0.25">
      <c r="BD200" s="7">
        <f t="shared" si="77"/>
        <v>4</v>
      </c>
      <c r="BE200" s="7">
        <f t="shared" si="78"/>
        <v>10</v>
      </c>
      <c r="BF200" s="7">
        <f t="shared" si="79"/>
        <v>2023</v>
      </c>
      <c r="BG200" s="36">
        <v>45203</v>
      </c>
      <c r="BH200" s="33">
        <v>3.9010000000000003E-2</v>
      </c>
      <c r="BI200" s="35">
        <f t="shared" si="80"/>
        <v>4.6010000000000002E-2</v>
      </c>
    </row>
    <row r="201" spans="56:61" x14ac:dyDescent="0.25">
      <c r="BD201" s="7">
        <f t="shared" si="77"/>
        <v>4</v>
      </c>
      <c r="BE201" s="7">
        <f t="shared" si="78"/>
        <v>10</v>
      </c>
      <c r="BF201" s="7">
        <f t="shared" si="79"/>
        <v>2023</v>
      </c>
      <c r="BG201" s="36">
        <v>45204</v>
      </c>
      <c r="BH201" s="33">
        <v>3.9E-2</v>
      </c>
      <c r="BI201" s="35">
        <f t="shared" si="80"/>
        <v>4.5999999999999999E-2</v>
      </c>
    </row>
    <row r="202" spans="56:61" x14ac:dyDescent="0.25">
      <c r="BD202" s="7">
        <f t="shared" si="77"/>
        <v>4</v>
      </c>
      <c r="BE202" s="7">
        <f t="shared" si="78"/>
        <v>10</v>
      </c>
      <c r="BF202" s="7">
        <f t="shared" si="79"/>
        <v>2023</v>
      </c>
      <c r="BG202" s="36">
        <v>45205</v>
      </c>
      <c r="BH202" s="33">
        <v>3.8989999999999997E-2</v>
      </c>
      <c r="BI202" s="35">
        <f t="shared" si="80"/>
        <v>4.5989999999999996E-2</v>
      </c>
    </row>
    <row r="203" spans="56:61" x14ac:dyDescent="0.25">
      <c r="BD203" s="7">
        <f t="shared" si="77"/>
        <v>4</v>
      </c>
      <c r="BE203" s="7">
        <f t="shared" si="78"/>
        <v>10</v>
      </c>
      <c r="BF203" s="7">
        <f t="shared" si="79"/>
        <v>2023</v>
      </c>
      <c r="BG203" s="36">
        <f t="shared" ref="BG203:BG266" si="81">WORKDAY(BG202,1)</f>
        <v>45208</v>
      </c>
      <c r="BH203" s="33">
        <v>3.8980000000000001E-2</v>
      </c>
      <c r="BI203" s="35">
        <f t="shared" si="80"/>
        <v>4.598E-2</v>
      </c>
    </row>
    <row r="204" spans="56:61" x14ac:dyDescent="0.25">
      <c r="BD204" s="7">
        <f t="shared" si="77"/>
        <v>4</v>
      </c>
      <c r="BE204" s="7">
        <f t="shared" si="78"/>
        <v>10</v>
      </c>
      <c r="BF204" s="7">
        <f t="shared" si="79"/>
        <v>2023</v>
      </c>
      <c r="BG204" s="36">
        <f t="shared" si="81"/>
        <v>45209</v>
      </c>
      <c r="BH204" s="33">
        <v>3.8969999999999998E-2</v>
      </c>
      <c r="BI204" s="35">
        <f t="shared" si="80"/>
        <v>4.5969999999999997E-2</v>
      </c>
    </row>
    <row r="205" spans="56:61" x14ac:dyDescent="0.25">
      <c r="BD205" s="7">
        <f t="shared" si="77"/>
        <v>4</v>
      </c>
      <c r="BE205" s="7">
        <f t="shared" si="78"/>
        <v>10</v>
      </c>
      <c r="BF205" s="7">
        <f t="shared" si="79"/>
        <v>2023</v>
      </c>
      <c r="BG205" s="36">
        <f t="shared" si="81"/>
        <v>45210</v>
      </c>
      <c r="BH205" s="33">
        <v>3.8960000000000002E-2</v>
      </c>
      <c r="BI205" s="35">
        <f t="shared" si="80"/>
        <v>4.5960000000000001E-2</v>
      </c>
    </row>
    <row r="206" spans="56:61" x14ac:dyDescent="0.25">
      <c r="BD206" s="7">
        <f t="shared" si="77"/>
        <v>4</v>
      </c>
      <c r="BE206" s="7">
        <f t="shared" si="78"/>
        <v>10</v>
      </c>
      <c r="BF206" s="7">
        <f t="shared" si="79"/>
        <v>2023</v>
      </c>
      <c r="BG206" s="36">
        <f t="shared" si="81"/>
        <v>45211</v>
      </c>
      <c r="BH206" s="33">
        <v>3.8949999999999999E-2</v>
      </c>
      <c r="BI206" s="35">
        <f t="shared" si="80"/>
        <v>4.5949999999999998E-2</v>
      </c>
    </row>
    <row r="207" spans="56:61" x14ac:dyDescent="0.25">
      <c r="BD207" s="7">
        <f t="shared" si="77"/>
        <v>4</v>
      </c>
      <c r="BE207" s="7">
        <f t="shared" si="78"/>
        <v>10</v>
      </c>
      <c r="BF207" s="7">
        <f t="shared" si="79"/>
        <v>2023</v>
      </c>
      <c r="BG207" s="36">
        <f t="shared" si="81"/>
        <v>45212</v>
      </c>
      <c r="BH207" s="33">
        <v>3.8940000000000002E-2</v>
      </c>
      <c r="BI207" s="35">
        <f t="shared" si="80"/>
        <v>4.5940000000000002E-2</v>
      </c>
    </row>
    <row r="208" spans="56:61" x14ac:dyDescent="0.25">
      <c r="BD208" s="7">
        <f t="shared" si="77"/>
        <v>4</v>
      </c>
      <c r="BE208" s="7">
        <f t="shared" si="78"/>
        <v>10</v>
      </c>
      <c r="BF208" s="7">
        <f t="shared" si="79"/>
        <v>2023</v>
      </c>
      <c r="BG208" s="36">
        <f t="shared" si="81"/>
        <v>45215</v>
      </c>
      <c r="BH208" s="33">
        <v>3.8929999999999999E-2</v>
      </c>
      <c r="BI208" s="35">
        <f t="shared" si="80"/>
        <v>4.5929999999999999E-2</v>
      </c>
    </row>
    <row r="209" spans="56:61" x14ac:dyDescent="0.25">
      <c r="BD209" s="7">
        <f t="shared" si="77"/>
        <v>4</v>
      </c>
      <c r="BE209" s="7">
        <f t="shared" si="78"/>
        <v>10</v>
      </c>
      <c r="BF209" s="7">
        <f t="shared" si="79"/>
        <v>2023</v>
      </c>
      <c r="BG209" s="36">
        <f t="shared" si="81"/>
        <v>45216</v>
      </c>
      <c r="BH209" s="33">
        <v>3.8920000000000003E-2</v>
      </c>
      <c r="BI209" s="35">
        <f t="shared" si="80"/>
        <v>4.5920000000000002E-2</v>
      </c>
    </row>
    <row r="210" spans="56:61" x14ac:dyDescent="0.25">
      <c r="BD210" s="7">
        <f t="shared" si="77"/>
        <v>4</v>
      </c>
      <c r="BE210" s="7">
        <f t="shared" si="78"/>
        <v>10</v>
      </c>
      <c r="BF210" s="7">
        <f t="shared" si="79"/>
        <v>2023</v>
      </c>
      <c r="BG210" s="36">
        <f t="shared" si="81"/>
        <v>45217</v>
      </c>
      <c r="BH210" s="33">
        <v>3.8920000000000003E-2</v>
      </c>
      <c r="BI210" s="35">
        <f t="shared" si="80"/>
        <v>4.5920000000000002E-2</v>
      </c>
    </row>
    <row r="211" spans="56:61" x14ac:dyDescent="0.25">
      <c r="BD211" s="7">
        <f t="shared" si="77"/>
        <v>4</v>
      </c>
      <c r="BE211" s="7">
        <f t="shared" si="78"/>
        <v>10</v>
      </c>
      <c r="BF211" s="7">
        <f t="shared" si="79"/>
        <v>2023</v>
      </c>
      <c r="BG211" s="36">
        <f t="shared" si="81"/>
        <v>45218</v>
      </c>
      <c r="BH211" s="33">
        <v>3.8920000000000003E-2</v>
      </c>
      <c r="BI211" s="35">
        <f t="shared" si="80"/>
        <v>4.5920000000000002E-2</v>
      </c>
    </row>
    <row r="212" spans="56:61" x14ac:dyDescent="0.25">
      <c r="BD212" s="7">
        <f t="shared" si="77"/>
        <v>4</v>
      </c>
      <c r="BE212" s="7">
        <f t="shared" si="78"/>
        <v>10</v>
      </c>
      <c r="BF212" s="7">
        <f t="shared" si="79"/>
        <v>2023</v>
      </c>
      <c r="BG212" s="36">
        <f t="shared" si="81"/>
        <v>45219</v>
      </c>
      <c r="BH212" s="33">
        <v>3.8920000000000003E-2</v>
      </c>
      <c r="BI212" s="35">
        <f t="shared" si="80"/>
        <v>4.5920000000000002E-2</v>
      </c>
    </row>
    <row r="213" spans="56:61" x14ac:dyDescent="0.25">
      <c r="BD213" s="7">
        <f t="shared" si="77"/>
        <v>4</v>
      </c>
      <c r="BE213" s="7">
        <f t="shared" si="78"/>
        <v>10</v>
      </c>
      <c r="BF213" s="7">
        <f t="shared" si="79"/>
        <v>2023</v>
      </c>
      <c r="BG213" s="36">
        <f t="shared" si="81"/>
        <v>45222</v>
      </c>
      <c r="BH213" s="33">
        <v>3.8920000000000003E-2</v>
      </c>
      <c r="BI213" s="35">
        <f t="shared" si="80"/>
        <v>4.5920000000000002E-2</v>
      </c>
    </row>
    <row r="214" spans="56:61" x14ac:dyDescent="0.25">
      <c r="BD214" s="7">
        <f t="shared" si="77"/>
        <v>4</v>
      </c>
      <c r="BE214" s="7">
        <f t="shared" si="78"/>
        <v>10</v>
      </c>
      <c r="BF214" s="7">
        <f t="shared" si="79"/>
        <v>2023</v>
      </c>
      <c r="BG214" s="36">
        <f t="shared" si="81"/>
        <v>45223</v>
      </c>
      <c r="BH214" s="33">
        <v>3.8920000000000003E-2</v>
      </c>
      <c r="BI214" s="35">
        <f t="shared" si="80"/>
        <v>4.5920000000000002E-2</v>
      </c>
    </row>
    <row r="215" spans="56:61" x14ac:dyDescent="0.25">
      <c r="BD215" s="7">
        <f t="shared" si="77"/>
        <v>4</v>
      </c>
      <c r="BE215" s="7">
        <f t="shared" si="78"/>
        <v>10</v>
      </c>
      <c r="BF215" s="7">
        <f t="shared" si="79"/>
        <v>2023</v>
      </c>
      <c r="BG215" s="36">
        <f t="shared" si="81"/>
        <v>45224</v>
      </c>
      <c r="BH215" s="33">
        <v>3.8920000000000003E-2</v>
      </c>
      <c r="BI215" s="35">
        <f t="shared" si="80"/>
        <v>4.5920000000000002E-2</v>
      </c>
    </row>
    <row r="216" spans="56:61" x14ac:dyDescent="0.25">
      <c r="BD216" s="7">
        <f t="shared" si="77"/>
        <v>4</v>
      </c>
      <c r="BE216" s="7">
        <f t="shared" si="78"/>
        <v>10</v>
      </c>
      <c r="BF216" s="7">
        <f t="shared" si="79"/>
        <v>2023</v>
      </c>
      <c r="BG216" s="36">
        <f t="shared" si="81"/>
        <v>45225</v>
      </c>
      <c r="BH216" s="33">
        <v>3.8920000000000003E-2</v>
      </c>
      <c r="BI216" s="35">
        <f t="shared" si="80"/>
        <v>4.5920000000000002E-2</v>
      </c>
    </row>
    <row r="217" spans="56:61" x14ac:dyDescent="0.25">
      <c r="BD217" s="7">
        <f t="shared" si="77"/>
        <v>4</v>
      </c>
      <c r="BE217" s="7">
        <f t="shared" si="78"/>
        <v>10</v>
      </c>
      <c r="BF217" s="7">
        <f t="shared" si="79"/>
        <v>2023</v>
      </c>
      <c r="BG217" s="36">
        <f t="shared" si="81"/>
        <v>45226</v>
      </c>
      <c r="BH217" s="33">
        <v>3.8920000000000003E-2</v>
      </c>
      <c r="BI217" s="35">
        <f t="shared" si="80"/>
        <v>4.5920000000000002E-2</v>
      </c>
    </row>
    <row r="218" spans="56:61" x14ac:dyDescent="0.25">
      <c r="BD218" s="7">
        <f t="shared" si="77"/>
        <v>4</v>
      </c>
      <c r="BE218" s="7">
        <f t="shared" si="78"/>
        <v>10</v>
      </c>
      <c r="BF218" s="7">
        <f t="shared" si="79"/>
        <v>2023</v>
      </c>
      <c r="BG218" s="36">
        <f t="shared" si="81"/>
        <v>45229</v>
      </c>
      <c r="BH218" s="33">
        <v>3.8920000000000003E-2</v>
      </c>
      <c r="BI218" s="35">
        <f t="shared" si="80"/>
        <v>4.5920000000000002E-2</v>
      </c>
    </row>
    <row r="219" spans="56:61" x14ac:dyDescent="0.25">
      <c r="BD219" s="7">
        <f t="shared" si="77"/>
        <v>4</v>
      </c>
      <c r="BE219" s="7">
        <f t="shared" si="78"/>
        <v>10</v>
      </c>
      <c r="BF219" s="7">
        <f t="shared" si="79"/>
        <v>2023</v>
      </c>
      <c r="BG219" s="36">
        <f t="shared" si="81"/>
        <v>45230</v>
      </c>
      <c r="BH219" s="33">
        <v>3.8920000000000003E-2</v>
      </c>
      <c r="BI219" s="35">
        <f t="shared" si="80"/>
        <v>4.5920000000000002E-2</v>
      </c>
    </row>
    <row r="220" spans="56:61" x14ac:dyDescent="0.25">
      <c r="BD220" s="7">
        <f t="shared" si="77"/>
        <v>4</v>
      </c>
      <c r="BE220" s="7">
        <f t="shared" si="78"/>
        <v>11</v>
      </c>
      <c r="BF220" s="7">
        <f t="shared" si="79"/>
        <v>2023</v>
      </c>
      <c r="BG220" s="36">
        <f t="shared" si="81"/>
        <v>45231</v>
      </c>
      <c r="BH220" s="33">
        <v>3.8920000000000003E-2</v>
      </c>
      <c r="BI220" s="35">
        <f t="shared" si="80"/>
        <v>4.5920000000000002E-2</v>
      </c>
    </row>
    <row r="221" spans="56:61" x14ac:dyDescent="0.25">
      <c r="BD221" s="7">
        <f t="shared" si="77"/>
        <v>4</v>
      </c>
      <c r="BE221" s="7">
        <f t="shared" si="78"/>
        <v>11</v>
      </c>
      <c r="BF221" s="7">
        <f t="shared" si="79"/>
        <v>2023</v>
      </c>
      <c r="BG221" s="36">
        <f t="shared" si="81"/>
        <v>45232</v>
      </c>
      <c r="BH221" s="33">
        <v>3.8920000000000003E-2</v>
      </c>
      <c r="BI221" s="35">
        <f t="shared" si="80"/>
        <v>4.5920000000000002E-2</v>
      </c>
    </row>
    <row r="222" spans="56:61" x14ac:dyDescent="0.25">
      <c r="BD222" s="7">
        <f t="shared" si="77"/>
        <v>4</v>
      </c>
      <c r="BE222" s="7">
        <f t="shared" si="78"/>
        <v>11</v>
      </c>
      <c r="BF222" s="7">
        <f t="shared" si="79"/>
        <v>2023</v>
      </c>
      <c r="BG222" s="36">
        <f t="shared" si="81"/>
        <v>45233</v>
      </c>
      <c r="BH222" s="33">
        <v>3.8920000000000003E-2</v>
      </c>
      <c r="BI222" s="35">
        <f t="shared" si="80"/>
        <v>4.5920000000000002E-2</v>
      </c>
    </row>
    <row r="223" spans="56:61" x14ac:dyDescent="0.25">
      <c r="BD223" s="7">
        <f t="shared" si="77"/>
        <v>4</v>
      </c>
      <c r="BE223" s="7">
        <f t="shared" si="78"/>
        <v>11</v>
      </c>
      <c r="BF223" s="7">
        <f t="shared" si="79"/>
        <v>2023</v>
      </c>
      <c r="BG223" s="36">
        <f t="shared" si="81"/>
        <v>45236</v>
      </c>
      <c r="BH223" s="33">
        <v>3.8920000000000003E-2</v>
      </c>
      <c r="BI223" s="35">
        <f t="shared" si="80"/>
        <v>4.5920000000000002E-2</v>
      </c>
    </row>
    <row r="224" spans="56:61" x14ac:dyDescent="0.25">
      <c r="BD224" s="7">
        <f t="shared" si="77"/>
        <v>4</v>
      </c>
      <c r="BE224" s="7">
        <f t="shared" si="78"/>
        <v>11</v>
      </c>
      <c r="BF224" s="7">
        <f t="shared" si="79"/>
        <v>2023</v>
      </c>
      <c r="BG224" s="36">
        <f t="shared" si="81"/>
        <v>45237</v>
      </c>
      <c r="BH224" s="33">
        <v>3.8920000000000003E-2</v>
      </c>
      <c r="BI224" s="35">
        <f t="shared" si="80"/>
        <v>4.5920000000000002E-2</v>
      </c>
    </row>
    <row r="225" spans="56:61" x14ac:dyDescent="0.25">
      <c r="BD225" s="7">
        <f t="shared" si="77"/>
        <v>4</v>
      </c>
      <c r="BE225" s="7">
        <f t="shared" si="78"/>
        <v>11</v>
      </c>
      <c r="BF225" s="7">
        <f t="shared" si="79"/>
        <v>2023</v>
      </c>
      <c r="BG225" s="36">
        <f t="shared" si="81"/>
        <v>45238</v>
      </c>
      <c r="BH225" s="33">
        <v>3.8920000000000003E-2</v>
      </c>
      <c r="BI225" s="35">
        <f t="shared" si="80"/>
        <v>4.5920000000000002E-2</v>
      </c>
    </row>
    <row r="226" spans="56:61" x14ac:dyDescent="0.25">
      <c r="BD226" s="7">
        <f t="shared" si="77"/>
        <v>4</v>
      </c>
      <c r="BE226" s="7">
        <f t="shared" si="78"/>
        <v>11</v>
      </c>
      <c r="BF226" s="7">
        <f t="shared" si="79"/>
        <v>2023</v>
      </c>
      <c r="BG226" s="36">
        <f t="shared" si="81"/>
        <v>45239</v>
      </c>
      <c r="BH226" s="33">
        <v>3.8920000000000003E-2</v>
      </c>
      <c r="BI226" s="35">
        <f t="shared" si="80"/>
        <v>4.5920000000000002E-2</v>
      </c>
    </row>
    <row r="227" spans="56:61" x14ac:dyDescent="0.25">
      <c r="BD227" s="7">
        <f t="shared" si="77"/>
        <v>4</v>
      </c>
      <c r="BE227" s="7">
        <f t="shared" si="78"/>
        <v>11</v>
      </c>
      <c r="BF227" s="7">
        <f t="shared" si="79"/>
        <v>2023</v>
      </c>
      <c r="BG227" s="36">
        <f t="shared" si="81"/>
        <v>45240</v>
      </c>
      <c r="BH227" s="33">
        <v>3.8920000000000003E-2</v>
      </c>
      <c r="BI227" s="35">
        <f t="shared" si="80"/>
        <v>4.5920000000000002E-2</v>
      </c>
    </row>
    <row r="228" spans="56:61" x14ac:dyDescent="0.25">
      <c r="BD228" s="7">
        <f t="shared" si="77"/>
        <v>4</v>
      </c>
      <c r="BE228" s="7">
        <f t="shared" si="78"/>
        <v>11</v>
      </c>
      <c r="BF228" s="7">
        <f t="shared" si="79"/>
        <v>2023</v>
      </c>
      <c r="BG228" s="36">
        <f t="shared" si="81"/>
        <v>45243</v>
      </c>
      <c r="BH228" s="33">
        <v>3.8920000000000003E-2</v>
      </c>
      <c r="BI228" s="35">
        <f t="shared" si="80"/>
        <v>4.5920000000000002E-2</v>
      </c>
    </row>
    <row r="229" spans="56:61" x14ac:dyDescent="0.25">
      <c r="BD229" s="7">
        <f t="shared" si="77"/>
        <v>4</v>
      </c>
      <c r="BE229" s="7">
        <f t="shared" si="78"/>
        <v>11</v>
      </c>
      <c r="BF229" s="7">
        <f t="shared" si="79"/>
        <v>2023</v>
      </c>
      <c r="BG229" s="36">
        <f t="shared" si="81"/>
        <v>45244</v>
      </c>
      <c r="BH229" s="33">
        <v>3.8920000000000003E-2</v>
      </c>
      <c r="BI229" s="35">
        <f t="shared" si="80"/>
        <v>4.5920000000000002E-2</v>
      </c>
    </row>
    <row r="230" spans="56:61" x14ac:dyDescent="0.25">
      <c r="BD230" s="7">
        <f t="shared" si="77"/>
        <v>4</v>
      </c>
      <c r="BE230" s="7">
        <f t="shared" si="78"/>
        <v>11</v>
      </c>
      <c r="BF230" s="7">
        <f t="shared" si="79"/>
        <v>2023</v>
      </c>
      <c r="BG230" s="36">
        <f t="shared" si="81"/>
        <v>45245</v>
      </c>
      <c r="BH230" s="33">
        <v>3.8920000000000003E-2</v>
      </c>
      <c r="BI230" s="35">
        <f t="shared" si="80"/>
        <v>4.5920000000000002E-2</v>
      </c>
    </row>
    <row r="231" spans="56:61" x14ac:dyDescent="0.25">
      <c r="BD231" s="7">
        <f t="shared" si="77"/>
        <v>4</v>
      </c>
      <c r="BE231" s="7">
        <f t="shared" si="78"/>
        <v>11</v>
      </c>
      <c r="BF231" s="7">
        <f t="shared" si="79"/>
        <v>2023</v>
      </c>
      <c r="BG231" s="36">
        <f t="shared" si="81"/>
        <v>45246</v>
      </c>
      <c r="BH231" s="33">
        <v>3.8920000000000003E-2</v>
      </c>
      <c r="BI231" s="35">
        <f t="shared" si="80"/>
        <v>4.5920000000000002E-2</v>
      </c>
    </row>
    <row r="232" spans="56:61" x14ac:dyDescent="0.25">
      <c r="BD232" s="7">
        <f t="shared" si="77"/>
        <v>4</v>
      </c>
      <c r="BE232" s="7">
        <f t="shared" si="78"/>
        <v>11</v>
      </c>
      <c r="BF232" s="7">
        <f t="shared" si="79"/>
        <v>2023</v>
      </c>
      <c r="BG232" s="36">
        <f t="shared" si="81"/>
        <v>45247</v>
      </c>
      <c r="BH232" s="33">
        <v>3.8920000000000003E-2</v>
      </c>
      <c r="BI232" s="35">
        <f t="shared" si="80"/>
        <v>4.5920000000000002E-2</v>
      </c>
    </row>
    <row r="233" spans="56:61" x14ac:dyDescent="0.25">
      <c r="BD233" s="7">
        <f t="shared" si="77"/>
        <v>4</v>
      </c>
      <c r="BE233" s="7">
        <f t="shared" si="78"/>
        <v>11</v>
      </c>
      <c r="BF233" s="7">
        <f t="shared" si="79"/>
        <v>2023</v>
      </c>
      <c r="BG233" s="36">
        <f t="shared" si="81"/>
        <v>45250</v>
      </c>
      <c r="BH233" s="33">
        <v>3.8920000000000003E-2</v>
      </c>
      <c r="BI233" s="35">
        <f t="shared" si="80"/>
        <v>4.5920000000000002E-2</v>
      </c>
    </row>
    <row r="234" spans="56:61" x14ac:dyDescent="0.25">
      <c r="BD234" s="7">
        <f t="shared" si="77"/>
        <v>4</v>
      </c>
      <c r="BE234" s="7">
        <f t="shared" si="78"/>
        <v>11</v>
      </c>
      <c r="BF234" s="7">
        <f t="shared" si="79"/>
        <v>2023</v>
      </c>
      <c r="BG234" s="36">
        <f t="shared" si="81"/>
        <v>45251</v>
      </c>
      <c r="BH234" s="33">
        <v>3.8920000000000003E-2</v>
      </c>
      <c r="BI234" s="35">
        <f t="shared" si="80"/>
        <v>4.5920000000000002E-2</v>
      </c>
    </row>
    <row r="235" spans="56:61" x14ac:dyDescent="0.25">
      <c r="BD235" s="7">
        <f t="shared" si="77"/>
        <v>4</v>
      </c>
      <c r="BE235" s="7">
        <f t="shared" si="78"/>
        <v>11</v>
      </c>
      <c r="BF235" s="7">
        <f t="shared" si="79"/>
        <v>2023</v>
      </c>
      <c r="BG235" s="36">
        <f t="shared" si="81"/>
        <v>45252</v>
      </c>
      <c r="BH235" s="33">
        <v>3.8920000000000003E-2</v>
      </c>
      <c r="BI235" s="35">
        <f t="shared" si="80"/>
        <v>4.5920000000000002E-2</v>
      </c>
    </row>
    <row r="236" spans="56:61" x14ac:dyDescent="0.25">
      <c r="BD236" s="7">
        <f t="shared" si="77"/>
        <v>4</v>
      </c>
      <c r="BE236" s="7">
        <f t="shared" si="78"/>
        <v>11</v>
      </c>
      <c r="BF236" s="7">
        <f t="shared" si="79"/>
        <v>2023</v>
      </c>
      <c r="BG236" s="36">
        <f t="shared" si="81"/>
        <v>45253</v>
      </c>
      <c r="BH236" s="33">
        <v>3.8920000000000003E-2</v>
      </c>
      <c r="BI236" s="35">
        <f t="shared" si="80"/>
        <v>4.5920000000000002E-2</v>
      </c>
    </row>
    <row r="237" spans="56:61" x14ac:dyDescent="0.25">
      <c r="BD237" s="7">
        <f t="shared" si="77"/>
        <v>4</v>
      </c>
      <c r="BE237" s="7">
        <f t="shared" si="78"/>
        <v>11</v>
      </c>
      <c r="BF237" s="7">
        <f t="shared" si="79"/>
        <v>2023</v>
      </c>
      <c r="BG237" s="36">
        <f t="shared" si="81"/>
        <v>45254</v>
      </c>
      <c r="BH237" s="33">
        <v>3.8920000000000003E-2</v>
      </c>
      <c r="BI237" s="35">
        <f t="shared" si="80"/>
        <v>4.5920000000000002E-2</v>
      </c>
    </row>
    <row r="238" spans="56:61" x14ac:dyDescent="0.25">
      <c r="BD238" s="7">
        <f t="shared" si="77"/>
        <v>4</v>
      </c>
      <c r="BE238" s="7">
        <f t="shared" si="78"/>
        <v>11</v>
      </c>
      <c r="BF238" s="7">
        <f t="shared" si="79"/>
        <v>2023</v>
      </c>
      <c r="BG238" s="36">
        <f t="shared" si="81"/>
        <v>45257</v>
      </c>
      <c r="BH238" s="33">
        <v>3.8920000000000003E-2</v>
      </c>
      <c r="BI238" s="35">
        <f t="shared" si="80"/>
        <v>4.5920000000000002E-2</v>
      </c>
    </row>
    <row r="239" spans="56:61" x14ac:dyDescent="0.25">
      <c r="BD239" s="7">
        <f t="shared" si="77"/>
        <v>4</v>
      </c>
      <c r="BE239" s="7">
        <f t="shared" si="78"/>
        <v>11</v>
      </c>
      <c r="BF239" s="7">
        <f t="shared" si="79"/>
        <v>2023</v>
      </c>
      <c r="BG239" s="36">
        <f t="shared" si="81"/>
        <v>45258</v>
      </c>
      <c r="BH239" s="33">
        <v>3.8920000000000003E-2</v>
      </c>
      <c r="BI239" s="35">
        <f t="shared" si="80"/>
        <v>4.5920000000000002E-2</v>
      </c>
    </row>
    <row r="240" spans="56:61" x14ac:dyDescent="0.25">
      <c r="BD240" s="7">
        <f t="shared" si="77"/>
        <v>4</v>
      </c>
      <c r="BE240" s="7">
        <f t="shared" si="78"/>
        <v>11</v>
      </c>
      <c r="BF240" s="7">
        <f t="shared" si="79"/>
        <v>2023</v>
      </c>
      <c r="BG240" s="36">
        <f t="shared" si="81"/>
        <v>45259</v>
      </c>
      <c r="BH240" s="33">
        <v>3.8920000000000003E-2</v>
      </c>
      <c r="BI240" s="35">
        <f t="shared" si="80"/>
        <v>4.5920000000000002E-2</v>
      </c>
    </row>
    <row r="241" spans="56:61" x14ac:dyDescent="0.25">
      <c r="BD241" s="7">
        <f t="shared" si="77"/>
        <v>4</v>
      </c>
      <c r="BE241" s="7">
        <f t="shared" si="78"/>
        <v>11</v>
      </c>
      <c r="BF241" s="7">
        <f t="shared" si="79"/>
        <v>2023</v>
      </c>
      <c r="BG241" s="36">
        <f t="shared" si="81"/>
        <v>45260</v>
      </c>
      <c r="BH241" s="33">
        <v>3.8920000000000003E-2</v>
      </c>
      <c r="BI241" s="35">
        <f t="shared" si="80"/>
        <v>4.5920000000000002E-2</v>
      </c>
    </row>
    <row r="242" spans="56:61" x14ac:dyDescent="0.25">
      <c r="BD242" s="7">
        <f t="shared" si="77"/>
        <v>4</v>
      </c>
      <c r="BE242" s="7">
        <f t="shared" si="78"/>
        <v>12</v>
      </c>
      <c r="BF242" s="7">
        <f t="shared" si="79"/>
        <v>2023</v>
      </c>
      <c r="BG242" s="36">
        <f t="shared" si="81"/>
        <v>45261</v>
      </c>
      <c r="BH242" s="33">
        <v>3.8920000000000003E-2</v>
      </c>
      <c r="BI242" s="35">
        <f t="shared" si="80"/>
        <v>4.5920000000000002E-2</v>
      </c>
    </row>
    <row r="243" spans="56:61" x14ac:dyDescent="0.25">
      <c r="BD243" s="7">
        <f t="shared" si="77"/>
        <v>4</v>
      </c>
      <c r="BE243" s="7">
        <f t="shared" si="78"/>
        <v>12</v>
      </c>
      <c r="BF243" s="7">
        <f t="shared" si="79"/>
        <v>2023</v>
      </c>
      <c r="BG243" s="36">
        <f t="shared" si="81"/>
        <v>45264</v>
      </c>
      <c r="BH243" s="33">
        <v>3.8920000000000003E-2</v>
      </c>
      <c r="BI243" s="35">
        <f t="shared" si="80"/>
        <v>4.5920000000000002E-2</v>
      </c>
    </row>
    <row r="244" spans="56:61" x14ac:dyDescent="0.25">
      <c r="BD244" s="7">
        <f t="shared" si="77"/>
        <v>4</v>
      </c>
      <c r="BE244" s="7">
        <f t="shared" si="78"/>
        <v>12</v>
      </c>
      <c r="BF244" s="7">
        <f t="shared" si="79"/>
        <v>2023</v>
      </c>
      <c r="BG244" s="36">
        <f t="shared" si="81"/>
        <v>45265</v>
      </c>
      <c r="BH244" s="33">
        <v>3.8920000000000003E-2</v>
      </c>
      <c r="BI244" s="35">
        <f t="shared" si="80"/>
        <v>4.5920000000000002E-2</v>
      </c>
    </row>
    <row r="245" spans="56:61" x14ac:dyDescent="0.25">
      <c r="BD245" s="7">
        <f t="shared" si="77"/>
        <v>4</v>
      </c>
      <c r="BE245" s="7">
        <f t="shared" si="78"/>
        <v>12</v>
      </c>
      <c r="BF245" s="7">
        <f t="shared" si="79"/>
        <v>2023</v>
      </c>
      <c r="BG245" s="36">
        <f t="shared" si="81"/>
        <v>45266</v>
      </c>
      <c r="BH245" s="33">
        <v>3.8920000000000003E-2</v>
      </c>
      <c r="BI245" s="35">
        <f t="shared" si="80"/>
        <v>4.5920000000000002E-2</v>
      </c>
    </row>
    <row r="246" spans="56:61" x14ac:dyDescent="0.25">
      <c r="BD246" s="7">
        <f t="shared" si="77"/>
        <v>4</v>
      </c>
      <c r="BE246" s="7">
        <f t="shared" si="78"/>
        <v>12</v>
      </c>
      <c r="BF246" s="7">
        <f t="shared" si="79"/>
        <v>2023</v>
      </c>
      <c r="BG246" s="36">
        <f t="shared" si="81"/>
        <v>45267</v>
      </c>
      <c r="BH246" s="33">
        <v>3.8920000000000003E-2</v>
      </c>
      <c r="BI246" s="35">
        <f t="shared" si="80"/>
        <v>4.5920000000000002E-2</v>
      </c>
    </row>
    <row r="247" spans="56:61" x14ac:dyDescent="0.25">
      <c r="BD247" s="7">
        <f t="shared" si="77"/>
        <v>4</v>
      </c>
      <c r="BE247" s="7">
        <f t="shared" si="78"/>
        <v>12</v>
      </c>
      <c r="BF247" s="7">
        <f t="shared" si="79"/>
        <v>2023</v>
      </c>
      <c r="BG247" s="36">
        <f t="shared" si="81"/>
        <v>45268</v>
      </c>
      <c r="BH247" s="33">
        <v>3.8920000000000003E-2</v>
      </c>
      <c r="BI247" s="35">
        <f t="shared" si="80"/>
        <v>4.5920000000000002E-2</v>
      </c>
    </row>
    <row r="248" spans="56:61" x14ac:dyDescent="0.25">
      <c r="BD248" s="7">
        <f t="shared" si="77"/>
        <v>4</v>
      </c>
      <c r="BE248" s="7">
        <f t="shared" si="78"/>
        <v>12</v>
      </c>
      <c r="BF248" s="7">
        <f t="shared" si="79"/>
        <v>2023</v>
      </c>
      <c r="BG248" s="36">
        <f t="shared" si="81"/>
        <v>45271</v>
      </c>
      <c r="BH248" s="33">
        <v>3.8920000000000003E-2</v>
      </c>
      <c r="BI248" s="35">
        <f t="shared" si="80"/>
        <v>4.5920000000000002E-2</v>
      </c>
    </row>
    <row r="249" spans="56:61" x14ac:dyDescent="0.25">
      <c r="BD249" s="7">
        <f t="shared" si="77"/>
        <v>4</v>
      </c>
      <c r="BE249" s="7">
        <f t="shared" si="78"/>
        <v>12</v>
      </c>
      <c r="BF249" s="7">
        <f t="shared" si="79"/>
        <v>2023</v>
      </c>
      <c r="BG249" s="36">
        <f t="shared" si="81"/>
        <v>45272</v>
      </c>
      <c r="BH249" s="33">
        <v>3.8920000000000003E-2</v>
      </c>
      <c r="BI249" s="35">
        <f t="shared" si="80"/>
        <v>4.5920000000000002E-2</v>
      </c>
    </row>
    <row r="250" spans="56:61" x14ac:dyDescent="0.25">
      <c r="BD250" s="7">
        <f t="shared" si="77"/>
        <v>4</v>
      </c>
      <c r="BE250" s="7">
        <f t="shared" si="78"/>
        <v>12</v>
      </c>
      <c r="BF250" s="7">
        <f t="shared" si="79"/>
        <v>2023</v>
      </c>
      <c r="BG250" s="36">
        <f t="shared" si="81"/>
        <v>45273</v>
      </c>
      <c r="BH250" s="33">
        <v>3.8920000000000003E-2</v>
      </c>
      <c r="BI250" s="35">
        <f t="shared" si="80"/>
        <v>4.5920000000000002E-2</v>
      </c>
    </row>
    <row r="251" spans="56:61" x14ac:dyDescent="0.25">
      <c r="BD251" s="7">
        <f t="shared" si="77"/>
        <v>4</v>
      </c>
      <c r="BE251" s="7">
        <f t="shared" si="78"/>
        <v>12</v>
      </c>
      <c r="BF251" s="7">
        <f t="shared" si="79"/>
        <v>2023</v>
      </c>
      <c r="BG251" s="36">
        <f t="shared" si="81"/>
        <v>45274</v>
      </c>
      <c r="BH251" s="33">
        <v>4.1420000000000005E-2</v>
      </c>
      <c r="BI251" s="35">
        <f t="shared" si="80"/>
        <v>4.8420000000000005E-2</v>
      </c>
    </row>
    <row r="252" spans="56:61" x14ac:dyDescent="0.25">
      <c r="BD252" s="7">
        <f t="shared" si="77"/>
        <v>4</v>
      </c>
      <c r="BE252" s="7">
        <f t="shared" si="78"/>
        <v>12</v>
      </c>
      <c r="BF252" s="7">
        <f t="shared" si="79"/>
        <v>2023</v>
      </c>
      <c r="BG252" s="36">
        <f t="shared" si="81"/>
        <v>45275</v>
      </c>
      <c r="BH252" s="33">
        <v>4.1420000000000005E-2</v>
      </c>
      <c r="BI252" s="35">
        <f t="shared" si="80"/>
        <v>4.8420000000000005E-2</v>
      </c>
    </row>
    <row r="253" spans="56:61" x14ac:dyDescent="0.25">
      <c r="BD253" s="7">
        <f t="shared" si="77"/>
        <v>4</v>
      </c>
      <c r="BE253" s="7">
        <f t="shared" si="78"/>
        <v>12</v>
      </c>
      <c r="BF253" s="7">
        <f t="shared" si="79"/>
        <v>2023</v>
      </c>
      <c r="BG253" s="36">
        <f t="shared" si="81"/>
        <v>45278</v>
      </c>
      <c r="BH253" s="33">
        <v>4.1420000000000005E-2</v>
      </c>
      <c r="BI253" s="35">
        <f t="shared" si="80"/>
        <v>4.8420000000000005E-2</v>
      </c>
    </row>
    <row r="254" spans="56:61" x14ac:dyDescent="0.25">
      <c r="BD254" s="7">
        <f t="shared" si="77"/>
        <v>4</v>
      </c>
      <c r="BE254" s="7">
        <f t="shared" si="78"/>
        <v>12</v>
      </c>
      <c r="BF254" s="7">
        <f t="shared" si="79"/>
        <v>2023</v>
      </c>
      <c r="BG254" s="36">
        <f t="shared" si="81"/>
        <v>45279</v>
      </c>
      <c r="BH254" s="33">
        <v>4.1420000000000005E-2</v>
      </c>
      <c r="BI254" s="35">
        <f t="shared" si="80"/>
        <v>4.8420000000000005E-2</v>
      </c>
    </row>
    <row r="255" spans="56:61" x14ac:dyDescent="0.25">
      <c r="BD255" s="7">
        <f t="shared" si="77"/>
        <v>4</v>
      </c>
      <c r="BE255" s="7">
        <f t="shared" si="78"/>
        <v>12</v>
      </c>
      <c r="BF255" s="7">
        <f t="shared" si="79"/>
        <v>2023</v>
      </c>
      <c r="BG255" s="36">
        <f t="shared" si="81"/>
        <v>45280</v>
      </c>
      <c r="BH255" s="33">
        <v>4.1420000000000005E-2</v>
      </c>
      <c r="BI255" s="35">
        <f t="shared" si="80"/>
        <v>4.8420000000000005E-2</v>
      </c>
    </row>
    <row r="256" spans="56:61" x14ac:dyDescent="0.25">
      <c r="BD256" s="7">
        <f t="shared" si="77"/>
        <v>4</v>
      </c>
      <c r="BE256" s="7">
        <f t="shared" si="78"/>
        <v>12</v>
      </c>
      <c r="BF256" s="7">
        <f t="shared" si="79"/>
        <v>2023</v>
      </c>
      <c r="BG256" s="36">
        <f t="shared" si="81"/>
        <v>45281</v>
      </c>
      <c r="BH256" s="33">
        <v>4.1420000000000005E-2</v>
      </c>
      <c r="BI256" s="35">
        <f t="shared" si="80"/>
        <v>4.8420000000000005E-2</v>
      </c>
    </row>
    <row r="257" spans="56:61" x14ac:dyDescent="0.25">
      <c r="BD257" s="7">
        <f t="shared" si="77"/>
        <v>4</v>
      </c>
      <c r="BE257" s="7">
        <f t="shared" si="78"/>
        <v>12</v>
      </c>
      <c r="BF257" s="7">
        <f t="shared" si="79"/>
        <v>2023</v>
      </c>
      <c r="BG257" s="36">
        <f t="shared" si="81"/>
        <v>45282</v>
      </c>
      <c r="BH257" s="33">
        <v>4.1420000000000005E-2</v>
      </c>
      <c r="BI257" s="35">
        <f t="shared" si="80"/>
        <v>4.8420000000000005E-2</v>
      </c>
    </row>
    <row r="258" spans="56:61" x14ac:dyDescent="0.25">
      <c r="BD258" s="7">
        <f t="shared" si="77"/>
        <v>4</v>
      </c>
      <c r="BE258" s="7">
        <f t="shared" si="78"/>
        <v>12</v>
      </c>
      <c r="BF258" s="7">
        <f t="shared" si="79"/>
        <v>2023</v>
      </c>
      <c r="BG258" s="36">
        <f t="shared" si="81"/>
        <v>45285</v>
      </c>
      <c r="BH258" s="33">
        <v>4.1420000000000005E-2</v>
      </c>
      <c r="BI258" s="35">
        <f t="shared" si="80"/>
        <v>4.8420000000000005E-2</v>
      </c>
    </row>
    <row r="259" spans="56:61" x14ac:dyDescent="0.25">
      <c r="BD259" s="7">
        <f t="shared" ref="BD259:BD322" si="82">ROUNDUP(MONTH(BG259)/3,0)</f>
        <v>4</v>
      </c>
      <c r="BE259" s="7">
        <f t="shared" ref="BE259:BE322" si="83">MONTH(BG259)</f>
        <v>12</v>
      </c>
      <c r="BF259" s="7">
        <f t="shared" ref="BF259:BF322" si="84">YEAR(BG259)</f>
        <v>2023</v>
      </c>
      <c r="BG259" s="36">
        <f t="shared" si="81"/>
        <v>45286</v>
      </c>
      <c r="BH259" s="33">
        <v>4.1420000000000005E-2</v>
      </c>
      <c r="BI259" s="35">
        <f t="shared" ref="BI259:BI322" si="85">BH259+0.7%</f>
        <v>4.8420000000000005E-2</v>
      </c>
    </row>
    <row r="260" spans="56:61" x14ac:dyDescent="0.25">
      <c r="BD260" s="7">
        <f t="shared" si="82"/>
        <v>4</v>
      </c>
      <c r="BE260" s="7">
        <f t="shared" si="83"/>
        <v>12</v>
      </c>
      <c r="BF260" s="7">
        <f t="shared" si="84"/>
        <v>2023</v>
      </c>
      <c r="BG260" s="36">
        <f t="shared" si="81"/>
        <v>45287</v>
      </c>
      <c r="BH260" s="33">
        <v>4.1420000000000005E-2</v>
      </c>
      <c r="BI260" s="35">
        <f t="shared" si="85"/>
        <v>4.8420000000000005E-2</v>
      </c>
    </row>
    <row r="261" spans="56:61" x14ac:dyDescent="0.25">
      <c r="BD261" s="7">
        <f t="shared" si="82"/>
        <v>4</v>
      </c>
      <c r="BE261" s="7">
        <f t="shared" si="83"/>
        <v>12</v>
      </c>
      <c r="BF261" s="7">
        <f t="shared" si="84"/>
        <v>2023</v>
      </c>
      <c r="BG261" s="36">
        <f t="shared" si="81"/>
        <v>45288</v>
      </c>
      <c r="BH261" s="33">
        <v>4.1420000000000005E-2</v>
      </c>
      <c r="BI261" s="35">
        <f t="shared" si="85"/>
        <v>4.8420000000000005E-2</v>
      </c>
    </row>
    <row r="262" spans="56:61" x14ac:dyDescent="0.25">
      <c r="BD262" s="7">
        <f t="shared" si="82"/>
        <v>4</v>
      </c>
      <c r="BE262" s="7">
        <f t="shared" si="83"/>
        <v>12</v>
      </c>
      <c r="BF262" s="7">
        <f t="shared" si="84"/>
        <v>2023</v>
      </c>
      <c r="BG262" s="36">
        <f t="shared" si="81"/>
        <v>45289</v>
      </c>
      <c r="BH262" s="33">
        <v>4.1420000000000005E-2</v>
      </c>
      <c r="BI262" s="35">
        <f t="shared" si="85"/>
        <v>4.8420000000000005E-2</v>
      </c>
    </row>
    <row r="263" spans="56:61" x14ac:dyDescent="0.25">
      <c r="BD263" s="7">
        <f t="shared" si="82"/>
        <v>1</v>
      </c>
      <c r="BE263" s="7">
        <f t="shared" si="83"/>
        <v>1</v>
      </c>
      <c r="BF263" s="7">
        <f t="shared" si="84"/>
        <v>2024</v>
      </c>
      <c r="BG263" s="36">
        <f t="shared" si="81"/>
        <v>45292</v>
      </c>
      <c r="BH263" s="33">
        <v>4.1420000000000005E-2</v>
      </c>
      <c r="BI263" s="35">
        <f t="shared" si="85"/>
        <v>4.8420000000000005E-2</v>
      </c>
    </row>
    <row r="264" spans="56:61" x14ac:dyDescent="0.25">
      <c r="BD264" s="7">
        <f t="shared" si="82"/>
        <v>1</v>
      </c>
      <c r="BE264" s="7">
        <f t="shared" si="83"/>
        <v>1</v>
      </c>
      <c r="BF264" s="7">
        <f t="shared" si="84"/>
        <v>2024</v>
      </c>
      <c r="BG264" s="36">
        <f t="shared" si="81"/>
        <v>45293</v>
      </c>
      <c r="BH264" s="33">
        <v>4.1420000000000005E-2</v>
      </c>
      <c r="BI264" s="35">
        <f t="shared" si="85"/>
        <v>4.8420000000000005E-2</v>
      </c>
    </row>
    <row r="265" spans="56:61" x14ac:dyDescent="0.25">
      <c r="BD265" s="7">
        <f t="shared" si="82"/>
        <v>1</v>
      </c>
      <c r="BE265" s="7">
        <f t="shared" si="83"/>
        <v>1</v>
      </c>
      <c r="BF265" s="7">
        <f t="shared" si="84"/>
        <v>2024</v>
      </c>
      <c r="BG265" s="36">
        <f t="shared" si="81"/>
        <v>45294</v>
      </c>
      <c r="BH265" s="33">
        <v>4.1420000000000005E-2</v>
      </c>
      <c r="BI265" s="35">
        <f t="shared" si="85"/>
        <v>4.8420000000000005E-2</v>
      </c>
    </row>
    <row r="266" spans="56:61" x14ac:dyDescent="0.25">
      <c r="BD266" s="7">
        <f t="shared" si="82"/>
        <v>1</v>
      </c>
      <c r="BE266" s="7">
        <f t="shared" si="83"/>
        <v>1</v>
      </c>
      <c r="BF266" s="7">
        <f t="shared" si="84"/>
        <v>2024</v>
      </c>
      <c r="BG266" s="36">
        <f t="shared" si="81"/>
        <v>45295</v>
      </c>
      <c r="BH266" s="33">
        <v>4.1420000000000005E-2</v>
      </c>
      <c r="BI266" s="35">
        <f t="shared" si="85"/>
        <v>4.8420000000000005E-2</v>
      </c>
    </row>
    <row r="267" spans="56:61" x14ac:dyDescent="0.25">
      <c r="BD267" s="7">
        <f t="shared" si="82"/>
        <v>1</v>
      </c>
      <c r="BE267" s="7">
        <f t="shared" si="83"/>
        <v>1</v>
      </c>
      <c r="BF267" s="7">
        <f t="shared" si="84"/>
        <v>2024</v>
      </c>
      <c r="BG267" s="36">
        <f t="shared" ref="BG267:BG330" si="86">WORKDAY(BG266,1)</f>
        <v>45296</v>
      </c>
      <c r="BH267" s="33">
        <v>4.1420000000000005E-2</v>
      </c>
      <c r="BI267" s="35">
        <f t="shared" si="85"/>
        <v>4.8420000000000005E-2</v>
      </c>
    </row>
    <row r="268" spans="56:61" x14ac:dyDescent="0.25">
      <c r="BD268" s="7">
        <f t="shared" si="82"/>
        <v>1</v>
      </c>
      <c r="BE268" s="7">
        <f t="shared" si="83"/>
        <v>1</v>
      </c>
      <c r="BF268" s="7">
        <f t="shared" si="84"/>
        <v>2024</v>
      </c>
      <c r="BG268" s="36">
        <f t="shared" si="86"/>
        <v>45299</v>
      </c>
      <c r="BH268" s="33">
        <v>4.1420000000000005E-2</v>
      </c>
      <c r="BI268" s="35">
        <f t="shared" si="85"/>
        <v>4.8420000000000005E-2</v>
      </c>
    </row>
    <row r="269" spans="56:61" x14ac:dyDescent="0.25">
      <c r="BD269" s="7">
        <f t="shared" si="82"/>
        <v>1</v>
      </c>
      <c r="BE269" s="7">
        <f t="shared" si="83"/>
        <v>1</v>
      </c>
      <c r="BF269" s="7">
        <f t="shared" si="84"/>
        <v>2024</v>
      </c>
      <c r="BG269" s="36">
        <f t="shared" si="86"/>
        <v>45300</v>
      </c>
      <c r="BH269" s="33">
        <v>4.1420000000000005E-2</v>
      </c>
      <c r="BI269" s="35">
        <f t="shared" si="85"/>
        <v>4.8420000000000005E-2</v>
      </c>
    </row>
    <row r="270" spans="56:61" x14ac:dyDescent="0.25">
      <c r="BD270" s="7">
        <f t="shared" si="82"/>
        <v>1</v>
      </c>
      <c r="BE270" s="7">
        <f t="shared" si="83"/>
        <v>1</v>
      </c>
      <c r="BF270" s="7">
        <f t="shared" si="84"/>
        <v>2024</v>
      </c>
      <c r="BG270" s="36">
        <f t="shared" si="86"/>
        <v>45301</v>
      </c>
      <c r="BH270" s="33">
        <v>4.1420000000000005E-2</v>
      </c>
      <c r="BI270" s="35">
        <f t="shared" si="85"/>
        <v>4.8420000000000005E-2</v>
      </c>
    </row>
    <row r="271" spans="56:61" x14ac:dyDescent="0.25">
      <c r="BD271" s="7">
        <f t="shared" si="82"/>
        <v>1</v>
      </c>
      <c r="BE271" s="7">
        <f t="shared" si="83"/>
        <v>1</v>
      </c>
      <c r="BF271" s="7">
        <f t="shared" si="84"/>
        <v>2024</v>
      </c>
      <c r="BG271" s="36">
        <f t="shared" si="86"/>
        <v>45302</v>
      </c>
      <c r="BH271" s="33">
        <v>4.1420000000000005E-2</v>
      </c>
      <c r="BI271" s="35">
        <f t="shared" si="85"/>
        <v>4.8420000000000005E-2</v>
      </c>
    </row>
    <row r="272" spans="56:61" x14ac:dyDescent="0.25">
      <c r="BD272" s="7">
        <f t="shared" si="82"/>
        <v>1</v>
      </c>
      <c r="BE272" s="7">
        <f t="shared" si="83"/>
        <v>1</v>
      </c>
      <c r="BF272" s="7">
        <f t="shared" si="84"/>
        <v>2024</v>
      </c>
      <c r="BG272" s="36">
        <f t="shared" si="86"/>
        <v>45303</v>
      </c>
      <c r="BH272" s="33">
        <v>4.1420000000000005E-2</v>
      </c>
      <c r="BI272" s="35">
        <f t="shared" si="85"/>
        <v>4.8420000000000005E-2</v>
      </c>
    </row>
    <row r="273" spans="56:61" x14ac:dyDescent="0.25">
      <c r="BD273" s="7">
        <f t="shared" si="82"/>
        <v>1</v>
      </c>
      <c r="BE273" s="7">
        <f t="shared" si="83"/>
        <v>1</v>
      </c>
      <c r="BF273" s="7">
        <f t="shared" si="84"/>
        <v>2024</v>
      </c>
      <c r="BG273" s="36">
        <f t="shared" si="86"/>
        <v>45306</v>
      </c>
      <c r="BH273" s="33">
        <v>4.1420000000000005E-2</v>
      </c>
      <c r="BI273" s="35">
        <f t="shared" si="85"/>
        <v>4.8420000000000005E-2</v>
      </c>
    </row>
    <row r="274" spans="56:61" x14ac:dyDescent="0.25">
      <c r="BD274" s="7">
        <f t="shared" si="82"/>
        <v>1</v>
      </c>
      <c r="BE274" s="7">
        <f t="shared" si="83"/>
        <v>1</v>
      </c>
      <c r="BF274" s="7">
        <f t="shared" si="84"/>
        <v>2024</v>
      </c>
      <c r="BG274" s="36">
        <f t="shared" si="86"/>
        <v>45307</v>
      </c>
      <c r="BH274" s="33">
        <v>4.1420000000000005E-2</v>
      </c>
      <c r="BI274" s="35">
        <f t="shared" si="85"/>
        <v>4.8420000000000005E-2</v>
      </c>
    </row>
    <row r="275" spans="56:61" x14ac:dyDescent="0.25">
      <c r="BD275" s="7">
        <f t="shared" si="82"/>
        <v>1</v>
      </c>
      <c r="BE275" s="7">
        <f t="shared" si="83"/>
        <v>1</v>
      </c>
      <c r="BF275" s="7">
        <f t="shared" si="84"/>
        <v>2024</v>
      </c>
      <c r="BG275" s="36">
        <f t="shared" si="86"/>
        <v>45308</v>
      </c>
      <c r="BH275" s="33">
        <v>4.1420000000000005E-2</v>
      </c>
      <c r="BI275" s="35">
        <f t="shared" si="85"/>
        <v>4.8420000000000005E-2</v>
      </c>
    </row>
    <row r="276" spans="56:61" x14ac:dyDescent="0.25">
      <c r="BD276" s="7">
        <f t="shared" si="82"/>
        <v>1</v>
      </c>
      <c r="BE276" s="7">
        <f t="shared" si="83"/>
        <v>1</v>
      </c>
      <c r="BF276" s="7">
        <f t="shared" si="84"/>
        <v>2024</v>
      </c>
      <c r="BG276" s="36">
        <f t="shared" si="86"/>
        <v>45309</v>
      </c>
      <c r="BH276" s="33">
        <v>4.1420000000000005E-2</v>
      </c>
      <c r="BI276" s="35">
        <f t="shared" si="85"/>
        <v>4.8420000000000005E-2</v>
      </c>
    </row>
    <row r="277" spans="56:61" x14ac:dyDescent="0.25">
      <c r="BD277" s="7">
        <f t="shared" si="82"/>
        <v>1</v>
      </c>
      <c r="BE277" s="7">
        <f t="shared" si="83"/>
        <v>1</v>
      </c>
      <c r="BF277" s="7">
        <f t="shared" si="84"/>
        <v>2024</v>
      </c>
      <c r="BG277" s="36">
        <f t="shared" si="86"/>
        <v>45310</v>
      </c>
      <c r="BH277" s="33">
        <v>4.1420000000000005E-2</v>
      </c>
      <c r="BI277" s="35">
        <f t="shared" si="85"/>
        <v>4.8420000000000005E-2</v>
      </c>
    </row>
    <row r="278" spans="56:61" x14ac:dyDescent="0.25">
      <c r="BD278" s="7">
        <f t="shared" si="82"/>
        <v>1</v>
      </c>
      <c r="BE278" s="7">
        <f t="shared" si="83"/>
        <v>1</v>
      </c>
      <c r="BF278" s="7">
        <f t="shared" si="84"/>
        <v>2024</v>
      </c>
      <c r="BG278" s="36">
        <f t="shared" si="86"/>
        <v>45313</v>
      </c>
      <c r="BH278" s="33">
        <v>4.1420000000000005E-2</v>
      </c>
      <c r="BI278" s="35">
        <f t="shared" si="85"/>
        <v>4.8420000000000005E-2</v>
      </c>
    </row>
    <row r="279" spans="56:61" x14ac:dyDescent="0.25">
      <c r="BD279" s="7">
        <f t="shared" si="82"/>
        <v>1</v>
      </c>
      <c r="BE279" s="7">
        <f t="shared" si="83"/>
        <v>1</v>
      </c>
      <c r="BF279" s="7">
        <f t="shared" si="84"/>
        <v>2024</v>
      </c>
      <c r="BG279" s="36">
        <f t="shared" si="86"/>
        <v>45314</v>
      </c>
      <c r="BH279" s="33">
        <v>4.1420000000000005E-2</v>
      </c>
      <c r="BI279" s="35">
        <f t="shared" si="85"/>
        <v>4.8420000000000005E-2</v>
      </c>
    </row>
    <row r="280" spans="56:61" x14ac:dyDescent="0.25">
      <c r="BD280" s="7">
        <f t="shared" si="82"/>
        <v>1</v>
      </c>
      <c r="BE280" s="7">
        <f t="shared" si="83"/>
        <v>1</v>
      </c>
      <c r="BF280" s="7">
        <f t="shared" si="84"/>
        <v>2024</v>
      </c>
      <c r="BG280" s="36">
        <f t="shared" si="86"/>
        <v>45315</v>
      </c>
      <c r="BH280" s="33">
        <v>4.1420000000000005E-2</v>
      </c>
      <c r="BI280" s="35">
        <f t="shared" si="85"/>
        <v>4.8420000000000005E-2</v>
      </c>
    </row>
    <row r="281" spans="56:61" x14ac:dyDescent="0.25">
      <c r="BD281" s="7">
        <f t="shared" si="82"/>
        <v>1</v>
      </c>
      <c r="BE281" s="7">
        <f t="shared" si="83"/>
        <v>1</v>
      </c>
      <c r="BF281" s="7">
        <f t="shared" si="84"/>
        <v>2024</v>
      </c>
      <c r="BG281" s="36">
        <f t="shared" si="86"/>
        <v>45316</v>
      </c>
      <c r="BH281" s="33">
        <v>4.1420000000000005E-2</v>
      </c>
      <c r="BI281" s="35">
        <f t="shared" si="85"/>
        <v>4.8420000000000005E-2</v>
      </c>
    </row>
    <row r="282" spans="56:61" x14ac:dyDescent="0.25">
      <c r="BD282" s="7">
        <f t="shared" si="82"/>
        <v>1</v>
      </c>
      <c r="BE282" s="7">
        <f t="shared" si="83"/>
        <v>1</v>
      </c>
      <c r="BF282" s="7">
        <f t="shared" si="84"/>
        <v>2024</v>
      </c>
      <c r="BG282" s="36">
        <f t="shared" si="86"/>
        <v>45317</v>
      </c>
      <c r="BH282" s="33">
        <v>4.1420000000000005E-2</v>
      </c>
      <c r="BI282" s="35">
        <f t="shared" si="85"/>
        <v>4.8420000000000005E-2</v>
      </c>
    </row>
    <row r="283" spans="56:61" x14ac:dyDescent="0.25">
      <c r="BD283" s="7">
        <f t="shared" si="82"/>
        <v>1</v>
      </c>
      <c r="BE283" s="7">
        <f t="shared" si="83"/>
        <v>1</v>
      </c>
      <c r="BF283" s="7">
        <f t="shared" si="84"/>
        <v>2024</v>
      </c>
      <c r="BG283" s="36">
        <f t="shared" si="86"/>
        <v>45320</v>
      </c>
      <c r="BH283" s="33">
        <v>4.1420000000000005E-2</v>
      </c>
      <c r="BI283" s="35">
        <f t="shared" si="85"/>
        <v>4.8420000000000005E-2</v>
      </c>
    </row>
    <row r="284" spans="56:61" x14ac:dyDescent="0.25">
      <c r="BD284" s="7">
        <f t="shared" si="82"/>
        <v>1</v>
      </c>
      <c r="BE284" s="7">
        <f t="shared" si="83"/>
        <v>1</v>
      </c>
      <c r="BF284" s="7">
        <f t="shared" si="84"/>
        <v>2024</v>
      </c>
      <c r="BG284" s="36">
        <f t="shared" si="86"/>
        <v>45321</v>
      </c>
      <c r="BH284" s="33">
        <v>4.1420000000000005E-2</v>
      </c>
      <c r="BI284" s="35">
        <f t="shared" si="85"/>
        <v>4.8420000000000005E-2</v>
      </c>
    </row>
    <row r="285" spans="56:61" x14ac:dyDescent="0.25">
      <c r="BD285" s="7">
        <f t="shared" si="82"/>
        <v>1</v>
      </c>
      <c r="BE285" s="7">
        <f t="shared" si="83"/>
        <v>1</v>
      </c>
      <c r="BF285" s="7">
        <f t="shared" si="84"/>
        <v>2024</v>
      </c>
      <c r="BG285" s="36">
        <f t="shared" si="86"/>
        <v>45322</v>
      </c>
      <c r="BH285" s="33">
        <v>4.1420000000000005E-2</v>
      </c>
      <c r="BI285" s="35">
        <f t="shared" si="85"/>
        <v>4.8420000000000005E-2</v>
      </c>
    </row>
    <row r="286" spans="56:61" x14ac:dyDescent="0.25">
      <c r="BD286" s="7">
        <f t="shared" si="82"/>
        <v>1</v>
      </c>
      <c r="BE286" s="7">
        <f t="shared" si="83"/>
        <v>2</v>
      </c>
      <c r="BF286" s="7">
        <f t="shared" si="84"/>
        <v>2024</v>
      </c>
      <c r="BG286" s="36">
        <f t="shared" si="86"/>
        <v>45323</v>
      </c>
      <c r="BH286" s="33">
        <v>4.1420000000000005E-2</v>
      </c>
      <c r="BI286" s="35">
        <f t="shared" si="85"/>
        <v>4.8420000000000005E-2</v>
      </c>
    </row>
    <row r="287" spans="56:61" x14ac:dyDescent="0.25">
      <c r="BD287" s="7">
        <f t="shared" si="82"/>
        <v>1</v>
      </c>
      <c r="BE287" s="7">
        <f t="shared" si="83"/>
        <v>2</v>
      </c>
      <c r="BF287" s="7">
        <f t="shared" si="84"/>
        <v>2024</v>
      </c>
      <c r="BG287" s="36">
        <f t="shared" si="86"/>
        <v>45324</v>
      </c>
      <c r="BH287" s="33">
        <v>4.1420000000000005E-2</v>
      </c>
      <c r="BI287" s="35">
        <f t="shared" si="85"/>
        <v>4.8420000000000005E-2</v>
      </c>
    </row>
    <row r="288" spans="56:61" x14ac:dyDescent="0.25">
      <c r="BD288" s="7">
        <f t="shared" si="82"/>
        <v>1</v>
      </c>
      <c r="BE288" s="7">
        <f t="shared" si="83"/>
        <v>2</v>
      </c>
      <c r="BF288" s="7">
        <f t="shared" si="84"/>
        <v>2024</v>
      </c>
      <c r="BG288" s="36">
        <f t="shared" si="86"/>
        <v>45327</v>
      </c>
      <c r="BH288" s="33">
        <v>4.1420000000000005E-2</v>
      </c>
      <c r="BI288" s="35">
        <f t="shared" si="85"/>
        <v>4.8420000000000005E-2</v>
      </c>
    </row>
    <row r="289" spans="56:61" x14ac:dyDescent="0.25">
      <c r="BD289" s="7">
        <f t="shared" si="82"/>
        <v>1</v>
      </c>
      <c r="BE289" s="7">
        <f t="shared" si="83"/>
        <v>2</v>
      </c>
      <c r="BF289" s="7">
        <f t="shared" si="84"/>
        <v>2024</v>
      </c>
      <c r="BG289" s="36">
        <f t="shared" si="86"/>
        <v>45328</v>
      </c>
      <c r="BH289" s="33">
        <v>4.1420000000000005E-2</v>
      </c>
      <c r="BI289" s="35">
        <f t="shared" si="85"/>
        <v>4.8420000000000005E-2</v>
      </c>
    </row>
    <row r="290" spans="56:61" x14ac:dyDescent="0.25">
      <c r="BD290" s="7">
        <f t="shared" si="82"/>
        <v>1</v>
      </c>
      <c r="BE290" s="7">
        <f t="shared" si="83"/>
        <v>2</v>
      </c>
      <c r="BF290" s="7">
        <f t="shared" si="84"/>
        <v>2024</v>
      </c>
      <c r="BG290" s="36">
        <f t="shared" si="86"/>
        <v>45329</v>
      </c>
      <c r="BH290" s="33">
        <v>4.1420000000000005E-2</v>
      </c>
      <c r="BI290" s="35">
        <f t="shared" si="85"/>
        <v>4.8420000000000005E-2</v>
      </c>
    </row>
    <row r="291" spans="56:61" x14ac:dyDescent="0.25">
      <c r="BD291" s="7">
        <f t="shared" si="82"/>
        <v>1</v>
      </c>
      <c r="BE291" s="7">
        <f t="shared" si="83"/>
        <v>2</v>
      </c>
      <c r="BF291" s="7">
        <f t="shared" si="84"/>
        <v>2024</v>
      </c>
      <c r="BG291" s="36">
        <f t="shared" si="86"/>
        <v>45330</v>
      </c>
      <c r="BH291" s="33">
        <v>4.1420000000000005E-2</v>
      </c>
      <c r="BI291" s="35">
        <f t="shared" si="85"/>
        <v>4.8420000000000005E-2</v>
      </c>
    </row>
    <row r="292" spans="56:61" x14ac:dyDescent="0.25">
      <c r="BD292" s="7">
        <f t="shared" si="82"/>
        <v>1</v>
      </c>
      <c r="BE292" s="7">
        <f t="shared" si="83"/>
        <v>2</v>
      </c>
      <c r="BF292" s="7">
        <f t="shared" si="84"/>
        <v>2024</v>
      </c>
      <c r="BG292" s="36">
        <f t="shared" si="86"/>
        <v>45331</v>
      </c>
      <c r="BH292" s="33">
        <v>4.1420000000000005E-2</v>
      </c>
      <c r="BI292" s="35">
        <f t="shared" si="85"/>
        <v>4.8420000000000005E-2</v>
      </c>
    </row>
    <row r="293" spans="56:61" x14ac:dyDescent="0.25">
      <c r="BD293" s="7">
        <f t="shared" si="82"/>
        <v>1</v>
      </c>
      <c r="BE293" s="7">
        <f t="shared" si="83"/>
        <v>2</v>
      </c>
      <c r="BF293" s="7">
        <f t="shared" si="84"/>
        <v>2024</v>
      </c>
      <c r="BG293" s="36">
        <f t="shared" si="86"/>
        <v>45334</v>
      </c>
      <c r="BH293" s="33">
        <v>4.1420000000000005E-2</v>
      </c>
      <c r="BI293" s="35">
        <f t="shared" si="85"/>
        <v>4.8420000000000005E-2</v>
      </c>
    </row>
    <row r="294" spans="56:61" x14ac:dyDescent="0.25">
      <c r="BD294" s="7">
        <f t="shared" si="82"/>
        <v>1</v>
      </c>
      <c r="BE294" s="7">
        <f t="shared" si="83"/>
        <v>2</v>
      </c>
      <c r="BF294" s="7">
        <f t="shared" si="84"/>
        <v>2024</v>
      </c>
      <c r="BG294" s="36">
        <f t="shared" si="86"/>
        <v>45335</v>
      </c>
      <c r="BH294" s="33">
        <v>4.1420000000000005E-2</v>
      </c>
      <c r="BI294" s="35">
        <f t="shared" si="85"/>
        <v>4.8420000000000005E-2</v>
      </c>
    </row>
    <row r="295" spans="56:61" x14ac:dyDescent="0.25">
      <c r="BD295" s="7">
        <f t="shared" si="82"/>
        <v>1</v>
      </c>
      <c r="BE295" s="7">
        <f t="shared" si="83"/>
        <v>2</v>
      </c>
      <c r="BF295" s="7">
        <f t="shared" si="84"/>
        <v>2024</v>
      </c>
      <c r="BG295" s="36">
        <f t="shared" si="86"/>
        <v>45336</v>
      </c>
      <c r="BH295" s="33">
        <v>4.1420000000000005E-2</v>
      </c>
      <c r="BI295" s="35">
        <f t="shared" si="85"/>
        <v>4.8420000000000005E-2</v>
      </c>
    </row>
    <row r="296" spans="56:61" x14ac:dyDescent="0.25">
      <c r="BD296" s="7">
        <f t="shared" si="82"/>
        <v>1</v>
      </c>
      <c r="BE296" s="7">
        <f t="shared" si="83"/>
        <v>2</v>
      </c>
      <c r="BF296" s="7">
        <f t="shared" si="84"/>
        <v>2024</v>
      </c>
      <c r="BG296" s="36">
        <f t="shared" si="86"/>
        <v>45337</v>
      </c>
      <c r="BH296" s="33">
        <v>4.1420000000000005E-2</v>
      </c>
      <c r="BI296" s="35">
        <f t="shared" si="85"/>
        <v>4.8420000000000005E-2</v>
      </c>
    </row>
    <row r="297" spans="56:61" x14ac:dyDescent="0.25">
      <c r="BD297" s="7">
        <f t="shared" si="82"/>
        <v>1</v>
      </c>
      <c r="BE297" s="7">
        <f t="shared" si="83"/>
        <v>2</v>
      </c>
      <c r="BF297" s="7">
        <f t="shared" si="84"/>
        <v>2024</v>
      </c>
      <c r="BG297" s="36">
        <f t="shared" si="86"/>
        <v>45338</v>
      </c>
      <c r="BH297" s="33">
        <v>4.1420000000000005E-2</v>
      </c>
      <c r="BI297" s="35">
        <f t="shared" si="85"/>
        <v>4.8420000000000005E-2</v>
      </c>
    </row>
    <row r="298" spans="56:61" x14ac:dyDescent="0.25">
      <c r="BD298" s="7">
        <f t="shared" si="82"/>
        <v>1</v>
      </c>
      <c r="BE298" s="7">
        <f t="shared" si="83"/>
        <v>2</v>
      </c>
      <c r="BF298" s="7">
        <f t="shared" si="84"/>
        <v>2024</v>
      </c>
      <c r="BG298" s="36">
        <f t="shared" si="86"/>
        <v>45341</v>
      </c>
      <c r="BH298" s="33">
        <v>4.1420000000000005E-2</v>
      </c>
      <c r="BI298" s="35">
        <f t="shared" si="85"/>
        <v>4.8420000000000005E-2</v>
      </c>
    </row>
    <row r="299" spans="56:61" x14ac:dyDescent="0.25">
      <c r="BD299" s="7">
        <f t="shared" si="82"/>
        <v>1</v>
      </c>
      <c r="BE299" s="7">
        <f t="shared" si="83"/>
        <v>2</v>
      </c>
      <c r="BF299" s="7">
        <f t="shared" si="84"/>
        <v>2024</v>
      </c>
      <c r="BG299" s="36">
        <f t="shared" si="86"/>
        <v>45342</v>
      </c>
      <c r="BH299" s="33">
        <v>4.1420000000000005E-2</v>
      </c>
      <c r="BI299" s="35">
        <f t="shared" si="85"/>
        <v>4.8420000000000005E-2</v>
      </c>
    </row>
    <row r="300" spans="56:61" x14ac:dyDescent="0.25">
      <c r="BD300" s="7">
        <f t="shared" si="82"/>
        <v>1</v>
      </c>
      <c r="BE300" s="7">
        <f t="shared" si="83"/>
        <v>2</v>
      </c>
      <c r="BF300" s="7">
        <f t="shared" si="84"/>
        <v>2024</v>
      </c>
      <c r="BG300" s="36">
        <f t="shared" si="86"/>
        <v>45343</v>
      </c>
      <c r="BH300" s="33">
        <v>4.1420000000000005E-2</v>
      </c>
      <c r="BI300" s="35">
        <f t="shared" si="85"/>
        <v>4.8420000000000005E-2</v>
      </c>
    </row>
    <row r="301" spans="56:61" x14ac:dyDescent="0.25">
      <c r="BD301" s="7">
        <f t="shared" si="82"/>
        <v>1</v>
      </c>
      <c r="BE301" s="7">
        <f t="shared" si="83"/>
        <v>2</v>
      </c>
      <c r="BF301" s="7">
        <f t="shared" si="84"/>
        <v>2024</v>
      </c>
      <c r="BG301" s="36">
        <f t="shared" si="86"/>
        <v>45344</v>
      </c>
      <c r="BH301" s="33">
        <v>4.1420000000000005E-2</v>
      </c>
      <c r="BI301" s="35">
        <f t="shared" si="85"/>
        <v>4.8420000000000005E-2</v>
      </c>
    </row>
    <row r="302" spans="56:61" x14ac:dyDescent="0.25">
      <c r="BD302" s="7">
        <f t="shared" si="82"/>
        <v>1</v>
      </c>
      <c r="BE302" s="7">
        <f t="shared" si="83"/>
        <v>2</v>
      </c>
      <c r="BF302" s="7">
        <f t="shared" si="84"/>
        <v>2024</v>
      </c>
      <c r="BG302" s="36">
        <f t="shared" si="86"/>
        <v>45345</v>
      </c>
      <c r="BH302" s="33">
        <v>4.1420000000000005E-2</v>
      </c>
      <c r="BI302" s="35">
        <f t="shared" si="85"/>
        <v>4.8420000000000005E-2</v>
      </c>
    </row>
    <row r="303" spans="56:61" x14ac:dyDescent="0.25">
      <c r="BD303" s="7">
        <f t="shared" si="82"/>
        <v>1</v>
      </c>
      <c r="BE303" s="7">
        <f t="shared" si="83"/>
        <v>2</v>
      </c>
      <c r="BF303" s="7">
        <f t="shared" si="84"/>
        <v>2024</v>
      </c>
      <c r="BG303" s="36">
        <f t="shared" si="86"/>
        <v>45348</v>
      </c>
      <c r="BH303" s="33">
        <v>4.1420000000000005E-2</v>
      </c>
      <c r="BI303" s="35">
        <f t="shared" si="85"/>
        <v>4.8420000000000005E-2</v>
      </c>
    </row>
    <row r="304" spans="56:61" x14ac:dyDescent="0.25">
      <c r="BD304" s="7">
        <f t="shared" si="82"/>
        <v>1</v>
      </c>
      <c r="BE304" s="7">
        <f t="shared" si="83"/>
        <v>2</v>
      </c>
      <c r="BF304" s="7">
        <f t="shared" si="84"/>
        <v>2024</v>
      </c>
      <c r="BG304" s="36">
        <f t="shared" si="86"/>
        <v>45349</v>
      </c>
      <c r="BH304" s="33">
        <v>4.1420000000000005E-2</v>
      </c>
      <c r="BI304" s="35">
        <f t="shared" si="85"/>
        <v>4.8420000000000005E-2</v>
      </c>
    </row>
    <row r="305" spans="56:61" x14ac:dyDescent="0.25">
      <c r="BD305" s="7">
        <f t="shared" si="82"/>
        <v>1</v>
      </c>
      <c r="BE305" s="7">
        <f t="shared" si="83"/>
        <v>2</v>
      </c>
      <c r="BF305" s="7">
        <f t="shared" si="84"/>
        <v>2024</v>
      </c>
      <c r="BG305" s="36">
        <f t="shared" si="86"/>
        <v>45350</v>
      </c>
      <c r="BH305" s="33">
        <v>4.1420000000000005E-2</v>
      </c>
      <c r="BI305" s="35">
        <f t="shared" si="85"/>
        <v>4.8420000000000005E-2</v>
      </c>
    </row>
    <row r="306" spans="56:61" x14ac:dyDescent="0.25">
      <c r="BD306" s="7">
        <f t="shared" si="82"/>
        <v>1</v>
      </c>
      <c r="BE306" s="7">
        <f t="shared" si="83"/>
        <v>2</v>
      </c>
      <c r="BF306" s="7">
        <f t="shared" si="84"/>
        <v>2024</v>
      </c>
      <c r="BG306" s="36">
        <f t="shared" si="86"/>
        <v>45351</v>
      </c>
      <c r="BH306" s="33">
        <v>4.1420000000000005E-2</v>
      </c>
      <c r="BI306" s="35">
        <f t="shared" si="85"/>
        <v>4.8420000000000005E-2</v>
      </c>
    </row>
    <row r="307" spans="56:61" x14ac:dyDescent="0.25">
      <c r="BD307" s="7">
        <f t="shared" si="82"/>
        <v>1</v>
      </c>
      <c r="BE307" s="7">
        <f t="shared" si="83"/>
        <v>3</v>
      </c>
      <c r="BF307" s="7">
        <f t="shared" si="84"/>
        <v>2024</v>
      </c>
      <c r="BG307" s="36">
        <f t="shared" si="86"/>
        <v>45352</v>
      </c>
      <c r="BH307" s="33">
        <v>4.1420000000000005E-2</v>
      </c>
      <c r="BI307" s="35">
        <f t="shared" si="85"/>
        <v>4.8420000000000005E-2</v>
      </c>
    </row>
    <row r="308" spans="56:61" x14ac:dyDescent="0.25">
      <c r="BD308" s="7">
        <f t="shared" si="82"/>
        <v>1</v>
      </c>
      <c r="BE308" s="7">
        <f t="shared" si="83"/>
        <v>3</v>
      </c>
      <c r="BF308" s="7">
        <f t="shared" si="84"/>
        <v>2024</v>
      </c>
      <c r="BG308" s="36">
        <f t="shared" si="86"/>
        <v>45355</v>
      </c>
      <c r="BH308" s="33">
        <v>4.1420000000000005E-2</v>
      </c>
      <c r="BI308" s="35">
        <f t="shared" si="85"/>
        <v>4.8420000000000005E-2</v>
      </c>
    </row>
    <row r="309" spans="56:61" x14ac:dyDescent="0.25">
      <c r="BD309" s="7">
        <f t="shared" si="82"/>
        <v>1</v>
      </c>
      <c r="BE309" s="7">
        <f t="shared" si="83"/>
        <v>3</v>
      </c>
      <c r="BF309" s="7">
        <f t="shared" si="84"/>
        <v>2024</v>
      </c>
      <c r="BG309" s="36">
        <f t="shared" si="86"/>
        <v>45356</v>
      </c>
      <c r="BH309" s="33">
        <v>4.1420000000000005E-2</v>
      </c>
      <c r="BI309" s="35">
        <f t="shared" si="85"/>
        <v>4.8420000000000005E-2</v>
      </c>
    </row>
    <row r="310" spans="56:61" x14ac:dyDescent="0.25">
      <c r="BD310" s="7">
        <f t="shared" si="82"/>
        <v>1</v>
      </c>
      <c r="BE310" s="7">
        <f t="shared" si="83"/>
        <v>3</v>
      </c>
      <c r="BF310" s="7">
        <f t="shared" si="84"/>
        <v>2024</v>
      </c>
      <c r="BG310" s="36">
        <f t="shared" si="86"/>
        <v>45357</v>
      </c>
      <c r="BH310" s="33">
        <v>4.1420000000000005E-2</v>
      </c>
      <c r="BI310" s="35">
        <f t="shared" si="85"/>
        <v>4.8420000000000005E-2</v>
      </c>
    </row>
    <row r="311" spans="56:61" x14ac:dyDescent="0.25">
      <c r="BD311" s="7">
        <f t="shared" si="82"/>
        <v>1</v>
      </c>
      <c r="BE311" s="7">
        <f t="shared" si="83"/>
        <v>3</v>
      </c>
      <c r="BF311" s="7">
        <f t="shared" si="84"/>
        <v>2024</v>
      </c>
      <c r="BG311" s="36">
        <f t="shared" si="86"/>
        <v>45358</v>
      </c>
      <c r="BH311" s="33">
        <v>4.1420000000000005E-2</v>
      </c>
      <c r="BI311" s="35">
        <f t="shared" si="85"/>
        <v>4.8420000000000005E-2</v>
      </c>
    </row>
    <row r="312" spans="56:61" x14ac:dyDescent="0.25">
      <c r="BD312" s="7">
        <f t="shared" si="82"/>
        <v>1</v>
      </c>
      <c r="BE312" s="7">
        <f t="shared" si="83"/>
        <v>3</v>
      </c>
      <c r="BF312" s="7">
        <f t="shared" si="84"/>
        <v>2024</v>
      </c>
      <c r="BG312" s="36">
        <f t="shared" si="86"/>
        <v>45359</v>
      </c>
      <c r="BH312" s="33">
        <v>4.1420000000000005E-2</v>
      </c>
      <c r="BI312" s="35">
        <f t="shared" si="85"/>
        <v>4.8420000000000005E-2</v>
      </c>
    </row>
    <row r="313" spans="56:61" x14ac:dyDescent="0.25">
      <c r="BD313" s="7">
        <f t="shared" si="82"/>
        <v>1</v>
      </c>
      <c r="BE313" s="7">
        <f t="shared" si="83"/>
        <v>3</v>
      </c>
      <c r="BF313" s="7">
        <f t="shared" si="84"/>
        <v>2024</v>
      </c>
      <c r="BG313" s="36">
        <f t="shared" si="86"/>
        <v>45362</v>
      </c>
      <c r="BH313" s="33">
        <v>4.1420000000000005E-2</v>
      </c>
      <c r="BI313" s="35">
        <f t="shared" si="85"/>
        <v>4.8420000000000005E-2</v>
      </c>
    </row>
    <row r="314" spans="56:61" x14ac:dyDescent="0.25">
      <c r="BD314" s="7">
        <f t="shared" si="82"/>
        <v>1</v>
      </c>
      <c r="BE314" s="7">
        <f t="shared" si="83"/>
        <v>3</v>
      </c>
      <c r="BF314" s="7">
        <f t="shared" si="84"/>
        <v>2024</v>
      </c>
      <c r="BG314" s="36">
        <f t="shared" si="86"/>
        <v>45363</v>
      </c>
      <c r="BH314" s="33">
        <v>4.1420000000000005E-2</v>
      </c>
      <c r="BI314" s="35">
        <f t="shared" si="85"/>
        <v>4.8420000000000005E-2</v>
      </c>
    </row>
    <row r="315" spans="56:61" x14ac:dyDescent="0.25">
      <c r="BD315" s="7">
        <f t="shared" si="82"/>
        <v>1</v>
      </c>
      <c r="BE315" s="7">
        <f t="shared" si="83"/>
        <v>3</v>
      </c>
      <c r="BF315" s="7">
        <f t="shared" si="84"/>
        <v>2024</v>
      </c>
      <c r="BG315" s="36">
        <f t="shared" si="86"/>
        <v>45364</v>
      </c>
      <c r="BH315" s="33">
        <v>4.1420000000000005E-2</v>
      </c>
      <c r="BI315" s="35">
        <f t="shared" si="85"/>
        <v>4.8420000000000005E-2</v>
      </c>
    </row>
    <row r="316" spans="56:61" x14ac:dyDescent="0.25">
      <c r="BD316" s="7">
        <f t="shared" si="82"/>
        <v>1</v>
      </c>
      <c r="BE316" s="7">
        <f t="shared" si="83"/>
        <v>3</v>
      </c>
      <c r="BF316" s="7">
        <f t="shared" si="84"/>
        <v>2024</v>
      </c>
      <c r="BG316" s="36">
        <f t="shared" si="86"/>
        <v>45365</v>
      </c>
      <c r="BH316" s="33">
        <v>4.1420000000000005E-2</v>
      </c>
      <c r="BI316" s="35">
        <f t="shared" si="85"/>
        <v>4.8420000000000005E-2</v>
      </c>
    </row>
    <row r="317" spans="56:61" x14ac:dyDescent="0.25">
      <c r="BD317" s="7">
        <f t="shared" si="82"/>
        <v>1</v>
      </c>
      <c r="BE317" s="7">
        <f t="shared" si="83"/>
        <v>3</v>
      </c>
      <c r="BF317" s="7">
        <f t="shared" si="84"/>
        <v>2024</v>
      </c>
      <c r="BG317" s="36">
        <f t="shared" si="86"/>
        <v>45366</v>
      </c>
      <c r="BH317" s="33">
        <v>4.1420000000000005E-2</v>
      </c>
      <c r="BI317" s="35">
        <f t="shared" si="85"/>
        <v>4.8420000000000005E-2</v>
      </c>
    </row>
    <row r="318" spans="56:61" x14ac:dyDescent="0.25">
      <c r="BD318" s="7">
        <f t="shared" si="82"/>
        <v>1</v>
      </c>
      <c r="BE318" s="7">
        <f t="shared" si="83"/>
        <v>3</v>
      </c>
      <c r="BF318" s="7">
        <f t="shared" si="84"/>
        <v>2024</v>
      </c>
      <c r="BG318" s="36">
        <f t="shared" si="86"/>
        <v>45369</v>
      </c>
      <c r="BH318" s="33">
        <v>4.1420000000000005E-2</v>
      </c>
      <c r="BI318" s="35">
        <f t="shared" si="85"/>
        <v>4.8420000000000005E-2</v>
      </c>
    </row>
    <row r="319" spans="56:61" x14ac:dyDescent="0.25">
      <c r="BD319" s="7">
        <f t="shared" si="82"/>
        <v>1</v>
      </c>
      <c r="BE319" s="7">
        <f t="shared" si="83"/>
        <v>3</v>
      </c>
      <c r="BF319" s="7">
        <f t="shared" si="84"/>
        <v>2024</v>
      </c>
      <c r="BG319" s="36">
        <f t="shared" si="86"/>
        <v>45370</v>
      </c>
      <c r="BH319" s="33">
        <v>4.1420000000000005E-2</v>
      </c>
      <c r="BI319" s="35">
        <f t="shared" si="85"/>
        <v>4.8420000000000005E-2</v>
      </c>
    </row>
    <row r="320" spans="56:61" x14ac:dyDescent="0.25">
      <c r="BD320" s="7">
        <f t="shared" si="82"/>
        <v>1</v>
      </c>
      <c r="BE320" s="7">
        <f t="shared" si="83"/>
        <v>3</v>
      </c>
      <c r="BF320" s="7">
        <f t="shared" si="84"/>
        <v>2024</v>
      </c>
      <c r="BG320" s="36">
        <f t="shared" si="86"/>
        <v>45371</v>
      </c>
      <c r="BH320" s="33">
        <v>4.1420000000000005E-2</v>
      </c>
      <c r="BI320" s="35">
        <f t="shared" si="85"/>
        <v>4.8420000000000005E-2</v>
      </c>
    </row>
    <row r="321" spans="56:61" x14ac:dyDescent="0.25">
      <c r="BD321" s="7">
        <f t="shared" si="82"/>
        <v>1</v>
      </c>
      <c r="BE321" s="7">
        <f t="shared" si="83"/>
        <v>3</v>
      </c>
      <c r="BF321" s="7">
        <f t="shared" si="84"/>
        <v>2024</v>
      </c>
      <c r="BG321" s="36">
        <f t="shared" si="86"/>
        <v>45372</v>
      </c>
      <c r="BH321" s="33">
        <v>4.1420000000000005E-2</v>
      </c>
      <c r="BI321" s="35">
        <f t="shared" si="85"/>
        <v>4.8420000000000005E-2</v>
      </c>
    </row>
    <row r="322" spans="56:61" x14ac:dyDescent="0.25">
      <c r="BD322" s="7">
        <f t="shared" si="82"/>
        <v>1</v>
      </c>
      <c r="BE322" s="7">
        <f t="shared" si="83"/>
        <v>3</v>
      </c>
      <c r="BF322" s="7">
        <f t="shared" si="84"/>
        <v>2024</v>
      </c>
      <c r="BG322" s="36">
        <f t="shared" si="86"/>
        <v>45373</v>
      </c>
      <c r="BH322" s="33">
        <v>4.1420000000000005E-2</v>
      </c>
      <c r="BI322" s="35">
        <f t="shared" si="85"/>
        <v>4.8420000000000005E-2</v>
      </c>
    </row>
    <row r="323" spans="56:61" x14ac:dyDescent="0.25">
      <c r="BD323" s="7">
        <f t="shared" ref="BD323:BD386" si="87">ROUNDUP(MONTH(BG323)/3,0)</f>
        <v>1</v>
      </c>
      <c r="BE323" s="7">
        <f t="shared" ref="BE323:BE386" si="88">MONTH(BG323)</f>
        <v>3</v>
      </c>
      <c r="BF323" s="7">
        <f t="shared" ref="BF323:BF386" si="89">YEAR(BG323)</f>
        <v>2024</v>
      </c>
      <c r="BG323" s="36">
        <f t="shared" si="86"/>
        <v>45376</v>
      </c>
      <c r="BH323" s="33">
        <v>4.1420000000000005E-2</v>
      </c>
      <c r="BI323" s="35">
        <f t="shared" ref="BI323:BI386" si="90">BH323+0.7%</f>
        <v>4.8420000000000005E-2</v>
      </c>
    </row>
    <row r="324" spans="56:61" x14ac:dyDescent="0.25">
      <c r="BD324" s="7">
        <f t="shared" si="87"/>
        <v>1</v>
      </c>
      <c r="BE324" s="7">
        <f t="shared" si="88"/>
        <v>3</v>
      </c>
      <c r="BF324" s="7">
        <f t="shared" si="89"/>
        <v>2024</v>
      </c>
      <c r="BG324" s="36">
        <f t="shared" si="86"/>
        <v>45377</v>
      </c>
      <c r="BH324" s="33">
        <v>4.1420000000000005E-2</v>
      </c>
      <c r="BI324" s="35">
        <f t="shared" si="90"/>
        <v>4.8420000000000005E-2</v>
      </c>
    </row>
    <row r="325" spans="56:61" x14ac:dyDescent="0.25">
      <c r="BD325" s="7">
        <f t="shared" si="87"/>
        <v>1</v>
      </c>
      <c r="BE325" s="7">
        <f t="shared" si="88"/>
        <v>3</v>
      </c>
      <c r="BF325" s="7">
        <f t="shared" si="89"/>
        <v>2024</v>
      </c>
      <c r="BG325" s="36">
        <f t="shared" si="86"/>
        <v>45378</v>
      </c>
      <c r="BH325" s="33">
        <v>4.1420000000000005E-2</v>
      </c>
      <c r="BI325" s="35">
        <f t="shared" si="90"/>
        <v>4.8420000000000005E-2</v>
      </c>
    </row>
    <row r="326" spans="56:61" x14ac:dyDescent="0.25">
      <c r="BD326" s="7">
        <f t="shared" si="87"/>
        <v>1</v>
      </c>
      <c r="BE326" s="7">
        <f t="shared" si="88"/>
        <v>3</v>
      </c>
      <c r="BF326" s="7">
        <f t="shared" si="89"/>
        <v>2024</v>
      </c>
      <c r="BG326" s="36">
        <f t="shared" si="86"/>
        <v>45379</v>
      </c>
      <c r="BH326" s="33">
        <v>4.1420000000000005E-2</v>
      </c>
      <c r="BI326" s="35">
        <f t="shared" si="90"/>
        <v>4.8420000000000005E-2</v>
      </c>
    </row>
    <row r="327" spans="56:61" x14ac:dyDescent="0.25">
      <c r="BD327" s="7">
        <f t="shared" si="87"/>
        <v>1</v>
      </c>
      <c r="BE327" s="7">
        <f t="shared" si="88"/>
        <v>3</v>
      </c>
      <c r="BF327" s="7">
        <f t="shared" si="89"/>
        <v>2024</v>
      </c>
      <c r="BG327" s="36">
        <f t="shared" si="86"/>
        <v>45380</v>
      </c>
      <c r="BH327" s="33">
        <v>4.1420000000000005E-2</v>
      </c>
      <c r="BI327" s="35">
        <f t="shared" si="90"/>
        <v>4.8420000000000005E-2</v>
      </c>
    </row>
    <row r="328" spans="56:61" x14ac:dyDescent="0.25">
      <c r="BD328" s="7">
        <f t="shared" si="87"/>
        <v>2</v>
      </c>
      <c r="BE328" s="7">
        <f t="shared" si="88"/>
        <v>4</v>
      </c>
      <c r="BF328" s="7">
        <f t="shared" si="89"/>
        <v>2024</v>
      </c>
      <c r="BG328" s="36">
        <f t="shared" si="86"/>
        <v>45383</v>
      </c>
      <c r="BH328" s="33">
        <v>4.1420000000000005E-2</v>
      </c>
      <c r="BI328" s="35">
        <f t="shared" si="90"/>
        <v>4.8420000000000005E-2</v>
      </c>
    </row>
    <row r="329" spans="56:61" x14ac:dyDescent="0.25">
      <c r="BD329" s="7">
        <f t="shared" si="87"/>
        <v>2</v>
      </c>
      <c r="BE329" s="7">
        <f t="shared" si="88"/>
        <v>4</v>
      </c>
      <c r="BF329" s="7">
        <f t="shared" si="89"/>
        <v>2024</v>
      </c>
      <c r="BG329" s="36">
        <f t="shared" si="86"/>
        <v>45384</v>
      </c>
      <c r="BH329" s="33">
        <v>4.1420000000000005E-2</v>
      </c>
      <c r="BI329" s="35">
        <f t="shared" si="90"/>
        <v>4.8420000000000005E-2</v>
      </c>
    </row>
    <row r="330" spans="56:61" x14ac:dyDescent="0.25">
      <c r="BD330" s="7">
        <f t="shared" si="87"/>
        <v>2</v>
      </c>
      <c r="BE330" s="7">
        <f t="shared" si="88"/>
        <v>4</v>
      </c>
      <c r="BF330" s="7">
        <f t="shared" si="89"/>
        <v>2024</v>
      </c>
      <c r="BG330" s="36">
        <f t="shared" si="86"/>
        <v>45385</v>
      </c>
      <c r="BH330" s="33">
        <v>4.1420000000000005E-2</v>
      </c>
      <c r="BI330" s="35">
        <f t="shared" si="90"/>
        <v>4.8420000000000005E-2</v>
      </c>
    </row>
    <row r="331" spans="56:61" x14ac:dyDescent="0.25">
      <c r="BD331" s="7">
        <f t="shared" si="87"/>
        <v>2</v>
      </c>
      <c r="BE331" s="7">
        <f t="shared" si="88"/>
        <v>4</v>
      </c>
      <c r="BF331" s="7">
        <f t="shared" si="89"/>
        <v>2024</v>
      </c>
      <c r="BG331" s="36">
        <f t="shared" ref="BG331:BG394" si="91">WORKDAY(BG330,1)</f>
        <v>45386</v>
      </c>
      <c r="BH331" s="33">
        <v>4.1420000000000005E-2</v>
      </c>
      <c r="BI331" s="35">
        <f t="shared" si="90"/>
        <v>4.8420000000000005E-2</v>
      </c>
    </row>
    <row r="332" spans="56:61" x14ac:dyDescent="0.25">
      <c r="BD332" s="7">
        <f t="shared" si="87"/>
        <v>2</v>
      </c>
      <c r="BE332" s="7">
        <f t="shared" si="88"/>
        <v>4</v>
      </c>
      <c r="BF332" s="7">
        <f t="shared" si="89"/>
        <v>2024</v>
      </c>
      <c r="BG332" s="36">
        <f t="shared" si="91"/>
        <v>45387</v>
      </c>
      <c r="BH332" s="33">
        <v>4.1420000000000005E-2</v>
      </c>
      <c r="BI332" s="35">
        <f t="shared" si="90"/>
        <v>4.8420000000000005E-2</v>
      </c>
    </row>
    <row r="333" spans="56:61" x14ac:dyDescent="0.25">
      <c r="BD333" s="7">
        <f t="shared" si="87"/>
        <v>2</v>
      </c>
      <c r="BE333" s="7">
        <f t="shared" si="88"/>
        <v>4</v>
      </c>
      <c r="BF333" s="7">
        <f t="shared" si="89"/>
        <v>2024</v>
      </c>
      <c r="BG333" s="36">
        <f t="shared" si="91"/>
        <v>45390</v>
      </c>
      <c r="BH333" s="33">
        <v>4.1420000000000005E-2</v>
      </c>
      <c r="BI333" s="35">
        <f t="shared" si="90"/>
        <v>4.8420000000000005E-2</v>
      </c>
    </row>
    <row r="334" spans="56:61" x14ac:dyDescent="0.25">
      <c r="BD334" s="7">
        <f t="shared" si="87"/>
        <v>2</v>
      </c>
      <c r="BE334" s="7">
        <f t="shared" si="88"/>
        <v>4</v>
      </c>
      <c r="BF334" s="7">
        <f t="shared" si="89"/>
        <v>2024</v>
      </c>
      <c r="BG334" s="36">
        <f t="shared" si="91"/>
        <v>45391</v>
      </c>
      <c r="BH334" s="33">
        <v>4.1420000000000005E-2</v>
      </c>
      <c r="BI334" s="35">
        <f t="shared" si="90"/>
        <v>4.8420000000000005E-2</v>
      </c>
    </row>
    <row r="335" spans="56:61" x14ac:dyDescent="0.25">
      <c r="BD335" s="7">
        <f t="shared" si="87"/>
        <v>2</v>
      </c>
      <c r="BE335" s="7">
        <f t="shared" si="88"/>
        <v>4</v>
      </c>
      <c r="BF335" s="7">
        <f t="shared" si="89"/>
        <v>2024</v>
      </c>
      <c r="BG335" s="36">
        <f t="shared" si="91"/>
        <v>45392</v>
      </c>
      <c r="BH335" s="33">
        <v>4.1420000000000005E-2</v>
      </c>
      <c r="BI335" s="35">
        <f t="shared" si="90"/>
        <v>4.8420000000000005E-2</v>
      </c>
    </row>
    <row r="336" spans="56:61" x14ac:dyDescent="0.25">
      <c r="BD336" s="7">
        <f t="shared" si="87"/>
        <v>2</v>
      </c>
      <c r="BE336" s="7">
        <f t="shared" si="88"/>
        <v>4</v>
      </c>
      <c r="BF336" s="7">
        <f t="shared" si="89"/>
        <v>2024</v>
      </c>
      <c r="BG336" s="36">
        <f t="shared" si="91"/>
        <v>45393</v>
      </c>
      <c r="BH336" s="33">
        <v>4.1420000000000005E-2</v>
      </c>
      <c r="BI336" s="35">
        <f t="shared" si="90"/>
        <v>4.8420000000000005E-2</v>
      </c>
    </row>
    <row r="337" spans="56:61" x14ac:dyDescent="0.25">
      <c r="BD337" s="7">
        <f t="shared" si="87"/>
        <v>2</v>
      </c>
      <c r="BE337" s="7">
        <f t="shared" si="88"/>
        <v>4</v>
      </c>
      <c r="BF337" s="7">
        <f t="shared" si="89"/>
        <v>2024</v>
      </c>
      <c r="BG337" s="36">
        <f t="shared" si="91"/>
        <v>45394</v>
      </c>
      <c r="BH337" s="33">
        <v>4.1420000000000005E-2</v>
      </c>
      <c r="BI337" s="35">
        <f t="shared" si="90"/>
        <v>4.8420000000000005E-2</v>
      </c>
    </row>
    <row r="338" spans="56:61" x14ac:dyDescent="0.25">
      <c r="BD338" s="7">
        <f t="shared" si="87"/>
        <v>2</v>
      </c>
      <c r="BE338" s="7">
        <f t="shared" si="88"/>
        <v>4</v>
      </c>
      <c r="BF338" s="7">
        <f t="shared" si="89"/>
        <v>2024</v>
      </c>
      <c r="BG338" s="36">
        <f t="shared" si="91"/>
        <v>45397</v>
      </c>
      <c r="BH338" s="33">
        <v>4.1420000000000005E-2</v>
      </c>
      <c r="BI338" s="35">
        <f t="shared" si="90"/>
        <v>4.8420000000000005E-2</v>
      </c>
    </row>
    <row r="339" spans="56:61" x14ac:dyDescent="0.25">
      <c r="BD339" s="7">
        <f t="shared" si="87"/>
        <v>2</v>
      </c>
      <c r="BE339" s="7">
        <f t="shared" si="88"/>
        <v>4</v>
      </c>
      <c r="BF339" s="7">
        <f t="shared" si="89"/>
        <v>2024</v>
      </c>
      <c r="BG339" s="36">
        <f t="shared" si="91"/>
        <v>45398</v>
      </c>
      <c r="BH339" s="33">
        <v>4.1420000000000005E-2</v>
      </c>
      <c r="BI339" s="35">
        <f t="shared" si="90"/>
        <v>4.8420000000000005E-2</v>
      </c>
    </row>
    <row r="340" spans="56:61" x14ac:dyDescent="0.25">
      <c r="BD340" s="7">
        <f t="shared" si="87"/>
        <v>2</v>
      </c>
      <c r="BE340" s="7">
        <f t="shared" si="88"/>
        <v>4</v>
      </c>
      <c r="BF340" s="7">
        <f t="shared" si="89"/>
        <v>2024</v>
      </c>
      <c r="BG340" s="36">
        <f t="shared" si="91"/>
        <v>45399</v>
      </c>
      <c r="BH340" s="33">
        <v>4.1420000000000005E-2</v>
      </c>
      <c r="BI340" s="35">
        <f t="shared" si="90"/>
        <v>4.8420000000000005E-2</v>
      </c>
    </row>
    <row r="341" spans="56:61" x14ac:dyDescent="0.25">
      <c r="BD341" s="7">
        <f t="shared" si="87"/>
        <v>2</v>
      </c>
      <c r="BE341" s="7">
        <f t="shared" si="88"/>
        <v>4</v>
      </c>
      <c r="BF341" s="7">
        <f t="shared" si="89"/>
        <v>2024</v>
      </c>
      <c r="BG341" s="36">
        <f t="shared" si="91"/>
        <v>45400</v>
      </c>
      <c r="BH341" s="33">
        <v>4.1420000000000005E-2</v>
      </c>
      <c r="BI341" s="35">
        <f t="shared" si="90"/>
        <v>4.8420000000000005E-2</v>
      </c>
    </row>
    <row r="342" spans="56:61" x14ac:dyDescent="0.25">
      <c r="BD342" s="7">
        <f t="shared" si="87"/>
        <v>2</v>
      </c>
      <c r="BE342" s="7">
        <f t="shared" si="88"/>
        <v>4</v>
      </c>
      <c r="BF342" s="7">
        <f t="shared" si="89"/>
        <v>2024</v>
      </c>
      <c r="BG342" s="36">
        <f t="shared" si="91"/>
        <v>45401</v>
      </c>
      <c r="BH342" s="33">
        <v>4.1420000000000005E-2</v>
      </c>
      <c r="BI342" s="35">
        <f t="shared" si="90"/>
        <v>4.8420000000000005E-2</v>
      </c>
    </row>
    <row r="343" spans="56:61" x14ac:dyDescent="0.25">
      <c r="BD343" s="7">
        <f t="shared" si="87"/>
        <v>2</v>
      </c>
      <c r="BE343" s="7">
        <f t="shared" si="88"/>
        <v>4</v>
      </c>
      <c r="BF343" s="7">
        <f t="shared" si="89"/>
        <v>2024</v>
      </c>
      <c r="BG343" s="36">
        <f t="shared" si="91"/>
        <v>45404</v>
      </c>
      <c r="BH343" s="33">
        <v>4.1420000000000005E-2</v>
      </c>
      <c r="BI343" s="35">
        <f t="shared" si="90"/>
        <v>4.8420000000000005E-2</v>
      </c>
    </row>
    <row r="344" spans="56:61" x14ac:dyDescent="0.25">
      <c r="BD344" s="7">
        <f t="shared" si="87"/>
        <v>2</v>
      </c>
      <c r="BE344" s="7">
        <f t="shared" si="88"/>
        <v>4</v>
      </c>
      <c r="BF344" s="7">
        <f t="shared" si="89"/>
        <v>2024</v>
      </c>
      <c r="BG344" s="36">
        <f t="shared" si="91"/>
        <v>45405</v>
      </c>
      <c r="BH344" s="33">
        <v>4.1420000000000005E-2</v>
      </c>
      <c r="BI344" s="35">
        <f t="shared" si="90"/>
        <v>4.8420000000000005E-2</v>
      </c>
    </row>
    <row r="345" spans="56:61" x14ac:dyDescent="0.25">
      <c r="BD345" s="7">
        <f t="shared" si="87"/>
        <v>2</v>
      </c>
      <c r="BE345" s="7">
        <f t="shared" si="88"/>
        <v>4</v>
      </c>
      <c r="BF345" s="7">
        <f t="shared" si="89"/>
        <v>2024</v>
      </c>
      <c r="BG345" s="36">
        <f t="shared" si="91"/>
        <v>45406</v>
      </c>
      <c r="BH345" s="33">
        <v>4.1420000000000005E-2</v>
      </c>
      <c r="BI345" s="35">
        <f t="shared" si="90"/>
        <v>4.8420000000000005E-2</v>
      </c>
    </row>
    <row r="346" spans="56:61" x14ac:dyDescent="0.25">
      <c r="BD346" s="7">
        <f t="shared" si="87"/>
        <v>2</v>
      </c>
      <c r="BE346" s="7">
        <f t="shared" si="88"/>
        <v>4</v>
      </c>
      <c r="BF346" s="7">
        <f t="shared" si="89"/>
        <v>2024</v>
      </c>
      <c r="BG346" s="36">
        <f t="shared" si="91"/>
        <v>45407</v>
      </c>
      <c r="BH346" s="33">
        <v>4.1420000000000005E-2</v>
      </c>
      <c r="BI346" s="35">
        <f t="shared" si="90"/>
        <v>4.8420000000000005E-2</v>
      </c>
    </row>
    <row r="347" spans="56:61" x14ac:dyDescent="0.25">
      <c r="BD347" s="7">
        <f t="shared" si="87"/>
        <v>2</v>
      </c>
      <c r="BE347" s="7">
        <f t="shared" si="88"/>
        <v>4</v>
      </c>
      <c r="BF347" s="7">
        <f t="shared" si="89"/>
        <v>2024</v>
      </c>
      <c r="BG347" s="36">
        <f t="shared" si="91"/>
        <v>45408</v>
      </c>
      <c r="BH347" s="33">
        <v>4.1420000000000005E-2</v>
      </c>
      <c r="BI347" s="35">
        <f t="shared" si="90"/>
        <v>4.8420000000000005E-2</v>
      </c>
    </row>
    <row r="348" spans="56:61" x14ac:dyDescent="0.25">
      <c r="BD348" s="7">
        <f t="shared" si="87"/>
        <v>2</v>
      </c>
      <c r="BE348" s="7">
        <f t="shared" si="88"/>
        <v>4</v>
      </c>
      <c r="BF348" s="7">
        <f t="shared" si="89"/>
        <v>2024</v>
      </c>
      <c r="BG348" s="36">
        <f t="shared" si="91"/>
        <v>45411</v>
      </c>
      <c r="BH348" s="33">
        <v>4.1420000000000005E-2</v>
      </c>
      <c r="BI348" s="35">
        <f t="shared" si="90"/>
        <v>4.8420000000000005E-2</v>
      </c>
    </row>
    <row r="349" spans="56:61" x14ac:dyDescent="0.25">
      <c r="BD349" s="7">
        <f t="shared" si="87"/>
        <v>2</v>
      </c>
      <c r="BE349" s="7">
        <f t="shared" si="88"/>
        <v>4</v>
      </c>
      <c r="BF349" s="7">
        <f t="shared" si="89"/>
        <v>2024</v>
      </c>
      <c r="BG349" s="36">
        <f t="shared" si="91"/>
        <v>45412</v>
      </c>
      <c r="BH349" s="33">
        <v>4.1420000000000005E-2</v>
      </c>
      <c r="BI349" s="35">
        <f t="shared" si="90"/>
        <v>4.8420000000000005E-2</v>
      </c>
    </row>
    <row r="350" spans="56:61" x14ac:dyDescent="0.25">
      <c r="BD350" s="7">
        <f t="shared" si="87"/>
        <v>2</v>
      </c>
      <c r="BE350" s="7">
        <f t="shared" si="88"/>
        <v>5</v>
      </c>
      <c r="BF350" s="7">
        <f t="shared" si="89"/>
        <v>2024</v>
      </c>
      <c r="BG350" s="36">
        <f t="shared" si="91"/>
        <v>45413</v>
      </c>
      <c r="BH350" s="33">
        <v>4.1420000000000005E-2</v>
      </c>
      <c r="BI350" s="35">
        <f t="shared" si="90"/>
        <v>4.8420000000000005E-2</v>
      </c>
    </row>
    <row r="351" spans="56:61" x14ac:dyDescent="0.25">
      <c r="BD351" s="7">
        <f t="shared" si="87"/>
        <v>2</v>
      </c>
      <c r="BE351" s="7">
        <f t="shared" si="88"/>
        <v>5</v>
      </c>
      <c r="BF351" s="7">
        <f t="shared" si="89"/>
        <v>2024</v>
      </c>
      <c r="BG351" s="36">
        <f t="shared" si="91"/>
        <v>45414</v>
      </c>
      <c r="BH351" s="33">
        <v>4.1420000000000005E-2</v>
      </c>
      <c r="BI351" s="35">
        <f t="shared" si="90"/>
        <v>4.8420000000000005E-2</v>
      </c>
    </row>
    <row r="352" spans="56:61" x14ac:dyDescent="0.25">
      <c r="BD352" s="7">
        <f t="shared" si="87"/>
        <v>2</v>
      </c>
      <c r="BE352" s="7">
        <f t="shared" si="88"/>
        <v>5</v>
      </c>
      <c r="BF352" s="7">
        <f t="shared" si="89"/>
        <v>2024</v>
      </c>
      <c r="BG352" s="36">
        <f t="shared" si="91"/>
        <v>45415</v>
      </c>
      <c r="BH352" s="33">
        <v>4.1420000000000005E-2</v>
      </c>
      <c r="BI352" s="35">
        <f t="shared" si="90"/>
        <v>4.8420000000000005E-2</v>
      </c>
    </row>
    <row r="353" spans="56:61" x14ac:dyDescent="0.25">
      <c r="BD353" s="7">
        <f t="shared" si="87"/>
        <v>2</v>
      </c>
      <c r="BE353" s="7">
        <f t="shared" si="88"/>
        <v>5</v>
      </c>
      <c r="BF353" s="7">
        <f t="shared" si="89"/>
        <v>2024</v>
      </c>
      <c r="BG353" s="36">
        <f t="shared" si="91"/>
        <v>45418</v>
      </c>
      <c r="BH353" s="33">
        <v>4.1420000000000005E-2</v>
      </c>
      <c r="BI353" s="35">
        <f t="shared" si="90"/>
        <v>4.8420000000000005E-2</v>
      </c>
    </row>
    <row r="354" spans="56:61" x14ac:dyDescent="0.25">
      <c r="BD354" s="7">
        <f t="shared" si="87"/>
        <v>2</v>
      </c>
      <c r="BE354" s="7">
        <f t="shared" si="88"/>
        <v>5</v>
      </c>
      <c r="BF354" s="7">
        <f t="shared" si="89"/>
        <v>2024</v>
      </c>
      <c r="BG354" s="36">
        <f t="shared" si="91"/>
        <v>45419</v>
      </c>
      <c r="BH354" s="33">
        <v>4.1420000000000005E-2</v>
      </c>
      <c r="BI354" s="35">
        <f t="shared" si="90"/>
        <v>4.8420000000000005E-2</v>
      </c>
    </row>
    <row r="355" spans="56:61" x14ac:dyDescent="0.25">
      <c r="BD355" s="7">
        <f t="shared" si="87"/>
        <v>2</v>
      </c>
      <c r="BE355" s="7">
        <f t="shared" si="88"/>
        <v>5</v>
      </c>
      <c r="BF355" s="7">
        <f t="shared" si="89"/>
        <v>2024</v>
      </c>
      <c r="BG355" s="36">
        <f t="shared" si="91"/>
        <v>45420</v>
      </c>
      <c r="BH355" s="33">
        <v>4.1420000000000005E-2</v>
      </c>
      <c r="BI355" s="35">
        <f t="shared" si="90"/>
        <v>4.8420000000000005E-2</v>
      </c>
    </row>
    <row r="356" spans="56:61" x14ac:dyDescent="0.25">
      <c r="BD356" s="7">
        <f t="shared" si="87"/>
        <v>2</v>
      </c>
      <c r="BE356" s="7">
        <f t="shared" si="88"/>
        <v>5</v>
      </c>
      <c r="BF356" s="7">
        <f t="shared" si="89"/>
        <v>2024</v>
      </c>
      <c r="BG356" s="36">
        <f t="shared" si="91"/>
        <v>45421</v>
      </c>
      <c r="BH356" s="33">
        <v>4.1420000000000005E-2</v>
      </c>
      <c r="BI356" s="35">
        <f t="shared" si="90"/>
        <v>4.8420000000000005E-2</v>
      </c>
    </row>
    <row r="357" spans="56:61" x14ac:dyDescent="0.25">
      <c r="BD357" s="7">
        <f t="shared" si="87"/>
        <v>2</v>
      </c>
      <c r="BE357" s="7">
        <f t="shared" si="88"/>
        <v>5</v>
      </c>
      <c r="BF357" s="7">
        <f t="shared" si="89"/>
        <v>2024</v>
      </c>
      <c r="BG357" s="36">
        <f t="shared" si="91"/>
        <v>45422</v>
      </c>
      <c r="BH357" s="33">
        <v>4.1420000000000005E-2</v>
      </c>
      <c r="BI357" s="35">
        <f t="shared" si="90"/>
        <v>4.8420000000000005E-2</v>
      </c>
    </row>
    <row r="358" spans="56:61" x14ac:dyDescent="0.25">
      <c r="BD358" s="7">
        <f t="shared" si="87"/>
        <v>2</v>
      </c>
      <c r="BE358" s="7">
        <f t="shared" si="88"/>
        <v>5</v>
      </c>
      <c r="BF358" s="7">
        <f t="shared" si="89"/>
        <v>2024</v>
      </c>
      <c r="BG358" s="36">
        <f t="shared" si="91"/>
        <v>45425</v>
      </c>
      <c r="BH358" s="33">
        <v>4.1420000000000005E-2</v>
      </c>
      <c r="BI358" s="35">
        <f t="shared" si="90"/>
        <v>4.8420000000000005E-2</v>
      </c>
    </row>
    <row r="359" spans="56:61" x14ac:dyDescent="0.25">
      <c r="BD359" s="7">
        <f t="shared" si="87"/>
        <v>2</v>
      </c>
      <c r="BE359" s="7">
        <f t="shared" si="88"/>
        <v>5</v>
      </c>
      <c r="BF359" s="7">
        <f t="shared" si="89"/>
        <v>2024</v>
      </c>
      <c r="BG359" s="36">
        <f t="shared" si="91"/>
        <v>45426</v>
      </c>
      <c r="BH359" s="33">
        <v>4.1420000000000005E-2</v>
      </c>
      <c r="BI359" s="35">
        <f t="shared" si="90"/>
        <v>4.8420000000000005E-2</v>
      </c>
    </row>
    <row r="360" spans="56:61" x14ac:dyDescent="0.25">
      <c r="BD360" s="7">
        <f t="shared" si="87"/>
        <v>2</v>
      </c>
      <c r="BE360" s="7">
        <f t="shared" si="88"/>
        <v>5</v>
      </c>
      <c r="BF360" s="7">
        <f t="shared" si="89"/>
        <v>2024</v>
      </c>
      <c r="BG360" s="36">
        <f t="shared" si="91"/>
        <v>45427</v>
      </c>
      <c r="BH360" s="33">
        <v>4.1420000000000005E-2</v>
      </c>
      <c r="BI360" s="35">
        <f t="shared" si="90"/>
        <v>4.8420000000000005E-2</v>
      </c>
    </row>
    <row r="361" spans="56:61" x14ac:dyDescent="0.25">
      <c r="BD361" s="7">
        <f t="shared" si="87"/>
        <v>2</v>
      </c>
      <c r="BE361" s="7">
        <f t="shared" si="88"/>
        <v>5</v>
      </c>
      <c r="BF361" s="7">
        <f t="shared" si="89"/>
        <v>2024</v>
      </c>
      <c r="BG361" s="36">
        <f t="shared" si="91"/>
        <v>45428</v>
      </c>
      <c r="BH361" s="33">
        <v>4.1420000000000005E-2</v>
      </c>
      <c r="BI361" s="35">
        <f t="shared" si="90"/>
        <v>4.8420000000000005E-2</v>
      </c>
    </row>
    <row r="362" spans="56:61" x14ac:dyDescent="0.25">
      <c r="BD362" s="7">
        <f t="shared" si="87"/>
        <v>2</v>
      </c>
      <c r="BE362" s="7">
        <f t="shared" si="88"/>
        <v>5</v>
      </c>
      <c r="BF362" s="7">
        <f t="shared" si="89"/>
        <v>2024</v>
      </c>
      <c r="BG362" s="36">
        <f t="shared" si="91"/>
        <v>45429</v>
      </c>
      <c r="BH362" s="33">
        <v>4.1420000000000005E-2</v>
      </c>
      <c r="BI362" s="35">
        <f t="shared" si="90"/>
        <v>4.8420000000000005E-2</v>
      </c>
    </row>
    <row r="363" spans="56:61" x14ac:dyDescent="0.25">
      <c r="BD363" s="7">
        <f t="shared" si="87"/>
        <v>2</v>
      </c>
      <c r="BE363" s="7">
        <f t="shared" si="88"/>
        <v>5</v>
      </c>
      <c r="BF363" s="7">
        <f t="shared" si="89"/>
        <v>2024</v>
      </c>
      <c r="BG363" s="36">
        <f t="shared" si="91"/>
        <v>45432</v>
      </c>
      <c r="BH363" s="33">
        <v>4.1420000000000005E-2</v>
      </c>
      <c r="BI363" s="35">
        <f t="shared" si="90"/>
        <v>4.8420000000000005E-2</v>
      </c>
    </row>
    <row r="364" spans="56:61" x14ac:dyDescent="0.25">
      <c r="BD364" s="7">
        <f t="shared" si="87"/>
        <v>2</v>
      </c>
      <c r="BE364" s="7">
        <f t="shared" si="88"/>
        <v>5</v>
      </c>
      <c r="BF364" s="7">
        <f t="shared" si="89"/>
        <v>2024</v>
      </c>
      <c r="BG364" s="36">
        <f t="shared" si="91"/>
        <v>45433</v>
      </c>
      <c r="BH364" s="33">
        <v>4.1420000000000005E-2</v>
      </c>
      <c r="BI364" s="35">
        <f t="shared" si="90"/>
        <v>4.8420000000000005E-2</v>
      </c>
    </row>
    <row r="365" spans="56:61" x14ac:dyDescent="0.25">
      <c r="BD365" s="7">
        <f t="shared" si="87"/>
        <v>2</v>
      </c>
      <c r="BE365" s="7">
        <f t="shared" si="88"/>
        <v>5</v>
      </c>
      <c r="BF365" s="7">
        <f t="shared" si="89"/>
        <v>2024</v>
      </c>
      <c r="BG365" s="36">
        <f t="shared" si="91"/>
        <v>45434</v>
      </c>
      <c r="BH365" s="33">
        <v>4.1420000000000005E-2</v>
      </c>
      <c r="BI365" s="35">
        <f t="shared" si="90"/>
        <v>4.8420000000000005E-2</v>
      </c>
    </row>
    <row r="366" spans="56:61" x14ac:dyDescent="0.25">
      <c r="BD366" s="7">
        <f t="shared" si="87"/>
        <v>2</v>
      </c>
      <c r="BE366" s="7">
        <f t="shared" si="88"/>
        <v>5</v>
      </c>
      <c r="BF366" s="7">
        <f t="shared" si="89"/>
        <v>2024</v>
      </c>
      <c r="BG366" s="36">
        <f t="shared" si="91"/>
        <v>45435</v>
      </c>
      <c r="BH366" s="33">
        <v>4.1420000000000005E-2</v>
      </c>
      <c r="BI366" s="35">
        <f t="shared" si="90"/>
        <v>4.8420000000000005E-2</v>
      </c>
    </row>
    <row r="367" spans="56:61" x14ac:dyDescent="0.25">
      <c r="BD367" s="7">
        <f t="shared" si="87"/>
        <v>2</v>
      </c>
      <c r="BE367" s="7">
        <f t="shared" si="88"/>
        <v>5</v>
      </c>
      <c r="BF367" s="7">
        <f t="shared" si="89"/>
        <v>2024</v>
      </c>
      <c r="BG367" s="36">
        <f t="shared" si="91"/>
        <v>45436</v>
      </c>
      <c r="BH367" s="33">
        <v>4.1420000000000005E-2</v>
      </c>
      <c r="BI367" s="35">
        <f t="shared" si="90"/>
        <v>4.8420000000000005E-2</v>
      </c>
    </row>
    <row r="368" spans="56:61" x14ac:dyDescent="0.25">
      <c r="BD368" s="7">
        <f t="shared" si="87"/>
        <v>2</v>
      </c>
      <c r="BE368" s="7">
        <f t="shared" si="88"/>
        <v>5</v>
      </c>
      <c r="BF368" s="7">
        <f t="shared" si="89"/>
        <v>2024</v>
      </c>
      <c r="BG368" s="36">
        <f t="shared" si="91"/>
        <v>45439</v>
      </c>
      <c r="BH368" s="33">
        <v>4.1420000000000005E-2</v>
      </c>
      <c r="BI368" s="35">
        <f t="shared" si="90"/>
        <v>4.8420000000000005E-2</v>
      </c>
    </row>
    <row r="369" spans="56:61" x14ac:dyDescent="0.25">
      <c r="BD369" s="7">
        <f t="shared" si="87"/>
        <v>2</v>
      </c>
      <c r="BE369" s="7">
        <f t="shared" si="88"/>
        <v>5</v>
      </c>
      <c r="BF369" s="7">
        <f t="shared" si="89"/>
        <v>2024</v>
      </c>
      <c r="BG369" s="36">
        <f t="shared" si="91"/>
        <v>45440</v>
      </c>
      <c r="BH369" s="33">
        <v>4.1420000000000005E-2</v>
      </c>
      <c r="BI369" s="35">
        <f t="shared" si="90"/>
        <v>4.8420000000000005E-2</v>
      </c>
    </row>
    <row r="370" spans="56:61" x14ac:dyDescent="0.25">
      <c r="BD370" s="7">
        <f t="shared" si="87"/>
        <v>2</v>
      </c>
      <c r="BE370" s="7">
        <f t="shared" si="88"/>
        <v>5</v>
      </c>
      <c r="BF370" s="7">
        <f t="shared" si="89"/>
        <v>2024</v>
      </c>
      <c r="BG370" s="36">
        <f t="shared" si="91"/>
        <v>45441</v>
      </c>
      <c r="BH370" s="33">
        <v>4.1420000000000005E-2</v>
      </c>
      <c r="BI370" s="35">
        <f t="shared" si="90"/>
        <v>4.8420000000000005E-2</v>
      </c>
    </row>
    <row r="371" spans="56:61" x14ac:dyDescent="0.25">
      <c r="BD371" s="7">
        <f t="shared" si="87"/>
        <v>2</v>
      </c>
      <c r="BE371" s="7">
        <f t="shared" si="88"/>
        <v>5</v>
      </c>
      <c r="BF371" s="7">
        <f t="shared" si="89"/>
        <v>2024</v>
      </c>
      <c r="BG371" s="36">
        <f t="shared" si="91"/>
        <v>45442</v>
      </c>
      <c r="BH371" s="33">
        <v>4.1420000000000005E-2</v>
      </c>
      <c r="BI371" s="35">
        <f t="shared" si="90"/>
        <v>4.8420000000000005E-2</v>
      </c>
    </row>
    <row r="372" spans="56:61" x14ac:dyDescent="0.25">
      <c r="BD372" s="7">
        <f t="shared" si="87"/>
        <v>2</v>
      </c>
      <c r="BE372" s="7">
        <f t="shared" si="88"/>
        <v>5</v>
      </c>
      <c r="BF372" s="7">
        <f t="shared" si="89"/>
        <v>2024</v>
      </c>
      <c r="BG372" s="36">
        <f t="shared" si="91"/>
        <v>45443</v>
      </c>
      <c r="BH372" s="33">
        <v>4.1420000000000005E-2</v>
      </c>
      <c r="BI372" s="35">
        <f t="shared" si="90"/>
        <v>4.8420000000000005E-2</v>
      </c>
    </row>
    <row r="373" spans="56:61" x14ac:dyDescent="0.25">
      <c r="BD373" s="7">
        <f t="shared" si="87"/>
        <v>2</v>
      </c>
      <c r="BE373" s="7">
        <f t="shared" si="88"/>
        <v>6</v>
      </c>
      <c r="BF373" s="7">
        <f t="shared" si="89"/>
        <v>2024</v>
      </c>
      <c r="BG373" s="36">
        <f t="shared" si="91"/>
        <v>45446</v>
      </c>
      <c r="BH373" s="33">
        <v>4.1420000000000005E-2</v>
      </c>
      <c r="BI373" s="35">
        <f t="shared" si="90"/>
        <v>4.8420000000000005E-2</v>
      </c>
    </row>
    <row r="374" spans="56:61" x14ac:dyDescent="0.25">
      <c r="BD374" s="7">
        <f t="shared" si="87"/>
        <v>2</v>
      </c>
      <c r="BE374" s="7">
        <f t="shared" si="88"/>
        <v>6</v>
      </c>
      <c r="BF374" s="7">
        <f t="shared" si="89"/>
        <v>2024</v>
      </c>
      <c r="BG374" s="36">
        <f t="shared" si="91"/>
        <v>45447</v>
      </c>
      <c r="BH374" s="33">
        <v>4.1420000000000005E-2</v>
      </c>
      <c r="BI374" s="35">
        <f t="shared" si="90"/>
        <v>4.8420000000000005E-2</v>
      </c>
    </row>
    <row r="375" spans="56:61" x14ac:dyDescent="0.25">
      <c r="BD375" s="7">
        <f t="shared" si="87"/>
        <v>2</v>
      </c>
      <c r="BE375" s="7">
        <f t="shared" si="88"/>
        <v>6</v>
      </c>
      <c r="BF375" s="7">
        <f t="shared" si="89"/>
        <v>2024</v>
      </c>
      <c r="BG375" s="36">
        <f t="shared" si="91"/>
        <v>45448</v>
      </c>
      <c r="BH375" s="33">
        <v>4.1420000000000005E-2</v>
      </c>
      <c r="BI375" s="35">
        <f t="shared" si="90"/>
        <v>4.8420000000000005E-2</v>
      </c>
    </row>
    <row r="376" spans="56:61" x14ac:dyDescent="0.25">
      <c r="BD376" s="7">
        <f t="shared" si="87"/>
        <v>2</v>
      </c>
      <c r="BE376" s="7">
        <f t="shared" si="88"/>
        <v>6</v>
      </c>
      <c r="BF376" s="7">
        <f t="shared" si="89"/>
        <v>2024</v>
      </c>
      <c r="BG376" s="36">
        <f t="shared" si="91"/>
        <v>45449</v>
      </c>
      <c r="BH376" s="33">
        <v>4.1420000000000005E-2</v>
      </c>
      <c r="BI376" s="35">
        <f t="shared" si="90"/>
        <v>4.8420000000000005E-2</v>
      </c>
    </row>
    <row r="377" spans="56:61" x14ac:dyDescent="0.25">
      <c r="BD377" s="7">
        <f t="shared" si="87"/>
        <v>2</v>
      </c>
      <c r="BE377" s="7">
        <f t="shared" si="88"/>
        <v>6</v>
      </c>
      <c r="BF377" s="7">
        <f t="shared" si="89"/>
        <v>2024</v>
      </c>
      <c r="BG377" s="36">
        <f t="shared" si="91"/>
        <v>45450</v>
      </c>
      <c r="BH377" s="33">
        <v>4.1420000000000005E-2</v>
      </c>
      <c r="BI377" s="35">
        <f t="shared" si="90"/>
        <v>4.8420000000000005E-2</v>
      </c>
    </row>
    <row r="378" spans="56:61" x14ac:dyDescent="0.25">
      <c r="BD378" s="7">
        <f t="shared" si="87"/>
        <v>2</v>
      </c>
      <c r="BE378" s="7">
        <f t="shared" si="88"/>
        <v>6</v>
      </c>
      <c r="BF378" s="7">
        <f t="shared" si="89"/>
        <v>2024</v>
      </c>
      <c r="BG378" s="36">
        <f t="shared" si="91"/>
        <v>45453</v>
      </c>
      <c r="BH378" s="33">
        <v>4.1420000000000005E-2</v>
      </c>
      <c r="BI378" s="35">
        <f t="shared" si="90"/>
        <v>4.8420000000000005E-2</v>
      </c>
    </row>
    <row r="379" spans="56:61" x14ac:dyDescent="0.25">
      <c r="BD379" s="7">
        <f t="shared" si="87"/>
        <v>2</v>
      </c>
      <c r="BE379" s="7">
        <f t="shared" si="88"/>
        <v>6</v>
      </c>
      <c r="BF379" s="7">
        <f t="shared" si="89"/>
        <v>2024</v>
      </c>
      <c r="BG379" s="36">
        <f t="shared" si="91"/>
        <v>45454</v>
      </c>
      <c r="BH379" s="33">
        <v>4.1420000000000005E-2</v>
      </c>
      <c r="BI379" s="35">
        <f t="shared" si="90"/>
        <v>4.8420000000000005E-2</v>
      </c>
    </row>
    <row r="380" spans="56:61" x14ac:dyDescent="0.25">
      <c r="BD380" s="7">
        <f t="shared" si="87"/>
        <v>2</v>
      </c>
      <c r="BE380" s="7">
        <f t="shared" si="88"/>
        <v>6</v>
      </c>
      <c r="BF380" s="7">
        <f t="shared" si="89"/>
        <v>2024</v>
      </c>
      <c r="BG380" s="36">
        <f t="shared" si="91"/>
        <v>45455</v>
      </c>
      <c r="BH380" s="33">
        <v>4.1420000000000005E-2</v>
      </c>
      <c r="BI380" s="35">
        <f t="shared" si="90"/>
        <v>4.8420000000000005E-2</v>
      </c>
    </row>
    <row r="381" spans="56:61" x14ac:dyDescent="0.25">
      <c r="BD381" s="7">
        <f t="shared" si="87"/>
        <v>2</v>
      </c>
      <c r="BE381" s="7">
        <f t="shared" si="88"/>
        <v>6</v>
      </c>
      <c r="BF381" s="7">
        <f t="shared" si="89"/>
        <v>2024</v>
      </c>
      <c r="BG381" s="36">
        <f t="shared" si="91"/>
        <v>45456</v>
      </c>
      <c r="BH381" s="33">
        <v>4.1420000000000005E-2</v>
      </c>
      <c r="BI381" s="35">
        <f t="shared" si="90"/>
        <v>4.8420000000000005E-2</v>
      </c>
    </row>
    <row r="382" spans="56:61" x14ac:dyDescent="0.25">
      <c r="BD382" s="7">
        <f t="shared" si="87"/>
        <v>2</v>
      </c>
      <c r="BE382" s="7">
        <f t="shared" si="88"/>
        <v>6</v>
      </c>
      <c r="BF382" s="7">
        <f t="shared" si="89"/>
        <v>2024</v>
      </c>
      <c r="BG382" s="36">
        <f t="shared" si="91"/>
        <v>45457</v>
      </c>
      <c r="BH382" s="33">
        <v>4.1420000000000005E-2</v>
      </c>
      <c r="BI382" s="35">
        <f t="shared" si="90"/>
        <v>4.8420000000000005E-2</v>
      </c>
    </row>
    <row r="383" spans="56:61" x14ac:dyDescent="0.25">
      <c r="BD383" s="7">
        <f t="shared" si="87"/>
        <v>2</v>
      </c>
      <c r="BE383" s="7">
        <f t="shared" si="88"/>
        <v>6</v>
      </c>
      <c r="BF383" s="7">
        <f t="shared" si="89"/>
        <v>2024</v>
      </c>
      <c r="BG383" s="36">
        <f t="shared" si="91"/>
        <v>45460</v>
      </c>
      <c r="BH383" s="33">
        <v>4.1420000000000005E-2</v>
      </c>
      <c r="BI383" s="35">
        <f t="shared" si="90"/>
        <v>4.8420000000000005E-2</v>
      </c>
    </row>
    <row r="384" spans="56:61" x14ac:dyDescent="0.25">
      <c r="BD384" s="7">
        <f t="shared" si="87"/>
        <v>2</v>
      </c>
      <c r="BE384" s="7">
        <f t="shared" si="88"/>
        <v>6</v>
      </c>
      <c r="BF384" s="7">
        <f t="shared" si="89"/>
        <v>2024</v>
      </c>
      <c r="BG384" s="36">
        <f t="shared" si="91"/>
        <v>45461</v>
      </c>
      <c r="BH384" s="33">
        <v>4.1420000000000005E-2</v>
      </c>
      <c r="BI384" s="35">
        <f t="shared" si="90"/>
        <v>4.8420000000000005E-2</v>
      </c>
    </row>
    <row r="385" spans="56:61" x14ac:dyDescent="0.25">
      <c r="BD385" s="7">
        <f t="shared" si="87"/>
        <v>2</v>
      </c>
      <c r="BE385" s="7">
        <f t="shared" si="88"/>
        <v>6</v>
      </c>
      <c r="BF385" s="7">
        <f t="shared" si="89"/>
        <v>2024</v>
      </c>
      <c r="BG385" s="36">
        <f t="shared" si="91"/>
        <v>45462</v>
      </c>
      <c r="BH385" s="33">
        <v>4.1420000000000005E-2</v>
      </c>
      <c r="BI385" s="35">
        <f t="shared" si="90"/>
        <v>4.8420000000000005E-2</v>
      </c>
    </row>
    <row r="386" spans="56:61" x14ac:dyDescent="0.25">
      <c r="BD386" s="7">
        <f t="shared" si="87"/>
        <v>2</v>
      </c>
      <c r="BE386" s="7">
        <f t="shared" si="88"/>
        <v>6</v>
      </c>
      <c r="BF386" s="7">
        <f t="shared" si="89"/>
        <v>2024</v>
      </c>
      <c r="BG386" s="36">
        <f t="shared" si="91"/>
        <v>45463</v>
      </c>
      <c r="BH386" s="33">
        <v>4.1420000000000005E-2</v>
      </c>
      <c r="BI386" s="35">
        <f t="shared" si="90"/>
        <v>4.8420000000000005E-2</v>
      </c>
    </row>
    <row r="387" spans="56:61" x14ac:dyDescent="0.25">
      <c r="BD387" s="7">
        <f t="shared" ref="BD387:BD450" si="92">ROUNDUP(MONTH(BG387)/3,0)</f>
        <v>2</v>
      </c>
      <c r="BE387" s="7">
        <f t="shared" ref="BE387:BE450" si="93">MONTH(BG387)</f>
        <v>6</v>
      </c>
      <c r="BF387" s="7">
        <f t="shared" ref="BF387:BF450" si="94">YEAR(BG387)</f>
        <v>2024</v>
      </c>
      <c r="BG387" s="36">
        <f t="shared" si="91"/>
        <v>45464</v>
      </c>
      <c r="BH387" s="33">
        <v>4.1420000000000005E-2</v>
      </c>
      <c r="BI387" s="35">
        <f t="shared" ref="BI387:BI450" si="95">BH387+0.7%</f>
        <v>4.8420000000000005E-2</v>
      </c>
    </row>
    <row r="388" spans="56:61" x14ac:dyDescent="0.25">
      <c r="BD388" s="7">
        <f t="shared" si="92"/>
        <v>2</v>
      </c>
      <c r="BE388" s="7">
        <f t="shared" si="93"/>
        <v>6</v>
      </c>
      <c r="BF388" s="7">
        <f t="shared" si="94"/>
        <v>2024</v>
      </c>
      <c r="BG388" s="36">
        <f t="shared" si="91"/>
        <v>45467</v>
      </c>
      <c r="BH388" s="33">
        <v>4.1420000000000005E-2</v>
      </c>
      <c r="BI388" s="35">
        <f t="shared" si="95"/>
        <v>4.8420000000000005E-2</v>
      </c>
    </row>
    <row r="389" spans="56:61" x14ac:dyDescent="0.25">
      <c r="BD389" s="7">
        <f t="shared" si="92"/>
        <v>2</v>
      </c>
      <c r="BE389" s="7">
        <f t="shared" si="93"/>
        <v>6</v>
      </c>
      <c r="BF389" s="7">
        <f t="shared" si="94"/>
        <v>2024</v>
      </c>
      <c r="BG389" s="36">
        <f t="shared" si="91"/>
        <v>45468</v>
      </c>
      <c r="BH389" s="33">
        <v>4.1420000000000005E-2</v>
      </c>
      <c r="BI389" s="35">
        <f t="shared" si="95"/>
        <v>4.8420000000000005E-2</v>
      </c>
    </row>
    <row r="390" spans="56:61" x14ac:dyDescent="0.25">
      <c r="BD390" s="7">
        <f t="shared" si="92"/>
        <v>2</v>
      </c>
      <c r="BE390" s="7">
        <f t="shared" si="93"/>
        <v>6</v>
      </c>
      <c r="BF390" s="7">
        <f t="shared" si="94"/>
        <v>2024</v>
      </c>
      <c r="BG390" s="36">
        <f t="shared" si="91"/>
        <v>45469</v>
      </c>
      <c r="BH390" s="33">
        <v>4.1420000000000005E-2</v>
      </c>
      <c r="BI390" s="35">
        <f t="shared" si="95"/>
        <v>4.8420000000000005E-2</v>
      </c>
    </row>
    <row r="391" spans="56:61" x14ac:dyDescent="0.25">
      <c r="BD391" s="7">
        <f t="shared" si="92"/>
        <v>2</v>
      </c>
      <c r="BE391" s="7">
        <f t="shared" si="93"/>
        <v>6</v>
      </c>
      <c r="BF391" s="7">
        <f t="shared" si="94"/>
        <v>2024</v>
      </c>
      <c r="BG391" s="36">
        <f t="shared" si="91"/>
        <v>45470</v>
      </c>
      <c r="BH391" s="33">
        <v>4.1420000000000005E-2</v>
      </c>
      <c r="BI391" s="35">
        <f t="shared" si="95"/>
        <v>4.8420000000000005E-2</v>
      </c>
    </row>
    <row r="392" spans="56:61" x14ac:dyDescent="0.25">
      <c r="BD392" s="7">
        <f t="shared" si="92"/>
        <v>2</v>
      </c>
      <c r="BE392" s="7">
        <f t="shared" si="93"/>
        <v>6</v>
      </c>
      <c r="BF392" s="7">
        <f t="shared" si="94"/>
        <v>2024</v>
      </c>
      <c r="BG392" s="36">
        <f t="shared" si="91"/>
        <v>45471</v>
      </c>
      <c r="BH392" s="33">
        <v>4.1420000000000005E-2</v>
      </c>
      <c r="BI392" s="35">
        <f t="shared" si="95"/>
        <v>4.8420000000000005E-2</v>
      </c>
    </row>
    <row r="393" spans="56:61" x14ac:dyDescent="0.25">
      <c r="BD393" s="7">
        <f t="shared" si="92"/>
        <v>3</v>
      </c>
      <c r="BE393" s="7">
        <f t="shared" si="93"/>
        <v>7</v>
      </c>
      <c r="BF393" s="7">
        <f t="shared" si="94"/>
        <v>2024</v>
      </c>
      <c r="BG393" s="36">
        <f t="shared" si="91"/>
        <v>45474</v>
      </c>
      <c r="BH393" s="33">
        <v>4.1420000000000005E-2</v>
      </c>
      <c r="BI393" s="35">
        <f t="shared" si="95"/>
        <v>4.8420000000000005E-2</v>
      </c>
    </row>
    <row r="394" spans="56:61" x14ac:dyDescent="0.25">
      <c r="BD394" s="7">
        <f t="shared" si="92"/>
        <v>3</v>
      </c>
      <c r="BE394" s="7">
        <f t="shared" si="93"/>
        <v>7</v>
      </c>
      <c r="BF394" s="7">
        <f t="shared" si="94"/>
        <v>2024</v>
      </c>
      <c r="BG394" s="36">
        <f t="shared" si="91"/>
        <v>45475</v>
      </c>
      <c r="BH394" s="33">
        <v>4.1420000000000005E-2</v>
      </c>
      <c r="BI394" s="35">
        <f t="shared" si="95"/>
        <v>4.8420000000000005E-2</v>
      </c>
    </row>
    <row r="395" spans="56:61" x14ac:dyDescent="0.25">
      <c r="BD395" s="7">
        <f t="shared" si="92"/>
        <v>3</v>
      </c>
      <c r="BE395" s="7">
        <f t="shared" si="93"/>
        <v>7</v>
      </c>
      <c r="BF395" s="7">
        <f t="shared" si="94"/>
        <v>2024</v>
      </c>
      <c r="BG395" s="36">
        <f t="shared" ref="BG395:BG458" si="96">WORKDAY(BG394,1)</f>
        <v>45476</v>
      </c>
      <c r="BH395" s="33">
        <v>4.1420000000000005E-2</v>
      </c>
      <c r="BI395" s="35">
        <f t="shared" si="95"/>
        <v>4.8420000000000005E-2</v>
      </c>
    </row>
    <row r="396" spans="56:61" x14ac:dyDescent="0.25">
      <c r="BD396" s="7">
        <f t="shared" si="92"/>
        <v>3</v>
      </c>
      <c r="BE396" s="7">
        <f t="shared" si="93"/>
        <v>7</v>
      </c>
      <c r="BF396" s="7">
        <f t="shared" si="94"/>
        <v>2024</v>
      </c>
      <c r="BG396" s="36">
        <f t="shared" si="96"/>
        <v>45477</v>
      </c>
      <c r="BH396" s="33">
        <v>4.1420000000000005E-2</v>
      </c>
      <c r="BI396" s="35">
        <f t="shared" si="95"/>
        <v>4.8420000000000005E-2</v>
      </c>
    </row>
    <row r="397" spans="56:61" x14ac:dyDescent="0.25">
      <c r="BD397" s="7">
        <f t="shared" si="92"/>
        <v>3</v>
      </c>
      <c r="BE397" s="7">
        <f t="shared" si="93"/>
        <v>7</v>
      </c>
      <c r="BF397" s="7">
        <f t="shared" si="94"/>
        <v>2024</v>
      </c>
      <c r="BG397" s="36">
        <f t="shared" si="96"/>
        <v>45478</v>
      </c>
      <c r="BH397" s="33">
        <v>4.1420000000000005E-2</v>
      </c>
      <c r="BI397" s="35">
        <f t="shared" si="95"/>
        <v>4.8420000000000005E-2</v>
      </c>
    </row>
    <row r="398" spans="56:61" x14ac:dyDescent="0.25">
      <c r="BD398" s="7">
        <f t="shared" si="92"/>
        <v>3</v>
      </c>
      <c r="BE398" s="7">
        <f t="shared" si="93"/>
        <v>7</v>
      </c>
      <c r="BF398" s="7">
        <f t="shared" si="94"/>
        <v>2024</v>
      </c>
      <c r="BG398" s="36">
        <f t="shared" si="96"/>
        <v>45481</v>
      </c>
      <c r="BH398" s="33">
        <v>4.1420000000000005E-2</v>
      </c>
      <c r="BI398" s="35">
        <f t="shared" si="95"/>
        <v>4.8420000000000005E-2</v>
      </c>
    </row>
    <row r="399" spans="56:61" x14ac:dyDescent="0.25">
      <c r="BD399" s="7">
        <f t="shared" si="92"/>
        <v>3</v>
      </c>
      <c r="BE399" s="7">
        <f t="shared" si="93"/>
        <v>7</v>
      </c>
      <c r="BF399" s="7">
        <f t="shared" si="94"/>
        <v>2024</v>
      </c>
      <c r="BG399" s="36">
        <f t="shared" si="96"/>
        <v>45482</v>
      </c>
      <c r="BH399" s="33">
        <v>4.1420000000000005E-2</v>
      </c>
      <c r="BI399" s="35">
        <f t="shared" si="95"/>
        <v>4.8420000000000005E-2</v>
      </c>
    </row>
    <row r="400" spans="56:61" x14ac:dyDescent="0.25">
      <c r="BD400" s="7">
        <f t="shared" si="92"/>
        <v>3</v>
      </c>
      <c r="BE400" s="7">
        <f t="shared" si="93"/>
        <v>7</v>
      </c>
      <c r="BF400" s="7">
        <f t="shared" si="94"/>
        <v>2024</v>
      </c>
      <c r="BG400" s="36">
        <f t="shared" si="96"/>
        <v>45483</v>
      </c>
      <c r="BH400" s="33">
        <v>4.1420000000000005E-2</v>
      </c>
      <c r="BI400" s="35">
        <f t="shared" si="95"/>
        <v>4.8420000000000005E-2</v>
      </c>
    </row>
    <row r="401" spans="56:61" x14ac:dyDescent="0.25">
      <c r="BD401" s="7">
        <f t="shared" si="92"/>
        <v>3</v>
      </c>
      <c r="BE401" s="7">
        <f t="shared" si="93"/>
        <v>7</v>
      </c>
      <c r="BF401" s="7">
        <f t="shared" si="94"/>
        <v>2024</v>
      </c>
      <c r="BG401" s="36">
        <f t="shared" si="96"/>
        <v>45484</v>
      </c>
      <c r="BH401" s="33">
        <v>4.1420000000000005E-2</v>
      </c>
      <c r="BI401" s="35">
        <f t="shared" si="95"/>
        <v>4.8420000000000005E-2</v>
      </c>
    </row>
    <row r="402" spans="56:61" x14ac:dyDescent="0.25">
      <c r="BD402" s="7">
        <f t="shared" si="92"/>
        <v>3</v>
      </c>
      <c r="BE402" s="7">
        <f t="shared" si="93"/>
        <v>7</v>
      </c>
      <c r="BF402" s="7">
        <f t="shared" si="94"/>
        <v>2024</v>
      </c>
      <c r="BG402" s="36">
        <f t="shared" si="96"/>
        <v>45485</v>
      </c>
      <c r="BH402" s="33">
        <v>4.1420000000000005E-2</v>
      </c>
      <c r="BI402" s="35">
        <f t="shared" si="95"/>
        <v>4.8420000000000005E-2</v>
      </c>
    </row>
    <row r="403" spans="56:61" x14ac:dyDescent="0.25">
      <c r="BD403" s="7">
        <f t="shared" si="92"/>
        <v>3</v>
      </c>
      <c r="BE403" s="7">
        <f t="shared" si="93"/>
        <v>7</v>
      </c>
      <c r="BF403" s="7">
        <f t="shared" si="94"/>
        <v>2024</v>
      </c>
      <c r="BG403" s="36">
        <f t="shared" si="96"/>
        <v>45488</v>
      </c>
      <c r="BH403" s="33">
        <v>4.1420000000000005E-2</v>
      </c>
      <c r="BI403" s="35">
        <f t="shared" si="95"/>
        <v>4.8420000000000005E-2</v>
      </c>
    </row>
    <row r="404" spans="56:61" x14ac:dyDescent="0.25">
      <c r="BD404" s="7">
        <f t="shared" si="92"/>
        <v>3</v>
      </c>
      <c r="BE404" s="7">
        <f t="shared" si="93"/>
        <v>7</v>
      </c>
      <c r="BF404" s="7">
        <f t="shared" si="94"/>
        <v>2024</v>
      </c>
      <c r="BG404" s="36">
        <f t="shared" si="96"/>
        <v>45489</v>
      </c>
      <c r="BH404" s="33">
        <v>4.1420000000000005E-2</v>
      </c>
      <c r="BI404" s="35">
        <f t="shared" si="95"/>
        <v>4.8420000000000005E-2</v>
      </c>
    </row>
    <row r="405" spans="56:61" x14ac:dyDescent="0.25">
      <c r="BD405" s="7">
        <f t="shared" si="92"/>
        <v>3</v>
      </c>
      <c r="BE405" s="7">
        <f t="shared" si="93"/>
        <v>7</v>
      </c>
      <c r="BF405" s="7">
        <f t="shared" si="94"/>
        <v>2024</v>
      </c>
      <c r="BG405" s="36">
        <f t="shared" si="96"/>
        <v>45490</v>
      </c>
      <c r="BH405" s="33">
        <v>4.1420000000000005E-2</v>
      </c>
      <c r="BI405" s="35">
        <f t="shared" si="95"/>
        <v>4.8420000000000005E-2</v>
      </c>
    </row>
    <row r="406" spans="56:61" x14ac:dyDescent="0.25">
      <c r="BD406" s="7">
        <f t="shared" si="92"/>
        <v>3</v>
      </c>
      <c r="BE406" s="7">
        <f t="shared" si="93"/>
        <v>7</v>
      </c>
      <c r="BF406" s="7">
        <f t="shared" si="94"/>
        <v>2024</v>
      </c>
      <c r="BG406" s="36">
        <f t="shared" si="96"/>
        <v>45491</v>
      </c>
      <c r="BH406" s="33">
        <v>4.1420000000000005E-2</v>
      </c>
      <c r="BI406" s="35">
        <f t="shared" si="95"/>
        <v>4.8420000000000005E-2</v>
      </c>
    </row>
    <row r="407" spans="56:61" x14ac:dyDescent="0.25">
      <c r="BD407" s="7">
        <f t="shared" si="92"/>
        <v>3</v>
      </c>
      <c r="BE407" s="7">
        <f t="shared" si="93"/>
        <v>7</v>
      </c>
      <c r="BF407" s="7">
        <f t="shared" si="94"/>
        <v>2024</v>
      </c>
      <c r="BG407" s="36">
        <f t="shared" si="96"/>
        <v>45492</v>
      </c>
      <c r="BH407" s="33">
        <v>4.1420000000000005E-2</v>
      </c>
      <c r="BI407" s="35">
        <f t="shared" si="95"/>
        <v>4.8420000000000005E-2</v>
      </c>
    </row>
    <row r="408" spans="56:61" x14ac:dyDescent="0.25">
      <c r="BD408" s="7">
        <f t="shared" si="92"/>
        <v>3</v>
      </c>
      <c r="BE408" s="7">
        <f t="shared" si="93"/>
        <v>7</v>
      </c>
      <c r="BF408" s="7">
        <f t="shared" si="94"/>
        <v>2024</v>
      </c>
      <c r="BG408" s="36">
        <f t="shared" si="96"/>
        <v>45495</v>
      </c>
      <c r="BH408" s="33">
        <v>4.1420000000000005E-2</v>
      </c>
      <c r="BI408" s="35">
        <f t="shared" si="95"/>
        <v>4.8420000000000005E-2</v>
      </c>
    </row>
    <row r="409" spans="56:61" x14ac:dyDescent="0.25">
      <c r="BD409" s="7">
        <f t="shared" si="92"/>
        <v>3</v>
      </c>
      <c r="BE409" s="7">
        <f t="shared" si="93"/>
        <v>7</v>
      </c>
      <c r="BF409" s="7">
        <f t="shared" si="94"/>
        <v>2024</v>
      </c>
      <c r="BG409" s="36">
        <f t="shared" si="96"/>
        <v>45496</v>
      </c>
      <c r="BH409" s="33">
        <v>4.1420000000000005E-2</v>
      </c>
      <c r="BI409" s="35">
        <f t="shared" si="95"/>
        <v>4.8420000000000005E-2</v>
      </c>
    </row>
    <row r="410" spans="56:61" x14ac:dyDescent="0.25">
      <c r="BD410" s="7">
        <f t="shared" si="92"/>
        <v>3</v>
      </c>
      <c r="BE410" s="7">
        <f t="shared" si="93"/>
        <v>7</v>
      </c>
      <c r="BF410" s="7">
        <f t="shared" si="94"/>
        <v>2024</v>
      </c>
      <c r="BG410" s="36">
        <f t="shared" si="96"/>
        <v>45497</v>
      </c>
      <c r="BH410" s="33">
        <v>4.1420000000000005E-2</v>
      </c>
      <c r="BI410" s="35">
        <f t="shared" si="95"/>
        <v>4.8420000000000005E-2</v>
      </c>
    </row>
    <row r="411" spans="56:61" x14ac:dyDescent="0.25">
      <c r="BD411" s="7">
        <f t="shared" si="92"/>
        <v>3</v>
      </c>
      <c r="BE411" s="7">
        <f t="shared" si="93"/>
        <v>7</v>
      </c>
      <c r="BF411" s="7">
        <f t="shared" si="94"/>
        <v>2024</v>
      </c>
      <c r="BG411" s="36">
        <f t="shared" si="96"/>
        <v>45498</v>
      </c>
      <c r="BH411" s="33">
        <v>4.1420000000000005E-2</v>
      </c>
      <c r="BI411" s="35">
        <f t="shared" si="95"/>
        <v>4.8420000000000005E-2</v>
      </c>
    </row>
    <row r="412" spans="56:61" x14ac:dyDescent="0.25">
      <c r="BD412" s="7">
        <f t="shared" si="92"/>
        <v>3</v>
      </c>
      <c r="BE412" s="7">
        <f t="shared" si="93"/>
        <v>7</v>
      </c>
      <c r="BF412" s="7">
        <f t="shared" si="94"/>
        <v>2024</v>
      </c>
      <c r="BG412" s="36">
        <f t="shared" si="96"/>
        <v>45499</v>
      </c>
      <c r="BH412" s="33">
        <v>4.1420000000000005E-2</v>
      </c>
      <c r="BI412" s="35">
        <f t="shared" si="95"/>
        <v>4.8420000000000005E-2</v>
      </c>
    </row>
    <row r="413" spans="56:61" x14ac:dyDescent="0.25">
      <c r="BD413" s="7">
        <f t="shared" si="92"/>
        <v>3</v>
      </c>
      <c r="BE413" s="7">
        <f t="shared" si="93"/>
        <v>7</v>
      </c>
      <c r="BF413" s="7">
        <f t="shared" si="94"/>
        <v>2024</v>
      </c>
      <c r="BG413" s="36">
        <f t="shared" si="96"/>
        <v>45502</v>
      </c>
      <c r="BH413" s="33">
        <v>4.1420000000000005E-2</v>
      </c>
      <c r="BI413" s="35">
        <f t="shared" si="95"/>
        <v>4.8420000000000005E-2</v>
      </c>
    </row>
    <row r="414" spans="56:61" x14ac:dyDescent="0.25">
      <c r="BD414" s="7">
        <f t="shared" si="92"/>
        <v>3</v>
      </c>
      <c r="BE414" s="7">
        <f t="shared" si="93"/>
        <v>7</v>
      </c>
      <c r="BF414" s="7">
        <f t="shared" si="94"/>
        <v>2024</v>
      </c>
      <c r="BG414" s="36">
        <f t="shared" si="96"/>
        <v>45503</v>
      </c>
      <c r="BH414" s="33">
        <v>4.1420000000000005E-2</v>
      </c>
      <c r="BI414" s="35">
        <f t="shared" si="95"/>
        <v>4.8420000000000005E-2</v>
      </c>
    </row>
    <row r="415" spans="56:61" x14ac:dyDescent="0.25">
      <c r="BD415" s="7">
        <f t="shared" si="92"/>
        <v>3</v>
      </c>
      <c r="BE415" s="7">
        <f t="shared" si="93"/>
        <v>7</v>
      </c>
      <c r="BF415" s="7">
        <f t="shared" si="94"/>
        <v>2024</v>
      </c>
      <c r="BG415" s="36">
        <f t="shared" si="96"/>
        <v>45504</v>
      </c>
      <c r="BH415" s="33">
        <v>4.1420000000000005E-2</v>
      </c>
      <c r="BI415" s="35">
        <f t="shared" si="95"/>
        <v>4.8420000000000005E-2</v>
      </c>
    </row>
    <row r="416" spans="56:61" x14ac:dyDescent="0.25">
      <c r="BD416" s="7">
        <f t="shared" si="92"/>
        <v>3</v>
      </c>
      <c r="BE416" s="7">
        <f t="shared" si="93"/>
        <v>8</v>
      </c>
      <c r="BF416" s="7">
        <f t="shared" si="94"/>
        <v>2024</v>
      </c>
      <c r="BG416" s="36">
        <f t="shared" si="96"/>
        <v>45505</v>
      </c>
      <c r="BH416" s="33">
        <v>4.1420000000000005E-2</v>
      </c>
      <c r="BI416" s="35">
        <f t="shared" si="95"/>
        <v>4.8420000000000005E-2</v>
      </c>
    </row>
    <row r="417" spans="56:61" x14ac:dyDescent="0.25">
      <c r="BD417" s="7">
        <f t="shared" si="92"/>
        <v>3</v>
      </c>
      <c r="BE417" s="7">
        <f t="shared" si="93"/>
        <v>8</v>
      </c>
      <c r="BF417" s="7">
        <f t="shared" si="94"/>
        <v>2024</v>
      </c>
      <c r="BG417" s="36">
        <f t="shared" si="96"/>
        <v>45506</v>
      </c>
      <c r="BH417" s="33">
        <v>4.1420000000000005E-2</v>
      </c>
      <c r="BI417" s="35">
        <f t="shared" si="95"/>
        <v>4.8420000000000005E-2</v>
      </c>
    </row>
    <row r="418" spans="56:61" x14ac:dyDescent="0.25">
      <c r="BD418" s="7">
        <f t="shared" si="92"/>
        <v>3</v>
      </c>
      <c r="BE418" s="7">
        <f t="shared" si="93"/>
        <v>8</v>
      </c>
      <c r="BF418" s="7">
        <f t="shared" si="94"/>
        <v>2024</v>
      </c>
      <c r="BG418" s="36">
        <f t="shared" si="96"/>
        <v>45509</v>
      </c>
      <c r="BH418" s="33">
        <v>4.1420000000000005E-2</v>
      </c>
      <c r="BI418" s="35">
        <f t="shared" si="95"/>
        <v>4.8420000000000005E-2</v>
      </c>
    </row>
    <row r="419" spans="56:61" x14ac:dyDescent="0.25">
      <c r="BD419" s="7">
        <f t="shared" si="92"/>
        <v>3</v>
      </c>
      <c r="BE419" s="7">
        <f t="shared" si="93"/>
        <v>8</v>
      </c>
      <c r="BF419" s="7">
        <f t="shared" si="94"/>
        <v>2024</v>
      </c>
      <c r="BG419" s="36">
        <f t="shared" si="96"/>
        <v>45510</v>
      </c>
      <c r="BH419" s="33">
        <v>4.1420000000000005E-2</v>
      </c>
      <c r="BI419" s="35">
        <f t="shared" si="95"/>
        <v>4.8420000000000005E-2</v>
      </c>
    </row>
    <row r="420" spans="56:61" x14ac:dyDescent="0.25">
      <c r="BD420" s="7">
        <f t="shared" si="92"/>
        <v>3</v>
      </c>
      <c r="BE420" s="7">
        <f t="shared" si="93"/>
        <v>8</v>
      </c>
      <c r="BF420" s="7">
        <f t="shared" si="94"/>
        <v>2024</v>
      </c>
      <c r="BG420" s="36">
        <f t="shared" si="96"/>
        <v>45511</v>
      </c>
      <c r="BH420" s="33">
        <v>4.1420000000000005E-2</v>
      </c>
      <c r="BI420" s="35">
        <f t="shared" si="95"/>
        <v>4.8420000000000005E-2</v>
      </c>
    </row>
    <row r="421" spans="56:61" x14ac:dyDescent="0.25">
      <c r="BD421" s="7">
        <f t="shared" si="92"/>
        <v>3</v>
      </c>
      <c r="BE421" s="7">
        <f t="shared" si="93"/>
        <v>8</v>
      </c>
      <c r="BF421" s="7">
        <f t="shared" si="94"/>
        <v>2024</v>
      </c>
      <c r="BG421" s="36">
        <f t="shared" si="96"/>
        <v>45512</v>
      </c>
      <c r="BH421" s="33">
        <v>4.1420000000000005E-2</v>
      </c>
      <c r="BI421" s="35">
        <f t="shared" si="95"/>
        <v>4.8420000000000005E-2</v>
      </c>
    </row>
    <row r="422" spans="56:61" x14ac:dyDescent="0.25">
      <c r="BD422" s="7">
        <f t="shared" si="92"/>
        <v>3</v>
      </c>
      <c r="BE422" s="7">
        <f t="shared" si="93"/>
        <v>8</v>
      </c>
      <c r="BF422" s="7">
        <f t="shared" si="94"/>
        <v>2024</v>
      </c>
      <c r="BG422" s="36">
        <f t="shared" si="96"/>
        <v>45513</v>
      </c>
      <c r="BH422" s="33">
        <v>4.1420000000000005E-2</v>
      </c>
      <c r="BI422" s="35">
        <f t="shared" si="95"/>
        <v>4.8420000000000005E-2</v>
      </c>
    </row>
    <row r="423" spans="56:61" x14ac:dyDescent="0.25">
      <c r="BD423" s="7">
        <f t="shared" si="92"/>
        <v>3</v>
      </c>
      <c r="BE423" s="7">
        <f t="shared" si="93"/>
        <v>8</v>
      </c>
      <c r="BF423" s="7">
        <f t="shared" si="94"/>
        <v>2024</v>
      </c>
      <c r="BG423" s="36">
        <f t="shared" si="96"/>
        <v>45516</v>
      </c>
      <c r="BH423" s="33">
        <v>4.1420000000000005E-2</v>
      </c>
      <c r="BI423" s="35">
        <f t="shared" si="95"/>
        <v>4.8420000000000005E-2</v>
      </c>
    </row>
    <row r="424" spans="56:61" x14ac:dyDescent="0.25">
      <c r="BD424" s="7">
        <f t="shared" si="92"/>
        <v>3</v>
      </c>
      <c r="BE424" s="7">
        <f t="shared" si="93"/>
        <v>8</v>
      </c>
      <c r="BF424" s="7">
        <f t="shared" si="94"/>
        <v>2024</v>
      </c>
      <c r="BG424" s="36">
        <f t="shared" si="96"/>
        <v>45517</v>
      </c>
      <c r="BH424" s="33">
        <v>4.1420000000000005E-2</v>
      </c>
      <c r="BI424" s="35">
        <f t="shared" si="95"/>
        <v>4.8420000000000005E-2</v>
      </c>
    </row>
    <row r="425" spans="56:61" x14ac:dyDescent="0.25">
      <c r="BD425" s="7">
        <f t="shared" si="92"/>
        <v>3</v>
      </c>
      <c r="BE425" s="7">
        <f t="shared" si="93"/>
        <v>8</v>
      </c>
      <c r="BF425" s="7">
        <f t="shared" si="94"/>
        <v>2024</v>
      </c>
      <c r="BG425" s="36">
        <f t="shared" si="96"/>
        <v>45518</v>
      </c>
      <c r="BH425" s="33">
        <v>3.8920000000000003E-2</v>
      </c>
      <c r="BI425" s="35">
        <f t="shared" si="95"/>
        <v>4.5920000000000002E-2</v>
      </c>
    </row>
    <row r="426" spans="56:61" x14ac:dyDescent="0.25">
      <c r="BD426" s="7">
        <f t="shared" si="92"/>
        <v>3</v>
      </c>
      <c r="BE426" s="7">
        <f t="shared" si="93"/>
        <v>8</v>
      </c>
      <c r="BF426" s="7">
        <f t="shared" si="94"/>
        <v>2024</v>
      </c>
      <c r="BG426" s="36">
        <f t="shared" si="96"/>
        <v>45519</v>
      </c>
      <c r="BH426" s="35">
        <v>3.8920000000000003E-2</v>
      </c>
      <c r="BI426" s="35">
        <f t="shared" si="95"/>
        <v>4.5920000000000002E-2</v>
      </c>
    </row>
    <row r="427" spans="56:61" x14ac:dyDescent="0.25">
      <c r="BD427" s="7">
        <f t="shared" si="92"/>
        <v>3</v>
      </c>
      <c r="BE427" s="7">
        <f t="shared" si="93"/>
        <v>8</v>
      </c>
      <c r="BF427" s="7">
        <f t="shared" si="94"/>
        <v>2024</v>
      </c>
      <c r="BG427" s="36">
        <f t="shared" si="96"/>
        <v>45520</v>
      </c>
      <c r="BH427" s="35">
        <v>3.8920000000000003E-2</v>
      </c>
      <c r="BI427" s="35">
        <f t="shared" si="95"/>
        <v>4.5920000000000002E-2</v>
      </c>
    </row>
    <row r="428" spans="56:61" x14ac:dyDescent="0.25">
      <c r="BD428" s="7">
        <f t="shared" si="92"/>
        <v>3</v>
      </c>
      <c r="BE428" s="7">
        <f t="shared" si="93"/>
        <v>8</v>
      </c>
      <c r="BF428" s="7">
        <f t="shared" si="94"/>
        <v>2024</v>
      </c>
      <c r="BG428" s="36">
        <f t="shared" si="96"/>
        <v>45523</v>
      </c>
      <c r="BH428" s="35">
        <v>3.8920000000000003E-2</v>
      </c>
      <c r="BI428" s="35">
        <f t="shared" si="95"/>
        <v>4.5920000000000002E-2</v>
      </c>
    </row>
    <row r="429" spans="56:61" x14ac:dyDescent="0.25">
      <c r="BD429" s="7">
        <f t="shared" si="92"/>
        <v>3</v>
      </c>
      <c r="BE429" s="7">
        <f t="shared" si="93"/>
        <v>8</v>
      </c>
      <c r="BF429" s="7">
        <f t="shared" si="94"/>
        <v>2024</v>
      </c>
      <c r="BG429" s="36">
        <f t="shared" si="96"/>
        <v>45524</v>
      </c>
      <c r="BH429" s="35">
        <v>3.8920000000000003E-2</v>
      </c>
      <c r="BI429" s="35">
        <f t="shared" si="95"/>
        <v>4.5920000000000002E-2</v>
      </c>
    </row>
    <row r="430" spans="56:61" x14ac:dyDescent="0.25">
      <c r="BD430" s="7">
        <f t="shared" si="92"/>
        <v>3</v>
      </c>
      <c r="BE430" s="7">
        <f t="shared" si="93"/>
        <v>8</v>
      </c>
      <c r="BF430" s="7">
        <f t="shared" si="94"/>
        <v>2024</v>
      </c>
      <c r="BG430" s="36">
        <f t="shared" si="96"/>
        <v>45525</v>
      </c>
      <c r="BH430" s="35">
        <v>3.8920000000000003E-2</v>
      </c>
      <c r="BI430" s="35">
        <f t="shared" si="95"/>
        <v>4.5920000000000002E-2</v>
      </c>
    </row>
    <row r="431" spans="56:61" x14ac:dyDescent="0.25">
      <c r="BD431" s="7">
        <f t="shared" si="92"/>
        <v>3</v>
      </c>
      <c r="BE431" s="7">
        <f t="shared" si="93"/>
        <v>8</v>
      </c>
      <c r="BF431" s="7">
        <f t="shared" si="94"/>
        <v>2024</v>
      </c>
      <c r="BG431" s="36">
        <f t="shared" si="96"/>
        <v>45526</v>
      </c>
      <c r="BH431" s="35">
        <v>3.8920000000000003E-2</v>
      </c>
      <c r="BI431" s="35">
        <f t="shared" si="95"/>
        <v>4.5920000000000002E-2</v>
      </c>
    </row>
    <row r="432" spans="56:61" x14ac:dyDescent="0.25">
      <c r="BD432" s="7">
        <f t="shared" si="92"/>
        <v>3</v>
      </c>
      <c r="BE432" s="7">
        <f t="shared" si="93"/>
        <v>8</v>
      </c>
      <c r="BF432" s="7">
        <f t="shared" si="94"/>
        <v>2024</v>
      </c>
      <c r="BG432" s="36">
        <f t="shared" si="96"/>
        <v>45527</v>
      </c>
      <c r="BH432" s="35">
        <v>3.8920000000000003E-2</v>
      </c>
      <c r="BI432" s="35">
        <f t="shared" si="95"/>
        <v>4.5920000000000002E-2</v>
      </c>
    </row>
    <row r="433" spans="56:61" x14ac:dyDescent="0.25">
      <c r="BD433" s="7">
        <f t="shared" si="92"/>
        <v>3</v>
      </c>
      <c r="BE433" s="7">
        <f t="shared" si="93"/>
        <v>8</v>
      </c>
      <c r="BF433" s="7">
        <f t="shared" si="94"/>
        <v>2024</v>
      </c>
      <c r="BG433" s="36">
        <f t="shared" si="96"/>
        <v>45530</v>
      </c>
      <c r="BH433" s="35">
        <v>3.8920000000000003E-2</v>
      </c>
      <c r="BI433" s="35">
        <f t="shared" si="95"/>
        <v>4.5920000000000002E-2</v>
      </c>
    </row>
    <row r="434" spans="56:61" x14ac:dyDescent="0.25">
      <c r="BD434" s="7">
        <f t="shared" si="92"/>
        <v>3</v>
      </c>
      <c r="BE434" s="7">
        <f t="shared" si="93"/>
        <v>8</v>
      </c>
      <c r="BF434" s="7">
        <f t="shared" si="94"/>
        <v>2024</v>
      </c>
      <c r="BG434" s="36">
        <f t="shared" si="96"/>
        <v>45531</v>
      </c>
      <c r="BH434" s="35">
        <v>3.8920000000000003E-2</v>
      </c>
      <c r="BI434" s="35">
        <f t="shared" si="95"/>
        <v>4.5920000000000002E-2</v>
      </c>
    </row>
    <row r="435" spans="56:61" x14ac:dyDescent="0.25">
      <c r="BD435" s="7">
        <f t="shared" si="92"/>
        <v>3</v>
      </c>
      <c r="BE435" s="7">
        <f t="shared" si="93"/>
        <v>8</v>
      </c>
      <c r="BF435" s="7">
        <f t="shared" si="94"/>
        <v>2024</v>
      </c>
      <c r="BG435" s="36">
        <f t="shared" si="96"/>
        <v>45532</v>
      </c>
      <c r="BH435" s="35">
        <v>3.8920000000000003E-2</v>
      </c>
      <c r="BI435" s="35">
        <f t="shared" si="95"/>
        <v>4.5920000000000002E-2</v>
      </c>
    </row>
    <row r="436" spans="56:61" x14ac:dyDescent="0.25">
      <c r="BD436" s="7">
        <f t="shared" si="92"/>
        <v>3</v>
      </c>
      <c r="BE436" s="7">
        <f t="shared" si="93"/>
        <v>8</v>
      </c>
      <c r="BF436" s="7">
        <f t="shared" si="94"/>
        <v>2024</v>
      </c>
      <c r="BG436" s="36">
        <f t="shared" si="96"/>
        <v>45533</v>
      </c>
      <c r="BH436" s="35">
        <v>3.8920000000000003E-2</v>
      </c>
      <c r="BI436" s="35">
        <f t="shared" si="95"/>
        <v>4.5920000000000002E-2</v>
      </c>
    </row>
    <row r="437" spans="56:61" x14ac:dyDescent="0.25">
      <c r="BD437" s="7">
        <f t="shared" si="92"/>
        <v>3</v>
      </c>
      <c r="BE437" s="7">
        <f t="shared" si="93"/>
        <v>8</v>
      </c>
      <c r="BF437" s="7">
        <f t="shared" si="94"/>
        <v>2024</v>
      </c>
      <c r="BG437" s="36">
        <f t="shared" si="96"/>
        <v>45534</v>
      </c>
      <c r="BH437" s="35">
        <v>3.8920000000000003E-2</v>
      </c>
      <c r="BI437" s="35">
        <f t="shared" si="95"/>
        <v>4.5920000000000002E-2</v>
      </c>
    </row>
    <row r="438" spans="56:61" x14ac:dyDescent="0.25">
      <c r="BD438" s="7">
        <f t="shared" si="92"/>
        <v>3</v>
      </c>
      <c r="BE438" s="7">
        <f t="shared" si="93"/>
        <v>9</v>
      </c>
      <c r="BF438" s="7">
        <f t="shared" si="94"/>
        <v>2024</v>
      </c>
      <c r="BG438" s="36">
        <f t="shared" si="96"/>
        <v>45537</v>
      </c>
      <c r="BH438" s="35">
        <v>3.8920000000000003E-2</v>
      </c>
      <c r="BI438" s="35">
        <f t="shared" si="95"/>
        <v>4.5920000000000002E-2</v>
      </c>
    </row>
    <row r="439" spans="56:61" x14ac:dyDescent="0.25">
      <c r="BD439" s="7">
        <f t="shared" si="92"/>
        <v>3</v>
      </c>
      <c r="BE439" s="7">
        <f t="shared" si="93"/>
        <v>9</v>
      </c>
      <c r="BF439" s="7">
        <f t="shared" si="94"/>
        <v>2024</v>
      </c>
      <c r="BG439" s="36">
        <f t="shared" si="96"/>
        <v>45538</v>
      </c>
      <c r="BH439" s="35">
        <v>3.8920000000000003E-2</v>
      </c>
      <c r="BI439" s="35">
        <f t="shared" si="95"/>
        <v>4.5920000000000002E-2</v>
      </c>
    </row>
    <row r="440" spans="56:61" x14ac:dyDescent="0.25">
      <c r="BD440" s="7">
        <f t="shared" si="92"/>
        <v>3</v>
      </c>
      <c r="BE440" s="7">
        <f t="shared" si="93"/>
        <v>9</v>
      </c>
      <c r="BF440" s="7">
        <f t="shared" si="94"/>
        <v>2024</v>
      </c>
      <c r="BG440" s="36">
        <f t="shared" si="96"/>
        <v>45539</v>
      </c>
      <c r="BH440" s="35">
        <v>3.8920000000000003E-2</v>
      </c>
      <c r="BI440" s="35">
        <f t="shared" si="95"/>
        <v>4.5920000000000002E-2</v>
      </c>
    </row>
    <row r="441" spans="56:61" x14ac:dyDescent="0.25">
      <c r="BD441" s="7">
        <f t="shared" si="92"/>
        <v>3</v>
      </c>
      <c r="BE441" s="7">
        <f t="shared" si="93"/>
        <v>9</v>
      </c>
      <c r="BF441" s="7">
        <f t="shared" si="94"/>
        <v>2024</v>
      </c>
      <c r="BG441" s="36">
        <f t="shared" si="96"/>
        <v>45540</v>
      </c>
      <c r="BH441" s="35">
        <v>3.8920000000000003E-2</v>
      </c>
      <c r="BI441" s="35">
        <f t="shared" si="95"/>
        <v>4.5920000000000002E-2</v>
      </c>
    </row>
    <row r="442" spans="56:61" x14ac:dyDescent="0.25">
      <c r="BD442" s="7">
        <f t="shared" si="92"/>
        <v>3</v>
      </c>
      <c r="BE442" s="7">
        <f t="shared" si="93"/>
        <v>9</v>
      </c>
      <c r="BF442" s="7">
        <f t="shared" si="94"/>
        <v>2024</v>
      </c>
      <c r="BG442" s="36">
        <f t="shared" si="96"/>
        <v>45541</v>
      </c>
      <c r="BH442" s="35">
        <v>3.8920000000000003E-2</v>
      </c>
      <c r="BI442" s="35">
        <f t="shared" si="95"/>
        <v>4.5920000000000002E-2</v>
      </c>
    </row>
    <row r="443" spans="56:61" x14ac:dyDescent="0.25">
      <c r="BD443" s="7">
        <f t="shared" si="92"/>
        <v>3</v>
      </c>
      <c r="BE443" s="7">
        <f t="shared" si="93"/>
        <v>9</v>
      </c>
      <c r="BF443" s="7">
        <f t="shared" si="94"/>
        <v>2024</v>
      </c>
      <c r="BG443" s="36">
        <f t="shared" si="96"/>
        <v>45544</v>
      </c>
      <c r="BH443" s="35">
        <v>3.8920000000000003E-2</v>
      </c>
      <c r="BI443" s="35">
        <f t="shared" si="95"/>
        <v>4.5920000000000002E-2</v>
      </c>
    </row>
    <row r="444" spans="56:61" x14ac:dyDescent="0.25">
      <c r="BD444" s="7">
        <f t="shared" si="92"/>
        <v>3</v>
      </c>
      <c r="BE444" s="7">
        <f t="shared" si="93"/>
        <v>9</v>
      </c>
      <c r="BF444" s="7">
        <f t="shared" si="94"/>
        <v>2024</v>
      </c>
      <c r="BG444" s="36">
        <f t="shared" si="96"/>
        <v>45545</v>
      </c>
      <c r="BH444" s="35">
        <v>3.8920000000000003E-2</v>
      </c>
      <c r="BI444" s="35">
        <f t="shared" si="95"/>
        <v>4.5920000000000002E-2</v>
      </c>
    </row>
    <row r="445" spans="56:61" x14ac:dyDescent="0.25">
      <c r="BD445" s="7">
        <f t="shared" si="92"/>
        <v>3</v>
      </c>
      <c r="BE445" s="7">
        <f t="shared" si="93"/>
        <v>9</v>
      </c>
      <c r="BF445" s="7">
        <f t="shared" si="94"/>
        <v>2024</v>
      </c>
      <c r="BG445" s="36">
        <f t="shared" si="96"/>
        <v>45546</v>
      </c>
      <c r="BH445" s="35">
        <v>3.8920000000000003E-2</v>
      </c>
      <c r="BI445" s="35">
        <f t="shared" si="95"/>
        <v>4.5920000000000002E-2</v>
      </c>
    </row>
    <row r="446" spans="56:61" x14ac:dyDescent="0.25">
      <c r="BD446" s="7">
        <f t="shared" si="92"/>
        <v>3</v>
      </c>
      <c r="BE446" s="7">
        <f t="shared" si="93"/>
        <v>9</v>
      </c>
      <c r="BF446" s="7">
        <f t="shared" si="94"/>
        <v>2024</v>
      </c>
      <c r="BG446" s="36">
        <f t="shared" si="96"/>
        <v>45547</v>
      </c>
      <c r="BH446" s="35">
        <v>3.8920000000000003E-2</v>
      </c>
      <c r="BI446" s="35">
        <f t="shared" si="95"/>
        <v>4.5920000000000002E-2</v>
      </c>
    </row>
    <row r="447" spans="56:61" x14ac:dyDescent="0.25">
      <c r="BD447" s="7">
        <f t="shared" si="92"/>
        <v>3</v>
      </c>
      <c r="BE447" s="7">
        <f t="shared" si="93"/>
        <v>9</v>
      </c>
      <c r="BF447" s="7">
        <f t="shared" si="94"/>
        <v>2024</v>
      </c>
      <c r="BG447" s="36">
        <f t="shared" si="96"/>
        <v>45548</v>
      </c>
      <c r="BH447" s="35">
        <v>3.8920000000000003E-2</v>
      </c>
      <c r="BI447" s="35">
        <f t="shared" si="95"/>
        <v>4.5920000000000002E-2</v>
      </c>
    </row>
    <row r="448" spans="56:61" x14ac:dyDescent="0.25">
      <c r="BD448" s="7">
        <f t="shared" si="92"/>
        <v>3</v>
      </c>
      <c r="BE448" s="7">
        <f t="shared" si="93"/>
        <v>9</v>
      </c>
      <c r="BF448" s="7">
        <f t="shared" si="94"/>
        <v>2024</v>
      </c>
      <c r="BG448" s="36">
        <f t="shared" si="96"/>
        <v>45551</v>
      </c>
      <c r="BH448" s="35">
        <v>3.8920000000000003E-2</v>
      </c>
      <c r="BI448" s="35">
        <f t="shared" si="95"/>
        <v>4.5920000000000002E-2</v>
      </c>
    </row>
    <row r="449" spans="56:61" x14ac:dyDescent="0.25">
      <c r="BD449" s="7">
        <f t="shared" si="92"/>
        <v>3</v>
      </c>
      <c r="BE449" s="7">
        <f t="shared" si="93"/>
        <v>9</v>
      </c>
      <c r="BF449" s="7">
        <f t="shared" si="94"/>
        <v>2024</v>
      </c>
      <c r="BG449" s="36">
        <f t="shared" si="96"/>
        <v>45552</v>
      </c>
      <c r="BH449" s="35">
        <v>3.8920000000000003E-2</v>
      </c>
      <c r="BI449" s="35">
        <f t="shared" si="95"/>
        <v>4.5920000000000002E-2</v>
      </c>
    </row>
    <row r="450" spans="56:61" x14ac:dyDescent="0.25">
      <c r="BD450" s="7">
        <f t="shared" si="92"/>
        <v>3</v>
      </c>
      <c r="BE450" s="7">
        <f t="shared" si="93"/>
        <v>9</v>
      </c>
      <c r="BF450" s="7">
        <f t="shared" si="94"/>
        <v>2024</v>
      </c>
      <c r="BG450" s="36">
        <f t="shared" si="96"/>
        <v>45553</v>
      </c>
      <c r="BH450" s="35">
        <v>3.8920000000000003E-2</v>
      </c>
      <c r="BI450" s="35">
        <f t="shared" si="95"/>
        <v>4.5920000000000002E-2</v>
      </c>
    </row>
    <row r="451" spans="56:61" x14ac:dyDescent="0.25">
      <c r="BD451" s="7">
        <f t="shared" ref="BD451:BD514" si="97">ROUNDUP(MONTH(BG451)/3,0)</f>
        <v>3</v>
      </c>
      <c r="BE451" s="7">
        <f t="shared" ref="BE451:BE514" si="98">MONTH(BG451)</f>
        <v>9</v>
      </c>
      <c r="BF451" s="7">
        <f t="shared" ref="BF451:BF514" si="99">YEAR(BG451)</f>
        <v>2024</v>
      </c>
      <c r="BG451" s="36">
        <f t="shared" si="96"/>
        <v>45554</v>
      </c>
      <c r="BH451" s="35">
        <v>3.8920000000000003E-2</v>
      </c>
      <c r="BI451" s="35">
        <f t="shared" ref="BI451:BI514" si="100">BH451+0.7%</f>
        <v>4.5920000000000002E-2</v>
      </c>
    </row>
    <row r="452" spans="56:61" x14ac:dyDescent="0.25">
      <c r="BD452" s="7">
        <f t="shared" si="97"/>
        <v>3</v>
      </c>
      <c r="BE452" s="7">
        <f t="shared" si="98"/>
        <v>9</v>
      </c>
      <c r="BF452" s="7">
        <f t="shared" si="99"/>
        <v>2024</v>
      </c>
      <c r="BG452" s="36">
        <f t="shared" si="96"/>
        <v>45555</v>
      </c>
      <c r="BH452" s="35">
        <v>3.8920000000000003E-2</v>
      </c>
      <c r="BI452" s="35">
        <f t="shared" si="100"/>
        <v>4.5920000000000002E-2</v>
      </c>
    </row>
    <row r="453" spans="56:61" x14ac:dyDescent="0.25">
      <c r="BD453" s="7">
        <f t="shared" si="97"/>
        <v>3</v>
      </c>
      <c r="BE453" s="7">
        <f t="shared" si="98"/>
        <v>9</v>
      </c>
      <c r="BF453" s="7">
        <f t="shared" si="99"/>
        <v>2024</v>
      </c>
      <c r="BG453" s="36">
        <f t="shared" si="96"/>
        <v>45558</v>
      </c>
      <c r="BH453" s="35">
        <v>3.8920000000000003E-2</v>
      </c>
      <c r="BI453" s="35">
        <f t="shared" si="100"/>
        <v>4.5920000000000002E-2</v>
      </c>
    </row>
    <row r="454" spans="56:61" x14ac:dyDescent="0.25">
      <c r="BD454" s="7">
        <f t="shared" si="97"/>
        <v>3</v>
      </c>
      <c r="BE454" s="7">
        <f t="shared" si="98"/>
        <v>9</v>
      </c>
      <c r="BF454" s="7">
        <f t="shared" si="99"/>
        <v>2024</v>
      </c>
      <c r="BG454" s="36">
        <f t="shared" si="96"/>
        <v>45559</v>
      </c>
      <c r="BH454" s="35">
        <v>3.8920000000000003E-2</v>
      </c>
      <c r="BI454" s="35">
        <f t="shared" si="100"/>
        <v>4.5920000000000002E-2</v>
      </c>
    </row>
    <row r="455" spans="56:61" x14ac:dyDescent="0.25">
      <c r="BD455" s="7">
        <f t="shared" si="97"/>
        <v>3</v>
      </c>
      <c r="BE455" s="7">
        <f t="shared" si="98"/>
        <v>9</v>
      </c>
      <c r="BF455" s="7">
        <f t="shared" si="99"/>
        <v>2024</v>
      </c>
      <c r="BG455" s="36">
        <f t="shared" si="96"/>
        <v>45560</v>
      </c>
      <c r="BH455" s="35">
        <v>3.8920000000000003E-2</v>
      </c>
      <c r="BI455" s="35">
        <f t="shared" si="100"/>
        <v>4.5920000000000002E-2</v>
      </c>
    </row>
    <row r="456" spans="56:61" x14ac:dyDescent="0.25">
      <c r="BD456" s="7">
        <f t="shared" si="97"/>
        <v>3</v>
      </c>
      <c r="BE456" s="7">
        <f t="shared" si="98"/>
        <v>9</v>
      </c>
      <c r="BF456" s="7">
        <f t="shared" si="99"/>
        <v>2024</v>
      </c>
      <c r="BG456" s="36">
        <f t="shared" si="96"/>
        <v>45561</v>
      </c>
      <c r="BH456" s="35">
        <v>3.8920000000000003E-2</v>
      </c>
      <c r="BI456" s="35">
        <f t="shared" si="100"/>
        <v>4.5920000000000002E-2</v>
      </c>
    </row>
    <row r="457" spans="56:61" x14ac:dyDescent="0.25">
      <c r="BD457" s="7">
        <f t="shared" si="97"/>
        <v>3</v>
      </c>
      <c r="BE457" s="7">
        <f t="shared" si="98"/>
        <v>9</v>
      </c>
      <c r="BF457" s="7">
        <f t="shared" si="99"/>
        <v>2024</v>
      </c>
      <c r="BG457" s="36">
        <f t="shared" si="96"/>
        <v>45562</v>
      </c>
      <c r="BH457" s="35">
        <v>3.8920000000000003E-2</v>
      </c>
      <c r="BI457" s="35">
        <f t="shared" si="100"/>
        <v>4.5920000000000002E-2</v>
      </c>
    </row>
    <row r="458" spans="56:61" x14ac:dyDescent="0.25">
      <c r="BD458" s="7">
        <f t="shared" si="97"/>
        <v>3</v>
      </c>
      <c r="BE458" s="7">
        <f t="shared" si="98"/>
        <v>9</v>
      </c>
      <c r="BF458" s="7">
        <f t="shared" si="99"/>
        <v>2024</v>
      </c>
      <c r="BG458" s="36">
        <f t="shared" si="96"/>
        <v>45565</v>
      </c>
      <c r="BH458" s="35">
        <v>3.8920000000000003E-2</v>
      </c>
      <c r="BI458" s="35">
        <f t="shared" si="100"/>
        <v>4.5920000000000002E-2</v>
      </c>
    </row>
    <row r="459" spans="56:61" x14ac:dyDescent="0.25">
      <c r="BD459" s="7">
        <f t="shared" si="97"/>
        <v>4</v>
      </c>
      <c r="BE459" s="7">
        <f t="shared" si="98"/>
        <v>10</v>
      </c>
      <c r="BF459" s="7">
        <f t="shared" si="99"/>
        <v>2024</v>
      </c>
      <c r="BG459" s="36">
        <f t="shared" ref="BG459:BG524" si="101">WORKDAY(BG458,1)</f>
        <v>45566</v>
      </c>
      <c r="BH459" s="35">
        <v>3.8920000000000003E-2</v>
      </c>
      <c r="BI459" s="35">
        <f t="shared" si="100"/>
        <v>4.5920000000000002E-2</v>
      </c>
    </row>
    <row r="460" spans="56:61" x14ac:dyDescent="0.25">
      <c r="BD460" s="7">
        <f t="shared" si="97"/>
        <v>4</v>
      </c>
      <c r="BE460" s="7">
        <f t="shared" si="98"/>
        <v>10</v>
      </c>
      <c r="BF460" s="7">
        <f t="shared" si="99"/>
        <v>2024</v>
      </c>
      <c r="BG460" s="36">
        <f t="shared" si="101"/>
        <v>45567</v>
      </c>
      <c r="BH460" s="35">
        <v>3.8920000000000003E-2</v>
      </c>
      <c r="BI460" s="35">
        <f t="shared" si="100"/>
        <v>4.5920000000000002E-2</v>
      </c>
    </row>
    <row r="461" spans="56:61" x14ac:dyDescent="0.25">
      <c r="BD461" s="7">
        <f t="shared" si="97"/>
        <v>4</v>
      </c>
      <c r="BE461" s="7">
        <f t="shared" si="98"/>
        <v>10</v>
      </c>
      <c r="BF461" s="7">
        <f t="shared" si="99"/>
        <v>2024</v>
      </c>
      <c r="BG461" s="36">
        <f t="shared" si="101"/>
        <v>45568</v>
      </c>
      <c r="BH461" s="35">
        <v>3.8920000000000003E-2</v>
      </c>
      <c r="BI461" s="35">
        <f t="shared" si="100"/>
        <v>4.5920000000000002E-2</v>
      </c>
    </row>
    <row r="462" spans="56:61" x14ac:dyDescent="0.25">
      <c r="BD462" s="7">
        <f t="shared" si="97"/>
        <v>4</v>
      </c>
      <c r="BE462" s="7">
        <f t="shared" si="98"/>
        <v>10</v>
      </c>
      <c r="BF462" s="7">
        <f t="shared" si="99"/>
        <v>2024</v>
      </c>
      <c r="BG462" s="36">
        <f t="shared" si="101"/>
        <v>45569</v>
      </c>
      <c r="BH462" s="33">
        <v>3.6420000000000001E-2</v>
      </c>
      <c r="BI462" s="35">
        <f t="shared" si="100"/>
        <v>4.342E-2</v>
      </c>
    </row>
    <row r="463" spans="56:61" x14ac:dyDescent="0.25">
      <c r="BD463" s="7">
        <f t="shared" si="97"/>
        <v>4</v>
      </c>
      <c r="BE463" s="7">
        <f t="shared" si="98"/>
        <v>10</v>
      </c>
      <c r="BF463" s="7">
        <f t="shared" si="99"/>
        <v>2024</v>
      </c>
      <c r="BG463" s="36">
        <f t="shared" si="101"/>
        <v>45572</v>
      </c>
      <c r="BH463" s="35">
        <v>3.6420000000000001E-2</v>
      </c>
      <c r="BI463" s="35">
        <f t="shared" si="100"/>
        <v>4.342E-2</v>
      </c>
    </row>
    <row r="464" spans="56:61" x14ac:dyDescent="0.25">
      <c r="BD464" s="7">
        <f t="shared" si="97"/>
        <v>4</v>
      </c>
      <c r="BE464" s="7">
        <f t="shared" si="98"/>
        <v>10</v>
      </c>
      <c r="BF464" s="7">
        <f t="shared" si="99"/>
        <v>2024</v>
      </c>
      <c r="BG464" s="36">
        <f t="shared" si="101"/>
        <v>45573</v>
      </c>
      <c r="BH464" s="35">
        <v>3.6420000000000001E-2</v>
      </c>
      <c r="BI464" s="35">
        <f t="shared" si="100"/>
        <v>4.342E-2</v>
      </c>
    </row>
    <row r="465" spans="56:61" x14ac:dyDescent="0.25">
      <c r="BD465" s="7">
        <f t="shared" si="97"/>
        <v>4</v>
      </c>
      <c r="BE465" s="7">
        <f t="shared" si="98"/>
        <v>10</v>
      </c>
      <c r="BF465" s="7">
        <f t="shared" si="99"/>
        <v>2024</v>
      </c>
      <c r="BG465" s="36">
        <f t="shared" si="101"/>
        <v>45574</v>
      </c>
      <c r="BH465" s="35">
        <v>3.6420000000000001E-2</v>
      </c>
      <c r="BI465" s="35">
        <f t="shared" si="100"/>
        <v>4.342E-2</v>
      </c>
    </row>
    <row r="466" spans="56:61" x14ac:dyDescent="0.25">
      <c r="BD466" s="7">
        <f t="shared" si="97"/>
        <v>4</v>
      </c>
      <c r="BE466" s="7">
        <f t="shared" si="98"/>
        <v>10</v>
      </c>
      <c r="BF466" s="7">
        <f t="shared" si="99"/>
        <v>2024</v>
      </c>
      <c r="BG466" s="36">
        <f t="shared" si="101"/>
        <v>45575</v>
      </c>
      <c r="BH466" s="35">
        <v>3.6420000000000001E-2</v>
      </c>
      <c r="BI466" s="35">
        <f t="shared" si="100"/>
        <v>4.342E-2</v>
      </c>
    </row>
    <row r="467" spans="56:61" x14ac:dyDescent="0.25">
      <c r="BD467" s="7">
        <f t="shared" si="97"/>
        <v>4</v>
      </c>
      <c r="BE467" s="7">
        <f t="shared" si="98"/>
        <v>10</v>
      </c>
      <c r="BF467" s="7">
        <f t="shared" si="99"/>
        <v>2024</v>
      </c>
      <c r="BG467" s="36">
        <f t="shared" si="101"/>
        <v>45576</v>
      </c>
      <c r="BH467" s="35">
        <v>3.6420000000000001E-2</v>
      </c>
      <c r="BI467" s="35">
        <f t="shared" si="100"/>
        <v>4.342E-2</v>
      </c>
    </row>
    <row r="468" spans="56:61" x14ac:dyDescent="0.25">
      <c r="BD468" s="7">
        <f t="shared" si="97"/>
        <v>4</v>
      </c>
      <c r="BE468" s="7">
        <f t="shared" si="98"/>
        <v>10</v>
      </c>
      <c r="BF468" s="7">
        <f t="shared" si="99"/>
        <v>2024</v>
      </c>
      <c r="BG468" s="36">
        <f t="shared" si="101"/>
        <v>45579</v>
      </c>
      <c r="BH468" s="35">
        <v>3.6420000000000001E-2</v>
      </c>
      <c r="BI468" s="35">
        <f t="shared" si="100"/>
        <v>4.342E-2</v>
      </c>
    </row>
    <row r="469" spans="56:61" x14ac:dyDescent="0.25">
      <c r="BD469" s="7">
        <f t="shared" si="97"/>
        <v>4</v>
      </c>
      <c r="BE469" s="7">
        <f t="shared" si="98"/>
        <v>10</v>
      </c>
      <c r="BF469" s="7">
        <f t="shared" si="99"/>
        <v>2024</v>
      </c>
      <c r="BG469" s="36">
        <f t="shared" si="101"/>
        <v>45580</v>
      </c>
      <c r="BH469" s="35">
        <v>3.6420000000000001E-2</v>
      </c>
      <c r="BI469" s="35">
        <f t="shared" si="100"/>
        <v>4.342E-2</v>
      </c>
    </row>
    <row r="470" spans="56:61" x14ac:dyDescent="0.25">
      <c r="BD470" s="7">
        <f t="shared" si="97"/>
        <v>4</v>
      </c>
      <c r="BE470" s="7">
        <f t="shared" si="98"/>
        <v>10</v>
      </c>
      <c r="BF470" s="7">
        <f t="shared" si="99"/>
        <v>2024</v>
      </c>
      <c r="BG470" s="36">
        <f t="shared" si="101"/>
        <v>45581</v>
      </c>
      <c r="BH470" s="35">
        <v>3.6420000000000001E-2</v>
      </c>
      <c r="BI470" s="35">
        <f t="shared" si="100"/>
        <v>4.342E-2</v>
      </c>
    </row>
    <row r="471" spans="56:61" x14ac:dyDescent="0.25">
      <c r="BD471" s="7">
        <f t="shared" si="97"/>
        <v>4</v>
      </c>
      <c r="BE471" s="7">
        <f t="shared" si="98"/>
        <v>10</v>
      </c>
      <c r="BF471" s="7">
        <f t="shared" si="99"/>
        <v>2024</v>
      </c>
      <c r="BG471" s="36">
        <f t="shared" si="101"/>
        <v>45582</v>
      </c>
      <c r="BH471" s="35">
        <v>3.6420000000000001E-2</v>
      </c>
      <c r="BI471" s="35">
        <f t="shared" si="100"/>
        <v>4.342E-2</v>
      </c>
    </row>
    <row r="472" spans="56:61" x14ac:dyDescent="0.25">
      <c r="BD472" s="7">
        <f t="shared" si="97"/>
        <v>4</v>
      </c>
      <c r="BE472" s="7">
        <f t="shared" si="98"/>
        <v>10</v>
      </c>
      <c r="BF472" s="7">
        <f t="shared" si="99"/>
        <v>2024</v>
      </c>
      <c r="BG472" s="36">
        <f t="shared" si="101"/>
        <v>45583</v>
      </c>
      <c r="BH472" s="35">
        <v>3.6420000000000001E-2</v>
      </c>
      <c r="BI472" s="35">
        <f t="shared" si="100"/>
        <v>4.342E-2</v>
      </c>
    </row>
    <row r="473" spans="56:61" x14ac:dyDescent="0.25">
      <c r="BD473" s="7">
        <f t="shared" si="97"/>
        <v>4</v>
      </c>
      <c r="BE473" s="7">
        <f t="shared" si="98"/>
        <v>10</v>
      </c>
      <c r="BF473" s="7">
        <f t="shared" si="99"/>
        <v>2024</v>
      </c>
      <c r="BG473" s="36">
        <f t="shared" si="101"/>
        <v>45586</v>
      </c>
      <c r="BH473" s="35">
        <v>3.6420000000000001E-2</v>
      </c>
      <c r="BI473" s="35">
        <f t="shared" si="100"/>
        <v>4.342E-2</v>
      </c>
    </row>
    <row r="474" spans="56:61" x14ac:dyDescent="0.25">
      <c r="BD474" s="7">
        <f t="shared" si="97"/>
        <v>4</v>
      </c>
      <c r="BE474" s="7">
        <f t="shared" si="98"/>
        <v>10</v>
      </c>
      <c r="BF474" s="7">
        <f t="shared" si="99"/>
        <v>2024</v>
      </c>
      <c r="BG474" s="36">
        <f t="shared" si="101"/>
        <v>45587</v>
      </c>
      <c r="BH474" s="35">
        <v>3.6420000000000001E-2</v>
      </c>
      <c r="BI474" s="35">
        <f t="shared" si="100"/>
        <v>4.342E-2</v>
      </c>
    </row>
    <row r="475" spans="56:61" x14ac:dyDescent="0.25">
      <c r="BD475" s="7">
        <f t="shared" si="97"/>
        <v>4</v>
      </c>
      <c r="BE475" s="7">
        <f t="shared" si="98"/>
        <v>10</v>
      </c>
      <c r="BF475" s="7">
        <f t="shared" si="99"/>
        <v>2024</v>
      </c>
      <c r="BG475" s="36">
        <f t="shared" si="101"/>
        <v>45588</v>
      </c>
      <c r="BH475" s="35">
        <v>3.6420000000000001E-2</v>
      </c>
      <c r="BI475" s="35">
        <f t="shared" si="100"/>
        <v>4.342E-2</v>
      </c>
    </row>
    <row r="476" spans="56:61" x14ac:dyDescent="0.25">
      <c r="BD476" s="7">
        <f t="shared" si="97"/>
        <v>4</v>
      </c>
      <c r="BE476" s="7">
        <f t="shared" si="98"/>
        <v>10</v>
      </c>
      <c r="BF476" s="7">
        <f t="shared" si="99"/>
        <v>2024</v>
      </c>
      <c r="BG476" s="36">
        <f t="shared" si="101"/>
        <v>45589</v>
      </c>
      <c r="BH476" s="35">
        <v>3.6420000000000001E-2</v>
      </c>
      <c r="BI476" s="35">
        <f t="shared" si="100"/>
        <v>4.342E-2</v>
      </c>
    </row>
    <row r="477" spans="56:61" x14ac:dyDescent="0.25">
      <c r="BD477" s="7">
        <f t="shared" si="97"/>
        <v>4</v>
      </c>
      <c r="BE477" s="7">
        <f t="shared" si="98"/>
        <v>10</v>
      </c>
      <c r="BF477" s="7">
        <f t="shared" si="99"/>
        <v>2024</v>
      </c>
      <c r="BG477" s="36">
        <f t="shared" si="101"/>
        <v>45590</v>
      </c>
      <c r="BH477" s="35">
        <v>3.6420000000000001E-2</v>
      </c>
      <c r="BI477" s="35">
        <f t="shared" si="100"/>
        <v>4.342E-2</v>
      </c>
    </row>
    <row r="478" spans="56:61" x14ac:dyDescent="0.25">
      <c r="BD478" s="7">
        <f t="shared" si="97"/>
        <v>4</v>
      </c>
      <c r="BE478" s="7">
        <f t="shared" si="98"/>
        <v>10</v>
      </c>
      <c r="BF478" s="7">
        <f t="shared" si="99"/>
        <v>2024</v>
      </c>
      <c r="BG478" s="36">
        <f t="shared" si="101"/>
        <v>45593</v>
      </c>
      <c r="BH478" s="35">
        <v>3.6420000000000001E-2</v>
      </c>
      <c r="BI478" s="35">
        <f t="shared" si="100"/>
        <v>4.342E-2</v>
      </c>
    </row>
    <row r="479" spans="56:61" x14ac:dyDescent="0.25">
      <c r="BD479" s="7">
        <f t="shared" si="97"/>
        <v>4</v>
      </c>
      <c r="BE479" s="7">
        <f t="shared" si="98"/>
        <v>10</v>
      </c>
      <c r="BF479" s="7">
        <f t="shared" si="99"/>
        <v>2024</v>
      </c>
      <c r="BG479" s="36">
        <f t="shared" si="101"/>
        <v>45594</v>
      </c>
      <c r="BH479" s="35">
        <v>3.6420000000000001E-2</v>
      </c>
      <c r="BI479" s="35">
        <f t="shared" si="100"/>
        <v>4.342E-2</v>
      </c>
    </row>
    <row r="480" spans="56:61" x14ac:dyDescent="0.25">
      <c r="BD480" s="7">
        <f t="shared" si="97"/>
        <v>4</v>
      </c>
      <c r="BE480" s="7">
        <f t="shared" si="98"/>
        <v>10</v>
      </c>
      <c r="BF480" s="7">
        <f t="shared" si="99"/>
        <v>2024</v>
      </c>
      <c r="BG480" s="36">
        <f t="shared" si="101"/>
        <v>45595</v>
      </c>
      <c r="BH480" s="35">
        <v>3.6420000000000001E-2</v>
      </c>
      <c r="BI480" s="35">
        <f t="shared" si="100"/>
        <v>4.342E-2</v>
      </c>
    </row>
    <row r="481" spans="56:61" x14ac:dyDescent="0.25">
      <c r="BD481" s="7">
        <f t="shared" si="97"/>
        <v>4</v>
      </c>
      <c r="BE481" s="7">
        <f t="shared" si="98"/>
        <v>10</v>
      </c>
      <c r="BF481" s="7">
        <f t="shared" si="99"/>
        <v>2024</v>
      </c>
      <c r="BG481" s="36">
        <f t="shared" si="101"/>
        <v>45596</v>
      </c>
      <c r="BH481" s="35">
        <v>3.6420000000000001E-2</v>
      </c>
      <c r="BI481" s="35">
        <f t="shared" si="100"/>
        <v>4.342E-2</v>
      </c>
    </row>
    <row r="482" spans="56:61" x14ac:dyDescent="0.25">
      <c r="BD482" s="7">
        <f t="shared" si="97"/>
        <v>4</v>
      </c>
      <c r="BE482" s="7">
        <f t="shared" si="98"/>
        <v>11</v>
      </c>
      <c r="BF482" s="7">
        <f t="shared" si="99"/>
        <v>2024</v>
      </c>
      <c r="BG482" s="36">
        <f t="shared" si="101"/>
        <v>45597</v>
      </c>
      <c r="BH482" s="35">
        <v>3.6420000000000001E-2</v>
      </c>
      <c r="BI482" s="35">
        <f t="shared" si="100"/>
        <v>4.342E-2</v>
      </c>
    </row>
    <row r="483" spans="56:61" x14ac:dyDescent="0.25">
      <c r="BD483" s="7">
        <f t="shared" si="97"/>
        <v>4</v>
      </c>
      <c r="BE483" s="7">
        <f t="shared" si="98"/>
        <v>11</v>
      </c>
      <c r="BF483" s="7">
        <f t="shared" si="99"/>
        <v>2024</v>
      </c>
      <c r="BG483" s="36">
        <f t="shared" si="101"/>
        <v>45600</v>
      </c>
      <c r="BH483" s="35">
        <v>3.6420000000000001E-2</v>
      </c>
      <c r="BI483" s="35">
        <f t="shared" si="100"/>
        <v>4.342E-2</v>
      </c>
    </row>
    <row r="484" spans="56:61" x14ac:dyDescent="0.25">
      <c r="BD484" s="7">
        <f t="shared" si="97"/>
        <v>4</v>
      </c>
      <c r="BE484" s="7">
        <f t="shared" si="98"/>
        <v>11</v>
      </c>
      <c r="BF484" s="7">
        <f t="shared" si="99"/>
        <v>2024</v>
      </c>
      <c r="BG484" s="36">
        <f t="shared" si="101"/>
        <v>45601</v>
      </c>
      <c r="BH484" s="35">
        <v>3.6420000000000001E-2</v>
      </c>
      <c r="BI484" s="35">
        <f t="shared" si="100"/>
        <v>4.342E-2</v>
      </c>
    </row>
    <row r="485" spans="56:61" x14ac:dyDescent="0.25">
      <c r="BD485" s="7">
        <f t="shared" si="97"/>
        <v>4</v>
      </c>
      <c r="BE485" s="7">
        <f t="shared" si="98"/>
        <v>11</v>
      </c>
      <c r="BF485" s="7">
        <f t="shared" si="99"/>
        <v>2024</v>
      </c>
      <c r="BG485" s="36">
        <f t="shared" si="101"/>
        <v>45602</v>
      </c>
      <c r="BH485" s="35">
        <v>3.6420000000000001E-2</v>
      </c>
      <c r="BI485" s="35">
        <f t="shared" si="100"/>
        <v>4.342E-2</v>
      </c>
    </row>
    <row r="486" spans="56:61" x14ac:dyDescent="0.25">
      <c r="BD486" s="7">
        <f t="shared" si="97"/>
        <v>4</v>
      </c>
      <c r="BE486" s="7">
        <f t="shared" si="98"/>
        <v>11</v>
      </c>
      <c r="BF486" s="7">
        <f t="shared" si="99"/>
        <v>2024</v>
      </c>
      <c r="BG486" s="36">
        <f t="shared" si="101"/>
        <v>45603</v>
      </c>
      <c r="BH486" s="35">
        <v>3.6420000000000001E-2</v>
      </c>
      <c r="BI486" s="35">
        <f t="shared" si="100"/>
        <v>4.342E-2</v>
      </c>
    </row>
    <row r="487" spans="56:61" x14ac:dyDescent="0.25">
      <c r="BD487" s="7">
        <f t="shared" si="97"/>
        <v>4</v>
      </c>
      <c r="BE487" s="7">
        <f t="shared" si="98"/>
        <v>11</v>
      </c>
      <c r="BF487" s="7">
        <f t="shared" si="99"/>
        <v>2024</v>
      </c>
      <c r="BG487" s="36">
        <f t="shared" si="101"/>
        <v>45604</v>
      </c>
      <c r="BH487" s="35">
        <v>3.6420000000000001E-2</v>
      </c>
      <c r="BI487" s="35">
        <f t="shared" si="100"/>
        <v>4.342E-2</v>
      </c>
    </row>
    <row r="488" spans="56:61" x14ac:dyDescent="0.25">
      <c r="BD488" s="7">
        <f t="shared" si="97"/>
        <v>4</v>
      </c>
      <c r="BE488" s="7">
        <f t="shared" si="98"/>
        <v>11</v>
      </c>
      <c r="BF488" s="7">
        <f t="shared" si="99"/>
        <v>2024</v>
      </c>
      <c r="BG488" s="36">
        <f t="shared" si="101"/>
        <v>45607</v>
      </c>
      <c r="BH488" s="35">
        <v>3.6420000000000001E-2</v>
      </c>
      <c r="BI488" s="35">
        <f t="shared" si="100"/>
        <v>4.342E-2</v>
      </c>
    </row>
    <row r="489" spans="56:61" x14ac:dyDescent="0.25">
      <c r="BD489" s="7">
        <f t="shared" si="97"/>
        <v>4</v>
      </c>
      <c r="BE489" s="7">
        <f t="shared" si="98"/>
        <v>11</v>
      </c>
      <c r="BF489" s="7">
        <f t="shared" si="99"/>
        <v>2024</v>
      </c>
      <c r="BG489" s="36">
        <f t="shared" si="101"/>
        <v>45608</v>
      </c>
      <c r="BH489" s="35">
        <v>3.6420000000000001E-2</v>
      </c>
      <c r="BI489" s="35">
        <f t="shared" si="100"/>
        <v>4.342E-2</v>
      </c>
    </row>
    <row r="490" spans="56:61" x14ac:dyDescent="0.25">
      <c r="BD490" s="7">
        <f t="shared" si="97"/>
        <v>4</v>
      </c>
      <c r="BE490" s="7">
        <f t="shared" si="98"/>
        <v>11</v>
      </c>
      <c r="BF490" s="7">
        <f t="shared" si="99"/>
        <v>2024</v>
      </c>
      <c r="BG490" s="36">
        <f t="shared" si="101"/>
        <v>45609</v>
      </c>
      <c r="BH490" s="35">
        <v>3.6420000000000001E-2</v>
      </c>
      <c r="BI490" s="35">
        <f t="shared" si="100"/>
        <v>4.342E-2</v>
      </c>
    </row>
    <row r="491" spans="56:61" x14ac:dyDescent="0.25">
      <c r="BD491" s="7">
        <f t="shared" si="97"/>
        <v>4</v>
      </c>
      <c r="BE491" s="7">
        <f t="shared" si="98"/>
        <v>11</v>
      </c>
      <c r="BF491" s="7">
        <f t="shared" si="99"/>
        <v>2024</v>
      </c>
      <c r="BG491" s="36">
        <f t="shared" si="101"/>
        <v>45610</v>
      </c>
      <c r="BH491" s="35">
        <v>3.6420000000000001E-2</v>
      </c>
      <c r="BI491" s="35">
        <f t="shared" si="100"/>
        <v>4.342E-2</v>
      </c>
    </row>
    <row r="492" spans="56:61" x14ac:dyDescent="0.25">
      <c r="BD492" s="7">
        <f t="shared" si="97"/>
        <v>4</v>
      </c>
      <c r="BE492" s="7">
        <f t="shared" si="98"/>
        <v>11</v>
      </c>
      <c r="BF492" s="7">
        <f t="shared" si="99"/>
        <v>2024</v>
      </c>
      <c r="BG492" s="36">
        <f t="shared" si="101"/>
        <v>45611</v>
      </c>
      <c r="BH492" s="35">
        <v>3.6420000000000001E-2</v>
      </c>
      <c r="BI492" s="35">
        <f t="shared" si="100"/>
        <v>4.342E-2</v>
      </c>
    </row>
    <row r="493" spans="56:61" x14ac:dyDescent="0.25">
      <c r="BD493" s="7">
        <f t="shared" si="97"/>
        <v>4</v>
      </c>
      <c r="BE493" s="7">
        <f t="shared" si="98"/>
        <v>11</v>
      </c>
      <c r="BF493" s="7">
        <f t="shared" si="99"/>
        <v>2024</v>
      </c>
      <c r="BG493" s="36">
        <f t="shared" si="101"/>
        <v>45614</v>
      </c>
      <c r="BH493" s="35">
        <v>3.6420000000000001E-2</v>
      </c>
      <c r="BI493" s="35">
        <f t="shared" si="100"/>
        <v>4.342E-2</v>
      </c>
    </row>
    <row r="494" spans="56:61" x14ac:dyDescent="0.25">
      <c r="BD494" s="7">
        <f t="shared" si="97"/>
        <v>4</v>
      </c>
      <c r="BE494" s="7">
        <f t="shared" si="98"/>
        <v>11</v>
      </c>
      <c r="BF494" s="7">
        <f t="shared" si="99"/>
        <v>2024</v>
      </c>
      <c r="BG494" s="36">
        <f t="shared" si="101"/>
        <v>45615</v>
      </c>
      <c r="BH494" s="35">
        <v>3.6420000000000001E-2</v>
      </c>
      <c r="BI494" s="35">
        <f t="shared" si="100"/>
        <v>4.342E-2</v>
      </c>
    </row>
    <row r="495" spans="56:61" x14ac:dyDescent="0.25">
      <c r="BD495" s="7">
        <f t="shared" si="97"/>
        <v>4</v>
      </c>
      <c r="BE495" s="7">
        <f t="shared" si="98"/>
        <v>11</v>
      </c>
      <c r="BF495" s="7">
        <f t="shared" si="99"/>
        <v>2024</v>
      </c>
      <c r="BG495" s="36">
        <f t="shared" si="101"/>
        <v>45616</v>
      </c>
      <c r="BH495" s="35">
        <v>3.6420000000000001E-2</v>
      </c>
      <c r="BI495" s="35">
        <f t="shared" si="100"/>
        <v>4.342E-2</v>
      </c>
    </row>
    <row r="496" spans="56:61" x14ac:dyDescent="0.25">
      <c r="BD496" s="7">
        <f t="shared" si="97"/>
        <v>4</v>
      </c>
      <c r="BE496" s="7">
        <f t="shared" si="98"/>
        <v>11</v>
      </c>
      <c r="BF496" s="7">
        <f t="shared" si="99"/>
        <v>2024</v>
      </c>
      <c r="BG496" s="36">
        <f t="shared" si="101"/>
        <v>45617</v>
      </c>
      <c r="BH496" s="35">
        <v>3.6420000000000001E-2</v>
      </c>
      <c r="BI496" s="35">
        <f t="shared" si="100"/>
        <v>4.342E-2</v>
      </c>
    </row>
    <row r="497" spans="56:61" x14ac:dyDescent="0.25">
      <c r="BD497" s="7">
        <f t="shared" si="97"/>
        <v>4</v>
      </c>
      <c r="BE497" s="7">
        <f t="shared" si="98"/>
        <v>11</v>
      </c>
      <c r="BF497" s="7">
        <f t="shared" si="99"/>
        <v>2024</v>
      </c>
      <c r="BG497" s="36">
        <f t="shared" si="101"/>
        <v>45618</v>
      </c>
      <c r="BH497" s="35">
        <v>3.6420000000000001E-2</v>
      </c>
      <c r="BI497" s="35">
        <f t="shared" si="100"/>
        <v>4.342E-2</v>
      </c>
    </row>
    <row r="498" spans="56:61" x14ac:dyDescent="0.25">
      <c r="BD498" s="7">
        <f t="shared" si="97"/>
        <v>4</v>
      </c>
      <c r="BE498" s="7">
        <f t="shared" si="98"/>
        <v>11</v>
      </c>
      <c r="BF498" s="7">
        <f t="shared" si="99"/>
        <v>2024</v>
      </c>
      <c r="BG498" s="36">
        <f t="shared" si="101"/>
        <v>45621</v>
      </c>
      <c r="BH498" s="35">
        <v>3.6420000000000001E-2</v>
      </c>
      <c r="BI498" s="35">
        <f t="shared" si="100"/>
        <v>4.342E-2</v>
      </c>
    </row>
    <row r="499" spans="56:61" x14ac:dyDescent="0.25">
      <c r="BD499" s="7">
        <f t="shared" si="97"/>
        <v>4</v>
      </c>
      <c r="BE499" s="7">
        <f t="shared" si="98"/>
        <v>11</v>
      </c>
      <c r="BF499" s="7">
        <f t="shared" si="99"/>
        <v>2024</v>
      </c>
      <c r="BG499" s="36">
        <f t="shared" si="101"/>
        <v>45622</v>
      </c>
      <c r="BH499" s="35">
        <v>3.6420000000000001E-2</v>
      </c>
      <c r="BI499" s="35">
        <f t="shared" si="100"/>
        <v>4.342E-2</v>
      </c>
    </row>
    <row r="500" spans="56:61" x14ac:dyDescent="0.25">
      <c r="BD500" s="7">
        <f t="shared" si="97"/>
        <v>4</v>
      </c>
      <c r="BE500" s="7">
        <f t="shared" si="98"/>
        <v>11</v>
      </c>
      <c r="BF500" s="7">
        <f t="shared" si="99"/>
        <v>2024</v>
      </c>
      <c r="BG500" s="36">
        <f t="shared" si="101"/>
        <v>45623</v>
      </c>
      <c r="BH500" s="35">
        <v>3.6420000000000001E-2</v>
      </c>
      <c r="BI500" s="35">
        <f t="shared" si="100"/>
        <v>4.342E-2</v>
      </c>
    </row>
    <row r="501" spans="56:61" x14ac:dyDescent="0.25">
      <c r="BD501" s="7">
        <f t="shared" si="97"/>
        <v>4</v>
      </c>
      <c r="BE501" s="7">
        <f t="shared" si="98"/>
        <v>11</v>
      </c>
      <c r="BF501" s="7">
        <f t="shared" si="99"/>
        <v>2024</v>
      </c>
      <c r="BG501" s="36">
        <f t="shared" si="101"/>
        <v>45624</v>
      </c>
      <c r="BH501" s="35">
        <v>3.6420000000000001E-2</v>
      </c>
      <c r="BI501" s="35">
        <f t="shared" si="100"/>
        <v>4.342E-2</v>
      </c>
    </row>
    <row r="502" spans="56:61" x14ac:dyDescent="0.25">
      <c r="BD502" s="7">
        <f t="shared" si="97"/>
        <v>4</v>
      </c>
      <c r="BE502" s="7">
        <f t="shared" si="98"/>
        <v>11</v>
      </c>
      <c r="BF502" s="7">
        <f t="shared" si="99"/>
        <v>2024</v>
      </c>
      <c r="BG502" s="36">
        <f t="shared" si="101"/>
        <v>45625</v>
      </c>
      <c r="BH502" s="35">
        <v>3.6420000000000001E-2</v>
      </c>
      <c r="BI502" s="35">
        <f t="shared" si="100"/>
        <v>4.342E-2</v>
      </c>
    </row>
    <row r="503" spans="56:61" x14ac:dyDescent="0.25">
      <c r="BD503" s="7">
        <f t="shared" si="97"/>
        <v>4</v>
      </c>
      <c r="BE503" s="7">
        <f t="shared" si="98"/>
        <v>12</v>
      </c>
      <c r="BF503" s="7">
        <f t="shared" si="99"/>
        <v>2024</v>
      </c>
      <c r="BG503" s="36">
        <f t="shared" si="101"/>
        <v>45628</v>
      </c>
      <c r="BH503" s="35">
        <v>3.6420000000000001E-2</v>
      </c>
      <c r="BI503" s="35">
        <f t="shared" si="100"/>
        <v>4.342E-2</v>
      </c>
    </row>
    <row r="504" spans="56:61" x14ac:dyDescent="0.25">
      <c r="BD504" s="7">
        <f t="shared" si="97"/>
        <v>4</v>
      </c>
      <c r="BE504" s="7">
        <f t="shared" si="98"/>
        <v>12</v>
      </c>
      <c r="BF504" s="7">
        <f t="shared" si="99"/>
        <v>2024</v>
      </c>
      <c r="BG504" s="36">
        <f t="shared" si="101"/>
        <v>45629</v>
      </c>
      <c r="BH504" s="35">
        <v>3.6420000000000001E-2</v>
      </c>
      <c r="BI504" s="35">
        <f t="shared" si="100"/>
        <v>4.342E-2</v>
      </c>
    </row>
    <row r="505" spans="56:61" x14ac:dyDescent="0.25">
      <c r="BD505" s="7">
        <f t="shared" si="97"/>
        <v>4</v>
      </c>
      <c r="BE505" s="7">
        <f t="shared" si="98"/>
        <v>12</v>
      </c>
      <c r="BF505" s="7">
        <f t="shared" si="99"/>
        <v>2024</v>
      </c>
      <c r="BG505" s="36">
        <f t="shared" si="101"/>
        <v>45630</v>
      </c>
      <c r="BH505" s="35">
        <v>3.6420000000000001E-2</v>
      </c>
      <c r="BI505" s="35">
        <f t="shared" si="100"/>
        <v>4.342E-2</v>
      </c>
    </row>
    <row r="506" spans="56:61" x14ac:dyDescent="0.25">
      <c r="BD506" s="7">
        <f t="shared" si="97"/>
        <v>4</v>
      </c>
      <c r="BE506" s="7">
        <f t="shared" si="98"/>
        <v>12</v>
      </c>
      <c r="BF506" s="7">
        <f t="shared" si="99"/>
        <v>2024</v>
      </c>
      <c r="BG506" s="36">
        <f t="shared" si="101"/>
        <v>45631</v>
      </c>
      <c r="BH506" s="35">
        <v>3.6420000000000001E-2</v>
      </c>
      <c r="BI506" s="35">
        <f t="shared" si="100"/>
        <v>4.342E-2</v>
      </c>
    </row>
    <row r="507" spans="56:61" x14ac:dyDescent="0.25">
      <c r="BD507" s="7">
        <f t="shared" si="97"/>
        <v>4</v>
      </c>
      <c r="BE507" s="7">
        <f t="shared" si="98"/>
        <v>12</v>
      </c>
      <c r="BF507" s="7">
        <f t="shared" si="99"/>
        <v>2024</v>
      </c>
      <c r="BG507" s="36">
        <f t="shared" si="101"/>
        <v>45632</v>
      </c>
      <c r="BH507" s="35">
        <v>3.6420000000000001E-2</v>
      </c>
      <c r="BI507" s="35">
        <f t="shared" si="100"/>
        <v>4.342E-2</v>
      </c>
    </row>
    <row r="508" spans="56:61" x14ac:dyDescent="0.25">
      <c r="BD508" s="7">
        <f t="shared" si="97"/>
        <v>4</v>
      </c>
      <c r="BE508" s="7">
        <f t="shared" si="98"/>
        <v>12</v>
      </c>
      <c r="BF508" s="7">
        <f t="shared" si="99"/>
        <v>2024</v>
      </c>
      <c r="BG508" s="36">
        <f t="shared" si="101"/>
        <v>45635</v>
      </c>
      <c r="BH508" s="35">
        <v>3.6420000000000001E-2</v>
      </c>
      <c r="BI508" s="35">
        <f t="shared" si="100"/>
        <v>4.342E-2</v>
      </c>
    </row>
    <row r="509" spans="56:61" x14ac:dyDescent="0.25">
      <c r="BD509" s="7">
        <f t="shared" si="97"/>
        <v>4</v>
      </c>
      <c r="BE509" s="7">
        <f t="shared" si="98"/>
        <v>12</v>
      </c>
      <c r="BF509" s="7">
        <f t="shared" si="99"/>
        <v>2024</v>
      </c>
      <c r="BG509" s="36">
        <f t="shared" si="101"/>
        <v>45636</v>
      </c>
      <c r="BH509" s="35">
        <v>3.6420000000000001E-2</v>
      </c>
      <c r="BI509" s="35">
        <f t="shared" si="100"/>
        <v>4.342E-2</v>
      </c>
    </row>
    <row r="510" spans="56:61" x14ac:dyDescent="0.25">
      <c r="BD510" s="7">
        <f t="shared" si="97"/>
        <v>4</v>
      </c>
      <c r="BE510" s="7">
        <f t="shared" si="98"/>
        <v>12</v>
      </c>
      <c r="BF510" s="7">
        <f t="shared" si="99"/>
        <v>2024</v>
      </c>
      <c r="BG510" s="36">
        <f t="shared" si="101"/>
        <v>45637</v>
      </c>
      <c r="BH510" s="35">
        <v>3.6420000000000001E-2</v>
      </c>
      <c r="BI510" s="35">
        <f t="shared" si="100"/>
        <v>4.342E-2</v>
      </c>
    </row>
    <row r="511" spans="56:61" x14ac:dyDescent="0.25">
      <c r="BD511" s="7">
        <f t="shared" si="97"/>
        <v>4</v>
      </c>
      <c r="BE511" s="7">
        <f t="shared" si="98"/>
        <v>12</v>
      </c>
      <c r="BF511" s="7">
        <f t="shared" si="99"/>
        <v>2024</v>
      </c>
      <c r="BG511" s="36">
        <f t="shared" si="101"/>
        <v>45638</v>
      </c>
      <c r="BH511" s="35">
        <v>3.6420000000000001E-2</v>
      </c>
      <c r="BI511" s="35">
        <f t="shared" si="100"/>
        <v>4.342E-2</v>
      </c>
    </row>
    <row r="512" spans="56:61" x14ac:dyDescent="0.25">
      <c r="BD512" s="7">
        <f t="shared" si="97"/>
        <v>4</v>
      </c>
      <c r="BE512" s="7">
        <f t="shared" si="98"/>
        <v>12</v>
      </c>
      <c r="BF512" s="7">
        <f t="shared" si="99"/>
        <v>2024</v>
      </c>
      <c r="BG512" s="36">
        <f t="shared" si="101"/>
        <v>45639</v>
      </c>
      <c r="BH512" s="35">
        <v>3.6420000000000001E-2</v>
      </c>
      <c r="BI512" s="35">
        <f t="shared" si="100"/>
        <v>4.342E-2</v>
      </c>
    </row>
    <row r="513" spans="56:61" x14ac:dyDescent="0.25">
      <c r="BD513" s="7">
        <f t="shared" si="97"/>
        <v>4</v>
      </c>
      <c r="BE513" s="7">
        <f t="shared" si="98"/>
        <v>12</v>
      </c>
      <c r="BF513" s="7">
        <f t="shared" si="99"/>
        <v>2024</v>
      </c>
      <c r="BG513" s="36">
        <f t="shared" si="101"/>
        <v>45642</v>
      </c>
      <c r="BH513" s="35">
        <v>3.6420000000000001E-2</v>
      </c>
      <c r="BI513" s="35">
        <f t="shared" si="100"/>
        <v>4.342E-2</v>
      </c>
    </row>
    <row r="514" spans="56:61" x14ac:dyDescent="0.25">
      <c r="BD514" s="7">
        <f t="shared" si="97"/>
        <v>4</v>
      </c>
      <c r="BE514" s="7">
        <f t="shared" si="98"/>
        <v>12</v>
      </c>
      <c r="BF514" s="7">
        <f t="shared" si="99"/>
        <v>2024</v>
      </c>
      <c r="BG514" s="36">
        <f t="shared" si="101"/>
        <v>45643</v>
      </c>
      <c r="BH514" s="35">
        <v>3.6420000000000001E-2</v>
      </c>
      <c r="BI514" s="35">
        <f t="shared" si="100"/>
        <v>4.342E-2</v>
      </c>
    </row>
    <row r="515" spans="56:61" x14ac:dyDescent="0.25">
      <c r="BD515" s="7">
        <f t="shared" ref="BD515:BD524" si="102">ROUNDUP(MONTH(BG515)/3,0)</f>
        <v>4</v>
      </c>
      <c r="BE515" s="7">
        <f t="shared" ref="BE515:BE524" si="103">MONTH(BG515)</f>
        <v>12</v>
      </c>
      <c r="BF515" s="7">
        <f t="shared" ref="BF515:BF524" si="104">YEAR(BG515)</f>
        <v>2024</v>
      </c>
      <c r="BG515" s="36">
        <f t="shared" si="101"/>
        <v>45644</v>
      </c>
      <c r="BH515" s="35">
        <v>3.6420000000000001E-2</v>
      </c>
      <c r="BI515" s="35">
        <f t="shared" ref="BI515:BI524" si="105">BH515+0.7%</f>
        <v>4.342E-2</v>
      </c>
    </row>
    <row r="516" spans="56:61" x14ac:dyDescent="0.25">
      <c r="BD516" s="7">
        <f t="shared" si="102"/>
        <v>4</v>
      </c>
      <c r="BE516" s="7">
        <f t="shared" si="103"/>
        <v>12</v>
      </c>
      <c r="BF516" s="7">
        <f t="shared" si="104"/>
        <v>2024</v>
      </c>
      <c r="BG516" s="36">
        <f t="shared" si="101"/>
        <v>45645</v>
      </c>
      <c r="BH516" s="35">
        <v>3.6420000000000001E-2</v>
      </c>
      <c r="BI516" s="35">
        <f t="shared" si="105"/>
        <v>4.342E-2</v>
      </c>
    </row>
    <row r="517" spans="56:61" x14ac:dyDescent="0.25">
      <c r="BD517" s="7">
        <f t="shared" si="102"/>
        <v>4</v>
      </c>
      <c r="BE517" s="7">
        <f t="shared" si="103"/>
        <v>12</v>
      </c>
      <c r="BF517" s="7">
        <f t="shared" si="104"/>
        <v>2024</v>
      </c>
      <c r="BG517" s="36">
        <f t="shared" si="101"/>
        <v>45646</v>
      </c>
      <c r="BH517" s="35">
        <v>3.6420000000000001E-2</v>
      </c>
      <c r="BI517" s="35">
        <f t="shared" si="105"/>
        <v>4.342E-2</v>
      </c>
    </row>
    <row r="518" spans="56:61" x14ac:dyDescent="0.25">
      <c r="BD518" s="7">
        <f t="shared" si="102"/>
        <v>4</v>
      </c>
      <c r="BE518" s="7">
        <f t="shared" si="103"/>
        <v>12</v>
      </c>
      <c r="BF518" s="7">
        <f t="shared" si="104"/>
        <v>2024</v>
      </c>
      <c r="BG518" s="36">
        <f t="shared" si="101"/>
        <v>45649</v>
      </c>
      <c r="BH518" s="35">
        <v>3.6420000000000001E-2</v>
      </c>
      <c r="BI518" s="35">
        <f t="shared" si="105"/>
        <v>4.342E-2</v>
      </c>
    </row>
    <row r="519" spans="56:61" x14ac:dyDescent="0.25">
      <c r="BD519" s="7">
        <f t="shared" si="102"/>
        <v>4</v>
      </c>
      <c r="BE519" s="7">
        <f t="shared" si="103"/>
        <v>12</v>
      </c>
      <c r="BF519" s="7">
        <f t="shared" si="104"/>
        <v>2024</v>
      </c>
      <c r="BG519" s="36">
        <f t="shared" si="101"/>
        <v>45650</v>
      </c>
      <c r="BH519" s="35">
        <v>3.6420000000000001E-2</v>
      </c>
      <c r="BI519" s="35">
        <f t="shared" si="105"/>
        <v>4.342E-2</v>
      </c>
    </row>
    <row r="520" spans="56:61" x14ac:dyDescent="0.25">
      <c r="BD520" s="7">
        <f t="shared" si="102"/>
        <v>4</v>
      </c>
      <c r="BE520" s="7">
        <f t="shared" si="103"/>
        <v>12</v>
      </c>
      <c r="BF520" s="7">
        <f t="shared" si="104"/>
        <v>2024</v>
      </c>
      <c r="BG520" s="36">
        <f t="shared" si="101"/>
        <v>45651</v>
      </c>
      <c r="BH520" s="35">
        <v>3.6420000000000001E-2</v>
      </c>
      <c r="BI520" s="35">
        <f t="shared" si="105"/>
        <v>4.342E-2</v>
      </c>
    </row>
    <row r="521" spans="56:61" x14ac:dyDescent="0.25">
      <c r="BD521" s="7">
        <f t="shared" si="102"/>
        <v>4</v>
      </c>
      <c r="BE521" s="7">
        <f t="shared" si="103"/>
        <v>12</v>
      </c>
      <c r="BF521" s="7">
        <f t="shared" si="104"/>
        <v>2024</v>
      </c>
      <c r="BG521" s="36">
        <f t="shared" si="101"/>
        <v>45652</v>
      </c>
      <c r="BH521" s="35">
        <v>3.6420000000000001E-2</v>
      </c>
      <c r="BI521" s="35">
        <f t="shared" si="105"/>
        <v>4.342E-2</v>
      </c>
    </row>
    <row r="522" spans="56:61" x14ac:dyDescent="0.25">
      <c r="BD522" s="7">
        <f t="shared" si="102"/>
        <v>4</v>
      </c>
      <c r="BE522" s="7">
        <f t="shared" si="103"/>
        <v>12</v>
      </c>
      <c r="BF522" s="7">
        <f t="shared" si="104"/>
        <v>2024</v>
      </c>
      <c r="BG522" s="36">
        <f t="shared" si="101"/>
        <v>45653</v>
      </c>
      <c r="BH522" s="35">
        <v>3.6420000000000001E-2</v>
      </c>
      <c r="BI522" s="35">
        <f t="shared" si="105"/>
        <v>4.342E-2</v>
      </c>
    </row>
    <row r="523" spans="56:61" x14ac:dyDescent="0.25">
      <c r="BD523" s="7">
        <f t="shared" si="102"/>
        <v>4</v>
      </c>
      <c r="BE523" s="7">
        <f t="shared" si="103"/>
        <v>12</v>
      </c>
      <c r="BF523" s="7">
        <f t="shared" si="104"/>
        <v>2024</v>
      </c>
      <c r="BG523" s="36">
        <f t="shared" si="101"/>
        <v>45656</v>
      </c>
      <c r="BH523" s="35">
        <v>3.6420000000000001E-2</v>
      </c>
      <c r="BI523" s="35">
        <f t="shared" si="105"/>
        <v>4.342E-2</v>
      </c>
    </row>
    <row r="524" spans="56:61" x14ac:dyDescent="0.25">
      <c r="BD524" s="7">
        <f t="shared" si="102"/>
        <v>4</v>
      </c>
      <c r="BE524" s="7">
        <f t="shared" si="103"/>
        <v>12</v>
      </c>
      <c r="BF524" s="7">
        <f t="shared" si="104"/>
        <v>2024</v>
      </c>
      <c r="BG524" s="36">
        <f t="shared" si="101"/>
        <v>45657</v>
      </c>
      <c r="BH524" s="35">
        <v>3.6420000000000001E-2</v>
      </c>
      <c r="BI524" s="35">
        <f t="shared" si="105"/>
        <v>4.342E-2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22">
    <tabColor theme="2" tint="-9.9978637043366805E-2"/>
  </sheetPr>
  <dimension ref="A1:AJ226"/>
  <sheetViews>
    <sheetView workbookViewId="0">
      <selection activeCell="I23" sqref="I23"/>
    </sheetView>
  </sheetViews>
  <sheetFormatPr defaultRowHeight="15" x14ac:dyDescent="0.25"/>
  <cols>
    <col min="1" max="1" width="16.85546875" customWidth="1"/>
    <col min="2" max="2" width="12.5703125" customWidth="1"/>
    <col min="3" max="4" width="10" bestFit="1" customWidth="1"/>
    <col min="5" max="5" width="15.85546875" customWidth="1"/>
    <col min="6" max="6" width="10.7109375" bestFit="1" customWidth="1"/>
    <col min="7" max="7" width="14.28515625" bestFit="1" customWidth="1"/>
    <col min="8" max="8" width="16.5703125" bestFit="1" customWidth="1"/>
    <col min="9" max="9" width="16.5703125" customWidth="1"/>
    <col min="10" max="11" width="15.140625" bestFit="1" customWidth="1"/>
    <col min="12" max="12" width="18" bestFit="1" customWidth="1"/>
    <col min="13" max="13" width="16.5703125" bestFit="1" customWidth="1"/>
    <col min="14" max="14" width="12" bestFit="1" customWidth="1"/>
    <col min="17" max="17" width="10.7109375" bestFit="1" customWidth="1"/>
    <col min="18" max="18" width="10.140625" bestFit="1" customWidth="1"/>
    <col min="19" max="19" width="10.42578125" bestFit="1" customWidth="1"/>
    <col min="25" max="25" width="47.140625" customWidth="1"/>
    <col min="26" max="26" width="14.42578125" bestFit="1" customWidth="1"/>
    <col min="27" max="27" width="4.28515625" bestFit="1" customWidth="1"/>
    <col min="28" max="28" width="10.140625" customWidth="1"/>
    <col min="29" max="29" width="10.140625" bestFit="1" customWidth="1"/>
    <col min="30" max="30" width="9.28515625" bestFit="1" customWidth="1"/>
    <col min="31" max="31" width="10.85546875" customWidth="1"/>
    <col min="32" max="32" width="12.28515625" bestFit="1" customWidth="1"/>
    <col min="33" max="33" width="12.140625" bestFit="1" customWidth="1"/>
    <col min="34" max="35" width="7.140625" bestFit="1" customWidth="1"/>
    <col min="36" max="36" width="4.85546875" bestFit="1" customWidth="1"/>
  </cols>
  <sheetData>
    <row r="1" spans="1:36" x14ac:dyDescent="0.25">
      <c r="G1" t="s">
        <v>926</v>
      </c>
      <c r="H1" t="s">
        <v>1130</v>
      </c>
      <c r="I1" t="s">
        <v>1230</v>
      </c>
    </row>
    <row r="2" spans="1:36" x14ac:dyDescent="0.25">
      <c r="A2" s="371" t="s">
        <v>21</v>
      </c>
      <c r="B2" t="e" vm="1">
        <v>#VALUE!</v>
      </c>
      <c r="C2" s="114">
        <f ca="1">D2</f>
        <v>1.1571</v>
      </c>
      <c r="D2" s="114" cm="1">
        <f t="array" aca="1" ref="D2" ca="1">_FV(B2,"Price")</f>
        <v>1.1571</v>
      </c>
      <c r="E2" s="114"/>
      <c r="G2" t="s">
        <v>927</v>
      </c>
      <c r="H2" t="s">
        <v>1131</v>
      </c>
      <c r="I2" t="s">
        <v>2236</v>
      </c>
    </row>
    <row r="3" spans="1:36" x14ac:dyDescent="0.25">
      <c r="A3" s="371" t="s">
        <v>23</v>
      </c>
      <c r="B3" t="e" vm="2">
        <v>#VALUE!</v>
      </c>
      <c r="C3" s="114">
        <f t="shared" ref="C3:C9" ca="1" si="0">D3</f>
        <v>0.73650000000000004</v>
      </c>
      <c r="D3" s="114" cm="1">
        <f t="array" aca="1" ref="D3" ca="1">_FV(B3,"Price")</f>
        <v>0.73650000000000004</v>
      </c>
      <c r="Y3" s="698" t="s">
        <v>228</v>
      </c>
      <c r="Z3" s="698" t="s">
        <v>48</v>
      </c>
      <c r="AA3" s="698"/>
      <c r="AB3" s="698" t="s">
        <v>232</v>
      </c>
      <c r="AC3" s="698" t="s">
        <v>2373</v>
      </c>
      <c r="AD3" s="698" t="s">
        <v>1124</v>
      </c>
      <c r="AE3" s="698" t="s">
        <v>2374</v>
      </c>
      <c r="AF3" s="698" t="s">
        <v>2375</v>
      </c>
      <c r="AG3" s="698" t="s">
        <v>2376</v>
      </c>
      <c r="AH3" s="698"/>
      <c r="AI3" s="698"/>
      <c r="AJ3" s="698"/>
    </row>
    <row r="4" spans="1:36" x14ac:dyDescent="0.25">
      <c r="A4" s="371" t="s">
        <v>19</v>
      </c>
      <c r="B4" t="e" vm="3">
        <v>#VALUE!</v>
      </c>
      <c r="C4" s="114">
        <f t="shared" ca="1" si="0"/>
        <v>1.3373999999999999</v>
      </c>
      <c r="D4" s="114" cm="1">
        <f t="array" aca="1" ref="D4" ca="1">_FV(B4,"Price")</f>
        <v>1.3373999999999999</v>
      </c>
      <c r="G4" t="s">
        <v>18</v>
      </c>
      <c r="H4" s="9">
        <v>5.0678373000483043E-2</v>
      </c>
      <c r="Y4" s="699" t="s">
        <v>2362</v>
      </c>
      <c r="Z4" s="699" t="s">
        <v>2363</v>
      </c>
      <c r="AA4" s="699" t="s">
        <v>19</v>
      </c>
      <c r="AB4" s="700">
        <v>5865</v>
      </c>
      <c r="AC4" s="700">
        <v>-9366.32</v>
      </c>
      <c r="AD4" s="700">
        <v>125579.69</v>
      </c>
      <c r="AE4" s="701">
        <f>AD4-AC4</f>
        <v>134946.01</v>
      </c>
      <c r="AF4" s="699">
        <f>AE4/AB4</f>
        <v>23.008697357203754</v>
      </c>
      <c r="AG4" s="699">
        <f>AF4*AH4</f>
        <v>17.201302144245528</v>
      </c>
      <c r="AH4" s="699">
        <v>0.74760000000000004</v>
      </c>
      <c r="AI4" s="699">
        <v>16.625</v>
      </c>
      <c r="AJ4" s="699" t="s">
        <v>2377</v>
      </c>
    </row>
    <row r="5" spans="1:36" x14ac:dyDescent="0.25">
      <c r="A5" s="371" t="s">
        <v>24</v>
      </c>
      <c r="B5" t="e" vm="4">
        <v>#VALUE!</v>
      </c>
      <c r="C5" s="114">
        <f t="shared" ca="1" si="0"/>
        <v>1.2831999999999999</v>
      </c>
      <c r="D5" s="114" cm="1">
        <f t="array" aca="1" ref="D5" ca="1">_FV(B5,"Price")</f>
        <v>1.2831999999999999</v>
      </c>
      <c r="G5" t="s">
        <v>19</v>
      </c>
      <c r="H5" s="9">
        <v>4.545724362209335E-2</v>
      </c>
      <c r="Y5" s="699" t="s">
        <v>2364</v>
      </c>
      <c r="Z5" s="699" t="s">
        <v>2365</v>
      </c>
      <c r="AA5" s="699" t="s">
        <v>19</v>
      </c>
      <c r="AB5" s="700">
        <v>109280</v>
      </c>
      <c r="AC5" s="700">
        <v>3248.49</v>
      </c>
      <c r="AD5" s="700">
        <v>274065.61</v>
      </c>
      <c r="AE5" s="701">
        <f t="shared" ref="AE5:AE9" si="1">AD5-AC5</f>
        <v>270817.12</v>
      </c>
      <c r="AF5" s="699">
        <f t="shared" ref="AF5:AF9" si="2">AE5/AB5</f>
        <v>2.4781947291361641</v>
      </c>
      <c r="AG5" s="699">
        <f t="shared" ref="AG5:AG7" si="3">AF5*AH5</f>
        <v>1.8526983795021963</v>
      </c>
      <c r="AH5" s="699">
        <v>0.74760000000000004</v>
      </c>
      <c r="AI5" s="699">
        <v>1.821</v>
      </c>
      <c r="AJ5" s="699" t="s">
        <v>2378</v>
      </c>
    </row>
    <row r="6" spans="1:36" x14ac:dyDescent="0.25">
      <c r="A6" s="371" t="s">
        <v>25</v>
      </c>
      <c r="B6" t="e" vm="5">
        <v>#VALUE!</v>
      </c>
      <c r="C6" s="114">
        <f t="shared" ca="1" si="0"/>
        <v>6.3119999999999999E-3</v>
      </c>
      <c r="D6" s="114" cm="1">
        <f t="array" aca="1" ref="D6" ca="1">_FV(B6,"Price")</f>
        <v>6.3119999999999999E-3</v>
      </c>
      <c r="G6" t="s">
        <v>21</v>
      </c>
      <c r="H6" s="9">
        <v>2.6481102970634041E-2</v>
      </c>
      <c r="Y6" s="699" t="s">
        <v>2366</v>
      </c>
      <c r="Z6" s="699" t="s">
        <v>2296</v>
      </c>
      <c r="AA6" s="699" t="s">
        <v>19</v>
      </c>
      <c r="AB6" s="700">
        <v>196400</v>
      </c>
      <c r="AC6" s="700">
        <v>4642.38</v>
      </c>
      <c r="AD6" s="700">
        <v>275804.7</v>
      </c>
      <c r="AE6" s="701">
        <f t="shared" si="1"/>
        <v>271162.32</v>
      </c>
      <c r="AF6" s="699">
        <f t="shared" si="2"/>
        <v>1.3806635437881873</v>
      </c>
      <c r="AG6" s="699">
        <f t="shared" si="3"/>
        <v>1.032184065336049</v>
      </c>
      <c r="AH6" s="699">
        <v>0.74760000000000004</v>
      </c>
      <c r="AI6" s="699">
        <v>1.0175000000000001</v>
      </c>
      <c r="AJ6" s="699" t="s">
        <v>2379</v>
      </c>
    </row>
    <row r="7" spans="1:36" x14ac:dyDescent="0.25">
      <c r="A7" s="371" t="s">
        <v>458</v>
      </c>
      <c r="B7" t="e" vm="6">
        <v>#VALUE!</v>
      </c>
      <c r="C7" s="114">
        <f t="shared" ca="1" si="0"/>
        <v>0.192</v>
      </c>
      <c r="D7" s="114" cm="1">
        <f t="array" aca="1" ref="D7" ca="1">_FV(B7,"Price")</f>
        <v>0.192</v>
      </c>
      <c r="G7" t="s">
        <v>24</v>
      </c>
      <c r="H7" s="9">
        <v>7.9414570665569204E-3</v>
      </c>
      <c r="Y7" s="699" t="s">
        <v>2367</v>
      </c>
      <c r="Z7" s="699" t="s">
        <v>2368</v>
      </c>
      <c r="AA7" s="699" t="s">
        <v>19</v>
      </c>
      <c r="AB7" s="700">
        <v>30130</v>
      </c>
      <c r="AC7" s="700">
        <v>186.11</v>
      </c>
      <c r="AD7" s="700">
        <v>133861.43</v>
      </c>
      <c r="AE7" s="701">
        <f t="shared" si="1"/>
        <v>133675.32</v>
      </c>
      <c r="AF7" s="699">
        <f t="shared" si="2"/>
        <v>4.4366186525058087</v>
      </c>
      <c r="AG7" s="699">
        <f t="shared" si="3"/>
        <v>3.3168161046133426</v>
      </c>
      <c r="AH7" s="699">
        <v>0.74760000000000004</v>
      </c>
      <c r="AI7" s="699">
        <v>3.3639999999999999</v>
      </c>
      <c r="AJ7" s="699" t="s">
        <v>2380</v>
      </c>
    </row>
    <row r="8" spans="1:36" x14ac:dyDescent="0.25">
      <c r="A8" s="371" t="s">
        <v>18</v>
      </c>
      <c r="C8">
        <v>1</v>
      </c>
      <c r="G8" t="s">
        <v>25</v>
      </c>
      <c r="H8" s="9">
        <v>1.4167505964430088E-2</v>
      </c>
      <c r="Y8" s="702" t="s">
        <v>2381</v>
      </c>
      <c r="Z8" s="699"/>
      <c r="AA8" s="699"/>
      <c r="AB8" s="700">
        <v>50865</v>
      </c>
      <c r="AC8" s="700">
        <v>1804.44</v>
      </c>
      <c r="AD8" s="700">
        <v>502037.55</v>
      </c>
      <c r="AE8" s="701">
        <f t="shared" si="1"/>
        <v>500233.11</v>
      </c>
      <c r="AF8" s="699">
        <f t="shared" si="2"/>
        <v>9.8345249189029786</v>
      </c>
      <c r="AG8" s="699"/>
      <c r="AH8" s="699"/>
      <c r="AI8" s="699"/>
      <c r="AJ8" s="699"/>
    </row>
    <row r="9" spans="1:36" x14ac:dyDescent="0.25">
      <c r="A9" s="371" t="s">
        <v>976</v>
      </c>
      <c r="B9" t="e" vm="7">
        <v>#VALUE!</v>
      </c>
      <c r="C9" s="114">
        <f t="shared" ca="1" si="0"/>
        <v>2.2700000000000001E-2</v>
      </c>
      <c r="D9" s="114" cm="1">
        <f t="array" aca="1" ref="D9" ca="1">_FV(B9,"Price")</f>
        <v>2.2700000000000001E-2</v>
      </c>
      <c r="Y9" s="702" t="s">
        <v>1081</v>
      </c>
      <c r="Z9" s="699"/>
      <c r="AA9" s="699"/>
      <c r="AB9" s="700">
        <v>63450</v>
      </c>
      <c r="AC9" s="700">
        <v>653.53</v>
      </c>
      <c r="AD9" s="700">
        <v>501889.5</v>
      </c>
      <c r="AE9" s="701">
        <f t="shared" si="1"/>
        <v>501235.97</v>
      </c>
      <c r="AF9" s="699">
        <f t="shared" si="2"/>
        <v>7.8997000788022058</v>
      </c>
      <c r="AG9" s="699"/>
      <c r="AH9" s="699"/>
      <c r="AI9" s="699"/>
      <c r="AJ9" s="699"/>
    </row>
    <row r="10" spans="1:36" x14ac:dyDescent="0.25">
      <c r="Y10" s="702" t="s">
        <v>2352</v>
      </c>
      <c r="Z10" s="699"/>
      <c r="AA10" s="699"/>
      <c r="AB10" s="700">
        <v>7450</v>
      </c>
      <c r="AC10" s="700">
        <v>-2358.59</v>
      </c>
      <c r="AD10" s="700">
        <v>498002.7</v>
      </c>
      <c r="AE10" s="701">
        <f>AD10-AC10</f>
        <v>500361.29000000004</v>
      </c>
      <c r="AF10" s="699">
        <f>AE10/AB10</f>
        <v>67.162589261744969</v>
      </c>
      <c r="AG10" s="699"/>
      <c r="AH10" s="699"/>
      <c r="AI10" s="699"/>
      <c r="AJ10" s="699"/>
    </row>
    <row r="11" spans="1:36" x14ac:dyDescent="0.25">
      <c r="G11" s="19" t="s">
        <v>410</v>
      </c>
      <c r="H11" s="19"/>
      <c r="I11" s="19"/>
      <c r="J11" s="19"/>
      <c r="K11" s="19"/>
      <c r="L11" s="19" t="s">
        <v>410</v>
      </c>
      <c r="M11" s="19"/>
      <c r="O11" s="19" t="s">
        <v>411</v>
      </c>
      <c r="R11" s="19" t="s">
        <v>412</v>
      </c>
      <c r="Y11" s="702" t="s">
        <v>99</v>
      </c>
      <c r="Z11" t="s">
        <v>100</v>
      </c>
      <c r="AA11" s="699" t="s">
        <v>19</v>
      </c>
      <c r="AB11" s="700">
        <v>200000</v>
      </c>
      <c r="AC11" s="7">
        <v>14186.25</v>
      </c>
      <c r="AD11" s="700">
        <v>283932.78000000003</v>
      </c>
      <c r="AE11" s="701">
        <f>AD11-AC11</f>
        <v>269746.53000000003</v>
      </c>
      <c r="AF11" s="699">
        <f>AE11/AB11</f>
        <v>1.3487326500000001</v>
      </c>
      <c r="AG11" s="699">
        <f t="shared" ref="AG11:AG14" si="4">AF11*AH11</f>
        <v>1.0083125291400001</v>
      </c>
      <c r="AH11" s="699">
        <v>0.74760000000000004</v>
      </c>
    </row>
    <row r="12" spans="1:36" x14ac:dyDescent="0.25">
      <c r="E12" s="19" t="s">
        <v>413</v>
      </c>
      <c r="G12" s="19" t="s">
        <v>414</v>
      </c>
      <c r="H12" s="19"/>
      <c r="I12" s="19"/>
      <c r="J12" s="19"/>
      <c r="K12" s="19"/>
      <c r="L12" s="19" t="s">
        <v>415</v>
      </c>
      <c r="M12" s="19"/>
      <c r="O12" s="70" t="s">
        <v>416</v>
      </c>
      <c r="P12">
        <v>10.79</v>
      </c>
      <c r="R12" s="19" t="s">
        <v>417</v>
      </c>
      <c r="Y12" s="702" t="s">
        <v>2386</v>
      </c>
      <c r="Z12" t="s">
        <v>2385</v>
      </c>
      <c r="AA12" s="699" t="s">
        <v>19</v>
      </c>
      <c r="AB12" s="700">
        <v>37770</v>
      </c>
      <c r="AC12" s="700">
        <v>-1057.04</v>
      </c>
      <c r="AD12" s="700">
        <v>134537.22</v>
      </c>
      <c r="AE12" s="701">
        <f>AD12-AC12</f>
        <v>135594.26</v>
      </c>
      <c r="AF12" s="699">
        <f>AE12/AB12</f>
        <v>3.589998940958433</v>
      </c>
      <c r="AG12" s="699">
        <f t="shared" si="4"/>
        <v>2.6838832082605246</v>
      </c>
      <c r="AH12" s="699">
        <v>0.74760000000000004</v>
      </c>
    </row>
    <row r="13" spans="1:36" x14ac:dyDescent="0.25">
      <c r="E13" t="s">
        <v>418</v>
      </c>
      <c r="F13" s="32">
        <v>57747</v>
      </c>
      <c r="G13" t="s">
        <v>419</v>
      </c>
      <c r="H13" t="s">
        <v>420</v>
      </c>
      <c r="I13" t="s">
        <v>421</v>
      </c>
      <c r="K13" t="s">
        <v>419</v>
      </c>
      <c r="L13" t="s">
        <v>420</v>
      </c>
      <c r="M13" t="s">
        <v>421</v>
      </c>
      <c r="O13" s="70" t="s">
        <v>387</v>
      </c>
      <c r="P13">
        <v>5.5E-2</v>
      </c>
      <c r="Q13" t="s">
        <v>419</v>
      </c>
      <c r="R13" t="s">
        <v>419</v>
      </c>
      <c r="S13" t="s">
        <v>420</v>
      </c>
      <c r="T13" t="s">
        <v>421</v>
      </c>
      <c r="Y13" s="702" t="s">
        <v>2387</v>
      </c>
      <c r="Z13" t="s">
        <v>2388</v>
      </c>
      <c r="AA13" s="699" t="s">
        <v>19</v>
      </c>
      <c r="AB13" s="700">
        <v>10920</v>
      </c>
      <c r="AC13" s="700">
        <v>4337.8500000000004</v>
      </c>
      <c r="AD13" s="700">
        <v>276830.49</v>
      </c>
      <c r="AE13" s="701">
        <f>AD13-AC13</f>
        <v>272492.64</v>
      </c>
      <c r="AF13" s="699">
        <f>AE13/AB13</f>
        <v>24.953538461538464</v>
      </c>
      <c r="AG13" s="699">
        <f t="shared" si="4"/>
        <v>18.655265353846158</v>
      </c>
      <c r="AH13" s="699">
        <v>0.74760000000000004</v>
      </c>
    </row>
    <row r="14" spans="1:36" x14ac:dyDescent="0.25">
      <c r="E14" t="s">
        <v>422</v>
      </c>
      <c r="F14" s="32">
        <v>57863</v>
      </c>
      <c r="G14" s="115">
        <v>45629</v>
      </c>
      <c r="H14" s="69">
        <v>28750.799999999999</v>
      </c>
      <c r="I14">
        <v>6305</v>
      </c>
      <c r="K14" s="115">
        <v>45378</v>
      </c>
      <c r="L14" s="69">
        <v>6752.72</v>
      </c>
      <c r="M14" s="69">
        <v>6493</v>
      </c>
      <c r="N14">
        <f>L14/M14</f>
        <v>1.04</v>
      </c>
      <c r="Q14" s="41">
        <v>45295</v>
      </c>
      <c r="R14" s="17">
        <v>45626</v>
      </c>
      <c r="S14">
        <v>35540.6</v>
      </c>
      <c r="T14">
        <v>729626</v>
      </c>
      <c r="U14">
        <f t="shared" ref="U14:U26" si="5">S14/T14</f>
        <v>4.8710709322310329E-2</v>
      </c>
      <c r="Y14" s="702" t="s">
        <v>2389</v>
      </c>
      <c r="Z14" t="s">
        <v>2390</v>
      </c>
      <c r="AA14" s="699" t="s">
        <v>19</v>
      </c>
      <c r="AB14" s="700">
        <v>15800</v>
      </c>
      <c r="AC14" s="700">
        <v>1026.55</v>
      </c>
      <c r="AD14" s="700">
        <v>136982.91</v>
      </c>
      <c r="AE14" s="701">
        <f>AD14-AC14</f>
        <v>135956.36000000002</v>
      </c>
      <c r="AF14" s="699">
        <f>AE14/AB14</f>
        <v>8.6048329113924051</v>
      </c>
      <c r="AG14" s="699">
        <f t="shared" si="4"/>
        <v>6.4329730845569628</v>
      </c>
      <c r="AH14" s="699">
        <v>0.74760000000000004</v>
      </c>
    </row>
    <row r="15" spans="1:36" x14ac:dyDescent="0.25">
      <c r="E15" t="s">
        <v>423</v>
      </c>
      <c r="F15" s="32">
        <v>57891</v>
      </c>
      <c r="G15" s="115">
        <v>45629</v>
      </c>
      <c r="I15">
        <v>19957</v>
      </c>
      <c r="K15" s="41">
        <v>45372</v>
      </c>
      <c r="L15" s="2">
        <v>20796.88</v>
      </c>
      <c r="M15" s="95">
        <v>19997</v>
      </c>
      <c r="N15">
        <f t="shared" ref="N15:N20" si="6">L15/M15</f>
        <v>1.04</v>
      </c>
      <c r="Q15" s="41">
        <v>45113</v>
      </c>
      <c r="R15" s="17">
        <v>45595</v>
      </c>
      <c r="S15">
        <v>36958.29</v>
      </c>
      <c r="T15">
        <v>729626</v>
      </c>
      <c r="U15">
        <f t="shared" si="5"/>
        <v>5.0653745891730835E-2</v>
      </c>
    </row>
    <row r="16" spans="1:36" x14ac:dyDescent="0.25">
      <c r="E16" t="s">
        <v>424</v>
      </c>
      <c r="F16" s="32">
        <v>57743</v>
      </c>
      <c r="K16" s="41">
        <v>45281</v>
      </c>
      <c r="L16" s="2">
        <v>13400</v>
      </c>
      <c r="M16" s="95">
        <v>19997</v>
      </c>
      <c r="N16">
        <f t="shared" si="6"/>
        <v>0.67010051507726154</v>
      </c>
      <c r="R16" s="17">
        <v>45565</v>
      </c>
      <c r="S16">
        <v>30973.08</v>
      </c>
      <c r="T16">
        <v>729626</v>
      </c>
      <c r="U16">
        <f t="shared" si="5"/>
        <v>4.2450625388897878E-2</v>
      </c>
    </row>
    <row r="17" spans="5:26" x14ac:dyDescent="0.25">
      <c r="E17" t="s">
        <v>425</v>
      </c>
      <c r="F17" s="32">
        <v>57743.28</v>
      </c>
      <c r="K17" s="17">
        <v>45464</v>
      </c>
      <c r="L17">
        <v>22396.639999999999</v>
      </c>
      <c r="M17" s="95">
        <v>19997</v>
      </c>
      <c r="N17">
        <f t="shared" si="6"/>
        <v>1.1199999999999999</v>
      </c>
      <c r="R17" s="17">
        <v>45534</v>
      </c>
      <c r="S17" s="69">
        <v>33030.65</v>
      </c>
      <c r="T17">
        <v>729626</v>
      </c>
      <c r="U17">
        <f t="shared" si="5"/>
        <v>4.5270659214446854E-2</v>
      </c>
    </row>
    <row r="18" spans="5:26" x14ac:dyDescent="0.25">
      <c r="E18" t="s">
        <v>426</v>
      </c>
      <c r="F18">
        <v>57615.9</v>
      </c>
      <c r="K18" s="17">
        <v>45464</v>
      </c>
      <c r="L18">
        <f>M18*N18</f>
        <v>7272.1599999999989</v>
      </c>
      <c r="M18" s="69">
        <v>6493</v>
      </c>
      <c r="N18">
        <f>N17</f>
        <v>1.1199999999999999</v>
      </c>
      <c r="R18" s="17">
        <v>45504</v>
      </c>
      <c r="S18">
        <v>30943.89</v>
      </c>
      <c r="T18">
        <v>729626</v>
      </c>
      <c r="U18">
        <f t="shared" si="5"/>
        <v>4.2410618590894511E-2</v>
      </c>
    </row>
    <row r="19" spans="5:26" ht="16.5" x14ac:dyDescent="0.25">
      <c r="E19" t="s">
        <v>427</v>
      </c>
      <c r="F19">
        <v>57601.62</v>
      </c>
      <c r="K19" s="17" t="s">
        <v>2298</v>
      </c>
      <c r="L19">
        <v>22396.639999999999</v>
      </c>
      <c r="M19" s="95">
        <v>19997</v>
      </c>
      <c r="N19">
        <f t="shared" si="6"/>
        <v>1.1199999999999999</v>
      </c>
      <c r="R19" s="17">
        <v>45473</v>
      </c>
      <c r="S19">
        <v>28353.68</v>
      </c>
      <c r="T19">
        <v>729626</v>
      </c>
      <c r="U19">
        <f t="shared" si="5"/>
        <v>3.886056692058671E-2</v>
      </c>
      <c r="Y19" s="703"/>
    </row>
    <row r="20" spans="5:26" ht="16.5" x14ac:dyDescent="0.25">
      <c r="E20" t="s">
        <v>428</v>
      </c>
      <c r="F20">
        <f>25102.85+32457.82</f>
        <v>57560.67</v>
      </c>
      <c r="K20" s="17">
        <v>45562</v>
      </c>
      <c r="L20">
        <v>7272.16</v>
      </c>
      <c r="M20" s="69">
        <v>6493</v>
      </c>
      <c r="N20">
        <f t="shared" si="6"/>
        <v>1.1199999999999999</v>
      </c>
      <c r="R20" s="17">
        <v>45442</v>
      </c>
      <c r="S20" s="43">
        <v>34322.11</v>
      </c>
      <c r="T20">
        <v>729626</v>
      </c>
      <c r="U20">
        <f t="shared" si="5"/>
        <v>4.704068933946981E-2</v>
      </c>
      <c r="Y20" s="704"/>
    </row>
    <row r="21" spans="5:26" ht="16.5" x14ac:dyDescent="0.25">
      <c r="E21" t="s">
        <v>429</v>
      </c>
      <c r="F21" s="116">
        <v>57648.33</v>
      </c>
      <c r="R21" s="117">
        <v>45412</v>
      </c>
      <c r="S21" s="69">
        <v>23334.52</v>
      </c>
      <c r="T21">
        <v>479936.69400000002</v>
      </c>
      <c r="U21">
        <f t="shared" si="5"/>
        <v>4.8619995703016616E-2</v>
      </c>
      <c r="Y21" s="704"/>
    </row>
    <row r="22" spans="5:26" ht="16.5" x14ac:dyDescent="0.25">
      <c r="E22" t="s">
        <v>430</v>
      </c>
      <c r="F22" s="116">
        <v>57567.54</v>
      </c>
      <c r="R22" s="117">
        <v>45379</v>
      </c>
      <c r="S22" s="69">
        <v>20310.919999999998</v>
      </c>
      <c r="T22">
        <v>479936.69400000002</v>
      </c>
      <c r="U22">
        <f t="shared" si="5"/>
        <v>4.2319998145422068E-2</v>
      </c>
      <c r="Y22" s="704"/>
    </row>
    <row r="23" spans="5:26" ht="16.5" x14ac:dyDescent="0.25">
      <c r="E23" t="s">
        <v>431</v>
      </c>
      <c r="F23" s="116">
        <v>57608.76</v>
      </c>
      <c r="R23" s="117">
        <v>45351</v>
      </c>
      <c r="S23" s="69">
        <v>18904.71</v>
      </c>
      <c r="T23">
        <v>479936.69400000002</v>
      </c>
      <c r="U23">
        <f t="shared" si="5"/>
        <v>3.9390007549620694E-2</v>
      </c>
      <c r="Y23" s="704"/>
    </row>
    <row r="24" spans="5:26" ht="16.5" x14ac:dyDescent="0.25">
      <c r="E24" t="s">
        <v>432</v>
      </c>
      <c r="F24" s="116">
        <v>57012.34</v>
      </c>
      <c r="R24" s="117">
        <v>45322</v>
      </c>
      <c r="S24" s="69">
        <v>22969.77</v>
      </c>
      <c r="T24">
        <v>479936.69400000002</v>
      </c>
      <c r="U24">
        <f t="shared" si="5"/>
        <v>4.785999963570195E-2</v>
      </c>
      <c r="Y24" s="705"/>
      <c r="Z24">
        <f>AVERAGE(Y26:AA187)</f>
        <v>0.32383333333333336</v>
      </c>
    </row>
    <row r="25" spans="5:26" ht="16.5" x14ac:dyDescent="0.25">
      <c r="E25" t="s">
        <v>433</v>
      </c>
      <c r="F25" s="116">
        <v>57444.12</v>
      </c>
      <c r="R25" s="117">
        <v>45289</v>
      </c>
      <c r="S25" s="69">
        <v>19960.57</v>
      </c>
      <c r="T25">
        <v>479936.69400000002</v>
      </c>
      <c r="U25">
        <f t="shared" si="5"/>
        <v>4.1590006035254305E-2</v>
      </c>
      <c r="Y25" s="706"/>
    </row>
    <row r="26" spans="5:26" ht="16.5" x14ac:dyDescent="0.25">
      <c r="E26" t="s">
        <v>434</v>
      </c>
      <c r="F26" s="116">
        <v>57502.1</v>
      </c>
      <c r="R26" s="117">
        <v>45260</v>
      </c>
      <c r="S26" s="69">
        <v>20910.84</v>
      </c>
      <c r="T26">
        <v>479936.69400000002</v>
      </c>
      <c r="U26">
        <f t="shared" si="5"/>
        <v>4.3569996337892013E-2</v>
      </c>
      <c r="Y26" s="706"/>
    </row>
    <row r="27" spans="5:26" ht="16.5" x14ac:dyDescent="0.25">
      <c r="E27" t="s">
        <v>435</v>
      </c>
      <c r="F27" s="116">
        <v>57322.619999999995</v>
      </c>
      <c r="Z27" s="706">
        <v>0.32900000000000001</v>
      </c>
    </row>
    <row r="28" spans="5:26" ht="16.5" x14ac:dyDescent="0.25">
      <c r="E28" t="s">
        <v>436</v>
      </c>
      <c r="F28" s="116">
        <v>54852</v>
      </c>
      <c r="S28" s="242">
        <f>SUM(S30:S35)</f>
        <v>0.34329999999999999</v>
      </c>
      <c r="Y28" s="706"/>
    </row>
    <row r="29" spans="5:26" ht="45" x14ac:dyDescent="0.25">
      <c r="E29" t="s">
        <v>437</v>
      </c>
      <c r="F29" s="116">
        <v>54838.210000000006</v>
      </c>
      <c r="R29" s="238" t="s">
        <v>899</v>
      </c>
      <c r="S29" s="239" t="s">
        <v>900</v>
      </c>
      <c r="Y29" s="705"/>
    </row>
    <row r="30" spans="5:26" ht="16.5" x14ac:dyDescent="0.25">
      <c r="E30" t="s">
        <v>438</v>
      </c>
      <c r="F30" s="116">
        <v>54721.46</v>
      </c>
      <c r="R30" s="240" t="s">
        <v>901</v>
      </c>
      <c r="S30" s="241">
        <v>4.4839999999999998E-2</v>
      </c>
      <c r="Y30" s="706"/>
    </row>
    <row r="31" spans="5:26" ht="16.5" x14ac:dyDescent="0.25">
      <c r="E31" t="s">
        <v>439</v>
      </c>
      <c r="F31" s="116">
        <v>54704.38</v>
      </c>
      <c r="R31" s="240" t="s">
        <v>902</v>
      </c>
      <c r="S31" s="241">
        <v>3.117E-2</v>
      </c>
      <c r="Y31" s="706"/>
    </row>
    <row r="32" spans="5:26" ht="16.5" x14ac:dyDescent="0.25">
      <c r="E32" t="s">
        <v>428</v>
      </c>
      <c r="F32" s="116">
        <v>54808.44</v>
      </c>
      <c r="R32" s="240" t="s">
        <v>903</v>
      </c>
      <c r="S32" s="241">
        <v>4.2869999999999998E-2</v>
      </c>
      <c r="Z32" s="706">
        <v>0.36699999999999999</v>
      </c>
    </row>
    <row r="33" spans="1:26" ht="16.5" x14ac:dyDescent="0.25">
      <c r="E33" t="s">
        <v>429</v>
      </c>
      <c r="F33" s="116">
        <v>54776.82</v>
      </c>
      <c r="R33" s="240" t="s">
        <v>904</v>
      </c>
      <c r="S33" s="241">
        <v>4.7780000000000003E-2</v>
      </c>
      <c r="Y33" s="706"/>
    </row>
    <row r="34" spans="1:26" ht="16.5" x14ac:dyDescent="0.25">
      <c r="E34" t="s">
        <v>430</v>
      </c>
      <c r="F34" s="116">
        <v>54744.990000000005</v>
      </c>
      <c r="R34" s="240" t="s">
        <v>905</v>
      </c>
      <c r="S34" s="241">
        <v>0.12852</v>
      </c>
      <c r="Y34" s="705"/>
    </row>
    <row r="35" spans="1:26" ht="16.5" x14ac:dyDescent="0.25">
      <c r="R35" s="240" t="s">
        <v>906</v>
      </c>
      <c r="S35" s="241">
        <v>4.8120000000000003E-2</v>
      </c>
      <c r="Y35" s="706"/>
    </row>
    <row r="36" spans="1:26" ht="16.5" x14ac:dyDescent="0.25">
      <c r="A36" s="323" t="s">
        <v>1022</v>
      </c>
      <c r="B36" s="323"/>
      <c r="C36" s="323"/>
      <c r="D36" s="323"/>
      <c r="E36" s="323"/>
      <c r="R36" s="240" t="s">
        <v>907</v>
      </c>
      <c r="S36" s="241">
        <v>4.8710000000000003E-2</v>
      </c>
      <c r="Y36" s="706"/>
    </row>
    <row r="37" spans="1:26" ht="16.5" x14ac:dyDescent="0.25">
      <c r="A37" s="278" t="s">
        <v>1008</v>
      </c>
      <c r="B37" s="278"/>
      <c r="C37" s="278"/>
      <c r="D37" s="278"/>
      <c r="E37" s="278" t="s">
        <v>194</v>
      </c>
      <c r="R37" s="240" t="s">
        <v>908</v>
      </c>
      <c r="S37" s="241">
        <v>5.0650000000000001E-2</v>
      </c>
      <c r="Z37" s="706">
        <v>0.28599999999999998</v>
      </c>
    </row>
    <row r="38" spans="1:26" ht="30" x14ac:dyDescent="0.25">
      <c r="A38" s="321" t="s">
        <v>995</v>
      </c>
      <c r="B38" s="324" t="s">
        <v>996</v>
      </c>
      <c r="C38" s="324" t="s">
        <v>997</v>
      </c>
      <c r="D38" s="324" t="s">
        <v>913</v>
      </c>
      <c r="E38" s="324"/>
      <c r="R38" s="240" t="s">
        <v>909</v>
      </c>
      <c r="S38" s="241">
        <v>4.2450000000000002E-2</v>
      </c>
      <c r="Y38" s="706"/>
    </row>
    <row r="39" spans="1:26" ht="16.5" x14ac:dyDescent="0.25">
      <c r="A39" s="116" t="s">
        <v>998</v>
      </c>
      <c r="B39" s="325">
        <v>80.790000000000006</v>
      </c>
      <c r="C39" s="325">
        <v>1.29</v>
      </c>
      <c r="D39" s="325">
        <v>1.29</v>
      </c>
      <c r="E39" s="326"/>
      <c r="R39" s="240" t="s">
        <v>910</v>
      </c>
      <c r="S39" s="241">
        <v>4.5269999999999998E-2</v>
      </c>
      <c r="Y39" s="705"/>
    </row>
    <row r="40" spans="1:26" ht="16.5" x14ac:dyDescent="0.25">
      <c r="A40" s="116" t="s">
        <v>999</v>
      </c>
      <c r="B40" s="325">
        <v>78.64</v>
      </c>
      <c r="C40" s="325">
        <v>1.1299999999999999</v>
      </c>
      <c r="D40" s="325">
        <v>1.1299999999999999</v>
      </c>
      <c r="E40" s="326"/>
      <c r="R40" s="240" t="s">
        <v>911</v>
      </c>
      <c r="S40" s="241">
        <v>4.2410000000000003E-2</v>
      </c>
      <c r="Y40" s="706"/>
    </row>
    <row r="41" spans="1:26" ht="16.5" x14ac:dyDescent="0.25">
      <c r="A41" s="116" t="s">
        <v>1000</v>
      </c>
      <c r="B41" s="325">
        <v>79.239999999999995</v>
      </c>
      <c r="C41" s="325">
        <v>1.3</v>
      </c>
      <c r="D41" s="325">
        <v>1.3</v>
      </c>
      <c r="E41" s="326"/>
      <c r="R41" s="240" t="s">
        <v>912</v>
      </c>
      <c r="S41" s="241">
        <v>3.8859999999999999E-2</v>
      </c>
      <c r="Y41" s="706"/>
    </row>
    <row r="42" spans="1:26" ht="16.5" x14ac:dyDescent="0.25">
      <c r="A42" s="116" t="s">
        <v>1001</v>
      </c>
      <c r="B42" s="325">
        <v>78.56</v>
      </c>
      <c r="C42" s="325">
        <v>1.33</v>
      </c>
      <c r="D42" s="325">
        <v>1.33</v>
      </c>
      <c r="E42" s="326"/>
      <c r="R42" s="243" t="s">
        <v>913</v>
      </c>
      <c r="S42" s="244">
        <f>SUM(S30:S35)</f>
        <v>0.34329999999999999</v>
      </c>
      <c r="Z42" s="706">
        <v>0.255</v>
      </c>
    </row>
    <row r="43" spans="1:26" ht="16.5" x14ac:dyDescent="0.25">
      <c r="A43" s="116" t="s">
        <v>1002</v>
      </c>
      <c r="B43" s="325">
        <v>78.86</v>
      </c>
      <c r="C43" s="325">
        <v>1.1200000000000001</v>
      </c>
      <c r="D43" s="325">
        <v>1.1200000000000001</v>
      </c>
      <c r="E43" s="326"/>
      <c r="S43" s="242"/>
      <c r="Y43" s="706"/>
    </row>
    <row r="44" spans="1:26" ht="16.5" x14ac:dyDescent="0.25">
      <c r="A44" s="116" t="s">
        <v>1003</v>
      </c>
      <c r="B44" s="325">
        <v>76.489999999999995</v>
      </c>
      <c r="C44" s="325">
        <v>1.1200000000000001</v>
      </c>
      <c r="D44" s="325">
        <v>1.1200000000000001</v>
      </c>
      <c r="E44" s="326"/>
      <c r="Y44" s="705"/>
    </row>
    <row r="45" spans="1:26" ht="16.5" x14ac:dyDescent="0.25">
      <c r="A45" s="116" t="s">
        <v>1004</v>
      </c>
      <c r="B45" s="325">
        <v>76.81</v>
      </c>
      <c r="C45" s="325">
        <v>1.04</v>
      </c>
      <c r="D45" s="325">
        <v>1.04</v>
      </c>
      <c r="E45" s="326"/>
      <c r="Y45" s="706"/>
    </row>
    <row r="46" spans="1:26" ht="16.5" x14ac:dyDescent="0.25">
      <c r="A46" s="116" t="s">
        <v>1005</v>
      </c>
      <c r="B46" s="325">
        <v>74.989999999999995</v>
      </c>
      <c r="C46" s="325">
        <v>1</v>
      </c>
      <c r="D46" s="325">
        <v>1</v>
      </c>
      <c r="E46" s="326"/>
      <c r="Y46" s="706"/>
    </row>
    <row r="47" spans="1:26" ht="16.5" x14ac:dyDescent="0.25">
      <c r="A47" s="116" t="s">
        <v>1006</v>
      </c>
      <c r="B47" s="325">
        <v>73.8</v>
      </c>
      <c r="C47" s="325">
        <v>1.03</v>
      </c>
      <c r="D47" s="325">
        <v>1.03</v>
      </c>
      <c r="E47" s="326"/>
      <c r="Z47" s="706">
        <v>0.34899999999999998</v>
      </c>
    </row>
    <row r="48" spans="1:26" ht="16.5" x14ac:dyDescent="0.25">
      <c r="A48" s="116" t="s">
        <v>1007</v>
      </c>
      <c r="B48" s="325">
        <v>76.349999999999994</v>
      </c>
      <c r="C48" s="325">
        <v>1.37</v>
      </c>
      <c r="D48" s="325">
        <v>1.37</v>
      </c>
      <c r="E48" s="326"/>
      <c r="J48" t="s">
        <v>1081</v>
      </c>
      <c r="Y48" s="706"/>
    </row>
    <row r="49" spans="1:26" ht="16.5" x14ac:dyDescent="0.25">
      <c r="A49" s="322"/>
      <c r="B49" s="327"/>
      <c r="C49" s="327"/>
      <c r="D49" s="328">
        <f>AVERAGE(D39:D42)</f>
        <v>1.2625</v>
      </c>
      <c r="E49" s="327" t="s">
        <v>1045</v>
      </c>
      <c r="J49" s="325" t="s">
        <v>1091</v>
      </c>
      <c r="K49" s="325" t="s">
        <v>1092</v>
      </c>
      <c r="L49" s="325" t="s">
        <v>1093</v>
      </c>
      <c r="M49" s="325" t="s">
        <v>1094</v>
      </c>
      <c r="N49" s="325" t="s">
        <v>1095</v>
      </c>
      <c r="Y49" s="705"/>
    </row>
    <row r="50" spans="1:26" ht="16.5" x14ac:dyDescent="0.25">
      <c r="B50" s="242"/>
      <c r="C50" s="242"/>
      <c r="D50" s="242"/>
      <c r="E50" s="242"/>
      <c r="J50" s="325">
        <v>45931</v>
      </c>
      <c r="K50" s="325">
        <v>45930</v>
      </c>
      <c r="L50" s="325">
        <v>45933</v>
      </c>
      <c r="M50" s="325" t="s">
        <v>997</v>
      </c>
      <c r="N50" s="325">
        <v>5.1400000000000001E-2</v>
      </c>
      <c r="Y50" s="706"/>
    </row>
    <row r="51" spans="1:26" ht="16.5" x14ac:dyDescent="0.25">
      <c r="A51" s="278" t="s">
        <v>1009</v>
      </c>
      <c r="B51" s="329"/>
      <c r="C51" s="329"/>
      <c r="D51" s="329"/>
      <c r="E51" s="329" t="s">
        <v>857</v>
      </c>
      <c r="J51" s="325">
        <v>45902</v>
      </c>
      <c r="K51" s="325">
        <v>45898</v>
      </c>
      <c r="L51" s="325">
        <v>45904</v>
      </c>
      <c r="M51" s="325" t="s">
        <v>997</v>
      </c>
      <c r="N51" s="325">
        <v>5.2600000000000001E-2</v>
      </c>
      <c r="Y51" s="706"/>
    </row>
    <row r="52" spans="1:26" ht="30" x14ac:dyDescent="0.25">
      <c r="A52" s="321" t="s">
        <v>995</v>
      </c>
      <c r="B52" s="324" t="s">
        <v>996</v>
      </c>
      <c r="C52" s="324" t="s">
        <v>997</v>
      </c>
      <c r="D52" s="324" t="s">
        <v>913</v>
      </c>
      <c r="E52" s="324"/>
      <c r="J52" s="325">
        <v>45870</v>
      </c>
      <c r="K52" s="325">
        <v>45869</v>
      </c>
      <c r="L52" s="325">
        <v>45874</v>
      </c>
      <c r="M52" s="325" t="s">
        <v>997</v>
      </c>
      <c r="N52" s="325">
        <v>5.16E-2</v>
      </c>
      <c r="Z52" s="706">
        <v>0.28000000000000003</v>
      </c>
    </row>
    <row r="53" spans="1:26" ht="16.5" x14ac:dyDescent="0.25">
      <c r="A53" s="116" t="s">
        <v>998</v>
      </c>
      <c r="B53" s="325">
        <v>104.61</v>
      </c>
      <c r="C53" s="325">
        <v>1.3090999999999999</v>
      </c>
      <c r="D53" s="325">
        <v>1.3090999999999999</v>
      </c>
      <c r="E53" s="326"/>
      <c r="J53" s="325">
        <v>45839</v>
      </c>
      <c r="K53" s="325">
        <v>45838</v>
      </c>
      <c r="L53" s="325">
        <v>45841</v>
      </c>
      <c r="M53" s="325" t="s">
        <v>997</v>
      </c>
      <c r="N53" s="325">
        <v>5.11E-2</v>
      </c>
      <c r="Y53" s="706"/>
    </row>
    <row r="54" spans="1:26" ht="16.5" x14ac:dyDescent="0.25">
      <c r="A54" s="116" t="s">
        <v>999</v>
      </c>
      <c r="B54" s="325">
        <v>103.42</v>
      </c>
      <c r="C54" s="325">
        <v>1.294</v>
      </c>
      <c r="D54" s="325">
        <v>1.294</v>
      </c>
      <c r="E54" s="326"/>
      <c r="J54" s="325">
        <v>45810</v>
      </c>
      <c r="K54" s="325">
        <v>45807</v>
      </c>
      <c r="L54" s="325">
        <v>45812</v>
      </c>
      <c r="M54" s="325" t="s">
        <v>997</v>
      </c>
      <c r="N54" s="325">
        <v>5.1499999999999997E-2</v>
      </c>
      <c r="Y54" s="705"/>
    </row>
    <row r="55" spans="1:26" ht="16.5" x14ac:dyDescent="0.25">
      <c r="A55" s="116" t="s">
        <v>1000</v>
      </c>
      <c r="B55" s="325">
        <v>102.61</v>
      </c>
      <c r="C55" s="325">
        <v>1.3283</v>
      </c>
      <c r="D55" s="325">
        <v>1.3283</v>
      </c>
      <c r="E55" s="326"/>
      <c r="J55" s="325">
        <v>45778</v>
      </c>
      <c r="K55" s="325">
        <v>45777</v>
      </c>
      <c r="L55" s="325">
        <v>45783</v>
      </c>
      <c r="M55" s="325" t="s">
        <v>997</v>
      </c>
      <c r="N55" s="325">
        <v>4.9399999999999999E-2</v>
      </c>
      <c r="Y55" s="706"/>
    </row>
    <row r="56" spans="1:26" ht="16.5" x14ac:dyDescent="0.25">
      <c r="A56" s="116" t="s">
        <v>1001</v>
      </c>
      <c r="B56" s="325">
        <v>102.71</v>
      </c>
      <c r="C56" s="325">
        <v>1.3292999999999999</v>
      </c>
      <c r="D56" s="325">
        <v>1.3292999999999999</v>
      </c>
      <c r="E56" s="326"/>
      <c r="J56" s="325">
        <v>45748</v>
      </c>
      <c r="K56" s="325">
        <v>45747</v>
      </c>
      <c r="L56" s="325">
        <v>45750</v>
      </c>
      <c r="M56" s="325" t="s">
        <v>997</v>
      </c>
      <c r="N56" s="325">
        <v>4.9799999999999997E-2</v>
      </c>
      <c r="Y56" s="706"/>
    </row>
    <row r="57" spans="1:26" ht="16.5" x14ac:dyDescent="0.25">
      <c r="A57" s="116" t="s">
        <v>1002</v>
      </c>
      <c r="B57" s="325">
        <v>103.48</v>
      </c>
      <c r="C57" s="325">
        <v>1.95</v>
      </c>
      <c r="D57" s="325">
        <v>1.95</v>
      </c>
      <c r="E57" s="326"/>
      <c r="J57" s="325">
        <v>45719</v>
      </c>
      <c r="K57" s="325">
        <v>45716</v>
      </c>
      <c r="L57" s="325">
        <v>45721</v>
      </c>
      <c r="M57" s="325" t="s">
        <v>997</v>
      </c>
      <c r="N57" s="325">
        <v>4.4699999999999997E-2</v>
      </c>
      <c r="Z57" s="706">
        <v>0.30599999999999999</v>
      </c>
    </row>
    <row r="58" spans="1:26" ht="16.5" x14ac:dyDescent="0.25">
      <c r="A58" s="116" t="s">
        <v>1003</v>
      </c>
      <c r="B58" s="325">
        <v>101.46</v>
      </c>
      <c r="C58" s="325">
        <v>0.75</v>
      </c>
      <c r="D58" s="325">
        <v>0.75</v>
      </c>
      <c r="E58" s="326"/>
      <c r="J58" s="325">
        <v>45691</v>
      </c>
      <c r="K58" s="325">
        <v>45688</v>
      </c>
      <c r="L58" s="325">
        <v>45693</v>
      </c>
      <c r="M58" s="325" t="s">
        <v>997</v>
      </c>
      <c r="N58" s="325">
        <v>4.9500000000000002E-2</v>
      </c>
      <c r="Y58" s="706"/>
    </row>
    <row r="59" spans="1:26" ht="16.5" x14ac:dyDescent="0.25">
      <c r="A59" s="116" t="s">
        <v>1004</v>
      </c>
      <c r="B59" s="325">
        <v>100.57</v>
      </c>
      <c r="C59" s="325">
        <v>1.32</v>
      </c>
      <c r="D59" s="325">
        <v>1.32</v>
      </c>
      <c r="E59" s="326"/>
      <c r="J59" s="325">
        <v>45659</v>
      </c>
      <c r="K59" s="325">
        <v>45657</v>
      </c>
      <c r="L59" s="325">
        <v>45663</v>
      </c>
      <c r="M59" s="325" t="s">
        <v>997</v>
      </c>
      <c r="N59" s="325">
        <v>4.8500000000000001E-2</v>
      </c>
      <c r="Y59" s="705"/>
    </row>
    <row r="60" spans="1:26" ht="16.5" x14ac:dyDescent="0.25">
      <c r="A60" s="116" t="s">
        <v>1005</v>
      </c>
      <c r="B60" s="325">
        <v>98.83</v>
      </c>
      <c r="C60" s="325">
        <v>1.47</v>
      </c>
      <c r="D60" s="325">
        <v>1.47</v>
      </c>
      <c r="E60" s="326"/>
      <c r="J60" s="325">
        <v>45628</v>
      </c>
      <c r="K60" s="325">
        <v>45625</v>
      </c>
      <c r="L60" s="325">
        <v>45630</v>
      </c>
      <c r="M60" s="325" t="s">
        <v>997</v>
      </c>
      <c r="N60" s="325">
        <v>4.82E-2</v>
      </c>
      <c r="Y60" s="706"/>
    </row>
    <row r="61" spans="1:26" ht="16.5" x14ac:dyDescent="0.25">
      <c r="A61" s="116" t="s">
        <v>1006</v>
      </c>
      <c r="B61" s="325">
        <v>94.13</v>
      </c>
      <c r="C61" s="325">
        <v>1.07</v>
      </c>
      <c r="D61" s="325">
        <v>1.07</v>
      </c>
      <c r="E61" s="326"/>
      <c r="J61" s="325">
        <v>45597</v>
      </c>
      <c r="K61" s="325">
        <v>45596</v>
      </c>
      <c r="L61" s="325">
        <v>45601</v>
      </c>
      <c r="M61" s="325" t="s">
        <v>997</v>
      </c>
      <c r="N61" s="325">
        <v>5.04E-2</v>
      </c>
      <c r="Y61" s="706"/>
    </row>
    <row r="62" spans="1:26" x14ac:dyDescent="0.25">
      <c r="A62" s="116" t="s">
        <v>1007</v>
      </c>
      <c r="B62" s="325">
        <v>93.81</v>
      </c>
      <c r="C62" s="325">
        <v>1.58</v>
      </c>
      <c r="D62" s="325">
        <v>1.58</v>
      </c>
      <c r="E62" s="326"/>
      <c r="N62" s="242">
        <f>AVERAGE(N50:N61)</f>
        <v>4.9891666666666674E-2</v>
      </c>
    </row>
    <row r="63" spans="1:26" ht="16.5" x14ac:dyDescent="0.25">
      <c r="A63" s="322"/>
      <c r="B63" s="327"/>
      <c r="C63" s="327"/>
      <c r="D63" s="328">
        <f>AVERAGE(D53:D56)</f>
        <v>1.315175</v>
      </c>
      <c r="E63" s="327" t="s">
        <v>1045</v>
      </c>
      <c r="G63" s="242"/>
      <c r="Y63" s="706"/>
      <c r="Z63" s="706">
        <v>0.35799999999999998</v>
      </c>
    </row>
    <row r="64" spans="1:26" ht="16.5" x14ac:dyDescent="0.25">
      <c r="B64" s="242"/>
      <c r="C64" s="242"/>
      <c r="D64" s="242"/>
      <c r="E64" s="242"/>
      <c r="Y64" s="705"/>
    </row>
    <row r="65" spans="1:26" ht="16.5" x14ac:dyDescent="0.25">
      <c r="A65" s="278" t="s">
        <v>1020</v>
      </c>
      <c r="B65" s="329"/>
      <c r="C65" s="329"/>
      <c r="D65" s="329"/>
      <c r="E65" s="329" t="s">
        <v>852</v>
      </c>
      <c r="Y65" s="706"/>
    </row>
    <row r="66" spans="1:26" ht="30" x14ac:dyDescent="0.25">
      <c r="A66" s="321" t="s">
        <v>995</v>
      </c>
      <c r="B66" s="324" t="s">
        <v>996</v>
      </c>
      <c r="C66" s="324" t="s">
        <v>997</v>
      </c>
      <c r="D66" s="324" t="s">
        <v>913</v>
      </c>
      <c r="E66" s="324"/>
      <c r="Y66" s="706"/>
    </row>
    <row r="67" spans="1:26" ht="16.5" x14ac:dyDescent="0.25">
      <c r="A67" s="116" t="s">
        <v>1010</v>
      </c>
      <c r="B67" s="325">
        <v>110.35</v>
      </c>
      <c r="C67" s="325">
        <v>1.5948</v>
      </c>
      <c r="D67" s="325">
        <v>1.5948</v>
      </c>
      <c r="E67" s="326"/>
      <c r="Z67" s="706">
        <v>0.315</v>
      </c>
    </row>
    <row r="68" spans="1:26" ht="16.5" x14ac:dyDescent="0.25">
      <c r="A68" s="116" t="s">
        <v>1011</v>
      </c>
      <c r="B68" s="325">
        <v>106.6</v>
      </c>
      <c r="C68" s="325">
        <v>1.6373</v>
      </c>
      <c r="D68" s="325">
        <v>1.6373</v>
      </c>
      <c r="E68" s="326"/>
      <c r="Y68" s="706"/>
    </row>
    <row r="69" spans="1:26" ht="16.5" x14ac:dyDescent="0.25">
      <c r="A69" s="116" t="s">
        <v>1012</v>
      </c>
      <c r="B69" s="325">
        <v>109.29</v>
      </c>
      <c r="C69" s="325">
        <v>1.7225999999999999</v>
      </c>
      <c r="D69" s="325">
        <v>1.7225999999999999</v>
      </c>
      <c r="E69" s="326"/>
      <c r="Y69" s="705"/>
    </row>
    <row r="70" spans="1:26" ht="16.5" x14ac:dyDescent="0.25">
      <c r="A70" s="116" t="s">
        <v>1013</v>
      </c>
      <c r="B70" s="325">
        <v>110.04</v>
      </c>
      <c r="C70" s="325">
        <v>1.738</v>
      </c>
      <c r="D70" s="325">
        <v>1.738</v>
      </c>
      <c r="E70" s="326"/>
      <c r="Y70" s="706"/>
    </row>
    <row r="71" spans="1:26" ht="16.5" x14ac:dyDescent="0.25">
      <c r="A71" s="116" t="s">
        <v>1014</v>
      </c>
      <c r="B71" s="325">
        <v>108.62</v>
      </c>
      <c r="C71" s="325">
        <v>1.7835000000000001</v>
      </c>
      <c r="D71" s="325">
        <v>1.7835000000000001</v>
      </c>
      <c r="E71" s="326"/>
      <c r="Y71" s="706"/>
    </row>
    <row r="72" spans="1:26" ht="16.5" x14ac:dyDescent="0.25">
      <c r="A72" s="116" t="s">
        <v>1015</v>
      </c>
      <c r="B72" s="325">
        <v>108.21</v>
      </c>
      <c r="C72" s="325">
        <v>1.7283999999999999</v>
      </c>
      <c r="D72" s="325">
        <v>1.7283999999999999</v>
      </c>
      <c r="E72" s="326"/>
      <c r="Y72" s="706">
        <v>0.36699999999999999</v>
      </c>
    </row>
    <row r="73" spans="1:26" ht="16.5" x14ac:dyDescent="0.25">
      <c r="A73" s="116" t="s">
        <v>1016</v>
      </c>
      <c r="B73" s="325">
        <v>106.25</v>
      </c>
      <c r="C73" s="325">
        <v>1.6977</v>
      </c>
      <c r="D73" s="325">
        <v>1.6977</v>
      </c>
      <c r="E73" s="326"/>
      <c r="Y73" s="706"/>
    </row>
    <row r="74" spans="1:26" ht="16.5" x14ac:dyDescent="0.25">
      <c r="A74" s="116" t="s">
        <v>1017</v>
      </c>
      <c r="B74" s="325">
        <v>97.96</v>
      </c>
      <c r="C74" s="325">
        <v>1.7503</v>
      </c>
      <c r="D74" s="325">
        <v>1.7503</v>
      </c>
      <c r="E74" s="326"/>
      <c r="Y74" s="705"/>
    </row>
    <row r="75" spans="1:26" ht="16.5" x14ac:dyDescent="0.25">
      <c r="A75" s="116" t="s">
        <v>1018</v>
      </c>
      <c r="B75" s="325">
        <v>99.32</v>
      </c>
      <c r="C75" s="325">
        <v>1.6438999999999999</v>
      </c>
      <c r="D75" s="325">
        <v>1.6438999999999999</v>
      </c>
      <c r="E75" s="326"/>
      <c r="Y75" s="706"/>
    </row>
    <row r="76" spans="1:26" ht="16.5" x14ac:dyDescent="0.25">
      <c r="A76" s="116" t="s">
        <v>1019</v>
      </c>
      <c r="B76" s="325">
        <v>99.23</v>
      </c>
      <c r="C76" s="325">
        <v>1.5881000000000001</v>
      </c>
      <c r="D76" s="325">
        <v>1.5881000000000001</v>
      </c>
      <c r="E76" s="326"/>
      <c r="Y76" s="706"/>
    </row>
    <row r="77" spans="1:26" ht="16.5" x14ac:dyDescent="0.25">
      <c r="A77" s="322"/>
      <c r="B77" s="327"/>
      <c r="C77" s="327"/>
      <c r="D77" s="328">
        <f>AVERAGE(D67:D70)</f>
        <v>1.6731750000000001</v>
      </c>
      <c r="E77" s="327" t="s">
        <v>1045</v>
      </c>
      <c r="Y77" s="706">
        <v>0.38800000000000001</v>
      </c>
    </row>
    <row r="78" spans="1:26" ht="16.5" x14ac:dyDescent="0.25">
      <c r="B78" s="242"/>
      <c r="C78" s="242"/>
      <c r="D78" s="242"/>
      <c r="E78" s="242"/>
      <c r="Y78" s="706"/>
    </row>
    <row r="79" spans="1:26" ht="16.5" x14ac:dyDescent="0.25">
      <c r="A79" s="278" t="s">
        <v>1021</v>
      </c>
      <c r="B79" s="329"/>
      <c r="C79" s="329"/>
      <c r="D79" s="329"/>
      <c r="E79" s="329" t="s">
        <v>854</v>
      </c>
      <c r="Y79" s="705"/>
    </row>
    <row r="80" spans="1:26" ht="30" x14ac:dyDescent="0.25">
      <c r="A80" s="321" t="s">
        <v>995</v>
      </c>
      <c r="B80" s="324" t="s">
        <v>996</v>
      </c>
      <c r="C80" s="324" t="s">
        <v>997</v>
      </c>
      <c r="D80" s="324" t="s">
        <v>913</v>
      </c>
      <c r="E80" s="324"/>
      <c r="Y80" s="706"/>
    </row>
    <row r="81" spans="1:25" ht="16.5" x14ac:dyDescent="0.25">
      <c r="A81" s="116" t="s">
        <v>1010</v>
      </c>
      <c r="B81" s="325">
        <v>113.26</v>
      </c>
      <c r="C81" s="325">
        <v>1.5927</v>
      </c>
      <c r="D81" s="325">
        <v>1.5927</v>
      </c>
      <c r="E81" s="326"/>
      <c r="Y81" s="706"/>
    </row>
    <row r="82" spans="1:25" ht="16.5" x14ac:dyDescent="0.25">
      <c r="A82" s="116" t="s">
        <v>1011</v>
      </c>
      <c r="B82" s="325">
        <v>108.86</v>
      </c>
      <c r="C82" s="325">
        <v>1.7490000000000001</v>
      </c>
      <c r="D82" s="325">
        <v>1.7490000000000001</v>
      </c>
      <c r="E82" s="326"/>
      <c r="Y82" s="706">
        <v>0.28599999999999998</v>
      </c>
    </row>
    <row r="83" spans="1:25" ht="16.5" x14ac:dyDescent="0.25">
      <c r="A83" s="116" t="s">
        <v>1012</v>
      </c>
      <c r="B83" s="325">
        <v>111.22</v>
      </c>
      <c r="C83" s="325">
        <v>1.6119000000000001</v>
      </c>
      <c r="D83" s="325">
        <v>1.6119000000000001</v>
      </c>
      <c r="E83" s="326"/>
      <c r="Y83" s="706"/>
    </row>
    <row r="84" spans="1:25" x14ac:dyDescent="0.25">
      <c r="A84" s="116" t="s">
        <v>1013</v>
      </c>
      <c r="B84" s="325">
        <v>111.69</v>
      </c>
      <c r="C84" s="325">
        <v>1.5944</v>
      </c>
      <c r="D84" s="325">
        <v>1.5944</v>
      </c>
      <c r="E84" s="326"/>
    </row>
    <row r="85" spans="1:25" x14ac:dyDescent="0.25">
      <c r="A85" s="116" t="s">
        <v>1014</v>
      </c>
      <c r="B85" s="325">
        <v>109.59</v>
      </c>
      <c r="C85" s="325">
        <v>1.6359999999999999</v>
      </c>
      <c r="D85" s="325">
        <v>1.6359999999999999</v>
      </c>
      <c r="E85" s="326"/>
    </row>
    <row r="86" spans="1:25" x14ac:dyDescent="0.25">
      <c r="A86" s="116" t="s">
        <v>1015</v>
      </c>
      <c r="B86" s="325">
        <v>108.57</v>
      </c>
      <c r="C86" s="325">
        <v>1.6055999999999999</v>
      </c>
      <c r="D86" s="325">
        <v>1.6055999999999999</v>
      </c>
      <c r="E86" s="326"/>
    </row>
    <row r="87" spans="1:25" x14ac:dyDescent="0.25">
      <c r="A87" s="116" t="s">
        <v>1016</v>
      </c>
      <c r="B87" s="325">
        <v>106.26</v>
      </c>
      <c r="C87" s="325">
        <v>1.8398000000000001</v>
      </c>
      <c r="D87" s="325">
        <v>1.8398000000000001</v>
      </c>
      <c r="E87" s="326"/>
    </row>
    <row r="88" spans="1:25" x14ac:dyDescent="0.25">
      <c r="A88" s="116" t="s">
        <v>1017</v>
      </c>
      <c r="B88" s="325">
        <v>98.02</v>
      </c>
      <c r="C88" s="325">
        <v>1.2011000000000001</v>
      </c>
      <c r="D88" s="325">
        <v>1.2011000000000001</v>
      </c>
      <c r="E88" s="326"/>
    </row>
    <row r="89" spans="1:25" x14ac:dyDescent="0.25">
      <c r="A89" s="116" t="s">
        <v>1018</v>
      </c>
      <c r="B89" s="325">
        <v>98.42</v>
      </c>
      <c r="C89" s="325">
        <v>1.7234</v>
      </c>
      <c r="D89" s="325">
        <v>1.7234</v>
      </c>
      <c r="E89" s="326"/>
    </row>
    <row r="90" spans="1:25" x14ac:dyDescent="0.25">
      <c r="A90" s="116" t="s">
        <v>1019</v>
      </c>
      <c r="B90" s="325">
        <v>97.97</v>
      </c>
      <c r="C90" s="325">
        <v>1.3674999999999999</v>
      </c>
      <c r="D90" s="325">
        <v>1.3674999999999999</v>
      </c>
      <c r="E90" s="326"/>
    </row>
    <row r="91" spans="1:25" x14ac:dyDescent="0.25">
      <c r="A91" s="322"/>
      <c r="B91" s="327"/>
      <c r="C91" s="327"/>
      <c r="D91" s="328">
        <f>AVERAGE(D81:D84)</f>
        <v>1.6370000000000002</v>
      </c>
      <c r="E91" s="327" t="s">
        <v>1045</v>
      </c>
    </row>
    <row r="92" spans="1:25" x14ac:dyDescent="0.25">
      <c r="B92" s="242"/>
      <c r="C92" s="242"/>
      <c r="D92" s="242"/>
      <c r="E92" s="242"/>
    </row>
    <row r="93" spans="1:25" x14ac:dyDescent="0.25">
      <c r="A93" s="278" t="s">
        <v>1033</v>
      </c>
      <c r="B93" s="329"/>
      <c r="C93" s="329"/>
      <c r="D93" s="329"/>
      <c r="E93" s="329" t="s">
        <v>855</v>
      </c>
    </row>
    <row r="94" spans="1:25" ht="30" x14ac:dyDescent="0.25">
      <c r="A94" s="321" t="s">
        <v>995</v>
      </c>
      <c r="B94" s="324" t="s">
        <v>996</v>
      </c>
      <c r="C94" s="324" t="s">
        <v>997</v>
      </c>
      <c r="D94" s="324" t="s">
        <v>913</v>
      </c>
      <c r="E94" s="324"/>
    </row>
    <row r="95" spans="1:25" x14ac:dyDescent="0.25">
      <c r="A95" s="116" t="s">
        <v>1023</v>
      </c>
      <c r="B95" s="325">
        <v>1046.6199999999999</v>
      </c>
      <c r="C95" s="325">
        <v>17.88</v>
      </c>
      <c r="D95" s="325">
        <v>17.88</v>
      </c>
      <c r="E95" s="326"/>
    </row>
    <row r="96" spans="1:25" x14ac:dyDescent="0.25">
      <c r="A96" s="116" t="s">
        <v>1024</v>
      </c>
      <c r="B96" s="325">
        <v>1043.17</v>
      </c>
      <c r="C96" s="325">
        <v>15.8</v>
      </c>
      <c r="D96" s="325">
        <v>15.8</v>
      </c>
      <c r="E96" s="326"/>
    </row>
    <row r="97" spans="1:5" x14ac:dyDescent="0.25">
      <c r="A97" s="116" t="s">
        <v>1025</v>
      </c>
      <c r="B97" s="325">
        <v>1051.81</v>
      </c>
      <c r="C97" s="325">
        <v>17.149999999999999</v>
      </c>
      <c r="D97" s="325">
        <v>17.149999999999999</v>
      </c>
      <c r="E97" s="326"/>
    </row>
    <row r="98" spans="1:5" x14ac:dyDescent="0.25">
      <c r="A98" s="116" t="s">
        <v>1026</v>
      </c>
      <c r="B98" s="325">
        <v>1050.82</v>
      </c>
      <c r="C98" s="325">
        <v>21.23</v>
      </c>
      <c r="D98" s="325">
        <v>21.23</v>
      </c>
      <c r="E98" s="326"/>
    </row>
    <row r="99" spans="1:5" x14ac:dyDescent="0.25">
      <c r="A99" s="116" t="s">
        <v>1027</v>
      </c>
      <c r="B99" s="325">
        <v>1042.94</v>
      </c>
      <c r="C99" s="325">
        <v>20.05</v>
      </c>
      <c r="D99" s="325">
        <v>20.05</v>
      </c>
      <c r="E99" s="326"/>
    </row>
    <row r="100" spans="1:5" x14ac:dyDescent="0.25">
      <c r="A100" s="116" t="s">
        <v>1028</v>
      </c>
      <c r="B100" s="325">
        <v>1045.77</v>
      </c>
      <c r="C100" s="325">
        <v>21.86</v>
      </c>
      <c r="D100" s="325">
        <v>21.86</v>
      </c>
      <c r="E100" s="326"/>
    </row>
    <row r="101" spans="1:5" x14ac:dyDescent="0.25">
      <c r="A101" s="116" t="s">
        <v>1029</v>
      </c>
      <c r="B101" s="325">
        <v>1047.72</v>
      </c>
      <c r="C101" s="325">
        <v>20.7</v>
      </c>
      <c r="D101" s="325">
        <v>20.7</v>
      </c>
      <c r="E101" s="326"/>
    </row>
    <row r="102" spans="1:5" x14ac:dyDescent="0.25">
      <c r="A102" s="116" t="s">
        <v>1030</v>
      </c>
      <c r="B102" s="325">
        <v>1032.8900000000001</v>
      </c>
      <c r="C102" s="325">
        <v>22.6</v>
      </c>
      <c r="D102" s="325">
        <v>22.6</v>
      </c>
      <c r="E102" s="326"/>
    </row>
    <row r="103" spans="1:5" x14ac:dyDescent="0.25">
      <c r="A103" s="116" t="s">
        <v>1031</v>
      </c>
      <c r="B103" s="325">
        <v>1034.3599999999999</v>
      </c>
      <c r="C103" s="325">
        <v>21.78</v>
      </c>
      <c r="D103" s="325">
        <v>21.78</v>
      </c>
      <c r="E103" s="326"/>
    </row>
    <row r="104" spans="1:5" x14ac:dyDescent="0.25">
      <c r="A104" s="116" t="s">
        <v>1032</v>
      </c>
      <c r="B104" s="325">
        <v>1010.97</v>
      </c>
      <c r="C104" s="325">
        <v>20.39</v>
      </c>
      <c r="D104" s="325">
        <v>20.39</v>
      </c>
      <c r="E104" s="326"/>
    </row>
    <row r="105" spans="1:5" x14ac:dyDescent="0.25">
      <c r="A105" s="322"/>
      <c r="B105" s="327"/>
      <c r="C105" s="327"/>
      <c r="D105" s="328">
        <f>AVERAGE(D95:D98)</f>
        <v>18.015000000000001</v>
      </c>
      <c r="E105" s="327" t="s">
        <v>1045</v>
      </c>
    </row>
    <row r="106" spans="1:5" x14ac:dyDescent="0.25">
      <c r="B106" s="242"/>
      <c r="C106" s="242"/>
      <c r="D106" s="242"/>
      <c r="E106" s="242"/>
    </row>
    <row r="107" spans="1:5" x14ac:dyDescent="0.25">
      <c r="A107" s="278" t="s">
        <v>1044</v>
      </c>
      <c r="B107" s="329"/>
      <c r="C107" s="329"/>
      <c r="D107" s="329"/>
      <c r="E107" s="329" t="s">
        <v>191</v>
      </c>
    </row>
    <row r="108" spans="1:5" ht="30" x14ac:dyDescent="0.25">
      <c r="A108" s="321" t="s">
        <v>995</v>
      </c>
      <c r="B108" s="324" t="s">
        <v>996</v>
      </c>
      <c r="C108" s="324" t="s">
        <v>997</v>
      </c>
      <c r="D108" s="324" t="s">
        <v>913</v>
      </c>
      <c r="E108" s="324"/>
    </row>
    <row r="109" spans="1:5" x14ac:dyDescent="0.25">
      <c r="A109" s="116" t="s">
        <v>1034</v>
      </c>
      <c r="B109" s="325">
        <v>0</v>
      </c>
      <c r="C109" s="325">
        <v>4.07E-2</v>
      </c>
      <c r="D109" s="325">
        <v>4.07E-2</v>
      </c>
      <c r="E109" s="326"/>
    </row>
    <row r="110" spans="1:5" x14ac:dyDescent="0.25">
      <c r="A110" s="116" t="s">
        <v>1035</v>
      </c>
      <c r="B110" s="325">
        <v>6.93</v>
      </c>
      <c r="C110" s="325">
        <v>3.8600000000000002E-2</v>
      </c>
      <c r="D110" s="325">
        <v>3.8600000000000002E-2</v>
      </c>
      <c r="E110" s="326"/>
    </row>
    <row r="111" spans="1:5" x14ac:dyDescent="0.25">
      <c r="A111" s="116" t="s">
        <v>1036</v>
      </c>
      <c r="B111" s="325">
        <v>6.86</v>
      </c>
      <c r="C111" s="325">
        <v>3.7499999999999999E-2</v>
      </c>
      <c r="D111" s="325">
        <v>3.7499999999999999E-2</v>
      </c>
      <c r="E111" s="326"/>
    </row>
    <row r="112" spans="1:5" x14ac:dyDescent="0.25">
      <c r="A112" s="116" t="s">
        <v>1037</v>
      </c>
      <c r="B112" s="325">
        <v>6.81</v>
      </c>
      <c r="C112" s="325">
        <v>3.6999999999999998E-2</v>
      </c>
      <c r="D112" s="325">
        <v>3.6999999999999998E-2</v>
      </c>
      <c r="E112" s="326"/>
    </row>
    <row r="113" spans="1:5" x14ac:dyDescent="0.25">
      <c r="A113" s="116" t="s">
        <v>1038</v>
      </c>
      <c r="B113" s="325">
        <v>6.78</v>
      </c>
      <c r="C113" s="325">
        <v>4.48E-2</v>
      </c>
      <c r="D113" s="325">
        <v>4.48E-2</v>
      </c>
      <c r="E113" s="326"/>
    </row>
    <row r="114" spans="1:5" x14ac:dyDescent="0.25">
      <c r="A114" s="116" t="s">
        <v>1039</v>
      </c>
      <c r="B114" s="325">
        <v>6.81</v>
      </c>
      <c r="C114" s="325">
        <v>3.1199999999999999E-2</v>
      </c>
      <c r="D114" s="325">
        <v>3.1199999999999999E-2</v>
      </c>
      <c r="E114" s="326"/>
    </row>
    <row r="115" spans="1:5" x14ac:dyDescent="0.25">
      <c r="A115" s="116" t="s">
        <v>1040</v>
      </c>
      <c r="B115" s="325">
        <v>6.85</v>
      </c>
      <c r="C115" s="325">
        <v>4.2900000000000001E-2</v>
      </c>
      <c r="D115" s="325">
        <v>4.2900000000000001E-2</v>
      </c>
      <c r="E115" s="326"/>
    </row>
    <row r="116" spans="1:5" x14ac:dyDescent="0.25">
      <c r="A116" s="116" t="s">
        <v>1041</v>
      </c>
      <c r="B116" s="325">
        <v>6.9</v>
      </c>
      <c r="C116" s="325">
        <v>4.7800000000000002E-2</v>
      </c>
      <c r="D116" s="325">
        <v>4.7800000000000002E-2</v>
      </c>
      <c r="E116" s="326"/>
    </row>
    <row r="117" spans="1:5" x14ac:dyDescent="0.25">
      <c r="A117" s="116" t="s">
        <v>1042</v>
      </c>
      <c r="B117" s="325">
        <v>6.75</v>
      </c>
      <c r="C117" s="325">
        <v>0.1285</v>
      </c>
      <c r="D117" s="325">
        <v>0.1285</v>
      </c>
      <c r="E117" s="326"/>
    </row>
    <row r="118" spans="1:5" x14ac:dyDescent="0.25">
      <c r="A118" s="116" t="s">
        <v>1043</v>
      </c>
      <c r="B118" s="325">
        <v>6.88</v>
      </c>
      <c r="C118" s="325">
        <v>4.8099999999999997E-2</v>
      </c>
      <c r="D118" s="325">
        <v>4.8099999999999997E-2</v>
      </c>
      <c r="E118" s="326"/>
    </row>
    <row r="119" spans="1:5" x14ac:dyDescent="0.25">
      <c r="A119" s="322"/>
      <c r="B119" s="327"/>
      <c r="C119" s="327"/>
      <c r="D119" s="328">
        <f>AVERAGE(D109:D118)</f>
        <v>4.9710000000000004E-2</v>
      </c>
      <c r="E119" s="327" t="s">
        <v>1045</v>
      </c>
    </row>
    <row r="126" spans="1:5" x14ac:dyDescent="0.25">
      <c r="A126" s="18">
        <v>0</v>
      </c>
    </row>
    <row r="127" spans="1:5" x14ac:dyDescent="0.25">
      <c r="A127" s="18">
        <v>100</v>
      </c>
    </row>
    <row r="128" spans="1:5" x14ac:dyDescent="0.25">
      <c r="A128" s="18">
        <v>200</v>
      </c>
    </row>
    <row r="129" spans="1:1" x14ac:dyDescent="0.25">
      <c r="A129" s="18">
        <v>300</v>
      </c>
    </row>
    <row r="130" spans="1:1" x14ac:dyDescent="0.25">
      <c r="A130" s="18">
        <v>400</v>
      </c>
    </row>
    <row r="131" spans="1:1" x14ac:dyDescent="0.25">
      <c r="A131" s="18">
        <v>500</v>
      </c>
    </row>
    <row r="132" spans="1:1" x14ac:dyDescent="0.25">
      <c r="A132" s="18">
        <v>600</v>
      </c>
    </row>
    <row r="133" spans="1:1" x14ac:dyDescent="0.25">
      <c r="A133" s="18">
        <v>700</v>
      </c>
    </row>
    <row r="134" spans="1:1" x14ac:dyDescent="0.25">
      <c r="A134" s="18">
        <v>800</v>
      </c>
    </row>
    <row r="135" spans="1:1" x14ac:dyDescent="0.25">
      <c r="A135" s="18">
        <v>900</v>
      </c>
    </row>
    <row r="136" spans="1:1" x14ac:dyDescent="0.25">
      <c r="A136" s="18">
        <v>1000</v>
      </c>
    </row>
    <row r="137" spans="1:1" x14ac:dyDescent="0.25">
      <c r="A137" s="18">
        <v>1100</v>
      </c>
    </row>
    <row r="138" spans="1:1" x14ac:dyDescent="0.25">
      <c r="A138" s="18">
        <v>1200</v>
      </c>
    </row>
    <row r="139" spans="1:1" x14ac:dyDescent="0.25">
      <c r="A139" s="18">
        <v>1300</v>
      </c>
    </row>
    <row r="140" spans="1:1" x14ac:dyDescent="0.25">
      <c r="A140" s="18">
        <v>1400</v>
      </c>
    </row>
    <row r="141" spans="1:1" x14ac:dyDescent="0.25">
      <c r="A141" s="18">
        <v>1500</v>
      </c>
    </row>
    <row r="142" spans="1:1" x14ac:dyDescent="0.25">
      <c r="A142" s="18">
        <v>1600</v>
      </c>
    </row>
    <row r="143" spans="1:1" x14ac:dyDescent="0.25">
      <c r="A143" s="18">
        <v>1700</v>
      </c>
    </row>
    <row r="144" spans="1:1" x14ac:dyDescent="0.25">
      <c r="A144" s="18">
        <v>1800</v>
      </c>
    </row>
    <row r="145" spans="1:1" x14ac:dyDescent="0.25">
      <c r="A145" s="18">
        <v>1900</v>
      </c>
    </row>
    <row r="146" spans="1:1" x14ac:dyDescent="0.25">
      <c r="A146" s="18">
        <v>2000</v>
      </c>
    </row>
    <row r="147" spans="1:1" x14ac:dyDescent="0.25">
      <c r="A147" s="18">
        <v>2100</v>
      </c>
    </row>
    <row r="148" spans="1:1" x14ac:dyDescent="0.25">
      <c r="A148" s="18">
        <v>2200</v>
      </c>
    </row>
    <row r="149" spans="1:1" x14ac:dyDescent="0.25">
      <c r="A149" s="18">
        <v>2300</v>
      </c>
    </row>
    <row r="150" spans="1:1" x14ac:dyDescent="0.25">
      <c r="A150" s="18">
        <v>2400</v>
      </c>
    </row>
    <row r="151" spans="1:1" x14ac:dyDescent="0.25">
      <c r="A151" s="18">
        <v>2500</v>
      </c>
    </row>
    <row r="152" spans="1:1" x14ac:dyDescent="0.25">
      <c r="A152" s="18">
        <v>2600</v>
      </c>
    </row>
    <row r="153" spans="1:1" x14ac:dyDescent="0.25">
      <c r="A153" s="18">
        <v>2700</v>
      </c>
    </row>
    <row r="154" spans="1:1" x14ac:dyDescent="0.25">
      <c r="A154" s="18">
        <v>2800</v>
      </c>
    </row>
    <row r="155" spans="1:1" x14ac:dyDescent="0.25">
      <c r="A155" s="18">
        <v>2900</v>
      </c>
    </row>
    <row r="156" spans="1:1" x14ac:dyDescent="0.25">
      <c r="A156" s="18">
        <v>3000</v>
      </c>
    </row>
    <row r="157" spans="1:1" x14ac:dyDescent="0.25">
      <c r="A157" s="18">
        <v>3100</v>
      </c>
    </row>
    <row r="158" spans="1:1" x14ac:dyDescent="0.25">
      <c r="A158" s="18">
        <v>3200</v>
      </c>
    </row>
    <row r="159" spans="1:1" x14ac:dyDescent="0.25">
      <c r="A159" s="18">
        <v>3300</v>
      </c>
    </row>
    <row r="160" spans="1:1" x14ac:dyDescent="0.25">
      <c r="A160" s="18">
        <v>3400</v>
      </c>
    </row>
    <row r="161" spans="1:1" x14ac:dyDescent="0.25">
      <c r="A161" s="18">
        <v>3500</v>
      </c>
    </row>
    <row r="162" spans="1:1" x14ac:dyDescent="0.25">
      <c r="A162" s="18">
        <v>3600</v>
      </c>
    </row>
    <row r="163" spans="1:1" x14ac:dyDescent="0.25">
      <c r="A163" s="18">
        <v>3700</v>
      </c>
    </row>
    <row r="164" spans="1:1" x14ac:dyDescent="0.25">
      <c r="A164" s="18">
        <v>3800</v>
      </c>
    </row>
    <row r="165" spans="1:1" x14ac:dyDescent="0.25">
      <c r="A165" s="18">
        <v>3900</v>
      </c>
    </row>
    <row r="166" spans="1:1" x14ac:dyDescent="0.25">
      <c r="A166" s="18">
        <v>4000</v>
      </c>
    </row>
    <row r="167" spans="1:1" x14ac:dyDescent="0.25">
      <c r="A167" s="18">
        <v>4100</v>
      </c>
    </row>
    <row r="168" spans="1:1" x14ac:dyDescent="0.25">
      <c r="A168" s="18">
        <v>4200</v>
      </c>
    </row>
    <row r="169" spans="1:1" x14ac:dyDescent="0.25">
      <c r="A169" s="18">
        <v>4300</v>
      </c>
    </row>
    <row r="170" spans="1:1" x14ac:dyDescent="0.25">
      <c r="A170" s="18">
        <v>4400</v>
      </c>
    </row>
    <row r="171" spans="1:1" x14ac:dyDescent="0.25">
      <c r="A171" s="18">
        <v>4500</v>
      </c>
    </row>
    <row r="172" spans="1:1" x14ac:dyDescent="0.25">
      <c r="A172" s="18">
        <v>4600</v>
      </c>
    </row>
    <row r="173" spans="1:1" x14ac:dyDescent="0.25">
      <c r="A173" s="18">
        <v>4700</v>
      </c>
    </row>
    <row r="174" spans="1:1" x14ac:dyDescent="0.25">
      <c r="A174" s="18">
        <v>4800</v>
      </c>
    </row>
    <row r="175" spans="1:1" x14ac:dyDescent="0.25">
      <c r="A175" s="18">
        <v>4900</v>
      </c>
    </row>
    <row r="176" spans="1:1" x14ac:dyDescent="0.25">
      <c r="A176" s="18">
        <v>5000</v>
      </c>
    </row>
    <row r="177" spans="1:1" x14ac:dyDescent="0.25">
      <c r="A177" s="18">
        <v>5100</v>
      </c>
    </row>
    <row r="178" spans="1:1" x14ac:dyDescent="0.25">
      <c r="A178" s="18">
        <v>5200</v>
      </c>
    </row>
    <row r="179" spans="1:1" x14ac:dyDescent="0.25">
      <c r="A179" s="18">
        <v>5300</v>
      </c>
    </row>
    <row r="180" spans="1:1" x14ac:dyDescent="0.25">
      <c r="A180" s="18">
        <v>5400</v>
      </c>
    </row>
    <row r="181" spans="1:1" x14ac:dyDescent="0.25">
      <c r="A181" s="18">
        <v>5500</v>
      </c>
    </row>
    <row r="182" spans="1:1" x14ac:dyDescent="0.25">
      <c r="A182" s="18">
        <v>5600</v>
      </c>
    </row>
    <row r="183" spans="1:1" x14ac:dyDescent="0.25">
      <c r="A183" s="18">
        <v>5700</v>
      </c>
    </row>
    <row r="184" spans="1:1" x14ac:dyDescent="0.25">
      <c r="A184" s="18">
        <v>5800</v>
      </c>
    </row>
    <row r="185" spans="1:1" x14ac:dyDescent="0.25">
      <c r="A185" s="18">
        <v>5900</v>
      </c>
    </row>
    <row r="186" spans="1:1" x14ac:dyDescent="0.25">
      <c r="A186" s="18">
        <v>6000</v>
      </c>
    </row>
    <row r="187" spans="1:1" x14ac:dyDescent="0.25">
      <c r="A187" s="18">
        <v>6100</v>
      </c>
    </row>
    <row r="188" spans="1:1" x14ac:dyDescent="0.25">
      <c r="A188" s="18">
        <v>6200</v>
      </c>
    </row>
    <row r="189" spans="1:1" x14ac:dyDescent="0.25">
      <c r="A189" s="18">
        <v>6300</v>
      </c>
    </row>
    <row r="190" spans="1:1" x14ac:dyDescent="0.25">
      <c r="A190" s="18">
        <v>6400</v>
      </c>
    </row>
    <row r="191" spans="1:1" x14ac:dyDescent="0.25">
      <c r="A191" s="18">
        <v>6500</v>
      </c>
    </row>
    <row r="192" spans="1:1" x14ac:dyDescent="0.25">
      <c r="A192" s="18">
        <v>6600</v>
      </c>
    </row>
    <row r="193" spans="1:1" x14ac:dyDescent="0.25">
      <c r="A193" s="18">
        <v>6700</v>
      </c>
    </row>
    <row r="194" spans="1:1" x14ac:dyDescent="0.25">
      <c r="A194" s="18">
        <v>6800</v>
      </c>
    </row>
    <row r="195" spans="1:1" x14ac:dyDescent="0.25">
      <c r="A195" s="18">
        <v>6900</v>
      </c>
    </row>
    <row r="196" spans="1:1" x14ac:dyDescent="0.25">
      <c r="A196" s="18">
        <v>7000</v>
      </c>
    </row>
    <row r="197" spans="1:1" x14ac:dyDescent="0.25">
      <c r="A197" s="18">
        <v>7100</v>
      </c>
    </row>
    <row r="198" spans="1:1" x14ac:dyDescent="0.25">
      <c r="A198" s="18">
        <v>7200</v>
      </c>
    </row>
    <row r="199" spans="1:1" x14ac:dyDescent="0.25">
      <c r="A199" s="18">
        <v>7300</v>
      </c>
    </row>
    <row r="200" spans="1:1" x14ac:dyDescent="0.25">
      <c r="A200" s="18">
        <v>7400</v>
      </c>
    </row>
    <row r="201" spans="1:1" x14ac:dyDescent="0.25">
      <c r="A201" s="18">
        <v>7500</v>
      </c>
    </row>
    <row r="202" spans="1:1" x14ac:dyDescent="0.25">
      <c r="A202" s="18">
        <v>7600</v>
      </c>
    </row>
    <row r="203" spans="1:1" x14ac:dyDescent="0.25">
      <c r="A203" s="18">
        <v>7700</v>
      </c>
    </row>
    <row r="204" spans="1:1" x14ac:dyDescent="0.25">
      <c r="A204" s="18">
        <v>7800</v>
      </c>
    </row>
    <row r="205" spans="1:1" x14ac:dyDescent="0.25">
      <c r="A205" s="18">
        <v>7900</v>
      </c>
    </row>
    <row r="206" spans="1:1" x14ac:dyDescent="0.25">
      <c r="A206" s="18">
        <v>8000</v>
      </c>
    </row>
    <row r="207" spans="1:1" x14ac:dyDescent="0.25">
      <c r="A207" s="18">
        <v>8100</v>
      </c>
    </row>
    <row r="208" spans="1:1" x14ac:dyDescent="0.25">
      <c r="A208" s="18">
        <v>8200</v>
      </c>
    </row>
    <row r="209" spans="1:1" x14ac:dyDescent="0.25">
      <c r="A209" s="18">
        <v>8300</v>
      </c>
    </row>
    <row r="210" spans="1:1" x14ac:dyDescent="0.25">
      <c r="A210" s="18">
        <v>8400</v>
      </c>
    </row>
    <row r="211" spans="1:1" x14ac:dyDescent="0.25">
      <c r="A211" s="18">
        <v>8500</v>
      </c>
    </row>
    <row r="212" spans="1:1" x14ac:dyDescent="0.25">
      <c r="A212" s="18">
        <v>8600</v>
      </c>
    </row>
    <row r="213" spans="1:1" x14ac:dyDescent="0.25">
      <c r="A213" s="18">
        <v>8700</v>
      </c>
    </row>
    <row r="214" spans="1:1" x14ac:dyDescent="0.25">
      <c r="A214" s="18">
        <v>8800</v>
      </c>
    </row>
    <row r="215" spans="1:1" x14ac:dyDescent="0.25">
      <c r="A215" s="18">
        <v>8900</v>
      </c>
    </row>
    <row r="216" spans="1:1" x14ac:dyDescent="0.25">
      <c r="A216" s="18">
        <v>9000</v>
      </c>
    </row>
    <row r="217" spans="1:1" x14ac:dyDescent="0.25">
      <c r="A217" s="18">
        <v>9100</v>
      </c>
    </row>
    <row r="218" spans="1:1" x14ac:dyDescent="0.25">
      <c r="A218" s="18">
        <v>9200</v>
      </c>
    </row>
    <row r="219" spans="1:1" x14ac:dyDescent="0.25">
      <c r="A219" s="18">
        <v>9300</v>
      </c>
    </row>
    <row r="220" spans="1:1" x14ac:dyDescent="0.25">
      <c r="A220" s="18">
        <v>9400</v>
      </c>
    </row>
    <row r="221" spans="1:1" x14ac:dyDescent="0.25">
      <c r="A221" s="18">
        <v>9500</v>
      </c>
    </row>
    <row r="222" spans="1:1" x14ac:dyDescent="0.25">
      <c r="A222" s="18">
        <v>9600</v>
      </c>
    </row>
    <row r="223" spans="1:1" x14ac:dyDescent="0.25">
      <c r="A223" s="18">
        <v>9700</v>
      </c>
    </row>
    <row r="224" spans="1:1" x14ac:dyDescent="0.25">
      <c r="A224" s="18">
        <v>9800</v>
      </c>
    </row>
    <row r="225" spans="1:1" x14ac:dyDescent="0.25">
      <c r="A225" s="18">
        <v>9900</v>
      </c>
    </row>
    <row r="226" spans="1:1" x14ac:dyDescent="0.25">
      <c r="A226" s="18">
        <v>10000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E2AB6-DCC0-4B60-8202-CF276D7F5D6D}">
  <sheetPr codeName="Sheet6">
    <tabColor theme="0" tint="-4.9989318521683403E-2"/>
  </sheetPr>
  <dimension ref="A1:AA93"/>
  <sheetViews>
    <sheetView zoomScale="85" zoomScaleNormal="85" workbookViewId="0">
      <pane ySplit="1" topLeftCell="A2" activePane="bottomLeft" state="frozen"/>
      <selection pane="bottomLeft" activeCell="L23" sqref="L23"/>
    </sheetView>
  </sheetViews>
  <sheetFormatPr defaultColWidth="14.140625" defaultRowHeight="15" x14ac:dyDescent="0.25"/>
  <cols>
    <col min="1" max="1" width="0" style="118" hidden="1" customWidth="1"/>
    <col min="2" max="2" width="22" style="118" bestFit="1" customWidth="1"/>
    <col min="3" max="3" width="19.140625" style="118" customWidth="1"/>
    <col min="4" max="8" width="11.28515625" style="118" hidden="1" customWidth="1"/>
    <col min="9" max="27" width="11.28515625" style="118" customWidth="1"/>
    <col min="28" max="16384" width="14.140625" style="118"/>
  </cols>
  <sheetData>
    <row r="1" spans="2:27" s="246" customFormat="1" ht="15.75" thickBot="1" x14ac:dyDescent="0.3">
      <c r="B1" s="236" t="s">
        <v>922</v>
      </c>
      <c r="C1" s="236" t="s">
        <v>11</v>
      </c>
      <c r="D1" s="236">
        <f>DATE(YEAR(2025),MONTH(1),DAY(1))</f>
        <v>1828</v>
      </c>
      <c r="E1" s="236">
        <f>EDATE(D1,1)</f>
        <v>1859</v>
      </c>
      <c r="F1" s="236">
        <f t="shared" ref="F1:AA1" si="0">EDATE(E1,1)</f>
        <v>1887</v>
      </c>
      <c r="G1" s="236">
        <f t="shared" si="0"/>
        <v>1918</v>
      </c>
      <c r="H1" s="236">
        <f t="shared" si="0"/>
        <v>1948</v>
      </c>
      <c r="I1" s="236">
        <f t="shared" si="0"/>
        <v>1979</v>
      </c>
      <c r="J1" s="236">
        <f t="shared" si="0"/>
        <v>2009</v>
      </c>
      <c r="K1" s="236">
        <f t="shared" si="0"/>
        <v>2040</v>
      </c>
      <c r="L1" s="236">
        <f t="shared" si="0"/>
        <v>2071</v>
      </c>
      <c r="M1" s="236">
        <f t="shared" si="0"/>
        <v>2101</v>
      </c>
      <c r="N1" s="236">
        <f t="shared" si="0"/>
        <v>2132</v>
      </c>
      <c r="O1" s="236">
        <f t="shared" si="0"/>
        <v>2162</v>
      </c>
      <c r="P1" s="236">
        <f t="shared" si="0"/>
        <v>2193</v>
      </c>
      <c r="Q1" s="236">
        <f t="shared" si="0"/>
        <v>2224</v>
      </c>
      <c r="R1" s="236">
        <f t="shared" si="0"/>
        <v>2252</v>
      </c>
      <c r="S1" s="236">
        <f t="shared" si="0"/>
        <v>2283</v>
      </c>
      <c r="T1" s="236">
        <f t="shared" si="0"/>
        <v>2313</v>
      </c>
      <c r="U1" s="236">
        <f t="shared" si="0"/>
        <v>2344</v>
      </c>
      <c r="V1" s="236">
        <f t="shared" si="0"/>
        <v>2374</v>
      </c>
      <c r="W1" s="236">
        <f t="shared" si="0"/>
        <v>2405</v>
      </c>
      <c r="X1" s="236">
        <f t="shared" si="0"/>
        <v>2436</v>
      </c>
      <c r="Y1" s="236">
        <f t="shared" si="0"/>
        <v>2466</v>
      </c>
      <c r="Z1" s="236">
        <f t="shared" si="0"/>
        <v>2497</v>
      </c>
      <c r="AA1" s="236">
        <f t="shared" si="0"/>
        <v>2527</v>
      </c>
    </row>
    <row r="2" spans="2:27" s="178" customFormat="1" ht="15.75" thickTop="1" x14ac:dyDescent="0.25">
      <c r="B2" s="1051" t="s">
        <v>51</v>
      </c>
      <c r="C2" s="255" t="s">
        <v>18</v>
      </c>
      <c r="D2" s="256" t="e">
        <f t="shared" ref="D2:D17" si="1">SUM(D21,D40,D59,D78)</f>
        <v>#NAME?</v>
      </c>
      <c r="E2" s="256">
        <f t="shared" ref="E2:AA13" si="2">SUM(E21,E40,E59,E78)</f>
        <v>274357.49107262504</v>
      </c>
      <c r="F2" s="256">
        <f t="shared" si="2"/>
        <v>413676.98792262492</v>
      </c>
      <c r="G2" s="256">
        <f t="shared" si="2"/>
        <v>347218.73107262497</v>
      </c>
      <c r="H2" s="256">
        <f t="shared" si="2"/>
        <v>221320.49107262504</v>
      </c>
      <c r="I2" s="256">
        <f t="shared" si="2"/>
        <v>274954.02567262499</v>
      </c>
      <c r="J2" s="256">
        <f t="shared" si="2"/>
        <v>429981.99411610659</v>
      </c>
      <c r="K2" s="256">
        <f t="shared" si="2"/>
        <v>273283.49107262504</v>
      </c>
      <c r="L2" s="256">
        <f t="shared" si="2"/>
        <v>412602.98792262492</v>
      </c>
      <c r="M2" s="256">
        <f t="shared" si="2"/>
        <v>346144.73107262497</v>
      </c>
      <c r="N2" s="256">
        <f t="shared" si="2"/>
        <v>292190.02427262504</v>
      </c>
      <c r="O2" s="256">
        <f t="shared" si="2"/>
        <v>432039.94128582499</v>
      </c>
      <c r="P2" s="256">
        <f t="shared" si="2"/>
        <v>306124.48107262509</v>
      </c>
      <c r="Q2" s="256">
        <f t="shared" si="2"/>
        <v>274357.49107262504</v>
      </c>
      <c r="R2" s="256">
        <f t="shared" si="2"/>
        <v>413676.98792262492</v>
      </c>
      <c r="S2" s="256">
        <f t="shared" si="2"/>
        <v>347218.73107262497</v>
      </c>
      <c r="T2" s="256">
        <f t="shared" si="2"/>
        <v>221320.49107262504</v>
      </c>
      <c r="U2" s="256">
        <f t="shared" si="2"/>
        <v>274954.02567262499</v>
      </c>
      <c r="V2" s="256">
        <f t="shared" si="2"/>
        <v>429981.99411610659</v>
      </c>
      <c r="W2" s="256">
        <f t="shared" si="2"/>
        <v>273283.49107262504</v>
      </c>
      <c r="X2" s="256">
        <f t="shared" si="2"/>
        <v>412602.98792262492</v>
      </c>
      <c r="Y2" s="256">
        <f t="shared" si="2"/>
        <v>346144.73107262497</v>
      </c>
      <c r="Z2" s="256">
        <f t="shared" si="2"/>
        <v>292190.02427262504</v>
      </c>
      <c r="AA2" s="256">
        <f t="shared" si="2"/>
        <v>432039.94128582499</v>
      </c>
    </row>
    <row r="3" spans="2:27" s="178" customFormat="1" x14ac:dyDescent="0.25">
      <c r="B3" s="1049"/>
      <c r="C3" s="257" t="s">
        <v>19</v>
      </c>
      <c r="D3" s="178" t="e">
        <f t="shared" si="1"/>
        <v>#NAME?</v>
      </c>
      <c r="E3" s="178">
        <f t="shared" ref="E3:S3" si="3">SUM(E22,E41,E60,E79)</f>
        <v>0</v>
      </c>
      <c r="F3" s="178">
        <f t="shared" si="3"/>
        <v>331893.86999999953</v>
      </c>
      <c r="G3" s="178">
        <f t="shared" si="3"/>
        <v>1387.5</v>
      </c>
      <c r="H3" s="178">
        <f t="shared" si="3"/>
        <v>4095</v>
      </c>
      <c r="I3" s="178">
        <f t="shared" si="3"/>
        <v>15999.999999999993</v>
      </c>
      <c r="J3" s="178">
        <f t="shared" si="3"/>
        <v>0</v>
      </c>
      <c r="K3" s="178">
        <f t="shared" si="3"/>
        <v>0</v>
      </c>
      <c r="L3" s="178">
        <f t="shared" si="3"/>
        <v>95643.869999999937</v>
      </c>
      <c r="M3" s="178">
        <f t="shared" si="3"/>
        <v>1387.5</v>
      </c>
      <c r="N3" s="178">
        <f t="shared" si="3"/>
        <v>4095</v>
      </c>
      <c r="O3" s="178">
        <f t="shared" si="3"/>
        <v>15999.999999999993</v>
      </c>
      <c r="P3" s="178">
        <f t="shared" si="3"/>
        <v>0</v>
      </c>
      <c r="Q3" s="178">
        <f t="shared" si="3"/>
        <v>0</v>
      </c>
      <c r="R3" s="178">
        <f t="shared" si="3"/>
        <v>331893.86999999953</v>
      </c>
      <c r="S3" s="178">
        <f t="shared" si="3"/>
        <v>1387.5</v>
      </c>
      <c r="T3" s="178">
        <f t="shared" si="2"/>
        <v>4095</v>
      </c>
      <c r="U3" s="178">
        <f t="shared" si="2"/>
        <v>15999.999999999993</v>
      </c>
      <c r="V3" s="178">
        <f t="shared" si="2"/>
        <v>0</v>
      </c>
      <c r="W3" s="178">
        <f t="shared" si="2"/>
        <v>0</v>
      </c>
      <c r="X3" s="178">
        <f t="shared" si="2"/>
        <v>95643.869999999937</v>
      </c>
      <c r="Y3" s="178">
        <f t="shared" si="2"/>
        <v>1387.5</v>
      </c>
      <c r="Z3" s="178">
        <f t="shared" si="2"/>
        <v>4095</v>
      </c>
      <c r="AA3" s="178">
        <f t="shared" si="2"/>
        <v>15999.999999999993</v>
      </c>
    </row>
    <row r="4" spans="2:27" s="178" customFormat="1" x14ac:dyDescent="0.25">
      <c r="B4" s="1049"/>
      <c r="C4" s="257" t="s">
        <v>21</v>
      </c>
      <c r="D4" s="178" t="e">
        <f t="shared" si="1"/>
        <v>#NAME?</v>
      </c>
      <c r="E4" s="178">
        <f t="shared" si="2"/>
        <v>0</v>
      </c>
      <c r="F4" s="178">
        <f t="shared" si="2"/>
        <v>104614.02499999997</v>
      </c>
      <c r="G4" s="178">
        <f t="shared" si="2"/>
        <v>54518.600000000042</v>
      </c>
      <c r="H4" s="178">
        <f t="shared" si="2"/>
        <v>0</v>
      </c>
      <c r="I4" s="178">
        <f t="shared" si="2"/>
        <v>78151.525000000009</v>
      </c>
      <c r="J4" s="178">
        <f t="shared" si="2"/>
        <v>64971.778499999942</v>
      </c>
      <c r="K4" s="178">
        <f t="shared" si="2"/>
        <v>0</v>
      </c>
      <c r="L4" s="178">
        <f t="shared" si="2"/>
        <v>104614.02499999997</v>
      </c>
      <c r="M4" s="178">
        <f t="shared" si="2"/>
        <v>54518.600000000042</v>
      </c>
      <c r="N4" s="178">
        <f t="shared" si="2"/>
        <v>0</v>
      </c>
      <c r="O4" s="178">
        <f t="shared" si="2"/>
        <v>56642.42500000001</v>
      </c>
      <c r="P4" s="178">
        <f t="shared" si="2"/>
        <v>64971.778499999942</v>
      </c>
      <c r="Q4" s="178">
        <f t="shared" si="2"/>
        <v>0</v>
      </c>
      <c r="R4" s="178">
        <f t="shared" si="2"/>
        <v>104614.02499999997</v>
      </c>
      <c r="S4" s="178">
        <f t="shared" si="2"/>
        <v>54518.600000000042</v>
      </c>
      <c r="T4" s="178">
        <f t="shared" si="2"/>
        <v>0</v>
      </c>
      <c r="U4" s="178">
        <f t="shared" si="2"/>
        <v>78151.525000000009</v>
      </c>
      <c r="V4" s="178">
        <f t="shared" si="2"/>
        <v>64971.778499999942</v>
      </c>
      <c r="W4" s="178">
        <f t="shared" si="2"/>
        <v>0</v>
      </c>
      <c r="X4" s="178">
        <f t="shared" si="2"/>
        <v>104614.02499999997</v>
      </c>
      <c r="Y4" s="178">
        <f t="shared" si="2"/>
        <v>54518.600000000042</v>
      </c>
      <c r="Z4" s="178">
        <f t="shared" si="2"/>
        <v>0</v>
      </c>
      <c r="AA4" s="178">
        <f t="shared" si="2"/>
        <v>56642.42500000001</v>
      </c>
    </row>
    <row r="5" spans="2:27" s="178" customFormat="1" x14ac:dyDescent="0.25">
      <c r="B5" s="1050"/>
      <c r="C5" s="258" t="s">
        <v>23</v>
      </c>
      <c r="D5" s="259" t="e">
        <f t="shared" si="1"/>
        <v>#NAME?</v>
      </c>
      <c r="E5" s="259">
        <f t="shared" si="2"/>
        <v>0</v>
      </c>
      <c r="F5" s="259">
        <f t="shared" si="2"/>
        <v>0</v>
      </c>
      <c r="G5" s="259">
        <f t="shared" si="2"/>
        <v>203</v>
      </c>
      <c r="H5" s="259">
        <f t="shared" si="2"/>
        <v>0</v>
      </c>
      <c r="I5" s="259">
        <f t="shared" si="2"/>
        <v>0</v>
      </c>
      <c r="J5" s="259">
        <f t="shared" si="2"/>
        <v>203</v>
      </c>
      <c r="K5" s="259">
        <f t="shared" si="2"/>
        <v>0</v>
      </c>
      <c r="L5" s="259">
        <f t="shared" si="2"/>
        <v>0</v>
      </c>
      <c r="M5" s="259">
        <f t="shared" si="2"/>
        <v>203</v>
      </c>
      <c r="N5" s="259">
        <f t="shared" si="2"/>
        <v>0</v>
      </c>
      <c r="O5" s="259">
        <f t="shared" si="2"/>
        <v>0</v>
      </c>
      <c r="P5" s="259">
        <f t="shared" si="2"/>
        <v>203</v>
      </c>
      <c r="Q5" s="259">
        <f t="shared" si="2"/>
        <v>0</v>
      </c>
      <c r="R5" s="259">
        <f t="shared" si="2"/>
        <v>0</v>
      </c>
      <c r="S5" s="259">
        <f t="shared" si="2"/>
        <v>203</v>
      </c>
      <c r="T5" s="259">
        <f t="shared" si="2"/>
        <v>0</v>
      </c>
      <c r="U5" s="259">
        <f t="shared" si="2"/>
        <v>0</v>
      </c>
      <c r="V5" s="259">
        <f t="shared" si="2"/>
        <v>203</v>
      </c>
      <c r="W5" s="259">
        <f t="shared" si="2"/>
        <v>0</v>
      </c>
      <c r="X5" s="259">
        <f t="shared" si="2"/>
        <v>0</v>
      </c>
      <c r="Y5" s="259">
        <f t="shared" si="2"/>
        <v>203</v>
      </c>
      <c r="Z5" s="259">
        <f t="shared" si="2"/>
        <v>0</v>
      </c>
      <c r="AA5" s="259">
        <f t="shared" si="2"/>
        <v>0</v>
      </c>
    </row>
    <row r="6" spans="2:27" s="178" customFormat="1" x14ac:dyDescent="0.25">
      <c r="B6" s="1048" t="s">
        <v>49</v>
      </c>
      <c r="C6" s="260" t="s">
        <v>18</v>
      </c>
      <c r="D6" s="261" t="e">
        <f t="shared" si="1"/>
        <v>#NAME?</v>
      </c>
      <c r="E6" s="261">
        <f t="shared" si="2"/>
        <v>121517.17793440665</v>
      </c>
      <c r="F6" s="261">
        <f t="shared" si="2"/>
        <v>118252.58331809896</v>
      </c>
      <c r="G6" s="261">
        <f t="shared" si="2"/>
        <v>115453.84101040664</v>
      </c>
      <c r="H6" s="261">
        <f t="shared" si="2"/>
        <v>115453.84101040664</v>
      </c>
      <c r="I6" s="261">
        <f t="shared" si="2"/>
        <v>118252.58331809896</v>
      </c>
      <c r="J6" s="261">
        <f t="shared" si="2"/>
        <v>115453.84101040664</v>
      </c>
      <c r="K6" s="261">
        <f t="shared" si="2"/>
        <v>115453.84101040664</v>
      </c>
      <c r="L6" s="261">
        <f t="shared" si="2"/>
        <v>118252.58331809896</v>
      </c>
      <c r="M6" s="261">
        <f t="shared" si="2"/>
        <v>115453.84101040664</v>
      </c>
      <c r="N6" s="261">
        <f t="shared" si="2"/>
        <v>115453.84101040664</v>
      </c>
      <c r="O6" s="261">
        <f t="shared" si="2"/>
        <v>118252.58331809896</v>
      </c>
      <c r="P6" s="261">
        <f t="shared" si="2"/>
        <v>115453.84101040664</v>
      </c>
      <c r="Q6" s="261">
        <f t="shared" si="2"/>
        <v>121517.17793440665</v>
      </c>
      <c r="R6" s="261">
        <f t="shared" si="2"/>
        <v>118252.58331809896</v>
      </c>
      <c r="S6" s="261">
        <f t="shared" si="2"/>
        <v>115453.84101040664</v>
      </c>
      <c r="T6" s="261">
        <f t="shared" si="2"/>
        <v>115453.84101040664</v>
      </c>
      <c r="U6" s="261">
        <f t="shared" si="2"/>
        <v>118252.58331809896</v>
      </c>
      <c r="V6" s="261">
        <f t="shared" si="2"/>
        <v>115453.84101040664</v>
      </c>
      <c r="W6" s="261">
        <f t="shared" si="2"/>
        <v>115453.84101040664</v>
      </c>
      <c r="X6" s="261">
        <f t="shared" si="2"/>
        <v>118252.58331809896</v>
      </c>
      <c r="Y6" s="261">
        <f t="shared" si="2"/>
        <v>115453.84101040664</v>
      </c>
      <c r="Z6" s="261">
        <f t="shared" si="2"/>
        <v>115453.84101040664</v>
      </c>
      <c r="AA6" s="261">
        <f t="shared" si="2"/>
        <v>118252.58331809896</v>
      </c>
    </row>
    <row r="7" spans="2:27" s="178" customFormat="1" x14ac:dyDescent="0.25">
      <c r="B7" s="1049"/>
      <c r="C7" s="257" t="s">
        <v>19</v>
      </c>
      <c r="D7" s="178" t="e">
        <f t="shared" si="1"/>
        <v>#NAME?</v>
      </c>
      <c r="E7" s="178">
        <f t="shared" si="2"/>
        <v>0</v>
      </c>
      <c r="F7" s="178">
        <f t="shared" si="2"/>
        <v>0</v>
      </c>
      <c r="G7" s="178">
        <f t="shared" si="2"/>
        <v>0</v>
      </c>
      <c r="H7" s="178">
        <f t="shared" si="2"/>
        <v>0</v>
      </c>
      <c r="I7" s="178">
        <f t="shared" si="2"/>
        <v>0</v>
      </c>
      <c r="J7" s="178">
        <f t="shared" si="2"/>
        <v>0</v>
      </c>
      <c r="K7" s="178">
        <f t="shared" si="2"/>
        <v>0</v>
      </c>
      <c r="L7" s="178">
        <f t="shared" si="2"/>
        <v>0</v>
      </c>
      <c r="M7" s="178">
        <f t="shared" si="2"/>
        <v>0</v>
      </c>
      <c r="N7" s="178">
        <f t="shared" si="2"/>
        <v>0</v>
      </c>
      <c r="O7" s="178">
        <f t="shared" si="2"/>
        <v>0</v>
      </c>
      <c r="P7" s="178">
        <f t="shared" si="2"/>
        <v>0</v>
      </c>
      <c r="Q7" s="178">
        <f t="shared" si="2"/>
        <v>0</v>
      </c>
      <c r="R7" s="178">
        <f t="shared" si="2"/>
        <v>0</v>
      </c>
      <c r="S7" s="178">
        <f t="shared" si="2"/>
        <v>0</v>
      </c>
      <c r="T7" s="178">
        <f t="shared" si="2"/>
        <v>0</v>
      </c>
      <c r="U7" s="178">
        <f t="shared" si="2"/>
        <v>0</v>
      </c>
      <c r="V7" s="178">
        <f t="shared" si="2"/>
        <v>0</v>
      </c>
      <c r="W7" s="178">
        <f t="shared" si="2"/>
        <v>0</v>
      </c>
      <c r="X7" s="178">
        <f t="shared" si="2"/>
        <v>0</v>
      </c>
      <c r="Y7" s="178">
        <f t="shared" si="2"/>
        <v>0</v>
      </c>
      <c r="Z7" s="178">
        <f t="shared" si="2"/>
        <v>0</v>
      </c>
      <c r="AA7" s="178">
        <f t="shared" si="2"/>
        <v>0</v>
      </c>
    </row>
    <row r="8" spans="2:27" s="178" customFormat="1" x14ac:dyDescent="0.25">
      <c r="B8" s="1049"/>
      <c r="C8" s="257" t="s">
        <v>21</v>
      </c>
      <c r="D8" s="178" t="e">
        <f t="shared" si="1"/>
        <v>#NAME?</v>
      </c>
      <c r="E8" s="178">
        <f t="shared" si="2"/>
        <v>0</v>
      </c>
      <c r="F8" s="178">
        <f t="shared" si="2"/>
        <v>0</v>
      </c>
      <c r="G8" s="178">
        <f t="shared" si="2"/>
        <v>0</v>
      </c>
      <c r="H8" s="178">
        <f t="shared" si="2"/>
        <v>0</v>
      </c>
      <c r="I8" s="178">
        <f t="shared" si="2"/>
        <v>0</v>
      </c>
      <c r="J8" s="178">
        <f t="shared" si="2"/>
        <v>22000.000000000018</v>
      </c>
      <c r="K8" s="178">
        <f t="shared" si="2"/>
        <v>0</v>
      </c>
      <c r="L8" s="178">
        <f t="shared" si="2"/>
        <v>0</v>
      </c>
      <c r="M8" s="178">
        <f t="shared" si="2"/>
        <v>0</v>
      </c>
      <c r="N8" s="178">
        <f t="shared" si="2"/>
        <v>0</v>
      </c>
      <c r="O8" s="178">
        <f t="shared" si="2"/>
        <v>0</v>
      </c>
      <c r="P8" s="178">
        <f t="shared" si="2"/>
        <v>22000.000000000018</v>
      </c>
      <c r="Q8" s="178">
        <f t="shared" si="2"/>
        <v>0</v>
      </c>
      <c r="R8" s="178">
        <f t="shared" si="2"/>
        <v>0</v>
      </c>
      <c r="S8" s="178">
        <f t="shared" si="2"/>
        <v>0</v>
      </c>
      <c r="T8" s="178">
        <f t="shared" si="2"/>
        <v>0</v>
      </c>
      <c r="U8" s="178">
        <f t="shared" si="2"/>
        <v>0</v>
      </c>
      <c r="V8" s="178">
        <f t="shared" si="2"/>
        <v>22000.000000000018</v>
      </c>
      <c r="W8" s="178">
        <f t="shared" si="2"/>
        <v>0</v>
      </c>
      <c r="X8" s="178">
        <f t="shared" si="2"/>
        <v>0</v>
      </c>
      <c r="Y8" s="178">
        <f t="shared" si="2"/>
        <v>0</v>
      </c>
      <c r="Z8" s="178">
        <f t="shared" si="2"/>
        <v>0</v>
      </c>
      <c r="AA8" s="178">
        <f t="shared" si="2"/>
        <v>0</v>
      </c>
    </row>
    <row r="9" spans="2:27" s="178" customFormat="1" x14ac:dyDescent="0.25">
      <c r="B9" s="1050"/>
      <c r="C9" s="258" t="s">
        <v>23</v>
      </c>
      <c r="D9" s="259" t="e">
        <f t="shared" si="1"/>
        <v>#NAME?</v>
      </c>
      <c r="E9" s="259">
        <f t="shared" si="2"/>
        <v>0</v>
      </c>
      <c r="F9" s="259">
        <f t="shared" si="2"/>
        <v>0</v>
      </c>
      <c r="G9" s="259">
        <f t="shared" si="2"/>
        <v>0</v>
      </c>
      <c r="H9" s="259">
        <f t="shared" si="2"/>
        <v>0</v>
      </c>
      <c r="I9" s="259">
        <f t="shared" si="2"/>
        <v>0</v>
      </c>
      <c r="J9" s="259">
        <f t="shared" si="2"/>
        <v>0</v>
      </c>
      <c r="K9" s="259">
        <f t="shared" si="2"/>
        <v>0</v>
      </c>
      <c r="L9" s="259">
        <f t="shared" si="2"/>
        <v>0</v>
      </c>
      <c r="M9" s="259">
        <f t="shared" si="2"/>
        <v>0</v>
      </c>
      <c r="N9" s="259">
        <f t="shared" si="2"/>
        <v>0</v>
      </c>
      <c r="O9" s="259">
        <f t="shared" si="2"/>
        <v>0</v>
      </c>
      <c r="P9" s="259">
        <f t="shared" si="2"/>
        <v>0</v>
      </c>
      <c r="Q9" s="259">
        <f t="shared" si="2"/>
        <v>0</v>
      </c>
      <c r="R9" s="259">
        <f t="shared" si="2"/>
        <v>0</v>
      </c>
      <c r="S9" s="259">
        <f t="shared" si="2"/>
        <v>0</v>
      </c>
      <c r="T9" s="259">
        <f t="shared" si="2"/>
        <v>0</v>
      </c>
      <c r="U9" s="259">
        <f t="shared" si="2"/>
        <v>0</v>
      </c>
      <c r="V9" s="259">
        <f t="shared" si="2"/>
        <v>0</v>
      </c>
      <c r="W9" s="259">
        <f t="shared" si="2"/>
        <v>0</v>
      </c>
      <c r="X9" s="259">
        <f t="shared" si="2"/>
        <v>0</v>
      </c>
      <c r="Y9" s="259">
        <f t="shared" si="2"/>
        <v>0</v>
      </c>
      <c r="Z9" s="259">
        <f t="shared" si="2"/>
        <v>0</v>
      </c>
      <c r="AA9" s="259">
        <f t="shared" si="2"/>
        <v>0</v>
      </c>
    </row>
    <row r="10" spans="2:27" s="178" customFormat="1" x14ac:dyDescent="0.25">
      <c r="B10" s="1048" t="s">
        <v>90</v>
      </c>
      <c r="C10" s="260" t="s">
        <v>18</v>
      </c>
      <c r="D10" s="261" t="e">
        <f t="shared" si="1"/>
        <v>#NAME?</v>
      </c>
      <c r="E10" s="261">
        <f t="shared" si="2"/>
        <v>26023.944255000002</v>
      </c>
      <c r="F10" s="261">
        <f t="shared" si="2"/>
        <v>86731.276105000012</v>
      </c>
      <c r="G10" s="261">
        <f t="shared" si="2"/>
        <v>46293.677009250001</v>
      </c>
      <c r="H10" s="261">
        <f t="shared" si="2"/>
        <v>64148.944254999973</v>
      </c>
      <c r="I10" s="261">
        <f t="shared" si="2"/>
        <v>83843.272005000006</v>
      </c>
      <c r="J10" s="261">
        <f t="shared" si="2"/>
        <v>46293.677009250001</v>
      </c>
      <c r="K10" s="261">
        <f t="shared" si="2"/>
        <v>26023.944255000002</v>
      </c>
      <c r="L10" s="261">
        <f t="shared" si="2"/>
        <v>86731.276105000012</v>
      </c>
      <c r="M10" s="261">
        <f t="shared" si="2"/>
        <v>46293.677009250001</v>
      </c>
      <c r="N10" s="261">
        <f t="shared" si="2"/>
        <v>64148.944254999973</v>
      </c>
      <c r="O10" s="261">
        <f t="shared" si="2"/>
        <v>83843.272005000006</v>
      </c>
      <c r="P10" s="261">
        <f t="shared" si="2"/>
        <v>104052.92200925</v>
      </c>
      <c r="Q10" s="261">
        <f t="shared" si="2"/>
        <v>26023.944255000002</v>
      </c>
      <c r="R10" s="261">
        <f t="shared" si="2"/>
        <v>86731.276105000012</v>
      </c>
      <c r="S10" s="261">
        <f t="shared" si="2"/>
        <v>46293.677009250001</v>
      </c>
      <c r="T10" s="261">
        <f t="shared" si="2"/>
        <v>64148.944254999973</v>
      </c>
      <c r="U10" s="261">
        <f t="shared" si="2"/>
        <v>83843.272005000006</v>
      </c>
      <c r="V10" s="261">
        <f t="shared" si="2"/>
        <v>46293.677009250001</v>
      </c>
      <c r="W10" s="261">
        <f t="shared" si="2"/>
        <v>26023.944255000002</v>
      </c>
      <c r="X10" s="261">
        <f t="shared" si="2"/>
        <v>86731.276105000012</v>
      </c>
      <c r="Y10" s="261">
        <f t="shared" si="2"/>
        <v>46293.677009250001</v>
      </c>
      <c r="Z10" s="261">
        <f t="shared" si="2"/>
        <v>64148.944254999973</v>
      </c>
      <c r="AA10" s="261">
        <f t="shared" si="2"/>
        <v>83843.272005000006</v>
      </c>
    </row>
    <row r="11" spans="2:27" s="178" customFormat="1" x14ac:dyDescent="0.25">
      <c r="B11" s="1049"/>
      <c r="C11" s="257" t="s">
        <v>19</v>
      </c>
      <c r="D11" s="178" t="e">
        <f t="shared" si="1"/>
        <v>#NAME?</v>
      </c>
      <c r="E11" s="178">
        <f t="shared" si="2"/>
        <v>0</v>
      </c>
      <c r="F11" s="178">
        <f t="shared" si="2"/>
        <v>0</v>
      </c>
      <c r="G11" s="178">
        <f t="shared" si="2"/>
        <v>0</v>
      </c>
      <c r="H11" s="178">
        <f t="shared" si="2"/>
        <v>0</v>
      </c>
      <c r="I11" s="178">
        <f t="shared" si="2"/>
        <v>0</v>
      </c>
      <c r="J11" s="178">
        <f t="shared" si="2"/>
        <v>0</v>
      </c>
      <c r="K11" s="178">
        <f t="shared" si="2"/>
        <v>0</v>
      </c>
      <c r="L11" s="178">
        <f t="shared" si="2"/>
        <v>0</v>
      </c>
      <c r="M11" s="178">
        <f t="shared" si="2"/>
        <v>0</v>
      </c>
      <c r="N11" s="178">
        <f t="shared" si="2"/>
        <v>0</v>
      </c>
      <c r="O11" s="178">
        <f t="shared" si="2"/>
        <v>0</v>
      </c>
      <c r="P11" s="178">
        <f t="shared" si="2"/>
        <v>0</v>
      </c>
      <c r="Q11" s="178">
        <f t="shared" si="2"/>
        <v>0</v>
      </c>
      <c r="R11" s="178">
        <f t="shared" si="2"/>
        <v>0</v>
      </c>
      <c r="S11" s="178">
        <f t="shared" si="2"/>
        <v>0</v>
      </c>
      <c r="T11" s="178">
        <f t="shared" si="2"/>
        <v>0</v>
      </c>
      <c r="U11" s="178">
        <f t="shared" si="2"/>
        <v>0</v>
      </c>
      <c r="V11" s="178">
        <f t="shared" si="2"/>
        <v>0</v>
      </c>
      <c r="W11" s="178">
        <f t="shared" si="2"/>
        <v>0</v>
      </c>
      <c r="X11" s="178">
        <f t="shared" si="2"/>
        <v>0</v>
      </c>
      <c r="Y11" s="178">
        <f t="shared" si="2"/>
        <v>0</v>
      </c>
      <c r="Z11" s="178">
        <f t="shared" si="2"/>
        <v>0</v>
      </c>
      <c r="AA11" s="178">
        <f t="shared" si="2"/>
        <v>0</v>
      </c>
    </row>
    <row r="12" spans="2:27" s="178" customFormat="1" x14ac:dyDescent="0.25">
      <c r="B12" s="1049"/>
      <c r="C12" s="257" t="s">
        <v>21</v>
      </c>
      <c r="D12" s="178" t="e">
        <f t="shared" si="1"/>
        <v>#NAME?</v>
      </c>
      <c r="E12" s="178">
        <f t="shared" si="2"/>
        <v>0</v>
      </c>
      <c r="F12" s="178">
        <f t="shared" si="2"/>
        <v>0</v>
      </c>
      <c r="G12" s="178">
        <f t="shared" si="2"/>
        <v>0</v>
      </c>
      <c r="H12" s="178">
        <f t="shared" si="2"/>
        <v>0</v>
      </c>
      <c r="I12" s="178">
        <f t="shared" si="2"/>
        <v>0</v>
      </c>
      <c r="J12" s="178">
        <f t="shared" si="2"/>
        <v>0</v>
      </c>
      <c r="K12" s="178">
        <f t="shared" si="2"/>
        <v>0</v>
      </c>
      <c r="L12" s="178">
        <f t="shared" si="2"/>
        <v>0</v>
      </c>
      <c r="M12" s="178">
        <f t="shared" si="2"/>
        <v>0</v>
      </c>
      <c r="N12" s="178">
        <f t="shared" si="2"/>
        <v>0</v>
      </c>
      <c r="O12" s="178">
        <f t="shared" si="2"/>
        <v>0</v>
      </c>
      <c r="P12" s="178">
        <f t="shared" si="2"/>
        <v>0</v>
      </c>
      <c r="Q12" s="178">
        <f t="shared" si="2"/>
        <v>0</v>
      </c>
      <c r="R12" s="178">
        <f t="shared" si="2"/>
        <v>0</v>
      </c>
      <c r="S12" s="178">
        <f t="shared" si="2"/>
        <v>0</v>
      </c>
      <c r="T12" s="178">
        <f t="shared" si="2"/>
        <v>0</v>
      </c>
      <c r="U12" s="178">
        <f t="shared" si="2"/>
        <v>0</v>
      </c>
      <c r="V12" s="178">
        <f t="shared" si="2"/>
        <v>0</v>
      </c>
      <c r="W12" s="178">
        <f t="shared" si="2"/>
        <v>0</v>
      </c>
      <c r="X12" s="178">
        <f t="shared" si="2"/>
        <v>0</v>
      </c>
      <c r="Y12" s="178">
        <f t="shared" si="2"/>
        <v>0</v>
      </c>
      <c r="Z12" s="178">
        <f t="shared" si="2"/>
        <v>0</v>
      </c>
      <c r="AA12" s="178">
        <f t="shared" si="2"/>
        <v>0</v>
      </c>
    </row>
    <row r="13" spans="2:27" s="178" customFormat="1" x14ac:dyDescent="0.25">
      <c r="B13" s="1050"/>
      <c r="C13" s="258" t="s">
        <v>23</v>
      </c>
      <c r="D13" s="259" t="e">
        <f t="shared" si="1"/>
        <v>#NAME?</v>
      </c>
      <c r="E13" s="259">
        <f t="shared" si="2"/>
        <v>0</v>
      </c>
      <c r="F13" s="259">
        <f t="shared" si="2"/>
        <v>0</v>
      </c>
      <c r="G13" s="259">
        <f t="shared" si="2"/>
        <v>0</v>
      </c>
      <c r="H13" s="259">
        <f t="shared" si="2"/>
        <v>0</v>
      </c>
      <c r="I13" s="259">
        <f t="shared" si="2"/>
        <v>0</v>
      </c>
      <c r="J13" s="259">
        <f t="shared" si="2"/>
        <v>0</v>
      </c>
      <c r="K13" s="259">
        <f t="shared" si="2"/>
        <v>0</v>
      </c>
      <c r="L13" s="259">
        <f t="shared" si="2"/>
        <v>0</v>
      </c>
      <c r="M13" s="259">
        <f t="shared" si="2"/>
        <v>0</v>
      </c>
      <c r="N13" s="259">
        <f t="shared" si="2"/>
        <v>0</v>
      </c>
      <c r="O13" s="259">
        <f t="shared" si="2"/>
        <v>0</v>
      </c>
      <c r="P13" s="259">
        <f t="shared" si="2"/>
        <v>0</v>
      </c>
      <c r="Q13" s="259">
        <f t="shared" si="2"/>
        <v>0</v>
      </c>
      <c r="R13" s="259">
        <f t="shared" si="2"/>
        <v>0</v>
      </c>
      <c r="S13" s="259">
        <f t="shared" si="2"/>
        <v>0</v>
      </c>
      <c r="T13" s="259">
        <f t="shared" si="2"/>
        <v>0</v>
      </c>
      <c r="U13" s="259">
        <f t="shared" si="2"/>
        <v>0</v>
      </c>
      <c r="V13" s="259">
        <f t="shared" ref="E13:AA17" si="4">SUM(V32,V51,V70,V89)</f>
        <v>0</v>
      </c>
      <c r="W13" s="259">
        <f t="shared" si="4"/>
        <v>0</v>
      </c>
      <c r="X13" s="259">
        <f t="shared" si="4"/>
        <v>0</v>
      </c>
      <c r="Y13" s="259">
        <f t="shared" si="4"/>
        <v>0</v>
      </c>
      <c r="Z13" s="259">
        <f t="shared" si="4"/>
        <v>0</v>
      </c>
      <c r="AA13" s="259">
        <f t="shared" si="4"/>
        <v>0</v>
      </c>
    </row>
    <row r="14" spans="2:27" s="178" customFormat="1" x14ac:dyDescent="0.25">
      <c r="B14" s="1048" t="s">
        <v>366</v>
      </c>
      <c r="C14" s="260" t="s">
        <v>18</v>
      </c>
      <c r="D14" s="261" t="e">
        <f t="shared" si="1"/>
        <v>#NAME?</v>
      </c>
      <c r="E14" s="261">
        <f t="shared" si="4"/>
        <v>5578.1845833333318</v>
      </c>
      <c r="F14" s="261">
        <f t="shared" si="4"/>
        <v>9684.4345833333318</v>
      </c>
      <c r="G14" s="261">
        <f t="shared" si="4"/>
        <v>14973.48464958333</v>
      </c>
      <c r="H14" s="261">
        <f t="shared" si="4"/>
        <v>5578.1845833333318</v>
      </c>
      <c r="I14" s="261">
        <f t="shared" si="4"/>
        <v>9684.4345833333318</v>
      </c>
      <c r="J14" s="261">
        <f t="shared" si="4"/>
        <v>14973.48464958333</v>
      </c>
      <c r="K14" s="261">
        <f t="shared" si="4"/>
        <v>5578.1845833333318</v>
      </c>
      <c r="L14" s="261">
        <f t="shared" si="4"/>
        <v>9684.4345833333318</v>
      </c>
      <c r="M14" s="261">
        <f t="shared" si="4"/>
        <v>66073.484649583334</v>
      </c>
      <c r="N14" s="261">
        <f t="shared" si="4"/>
        <v>5578.1845833333318</v>
      </c>
      <c r="O14" s="261">
        <f t="shared" si="4"/>
        <v>40580.674583333326</v>
      </c>
      <c r="P14" s="261">
        <f t="shared" si="4"/>
        <v>14973.48464958333</v>
      </c>
      <c r="Q14" s="261">
        <f t="shared" si="4"/>
        <v>5578.1845833333318</v>
      </c>
      <c r="R14" s="261">
        <f t="shared" si="4"/>
        <v>9684.4345833333318</v>
      </c>
      <c r="S14" s="261">
        <f t="shared" si="4"/>
        <v>14973.48464958333</v>
      </c>
      <c r="T14" s="261">
        <f t="shared" si="4"/>
        <v>5578.1845833333318</v>
      </c>
      <c r="U14" s="261">
        <f t="shared" si="4"/>
        <v>9684.4345833333318</v>
      </c>
      <c r="V14" s="261">
        <f t="shared" si="4"/>
        <v>14973.48464958333</v>
      </c>
      <c r="W14" s="261">
        <f t="shared" si="4"/>
        <v>5578.1845833333318</v>
      </c>
      <c r="X14" s="261">
        <f t="shared" si="4"/>
        <v>9684.4345833333318</v>
      </c>
      <c r="Y14" s="261">
        <f t="shared" si="4"/>
        <v>66073.484649583334</v>
      </c>
      <c r="Z14" s="261">
        <f t="shared" si="4"/>
        <v>5578.1845833333318</v>
      </c>
      <c r="AA14" s="261">
        <f t="shared" si="4"/>
        <v>40580.674583333326</v>
      </c>
    </row>
    <row r="15" spans="2:27" s="178" customFormat="1" x14ac:dyDescent="0.25">
      <c r="B15" s="1049"/>
      <c r="C15" s="257" t="s">
        <v>19</v>
      </c>
      <c r="D15" s="178" t="e">
        <f t="shared" si="1"/>
        <v>#NAME?</v>
      </c>
      <c r="E15" s="178">
        <f t="shared" si="4"/>
        <v>2192.0668058455117</v>
      </c>
      <c r="F15" s="178">
        <f t="shared" si="4"/>
        <v>21006.19</v>
      </c>
      <c r="G15" s="178">
        <f t="shared" si="4"/>
        <v>26388.36</v>
      </c>
      <c r="H15" s="178">
        <f t="shared" si="4"/>
        <v>15760.066666666664</v>
      </c>
      <c r="I15" s="178">
        <f t="shared" si="4"/>
        <v>15310.275</v>
      </c>
      <c r="J15" s="178">
        <f t="shared" si="4"/>
        <v>8166.0949999999993</v>
      </c>
      <c r="K15" s="178">
        <f t="shared" si="4"/>
        <v>2192.0668058455117</v>
      </c>
      <c r="L15" s="178">
        <f t="shared" si="4"/>
        <v>67612.856666666659</v>
      </c>
      <c r="M15" s="178">
        <f t="shared" si="4"/>
        <v>3360.36</v>
      </c>
      <c r="N15" s="178">
        <f t="shared" si="4"/>
        <v>13653.399999999998</v>
      </c>
      <c r="O15" s="178">
        <f t="shared" si="4"/>
        <v>15310.275</v>
      </c>
      <c r="P15" s="178">
        <f t="shared" si="4"/>
        <v>36772.761666666665</v>
      </c>
      <c r="Q15" s="178">
        <f t="shared" si="4"/>
        <v>2192.0668058455117</v>
      </c>
      <c r="R15" s="178">
        <f t="shared" si="4"/>
        <v>21006.19</v>
      </c>
      <c r="S15" s="178">
        <f t="shared" si="4"/>
        <v>26388.36</v>
      </c>
      <c r="T15" s="178">
        <f t="shared" si="4"/>
        <v>15760.066666666664</v>
      </c>
      <c r="U15" s="178">
        <f t="shared" si="4"/>
        <v>15310.275</v>
      </c>
      <c r="V15" s="178">
        <f t="shared" si="4"/>
        <v>8166.0949999999993</v>
      </c>
      <c r="W15" s="178">
        <f t="shared" si="4"/>
        <v>2192.0668058455117</v>
      </c>
      <c r="X15" s="178">
        <f t="shared" si="4"/>
        <v>67612.856666666659</v>
      </c>
      <c r="Y15" s="178">
        <f t="shared" si="4"/>
        <v>3360.36</v>
      </c>
      <c r="Z15" s="178">
        <f t="shared" si="4"/>
        <v>13653.399999999998</v>
      </c>
      <c r="AA15" s="178">
        <f t="shared" si="4"/>
        <v>15310.275</v>
      </c>
    </row>
    <row r="16" spans="2:27" s="178" customFormat="1" x14ac:dyDescent="0.25">
      <c r="B16" s="1049"/>
      <c r="C16" s="257" t="s">
        <v>21</v>
      </c>
      <c r="D16" s="178" t="e">
        <f t="shared" si="1"/>
        <v>#NAME?</v>
      </c>
      <c r="E16" s="178">
        <f t="shared" si="4"/>
        <v>0</v>
      </c>
      <c r="F16" s="178">
        <f t="shared" si="4"/>
        <v>0</v>
      </c>
      <c r="G16" s="178">
        <f t="shared" si="4"/>
        <v>0</v>
      </c>
      <c r="H16" s="178">
        <f t="shared" si="4"/>
        <v>0</v>
      </c>
      <c r="I16" s="178">
        <f t="shared" si="4"/>
        <v>0</v>
      </c>
      <c r="J16" s="178">
        <f t="shared" si="4"/>
        <v>0</v>
      </c>
      <c r="K16" s="178">
        <f t="shared" si="4"/>
        <v>0</v>
      </c>
      <c r="L16" s="178">
        <f t="shared" si="4"/>
        <v>0</v>
      </c>
      <c r="M16" s="178">
        <f t="shared" si="4"/>
        <v>0</v>
      </c>
      <c r="N16" s="178">
        <f t="shared" si="4"/>
        <v>0</v>
      </c>
      <c r="O16" s="178">
        <f t="shared" si="4"/>
        <v>0</v>
      </c>
      <c r="P16" s="178">
        <f t="shared" si="4"/>
        <v>0</v>
      </c>
      <c r="Q16" s="178">
        <f t="shared" si="4"/>
        <v>0</v>
      </c>
      <c r="R16" s="178">
        <f t="shared" si="4"/>
        <v>0</v>
      </c>
      <c r="S16" s="178">
        <f t="shared" si="4"/>
        <v>0</v>
      </c>
      <c r="T16" s="178">
        <f t="shared" si="4"/>
        <v>0</v>
      </c>
      <c r="U16" s="178">
        <f t="shared" si="4"/>
        <v>0</v>
      </c>
      <c r="V16" s="178">
        <f t="shared" si="4"/>
        <v>0</v>
      </c>
      <c r="W16" s="178">
        <f t="shared" si="4"/>
        <v>0</v>
      </c>
      <c r="X16" s="178">
        <f t="shared" si="4"/>
        <v>0</v>
      </c>
      <c r="Y16" s="178">
        <f t="shared" si="4"/>
        <v>0</v>
      </c>
      <c r="Z16" s="178">
        <f t="shared" si="4"/>
        <v>0</v>
      </c>
      <c r="AA16" s="178">
        <f t="shared" si="4"/>
        <v>0</v>
      </c>
    </row>
    <row r="17" spans="1:27" s="178" customFormat="1" x14ac:dyDescent="0.25">
      <c r="B17" s="1050"/>
      <c r="C17" s="258" t="s">
        <v>23</v>
      </c>
      <c r="D17" s="259" t="e">
        <f t="shared" si="1"/>
        <v>#NAME?</v>
      </c>
      <c r="E17" s="259">
        <f t="shared" si="4"/>
        <v>0</v>
      </c>
      <c r="F17" s="259">
        <f t="shared" si="4"/>
        <v>0</v>
      </c>
      <c r="G17" s="259">
        <f t="shared" si="4"/>
        <v>0</v>
      </c>
      <c r="H17" s="259">
        <f t="shared" si="4"/>
        <v>0</v>
      </c>
      <c r="I17" s="259">
        <f t="shared" si="4"/>
        <v>0</v>
      </c>
      <c r="J17" s="259">
        <f t="shared" si="4"/>
        <v>0</v>
      </c>
      <c r="K17" s="259">
        <f t="shared" si="4"/>
        <v>0</v>
      </c>
      <c r="L17" s="259">
        <f t="shared" si="4"/>
        <v>0</v>
      </c>
      <c r="M17" s="259">
        <f t="shared" si="4"/>
        <v>0</v>
      </c>
      <c r="N17" s="259">
        <f t="shared" si="4"/>
        <v>0</v>
      </c>
      <c r="O17" s="259">
        <f t="shared" si="4"/>
        <v>0</v>
      </c>
      <c r="P17" s="259">
        <f t="shared" si="4"/>
        <v>0</v>
      </c>
      <c r="Q17" s="259">
        <f t="shared" si="4"/>
        <v>0</v>
      </c>
      <c r="R17" s="259">
        <f t="shared" si="4"/>
        <v>0</v>
      </c>
      <c r="S17" s="259">
        <f t="shared" si="4"/>
        <v>0</v>
      </c>
      <c r="T17" s="259">
        <f t="shared" si="4"/>
        <v>0</v>
      </c>
      <c r="U17" s="259">
        <f t="shared" si="4"/>
        <v>0</v>
      </c>
      <c r="V17" s="259">
        <f t="shared" si="4"/>
        <v>0</v>
      </c>
      <c r="W17" s="259">
        <f t="shared" si="4"/>
        <v>0</v>
      </c>
      <c r="X17" s="259">
        <f t="shared" si="4"/>
        <v>0</v>
      </c>
      <c r="Y17" s="259">
        <f t="shared" si="4"/>
        <v>0</v>
      </c>
      <c r="Z17" s="259">
        <f t="shared" si="4"/>
        <v>0</v>
      </c>
      <c r="AA17" s="259">
        <f t="shared" si="4"/>
        <v>0</v>
      </c>
    </row>
    <row r="18" spans="1:27" s="178" customFormat="1" x14ac:dyDescent="0.25">
      <c r="B18" s="247"/>
      <c r="C18" s="247"/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6"/>
      <c r="O18" s="156"/>
      <c r="P18" s="156"/>
      <c r="Q18" s="156"/>
      <c r="R18" s="156"/>
      <c r="S18" s="156"/>
      <c r="T18" s="156"/>
      <c r="U18" s="156"/>
      <c r="V18" s="156"/>
      <c r="W18" s="156"/>
      <c r="X18" s="156"/>
      <c r="Y18" s="156"/>
      <c r="Z18" s="156"/>
      <c r="AA18" s="156"/>
    </row>
    <row r="19" spans="1:27" ht="15.75" thickBot="1" x14ac:dyDescent="0.3">
      <c r="B19" s="137"/>
      <c r="C19" s="137"/>
      <c r="D19" s="137"/>
      <c r="E19" s="137"/>
      <c r="F19" s="137"/>
      <c r="G19" s="137"/>
      <c r="H19" s="137"/>
      <c r="I19" s="137"/>
      <c r="J19" s="137"/>
      <c r="K19" s="137"/>
      <c r="L19" s="137"/>
      <c r="M19" s="137"/>
      <c r="N19" s="137"/>
      <c r="O19" s="137"/>
      <c r="P19" s="137"/>
      <c r="Q19" s="137"/>
      <c r="R19" s="137"/>
      <c r="S19" s="137"/>
      <c r="T19" s="137"/>
      <c r="U19" s="137"/>
      <c r="V19" s="137"/>
      <c r="W19" s="137"/>
      <c r="X19" s="137"/>
      <c r="Y19" s="137"/>
      <c r="Z19" s="137"/>
      <c r="AA19" s="137"/>
    </row>
    <row r="20" spans="1:27" s="246" customFormat="1" ht="16.5" thickTop="1" thickBot="1" x14ac:dyDescent="0.3">
      <c r="B20" s="262" t="s">
        <v>923</v>
      </c>
      <c r="C20" s="262" t="s">
        <v>11</v>
      </c>
      <c r="D20" s="262"/>
      <c r="E20" s="262"/>
      <c r="F20" s="262"/>
      <c r="G20" s="262"/>
      <c r="H20" s="262"/>
      <c r="I20" s="262"/>
      <c r="J20" s="262"/>
      <c r="K20" s="262"/>
      <c r="L20" s="262"/>
      <c r="M20" s="262"/>
      <c r="N20" s="262"/>
      <c r="O20" s="262"/>
      <c r="P20" s="262"/>
      <c r="Q20" s="262"/>
      <c r="R20" s="262"/>
      <c r="S20" s="262"/>
      <c r="T20" s="262"/>
      <c r="U20" s="262"/>
      <c r="V20" s="262"/>
      <c r="W20" s="262"/>
      <c r="X20" s="262"/>
      <c r="Y20" s="262"/>
      <c r="Z20" s="262"/>
      <c r="AA20" s="262"/>
    </row>
    <row r="21" spans="1:27" ht="15.75" thickTop="1" x14ac:dyDescent="0.25">
      <c r="A21" s="118" t="s">
        <v>51</v>
      </c>
      <c r="B21" s="1051" t="s">
        <v>51</v>
      </c>
      <c r="C21" s="255" t="s">
        <v>18</v>
      </c>
      <c r="D21" s="256">
        <f>SUMIFS(Bonds!AT:AT,Bonds!$B:$B,'CF CCY'!$A21,Bonds!$E:$E,'CF CCY'!$C21)</f>
        <v>268567.25000000012</v>
      </c>
      <c r="E21" s="256">
        <f>SUMIFS(Bonds!AU:AU,Bonds!$B:$B,'CF CCY'!$A21,Bonds!$E:$E,'CF CCY'!$C21)</f>
        <v>258587.00000000003</v>
      </c>
      <c r="F21" s="256">
        <f>SUMIFS(Bonds!AV:AV,Bonds!$B:$B,'CF CCY'!$A21,Bonds!$E:$E,'CF CCY'!$C21)</f>
        <v>337261.49999999994</v>
      </c>
      <c r="G21" s="256">
        <f>SUMIFS(Bonds!AW:AW,Bonds!$B:$B,'CF CCY'!$A21,Bonds!$E:$E,'CF CCY'!$C21)</f>
        <v>308587.5</v>
      </c>
      <c r="H21" s="256">
        <f>SUMIFS(Bonds!AX:AX,Bonds!$B:$B,'CF CCY'!$A21,Bonds!$E:$E,'CF CCY'!$C21)</f>
        <v>205550.00000000003</v>
      </c>
      <c r="I21" s="256">
        <f>SUMIFS(Bonds!AY:AY,Bonds!$B:$B,'CF CCY'!$A21,Bonds!$E:$E,'CF CCY'!$C21)</f>
        <v>214162.5</v>
      </c>
      <c r="J21" s="256">
        <f>SUMIFS(Bonds!AZ:AZ,Bonds!$B:$B,'CF CCY'!$A21,Bonds!$E:$E,'CF CCY'!$C21)</f>
        <v>268567.25000000012</v>
      </c>
      <c r="K21" s="256">
        <f>SUMIFS(Bonds!BA:BA,Bonds!$B:$B,'CF CCY'!$A21,Bonds!$E:$E,'CF CCY'!$C21)</f>
        <v>258587.00000000003</v>
      </c>
      <c r="L21" s="256">
        <f>SUMIFS(Bonds!BB:BB,Bonds!$B:$B,'CF CCY'!$A21,Bonds!$E:$E,'CF CCY'!$C21)</f>
        <v>337261.49999999994</v>
      </c>
      <c r="M21" s="256">
        <f>SUMIFS(Bonds!BC:BC,Bonds!$B:$B,'CF CCY'!$A21,Bonds!$E:$E,'CF CCY'!$C21)</f>
        <v>308587.5</v>
      </c>
      <c r="N21" s="256">
        <f>SUMIFS(Bonds!BD:BD,Bonds!$B:$B,'CF CCY'!$A21,Bonds!$E:$E,'CF CCY'!$C21)</f>
        <v>205550.00000000003</v>
      </c>
      <c r="O21" s="256">
        <f>SUMIFS(Bonds!BE:BE,Bonds!$B:$B,'CF CCY'!$A21,Bonds!$E:$E,'CF CCY'!$C21)</f>
        <v>214162.5</v>
      </c>
      <c r="P21" s="256">
        <f>SUMIFS(Bonds!AT:AT,Bonds!$B:$B,'CF CCY'!$A21,Bonds!$E:$E,'CF CCY'!$C21)</f>
        <v>268567.25000000012</v>
      </c>
      <c r="Q21" s="256">
        <f>SUMIFS(Bonds!AU:AU,Bonds!$B:$B,'CF CCY'!$A21,Bonds!$E:$E,'CF CCY'!$C21)</f>
        <v>258587.00000000003</v>
      </c>
      <c r="R21" s="256">
        <f>SUMIFS(Bonds!AV:AV,Bonds!$B:$B,'CF CCY'!$A21,Bonds!$E:$E,'CF CCY'!$C21)</f>
        <v>337261.49999999994</v>
      </c>
      <c r="S21" s="256">
        <f>SUMIFS(Bonds!AW:AW,Bonds!$B:$B,'CF CCY'!$A21,Bonds!$E:$E,'CF CCY'!$C21)</f>
        <v>308587.5</v>
      </c>
      <c r="T21" s="256">
        <f>SUMIFS(Bonds!AX:AX,Bonds!$B:$B,'CF CCY'!$A21,Bonds!$E:$E,'CF CCY'!$C21)</f>
        <v>205550.00000000003</v>
      </c>
      <c r="U21" s="256">
        <f>SUMIFS(Bonds!AY:AY,Bonds!$B:$B,'CF CCY'!$A21,Bonds!$E:$E,'CF CCY'!$C21)</f>
        <v>214162.5</v>
      </c>
      <c r="V21" s="256">
        <f>SUMIFS(Bonds!AZ:AZ,Bonds!$B:$B,'CF CCY'!$A21,Bonds!$E:$E,'CF CCY'!$C21)</f>
        <v>268567.25000000012</v>
      </c>
      <c r="W21" s="256">
        <f>SUMIFS(Bonds!BA:BA,Bonds!$B:$B,'CF CCY'!$A21,Bonds!$E:$E,'CF CCY'!$C21)</f>
        <v>258587.00000000003</v>
      </c>
      <c r="X21" s="256">
        <f>SUMIFS(Bonds!BB:BB,Bonds!$B:$B,'CF CCY'!$A21,Bonds!$E:$E,'CF CCY'!$C21)</f>
        <v>337261.49999999994</v>
      </c>
      <c r="Y21" s="256">
        <f>SUMIFS(Bonds!BC:BC,Bonds!$B:$B,'CF CCY'!$A21,Bonds!$E:$E,'CF CCY'!$C21)</f>
        <v>308587.5</v>
      </c>
      <c r="Z21" s="256">
        <f>SUMIFS(Bonds!BD:BD,Bonds!$B:$B,'CF CCY'!$A21,Bonds!$E:$E,'CF CCY'!$C21)</f>
        <v>205550.00000000003</v>
      </c>
      <c r="AA21" s="256">
        <f>SUMIFS(Bonds!BE:BE,Bonds!$B:$B,'CF CCY'!$A21,Bonds!$E:$E,'CF CCY'!$C21)</f>
        <v>214162.5</v>
      </c>
    </row>
    <row r="22" spans="1:27" x14ac:dyDescent="0.25">
      <c r="A22" s="118" t="s">
        <v>51</v>
      </c>
      <c r="B22" s="1049"/>
      <c r="C22" s="257" t="s">
        <v>19</v>
      </c>
      <c r="D22" s="178">
        <f>SUMIFS(Bonds!AT:AT,Bonds!$B:$B,'CF CCY'!$A22,Bonds!$E:$E,'CF CCY'!$C22)</f>
        <v>0</v>
      </c>
      <c r="E22" s="178">
        <f>SUMIFS(Bonds!AU:AU,Bonds!$B:$B,'CF CCY'!$A22,Bonds!$E:$E,'CF CCY'!$C22)</f>
        <v>0</v>
      </c>
      <c r="F22" s="178">
        <f>SUMIFS(Bonds!AV:AV,Bonds!$B:$B,'CF CCY'!$A22,Bonds!$E:$E,'CF CCY'!$C22)</f>
        <v>327499.99999999953</v>
      </c>
      <c r="G22" s="178">
        <f>SUMIFS(Bonds!AW:AW,Bonds!$B:$B,'CF CCY'!$A22,Bonds!$E:$E,'CF CCY'!$C22)</f>
        <v>0</v>
      </c>
      <c r="H22" s="178">
        <f>SUMIFS(Bonds!AX:AX,Bonds!$B:$B,'CF CCY'!$A22,Bonds!$E:$E,'CF CCY'!$C22)</f>
        <v>0</v>
      </c>
      <c r="I22" s="178">
        <f>SUMIFS(Bonds!AY:AY,Bonds!$B:$B,'CF CCY'!$A22,Bonds!$E:$E,'CF CCY'!$C22)</f>
        <v>15999.999999999993</v>
      </c>
      <c r="J22" s="178">
        <f>SUMIFS(Bonds!AZ:AZ,Bonds!$B:$B,'CF CCY'!$A22,Bonds!$E:$E,'CF CCY'!$C22)</f>
        <v>0</v>
      </c>
      <c r="K22" s="178">
        <f>SUMIFS(Bonds!BA:BA,Bonds!$B:$B,'CF CCY'!$A22,Bonds!$E:$E,'CF CCY'!$C22)</f>
        <v>0</v>
      </c>
      <c r="L22" s="178">
        <f>SUMIFS(Bonds!BB:BB,Bonds!$B:$B,'CF CCY'!$A22,Bonds!$E:$E,'CF CCY'!$C22)</f>
        <v>91249.999999999942</v>
      </c>
      <c r="M22" s="178">
        <f>SUMIFS(Bonds!BC:BC,Bonds!$B:$B,'CF CCY'!$A22,Bonds!$E:$E,'CF CCY'!$C22)</f>
        <v>0</v>
      </c>
      <c r="N22" s="178">
        <f>SUMIFS(Bonds!BD:BD,Bonds!$B:$B,'CF CCY'!$A22,Bonds!$E:$E,'CF CCY'!$C22)</f>
        <v>0</v>
      </c>
      <c r="O22" s="178">
        <f>SUMIFS(Bonds!BE:BE,Bonds!$B:$B,'CF CCY'!$A22,Bonds!$E:$E,'CF CCY'!$C22)</f>
        <v>15999.999999999993</v>
      </c>
      <c r="P22" s="178">
        <f>SUMIFS(Bonds!AT:AT,Bonds!$B:$B,'CF CCY'!$A22,Bonds!$E:$E,'CF CCY'!$C22)</f>
        <v>0</v>
      </c>
      <c r="Q22" s="178">
        <f>SUMIFS(Bonds!AU:AU,Bonds!$B:$B,'CF CCY'!$A22,Bonds!$E:$E,'CF CCY'!$C22)</f>
        <v>0</v>
      </c>
      <c r="R22" s="178">
        <f>SUMIFS(Bonds!AV:AV,Bonds!$B:$B,'CF CCY'!$A22,Bonds!$E:$E,'CF CCY'!$C22)</f>
        <v>327499.99999999953</v>
      </c>
      <c r="S22" s="178">
        <f>SUMIFS(Bonds!AW:AW,Bonds!$B:$B,'CF CCY'!$A22,Bonds!$E:$E,'CF CCY'!$C22)</f>
        <v>0</v>
      </c>
      <c r="T22" s="178">
        <f>SUMIFS(Bonds!AX:AX,Bonds!$B:$B,'CF CCY'!$A22,Bonds!$E:$E,'CF CCY'!$C22)</f>
        <v>0</v>
      </c>
      <c r="U22" s="178">
        <f>SUMIFS(Bonds!AY:AY,Bonds!$B:$B,'CF CCY'!$A22,Bonds!$E:$E,'CF CCY'!$C22)</f>
        <v>15999.999999999993</v>
      </c>
      <c r="V22" s="178">
        <f>SUMIFS(Bonds!AZ:AZ,Bonds!$B:$B,'CF CCY'!$A22,Bonds!$E:$E,'CF CCY'!$C22)</f>
        <v>0</v>
      </c>
      <c r="W22" s="178">
        <f>SUMIFS(Bonds!BA:BA,Bonds!$B:$B,'CF CCY'!$A22,Bonds!$E:$E,'CF CCY'!$C22)</f>
        <v>0</v>
      </c>
      <c r="X22" s="178">
        <f>SUMIFS(Bonds!BB:BB,Bonds!$B:$B,'CF CCY'!$A22,Bonds!$E:$E,'CF CCY'!$C22)</f>
        <v>91249.999999999942</v>
      </c>
      <c r="Y22" s="178">
        <f>SUMIFS(Bonds!BC:BC,Bonds!$B:$B,'CF CCY'!$A22,Bonds!$E:$E,'CF CCY'!$C22)</f>
        <v>0</v>
      </c>
      <c r="Z22" s="178">
        <f>SUMIFS(Bonds!BD:BD,Bonds!$B:$B,'CF CCY'!$A22,Bonds!$E:$E,'CF CCY'!$C22)</f>
        <v>0</v>
      </c>
      <c r="AA22" s="178">
        <f>SUMIFS(Bonds!BE:BE,Bonds!$B:$B,'CF CCY'!$A22,Bonds!$E:$E,'CF CCY'!$C22)</f>
        <v>15999.999999999993</v>
      </c>
    </row>
    <row r="23" spans="1:27" x14ac:dyDescent="0.25">
      <c r="A23" s="118" t="s">
        <v>51</v>
      </c>
      <c r="B23" s="1049"/>
      <c r="C23" s="257" t="s">
        <v>21</v>
      </c>
      <c r="D23" s="178">
        <f>SUMIFS(Bonds!AT:AT,Bonds!$B:$B,'CF CCY'!$A23,Bonds!$E:$E,'CF CCY'!$C23)</f>
        <v>49624.999999999942</v>
      </c>
      <c r="E23" s="178">
        <f>SUMIFS(Bonds!AU:AU,Bonds!$B:$B,'CF CCY'!$A23,Bonds!$E:$E,'CF CCY'!$C23)</f>
        <v>0</v>
      </c>
      <c r="F23" s="178">
        <f>SUMIFS(Bonds!AV:AV,Bonds!$B:$B,'CF CCY'!$A23,Bonds!$E:$E,'CF CCY'!$C23)</f>
        <v>94687.499999999971</v>
      </c>
      <c r="G23" s="178">
        <f>SUMIFS(Bonds!AW:AW,Bonds!$B:$B,'CF CCY'!$A23,Bonds!$E:$E,'CF CCY'!$C23)</f>
        <v>49000.000000000044</v>
      </c>
      <c r="H23" s="178">
        <f>SUMIFS(Bonds!AX:AX,Bonds!$B:$B,'CF CCY'!$A23,Bonds!$E:$E,'CF CCY'!$C23)</f>
        <v>0</v>
      </c>
      <c r="I23" s="178">
        <f>SUMIFS(Bonds!AY:AY,Bonds!$B:$B,'CF CCY'!$A23,Bonds!$E:$E,'CF CCY'!$C23)</f>
        <v>30937.500000000007</v>
      </c>
      <c r="J23" s="178">
        <f>SUMIFS(Bonds!AZ:AZ,Bonds!$B:$B,'CF CCY'!$A23,Bonds!$E:$E,'CF CCY'!$C23)</f>
        <v>49624.999999999942</v>
      </c>
      <c r="K23" s="178">
        <f>SUMIFS(Bonds!BA:BA,Bonds!$B:$B,'CF CCY'!$A23,Bonds!$E:$E,'CF CCY'!$C23)</f>
        <v>0</v>
      </c>
      <c r="L23" s="178">
        <f>SUMIFS(Bonds!BB:BB,Bonds!$B:$B,'CF CCY'!$A23,Bonds!$E:$E,'CF CCY'!$C23)</f>
        <v>94687.499999999971</v>
      </c>
      <c r="M23" s="178">
        <f>SUMIFS(Bonds!BC:BC,Bonds!$B:$B,'CF CCY'!$A23,Bonds!$E:$E,'CF CCY'!$C23)</f>
        <v>49000.000000000044</v>
      </c>
      <c r="N23" s="178">
        <f>SUMIFS(Bonds!BD:BD,Bonds!$B:$B,'CF CCY'!$A23,Bonds!$E:$E,'CF CCY'!$C23)</f>
        <v>0</v>
      </c>
      <c r="O23" s="178">
        <f>SUMIFS(Bonds!BE:BE,Bonds!$B:$B,'CF CCY'!$A23,Bonds!$E:$E,'CF CCY'!$C23)</f>
        <v>30937.500000000007</v>
      </c>
      <c r="P23" s="178">
        <f>SUMIFS(Bonds!AT:AT,Bonds!$B:$B,'CF CCY'!$A23,Bonds!$E:$E,'CF CCY'!$C23)</f>
        <v>49624.999999999942</v>
      </c>
      <c r="Q23" s="178">
        <f>SUMIFS(Bonds!AU:AU,Bonds!$B:$B,'CF CCY'!$A23,Bonds!$E:$E,'CF CCY'!$C23)</f>
        <v>0</v>
      </c>
      <c r="R23" s="178">
        <f>SUMIFS(Bonds!AV:AV,Bonds!$B:$B,'CF CCY'!$A23,Bonds!$E:$E,'CF CCY'!$C23)</f>
        <v>94687.499999999971</v>
      </c>
      <c r="S23" s="178">
        <f>SUMIFS(Bonds!AW:AW,Bonds!$B:$B,'CF CCY'!$A23,Bonds!$E:$E,'CF CCY'!$C23)</f>
        <v>49000.000000000044</v>
      </c>
      <c r="T23" s="178">
        <f>SUMIFS(Bonds!AX:AX,Bonds!$B:$B,'CF CCY'!$A23,Bonds!$E:$E,'CF CCY'!$C23)</f>
        <v>0</v>
      </c>
      <c r="U23" s="178">
        <f>SUMIFS(Bonds!AY:AY,Bonds!$B:$B,'CF CCY'!$A23,Bonds!$E:$E,'CF CCY'!$C23)</f>
        <v>30937.500000000007</v>
      </c>
      <c r="V23" s="178">
        <f>SUMIFS(Bonds!AZ:AZ,Bonds!$B:$B,'CF CCY'!$A23,Bonds!$E:$E,'CF CCY'!$C23)</f>
        <v>49624.999999999942</v>
      </c>
      <c r="W23" s="178">
        <f>SUMIFS(Bonds!BA:BA,Bonds!$B:$B,'CF CCY'!$A23,Bonds!$E:$E,'CF CCY'!$C23)</f>
        <v>0</v>
      </c>
      <c r="X23" s="178">
        <f>SUMIFS(Bonds!BB:BB,Bonds!$B:$B,'CF CCY'!$A23,Bonds!$E:$E,'CF CCY'!$C23)</f>
        <v>94687.499999999971</v>
      </c>
      <c r="Y23" s="178">
        <f>SUMIFS(Bonds!BC:BC,Bonds!$B:$B,'CF CCY'!$A23,Bonds!$E:$E,'CF CCY'!$C23)</f>
        <v>49000.000000000044</v>
      </c>
      <c r="Z23" s="178">
        <f>SUMIFS(Bonds!BD:BD,Bonds!$B:$B,'CF CCY'!$A23,Bonds!$E:$E,'CF CCY'!$C23)</f>
        <v>0</v>
      </c>
      <c r="AA23" s="178">
        <f>SUMIFS(Bonds!BE:BE,Bonds!$B:$B,'CF CCY'!$A23,Bonds!$E:$E,'CF CCY'!$C23)</f>
        <v>30937.500000000007</v>
      </c>
    </row>
    <row r="24" spans="1:27" x14ac:dyDescent="0.25">
      <c r="A24" s="118" t="s">
        <v>51</v>
      </c>
      <c r="B24" s="1050"/>
      <c r="C24" s="258" t="s">
        <v>23</v>
      </c>
      <c r="D24" s="259">
        <f>SUMIFS(Bonds!AT:AT,Bonds!$B:$B,'CF CCY'!$A24,Bonds!$E:$E,'CF CCY'!$C24)</f>
        <v>0</v>
      </c>
      <c r="E24" s="259">
        <f>SUMIFS(Bonds!AU:AU,Bonds!$B:$B,'CF CCY'!$A24,Bonds!$E:$E,'CF CCY'!$C24)</f>
        <v>0</v>
      </c>
      <c r="F24" s="259">
        <f>SUMIFS(Bonds!AV:AV,Bonds!$B:$B,'CF CCY'!$A24,Bonds!$E:$E,'CF CCY'!$C24)</f>
        <v>0</v>
      </c>
      <c r="G24" s="259">
        <f>SUMIFS(Bonds!AW:AW,Bonds!$B:$B,'CF CCY'!$A24,Bonds!$E:$E,'CF CCY'!$C24)</f>
        <v>0</v>
      </c>
      <c r="H24" s="259">
        <f>SUMIFS(Bonds!AX:AX,Bonds!$B:$B,'CF CCY'!$A24,Bonds!$E:$E,'CF CCY'!$C24)</f>
        <v>0</v>
      </c>
      <c r="I24" s="259">
        <f>SUMIFS(Bonds!AY:AY,Bonds!$B:$B,'CF CCY'!$A24,Bonds!$E:$E,'CF CCY'!$C24)</f>
        <v>0</v>
      </c>
      <c r="J24" s="259">
        <f>SUMIFS(Bonds!AZ:AZ,Bonds!$B:$B,'CF CCY'!$A24,Bonds!$E:$E,'CF CCY'!$C24)</f>
        <v>0</v>
      </c>
      <c r="K24" s="259">
        <f>SUMIFS(Bonds!BA:BA,Bonds!$B:$B,'CF CCY'!$A24,Bonds!$E:$E,'CF CCY'!$C24)</f>
        <v>0</v>
      </c>
      <c r="L24" s="259">
        <f>SUMIFS(Bonds!BB:BB,Bonds!$B:$B,'CF CCY'!$A24,Bonds!$E:$E,'CF CCY'!$C24)</f>
        <v>0</v>
      </c>
      <c r="M24" s="259">
        <f>SUMIFS(Bonds!BC:BC,Bonds!$B:$B,'CF CCY'!$A24,Bonds!$E:$E,'CF CCY'!$C24)</f>
        <v>0</v>
      </c>
      <c r="N24" s="259">
        <f>SUMIFS(Bonds!BD:BD,Bonds!$B:$B,'CF CCY'!$A24,Bonds!$E:$E,'CF CCY'!$C24)</f>
        <v>0</v>
      </c>
      <c r="O24" s="259">
        <f>SUMIFS(Bonds!BE:BE,Bonds!$B:$B,'CF CCY'!$A24,Bonds!$E:$E,'CF CCY'!$C24)</f>
        <v>0</v>
      </c>
      <c r="P24" s="259">
        <f>SUMIFS(Bonds!AT:AT,Bonds!$B:$B,'CF CCY'!$A24,Bonds!$E:$E,'CF CCY'!$C24)</f>
        <v>0</v>
      </c>
      <c r="Q24" s="259">
        <f>SUMIFS(Bonds!AU:AU,Bonds!$B:$B,'CF CCY'!$A24,Bonds!$E:$E,'CF CCY'!$C24)</f>
        <v>0</v>
      </c>
      <c r="R24" s="259">
        <f>SUMIFS(Bonds!AV:AV,Bonds!$B:$B,'CF CCY'!$A24,Bonds!$E:$E,'CF CCY'!$C24)</f>
        <v>0</v>
      </c>
      <c r="S24" s="259">
        <f>SUMIFS(Bonds!AW:AW,Bonds!$B:$B,'CF CCY'!$A24,Bonds!$E:$E,'CF CCY'!$C24)</f>
        <v>0</v>
      </c>
      <c r="T24" s="259">
        <f>SUMIFS(Bonds!AX:AX,Bonds!$B:$B,'CF CCY'!$A24,Bonds!$E:$E,'CF CCY'!$C24)</f>
        <v>0</v>
      </c>
      <c r="U24" s="259">
        <f>SUMIFS(Bonds!AY:AY,Bonds!$B:$B,'CF CCY'!$A24,Bonds!$E:$E,'CF CCY'!$C24)</f>
        <v>0</v>
      </c>
      <c r="V24" s="259">
        <f>SUMIFS(Bonds!AZ:AZ,Bonds!$B:$B,'CF CCY'!$A24,Bonds!$E:$E,'CF CCY'!$C24)</f>
        <v>0</v>
      </c>
      <c r="W24" s="259">
        <f>SUMIFS(Bonds!BA:BA,Bonds!$B:$B,'CF CCY'!$A24,Bonds!$E:$E,'CF CCY'!$C24)</f>
        <v>0</v>
      </c>
      <c r="X24" s="259">
        <f>SUMIFS(Bonds!BB:BB,Bonds!$B:$B,'CF CCY'!$A24,Bonds!$E:$E,'CF CCY'!$C24)</f>
        <v>0</v>
      </c>
      <c r="Y24" s="259">
        <f>SUMIFS(Bonds!BC:BC,Bonds!$B:$B,'CF CCY'!$A24,Bonds!$E:$E,'CF CCY'!$C24)</f>
        <v>0</v>
      </c>
      <c r="Z24" s="259">
        <f>SUMIFS(Bonds!BD:BD,Bonds!$B:$B,'CF CCY'!$A24,Bonds!$E:$E,'CF CCY'!$C24)</f>
        <v>0</v>
      </c>
      <c r="AA24" s="259">
        <f>SUMIFS(Bonds!BE:BE,Bonds!$B:$B,'CF CCY'!$A24,Bonds!$E:$E,'CF CCY'!$C24)</f>
        <v>0</v>
      </c>
    </row>
    <row r="25" spans="1:27" x14ac:dyDescent="0.25">
      <c r="A25" s="118" t="s">
        <v>49</v>
      </c>
      <c r="B25" s="1048" t="s">
        <v>49</v>
      </c>
      <c r="C25" s="260" t="s">
        <v>18</v>
      </c>
      <c r="D25" s="261">
        <f>SUMIFS(Bonds!AT:AT,Bonds!$B:$B,'CF CCY'!$A25,Bonds!$E:$E,'CF CCY'!$C25)</f>
        <v>0</v>
      </c>
      <c r="E25" s="261">
        <f>SUMIFS(Bonds!AU:AU,Bonds!$B:$B,'CF CCY'!$A25,Bonds!$E:$E,'CF CCY'!$C25)</f>
        <v>0</v>
      </c>
      <c r="F25" s="261">
        <f>SUMIFS(Bonds!AV:AV,Bonds!$B:$B,'CF CCY'!$A25,Bonds!$E:$E,'CF CCY'!$C25)</f>
        <v>0</v>
      </c>
      <c r="G25" s="261">
        <f>SUMIFS(Bonds!AW:AW,Bonds!$B:$B,'CF CCY'!$A25,Bonds!$E:$E,'CF CCY'!$C25)</f>
        <v>0</v>
      </c>
      <c r="H25" s="261">
        <f>SUMIFS(Bonds!AX:AX,Bonds!$B:$B,'CF CCY'!$A25,Bonds!$E:$E,'CF CCY'!$C25)</f>
        <v>0</v>
      </c>
      <c r="I25" s="261">
        <f>SUMIFS(Bonds!AY:AY,Bonds!$B:$B,'CF CCY'!$A25,Bonds!$E:$E,'CF CCY'!$C25)</f>
        <v>0</v>
      </c>
      <c r="J25" s="261">
        <f>SUMIFS(Bonds!AZ:AZ,Bonds!$B:$B,'CF CCY'!$A25,Bonds!$E:$E,'CF CCY'!$C25)</f>
        <v>0</v>
      </c>
      <c r="K25" s="261">
        <f>SUMIFS(Bonds!BA:BA,Bonds!$B:$B,'CF CCY'!$A25,Bonds!$E:$E,'CF CCY'!$C25)</f>
        <v>0</v>
      </c>
      <c r="L25" s="261">
        <f>SUMIFS(Bonds!BB:BB,Bonds!$B:$B,'CF CCY'!$A25,Bonds!$E:$E,'CF CCY'!$C25)</f>
        <v>0</v>
      </c>
      <c r="M25" s="261">
        <f>SUMIFS(Bonds!BC:BC,Bonds!$B:$B,'CF CCY'!$A25,Bonds!$E:$E,'CF CCY'!$C25)</f>
        <v>0</v>
      </c>
      <c r="N25" s="261">
        <f>SUMIFS(Bonds!BD:BD,Bonds!$B:$B,'CF CCY'!$A25,Bonds!$E:$E,'CF CCY'!$C25)</f>
        <v>0</v>
      </c>
      <c r="O25" s="261">
        <f>SUMIFS(Bonds!BE:BE,Bonds!$B:$B,'CF CCY'!$A25,Bonds!$E:$E,'CF CCY'!$C25)</f>
        <v>0</v>
      </c>
      <c r="P25" s="261">
        <f>SUMIFS(Bonds!AT:AT,Bonds!$B:$B,'CF CCY'!$A25,Bonds!$E:$E,'CF CCY'!$C25)</f>
        <v>0</v>
      </c>
      <c r="Q25" s="261">
        <f>SUMIFS(Bonds!AU:AU,Bonds!$B:$B,'CF CCY'!$A25,Bonds!$E:$E,'CF CCY'!$C25)</f>
        <v>0</v>
      </c>
      <c r="R25" s="261">
        <f>SUMIFS(Bonds!AV:AV,Bonds!$B:$B,'CF CCY'!$A25,Bonds!$E:$E,'CF CCY'!$C25)</f>
        <v>0</v>
      </c>
      <c r="S25" s="261">
        <f>SUMIFS(Bonds!AW:AW,Bonds!$B:$B,'CF CCY'!$A25,Bonds!$E:$E,'CF CCY'!$C25)</f>
        <v>0</v>
      </c>
      <c r="T25" s="261">
        <f>SUMIFS(Bonds!AX:AX,Bonds!$B:$B,'CF CCY'!$A25,Bonds!$E:$E,'CF CCY'!$C25)</f>
        <v>0</v>
      </c>
      <c r="U25" s="261">
        <f>SUMIFS(Bonds!AY:AY,Bonds!$B:$B,'CF CCY'!$A25,Bonds!$E:$E,'CF CCY'!$C25)</f>
        <v>0</v>
      </c>
      <c r="V25" s="261">
        <f>SUMIFS(Bonds!AZ:AZ,Bonds!$B:$B,'CF CCY'!$A25,Bonds!$E:$E,'CF CCY'!$C25)</f>
        <v>0</v>
      </c>
      <c r="W25" s="261">
        <f>SUMIFS(Bonds!BA:BA,Bonds!$B:$B,'CF CCY'!$A25,Bonds!$E:$E,'CF CCY'!$C25)</f>
        <v>0</v>
      </c>
      <c r="X25" s="261">
        <f>SUMIFS(Bonds!BB:BB,Bonds!$B:$B,'CF CCY'!$A25,Bonds!$E:$E,'CF CCY'!$C25)</f>
        <v>0</v>
      </c>
      <c r="Y25" s="261">
        <f>SUMIFS(Bonds!BC:BC,Bonds!$B:$B,'CF CCY'!$A25,Bonds!$E:$E,'CF CCY'!$C25)</f>
        <v>0</v>
      </c>
      <c r="Z25" s="261">
        <f>SUMIFS(Bonds!BD:BD,Bonds!$B:$B,'CF CCY'!$A25,Bonds!$E:$E,'CF CCY'!$C25)</f>
        <v>0</v>
      </c>
      <c r="AA25" s="261">
        <f>SUMIFS(Bonds!BE:BE,Bonds!$B:$B,'CF CCY'!$A25,Bonds!$E:$E,'CF CCY'!$C25)</f>
        <v>0</v>
      </c>
    </row>
    <row r="26" spans="1:27" x14ac:dyDescent="0.25">
      <c r="A26" s="118" t="s">
        <v>49</v>
      </c>
      <c r="B26" s="1049"/>
      <c r="C26" s="257" t="s">
        <v>19</v>
      </c>
      <c r="D26" s="178">
        <f>SUMIFS(Bonds!AT:AT,Bonds!$B:$B,'CF CCY'!$A26,Bonds!$E:$E,'CF CCY'!$C26)</f>
        <v>0</v>
      </c>
      <c r="E26" s="178">
        <f>SUMIFS(Bonds!AU:AU,Bonds!$B:$B,'CF CCY'!$A26,Bonds!$E:$E,'CF CCY'!$C26)</f>
        <v>0</v>
      </c>
      <c r="F26" s="178">
        <f>SUMIFS(Bonds!AV:AV,Bonds!$B:$B,'CF CCY'!$A26,Bonds!$E:$E,'CF CCY'!$C26)</f>
        <v>0</v>
      </c>
      <c r="G26" s="178">
        <f>SUMIFS(Bonds!AW:AW,Bonds!$B:$B,'CF CCY'!$A26,Bonds!$E:$E,'CF CCY'!$C26)</f>
        <v>0</v>
      </c>
      <c r="H26" s="178">
        <f>SUMIFS(Bonds!AX:AX,Bonds!$B:$B,'CF CCY'!$A26,Bonds!$E:$E,'CF CCY'!$C26)</f>
        <v>0</v>
      </c>
      <c r="I26" s="178">
        <f>SUMIFS(Bonds!AY:AY,Bonds!$B:$B,'CF CCY'!$A26,Bonds!$E:$E,'CF CCY'!$C26)</f>
        <v>0</v>
      </c>
      <c r="J26" s="178">
        <f>SUMIFS(Bonds!AZ:AZ,Bonds!$B:$B,'CF CCY'!$A26,Bonds!$E:$E,'CF CCY'!$C26)</f>
        <v>0</v>
      </c>
      <c r="K26" s="178">
        <f>SUMIFS(Bonds!BA:BA,Bonds!$B:$B,'CF CCY'!$A26,Bonds!$E:$E,'CF CCY'!$C26)</f>
        <v>0</v>
      </c>
      <c r="L26" s="178">
        <f>SUMIFS(Bonds!BB:BB,Bonds!$B:$B,'CF CCY'!$A26,Bonds!$E:$E,'CF CCY'!$C26)</f>
        <v>0</v>
      </c>
      <c r="M26" s="178">
        <f>SUMIFS(Bonds!BC:BC,Bonds!$B:$B,'CF CCY'!$A26,Bonds!$E:$E,'CF CCY'!$C26)</f>
        <v>0</v>
      </c>
      <c r="N26" s="178">
        <f>SUMIFS(Bonds!BD:BD,Bonds!$B:$B,'CF CCY'!$A26,Bonds!$E:$E,'CF CCY'!$C26)</f>
        <v>0</v>
      </c>
      <c r="O26" s="178">
        <f>SUMIFS(Bonds!BE:BE,Bonds!$B:$B,'CF CCY'!$A26,Bonds!$E:$E,'CF CCY'!$C26)</f>
        <v>0</v>
      </c>
      <c r="P26" s="178">
        <f>SUMIFS(Bonds!AT:AT,Bonds!$B:$B,'CF CCY'!$A26,Bonds!$E:$E,'CF CCY'!$C26)</f>
        <v>0</v>
      </c>
      <c r="Q26" s="178">
        <f>SUMIFS(Bonds!AU:AU,Bonds!$B:$B,'CF CCY'!$A26,Bonds!$E:$E,'CF CCY'!$C26)</f>
        <v>0</v>
      </c>
      <c r="R26" s="178">
        <f>SUMIFS(Bonds!AV:AV,Bonds!$B:$B,'CF CCY'!$A26,Bonds!$E:$E,'CF CCY'!$C26)</f>
        <v>0</v>
      </c>
      <c r="S26" s="178">
        <f>SUMIFS(Bonds!AW:AW,Bonds!$B:$B,'CF CCY'!$A26,Bonds!$E:$E,'CF CCY'!$C26)</f>
        <v>0</v>
      </c>
      <c r="T26" s="178">
        <f>SUMIFS(Bonds!AX:AX,Bonds!$B:$B,'CF CCY'!$A26,Bonds!$E:$E,'CF CCY'!$C26)</f>
        <v>0</v>
      </c>
      <c r="U26" s="178">
        <f>SUMIFS(Bonds!AY:AY,Bonds!$B:$B,'CF CCY'!$A26,Bonds!$E:$E,'CF CCY'!$C26)</f>
        <v>0</v>
      </c>
      <c r="V26" s="178">
        <f>SUMIFS(Bonds!AZ:AZ,Bonds!$B:$B,'CF CCY'!$A26,Bonds!$E:$E,'CF CCY'!$C26)</f>
        <v>0</v>
      </c>
      <c r="W26" s="178">
        <f>SUMIFS(Bonds!BA:BA,Bonds!$B:$B,'CF CCY'!$A26,Bonds!$E:$E,'CF CCY'!$C26)</f>
        <v>0</v>
      </c>
      <c r="X26" s="178">
        <f>SUMIFS(Bonds!BB:BB,Bonds!$B:$B,'CF CCY'!$A26,Bonds!$E:$E,'CF CCY'!$C26)</f>
        <v>0</v>
      </c>
      <c r="Y26" s="178">
        <f>SUMIFS(Bonds!BC:BC,Bonds!$B:$B,'CF CCY'!$A26,Bonds!$E:$E,'CF CCY'!$C26)</f>
        <v>0</v>
      </c>
      <c r="Z26" s="178">
        <f>SUMIFS(Bonds!BD:BD,Bonds!$B:$B,'CF CCY'!$A26,Bonds!$E:$E,'CF CCY'!$C26)</f>
        <v>0</v>
      </c>
      <c r="AA26" s="178">
        <f>SUMIFS(Bonds!BE:BE,Bonds!$B:$B,'CF CCY'!$A26,Bonds!$E:$E,'CF CCY'!$C26)</f>
        <v>0</v>
      </c>
    </row>
    <row r="27" spans="1:27" x14ac:dyDescent="0.25">
      <c r="A27" s="118" t="s">
        <v>49</v>
      </c>
      <c r="B27" s="1049"/>
      <c r="C27" s="257" t="s">
        <v>21</v>
      </c>
      <c r="D27" s="178">
        <f>SUMIFS(Bonds!AT:AT,Bonds!$B:$B,'CF CCY'!$A27,Bonds!$E:$E,'CF CCY'!$C27)</f>
        <v>22000.000000000018</v>
      </c>
      <c r="E27" s="178">
        <f>SUMIFS(Bonds!AU:AU,Bonds!$B:$B,'CF CCY'!$A27,Bonds!$E:$E,'CF CCY'!$C27)</f>
        <v>0</v>
      </c>
      <c r="F27" s="178">
        <f>SUMIFS(Bonds!AV:AV,Bonds!$B:$B,'CF CCY'!$A27,Bonds!$E:$E,'CF CCY'!$C27)</f>
        <v>0</v>
      </c>
      <c r="G27" s="178">
        <f>SUMIFS(Bonds!AW:AW,Bonds!$B:$B,'CF CCY'!$A27,Bonds!$E:$E,'CF CCY'!$C27)</f>
        <v>0</v>
      </c>
      <c r="H27" s="178">
        <f>SUMIFS(Bonds!AX:AX,Bonds!$B:$B,'CF CCY'!$A27,Bonds!$E:$E,'CF CCY'!$C27)</f>
        <v>0</v>
      </c>
      <c r="I27" s="178">
        <f>SUMIFS(Bonds!AY:AY,Bonds!$B:$B,'CF CCY'!$A27,Bonds!$E:$E,'CF CCY'!$C27)</f>
        <v>0</v>
      </c>
      <c r="J27" s="178">
        <f>SUMIFS(Bonds!AZ:AZ,Bonds!$B:$B,'CF CCY'!$A27,Bonds!$E:$E,'CF CCY'!$C27)</f>
        <v>22000.000000000018</v>
      </c>
      <c r="K27" s="178">
        <f>SUMIFS(Bonds!BA:BA,Bonds!$B:$B,'CF CCY'!$A27,Bonds!$E:$E,'CF CCY'!$C27)</f>
        <v>0</v>
      </c>
      <c r="L27" s="178">
        <f>SUMIFS(Bonds!BB:BB,Bonds!$B:$B,'CF CCY'!$A27,Bonds!$E:$E,'CF CCY'!$C27)</f>
        <v>0</v>
      </c>
      <c r="M27" s="178">
        <f>SUMIFS(Bonds!BC:BC,Bonds!$B:$B,'CF CCY'!$A27,Bonds!$E:$E,'CF CCY'!$C27)</f>
        <v>0</v>
      </c>
      <c r="N27" s="178">
        <f>SUMIFS(Bonds!BD:BD,Bonds!$B:$B,'CF CCY'!$A27,Bonds!$E:$E,'CF CCY'!$C27)</f>
        <v>0</v>
      </c>
      <c r="O27" s="178">
        <f>SUMIFS(Bonds!BE:BE,Bonds!$B:$B,'CF CCY'!$A27,Bonds!$E:$E,'CF CCY'!$C27)</f>
        <v>0</v>
      </c>
      <c r="P27" s="178">
        <f>SUMIFS(Bonds!AT:AT,Bonds!$B:$B,'CF CCY'!$A27,Bonds!$E:$E,'CF CCY'!$C27)</f>
        <v>22000.000000000018</v>
      </c>
      <c r="Q27" s="178">
        <f>SUMIFS(Bonds!AU:AU,Bonds!$B:$B,'CF CCY'!$A27,Bonds!$E:$E,'CF CCY'!$C27)</f>
        <v>0</v>
      </c>
      <c r="R27" s="178">
        <f>SUMIFS(Bonds!AV:AV,Bonds!$B:$B,'CF CCY'!$A27,Bonds!$E:$E,'CF CCY'!$C27)</f>
        <v>0</v>
      </c>
      <c r="S27" s="178">
        <f>SUMIFS(Bonds!AW:AW,Bonds!$B:$B,'CF CCY'!$A27,Bonds!$E:$E,'CF CCY'!$C27)</f>
        <v>0</v>
      </c>
      <c r="T27" s="178">
        <f>SUMIFS(Bonds!AX:AX,Bonds!$B:$B,'CF CCY'!$A27,Bonds!$E:$E,'CF CCY'!$C27)</f>
        <v>0</v>
      </c>
      <c r="U27" s="178">
        <f>SUMIFS(Bonds!AY:AY,Bonds!$B:$B,'CF CCY'!$A27,Bonds!$E:$E,'CF CCY'!$C27)</f>
        <v>0</v>
      </c>
      <c r="V27" s="178">
        <f>SUMIFS(Bonds!AZ:AZ,Bonds!$B:$B,'CF CCY'!$A27,Bonds!$E:$E,'CF CCY'!$C27)</f>
        <v>22000.000000000018</v>
      </c>
      <c r="W27" s="178">
        <f>SUMIFS(Bonds!BA:BA,Bonds!$B:$B,'CF CCY'!$A27,Bonds!$E:$E,'CF CCY'!$C27)</f>
        <v>0</v>
      </c>
      <c r="X27" s="178">
        <f>SUMIFS(Bonds!BB:BB,Bonds!$B:$B,'CF CCY'!$A27,Bonds!$E:$E,'CF CCY'!$C27)</f>
        <v>0</v>
      </c>
      <c r="Y27" s="178">
        <f>SUMIFS(Bonds!BC:BC,Bonds!$B:$B,'CF CCY'!$A27,Bonds!$E:$E,'CF CCY'!$C27)</f>
        <v>0</v>
      </c>
      <c r="Z27" s="178">
        <f>SUMIFS(Bonds!BD:BD,Bonds!$B:$B,'CF CCY'!$A27,Bonds!$E:$E,'CF CCY'!$C27)</f>
        <v>0</v>
      </c>
      <c r="AA27" s="178">
        <f>SUMIFS(Bonds!BE:BE,Bonds!$B:$B,'CF CCY'!$A27,Bonds!$E:$E,'CF CCY'!$C27)</f>
        <v>0</v>
      </c>
    </row>
    <row r="28" spans="1:27" x14ac:dyDescent="0.25">
      <c r="A28" s="118" t="s">
        <v>49</v>
      </c>
      <c r="B28" s="1050"/>
      <c r="C28" s="258" t="s">
        <v>23</v>
      </c>
      <c r="D28" s="259">
        <f>SUMIFS(Bonds!AT:AT,Bonds!$B:$B,'CF CCY'!$A28,Bonds!$E:$E,'CF CCY'!$C28)</f>
        <v>0</v>
      </c>
      <c r="E28" s="259">
        <f>SUMIFS(Bonds!AU:AU,Bonds!$B:$B,'CF CCY'!$A28,Bonds!$E:$E,'CF CCY'!$C28)</f>
        <v>0</v>
      </c>
      <c r="F28" s="259">
        <f>SUMIFS(Bonds!AV:AV,Bonds!$B:$B,'CF CCY'!$A28,Bonds!$E:$E,'CF CCY'!$C28)</f>
        <v>0</v>
      </c>
      <c r="G28" s="259">
        <f>SUMIFS(Bonds!AW:AW,Bonds!$B:$B,'CF CCY'!$A28,Bonds!$E:$E,'CF CCY'!$C28)</f>
        <v>0</v>
      </c>
      <c r="H28" s="259">
        <f>SUMIFS(Bonds!AX:AX,Bonds!$B:$B,'CF CCY'!$A28,Bonds!$E:$E,'CF CCY'!$C28)</f>
        <v>0</v>
      </c>
      <c r="I28" s="259">
        <f>SUMIFS(Bonds!AY:AY,Bonds!$B:$B,'CF CCY'!$A28,Bonds!$E:$E,'CF CCY'!$C28)</f>
        <v>0</v>
      </c>
      <c r="J28" s="259">
        <f>SUMIFS(Bonds!AZ:AZ,Bonds!$B:$B,'CF CCY'!$A28,Bonds!$E:$E,'CF CCY'!$C28)</f>
        <v>0</v>
      </c>
      <c r="K28" s="259">
        <f>SUMIFS(Bonds!BA:BA,Bonds!$B:$B,'CF CCY'!$A28,Bonds!$E:$E,'CF CCY'!$C28)</f>
        <v>0</v>
      </c>
      <c r="L28" s="259">
        <f>SUMIFS(Bonds!BB:BB,Bonds!$B:$B,'CF CCY'!$A28,Bonds!$E:$E,'CF CCY'!$C28)</f>
        <v>0</v>
      </c>
      <c r="M28" s="259">
        <f>SUMIFS(Bonds!BC:BC,Bonds!$B:$B,'CF CCY'!$A28,Bonds!$E:$E,'CF CCY'!$C28)</f>
        <v>0</v>
      </c>
      <c r="N28" s="259">
        <f>SUMIFS(Bonds!BD:BD,Bonds!$B:$B,'CF CCY'!$A28,Bonds!$E:$E,'CF CCY'!$C28)</f>
        <v>0</v>
      </c>
      <c r="O28" s="259">
        <f>SUMIFS(Bonds!BE:BE,Bonds!$B:$B,'CF CCY'!$A28,Bonds!$E:$E,'CF CCY'!$C28)</f>
        <v>0</v>
      </c>
      <c r="P28" s="259">
        <f>SUMIFS(Bonds!AT:AT,Bonds!$B:$B,'CF CCY'!$A28,Bonds!$E:$E,'CF CCY'!$C28)</f>
        <v>0</v>
      </c>
      <c r="Q28" s="259">
        <f>SUMIFS(Bonds!AU:AU,Bonds!$B:$B,'CF CCY'!$A28,Bonds!$E:$E,'CF CCY'!$C28)</f>
        <v>0</v>
      </c>
      <c r="R28" s="259">
        <f>SUMIFS(Bonds!AV:AV,Bonds!$B:$B,'CF CCY'!$A28,Bonds!$E:$E,'CF CCY'!$C28)</f>
        <v>0</v>
      </c>
      <c r="S28" s="259">
        <f>SUMIFS(Bonds!AW:AW,Bonds!$B:$B,'CF CCY'!$A28,Bonds!$E:$E,'CF CCY'!$C28)</f>
        <v>0</v>
      </c>
      <c r="T28" s="259">
        <f>SUMIFS(Bonds!AX:AX,Bonds!$B:$B,'CF CCY'!$A28,Bonds!$E:$E,'CF CCY'!$C28)</f>
        <v>0</v>
      </c>
      <c r="U28" s="259">
        <f>SUMIFS(Bonds!AY:AY,Bonds!$B:$B,'CF CCY'!$A28,Bonds!$E:$E,'CF CCY'!$C28)</f>
        <v>0</v>
      </c>
      <c r="V28" s="259">
        <f>SUMIFS(Bonds!AZ:AZ,Bonds!$B:$B,'CF CCY'!$A28,Bonds!$E:$E,'CF CCY'!$C28)</f>
        <v>0</v>
      </c>
      <c r="W28" s="259">
        <f>SUMIFS(Bonds!BA:BA,Bonds!$B:$B,'CF CCY'!$A28,Bonds!$E:$E,'CF CCY'!$C28)</f>
        <v>0</v>
      </c>
      <c r="X28" s="259">
        <f>SUMIFS(Bonds!BB:BB,Bonds!$B:$B,'CF CCY'!$A28,Bonds!$E:$E,'CF CCY'!$C28)</f>
        <v>0</v>
      </c>
      <c r="Y28" s="259">
        <f>SUMIFS(Bonds!BC:BC,Bonds!$B:$B,'CF CCY'!$A28,Bonds!$E:$E,'CF CCY'!$C28)</f>
        <v>0</v>
      </c>
      <c r="Z28" s="259">
        <f>SUMIFS(Bonds!BD:BD,Bonds!$B:$B,'CF CCY'!$A28,Bonds!$E:$E,'CF CCY'!$C28)</f>
        <v>0</v>
      </c>
      <c r="AA28" s="259">
        <f>SUMIFS(Bonds!BE:BE,Bonds!$B:$B,'CF CCY'!$A28,Bonds!$E:$E,'CF CCY'!$C28)</f>
        <v>0</v>
      </c>
    </row>
    <row r="29" spans="1:27" x14ac:dyDescent="0.25">
      <c r="A29" s="118" t="s">
        <v>90</v>
      </c>
      <c r="B29" s="1048" t="s">
        <v>90</v>
      </c>
      <c r="C29" s="260" t="s">
        <v>18</v>
      </c>
      <c r="D29" s="261">
        <f>SUMIFS(Bonds!AT:AT,Bonds!$B:$B,'CF CCY'!$A29,Bonds!$E:$E,'CF CCY'!$C29)</f>
        <v>0</v>
      </c>
      <c r="E29" s="261">
        <f>SUMIFS(Bonds!AU:AU,Bonds!$B:$B,'CF CCY'!$A29,Bonds!$E:$E,'CF CCY'!$C29)</f>
        <v>0</v>
      </c>
      <c r="F29" s="261">
        <f>SUMIFS(Bonds!AV:AV,Bonds!$B:$B,'CF CCY'!$A29,Bonds!$E:$E,'CF CCY'!$C29)</f>
        <v>0</v>
      </c>
      <c r="G29" s="261">
        <f>SUMIFS(Bonds!AW:AW,Bonds!$B:$B,'CF CCY'!$A29,Bonds!$E:$E,'CF CCY'!$C29)</f>
        <v>0</v>
      </c>
      <c r="H29" s="261">
        <f>SUMIFS(Bonds!AX:AX,Bonds!$B:$B,'CF CCY'!$A29,Bonds!$E:$E,'CF CCY'!$C29)</f>
        <v>38124.999999999971</v>
      </c>
      <c r="I29" s="261">
        <f>SUMIFS(Bonds!AY:AY,Bonds!$B:$B,'CF CCY'!$A29,Bonds!$E:$E,'CF CCY'!$C29)</f>
        <v>0</v>
      </c>
      <c r="J29" s="261">
        <f>SUMIFS(Bonds!AZ:AZ,Bonds!$B:$B,'CF CCY'!$A29,Bonds!$E:$E,'CF CCY'!$C29)</f>
        <v>0</v>
      </c>
      <c r="K29" s="261">
        <f>SUMIFS(Bonds!BA:BA,Bonds!$B:$B,'CF CCY'!$A29,Bonds!$E:$E,'CF CCY'!$C29)</f>
        <v>0</v>
      </c>
      <c r="L29" s="261">
        <f>SUMIFS(Bonds!BB:BB,Bonds!$B:$B,'CF CCY'!$A29,Bonds!$E:$E,'CF CCY'!$C29)</f>
        <v>0</v>
      </c>
      <c r="M29" s="261">
        <f>SUMIFS(Bonds!BC:BC,Bonds!$B:$B,'CF CCY'!$A29,Bonds!$E:$E,'CF CCY'!$C29)</f>
        <v>0</v>
      </c>
      <c r="N29" s="261">
        <f>SUMIFS(Bonds!BD:BD,Bonds!$B:$B,'CF CCY'!$A29,Bonds!$E:$E,'CF CCY'!$C29)</f>
        <v>38124.999999999971</v>
      </c>
      <c r="O29" s="261">
        <f>SUMIFS(Bonds!BE:BE,Bonds!$B:$B,'CF CCY'!$A29,Bonds!$E:$E,'CF CCY'!$C29)</f>
        <v>0</v>
      </c>
      <c r="P29" s="261">
        <f>SUMIFS(Bonds!AT:AT,Bonds!$B:$B,'CF CCY'!$A29,Bonds!$E:$E,'CF CCY'!$C29)</f>
        <v>0</v>
      </c>
      <c r="Q29" s="261">
        <f>SUMIFS(Bonds!AU:AU,Bonds!$B:$B,'CF CCY'!$A29,Bonds!$E:$E,'CF CCY'!$C29)</f>
        <v>0</v>
      </c>
      <c r="R29" s="261">
        <f>SUMIFS(Bonds!AV:AV,Bonds!$B:$B,'CF CCY'!$A29,Bonds!$E:$E,'CF CCY'!$C29)</f>
        <v>0</v>
      </c>
      <c r="S29" s="261">
        <f>SUMIFS(Bonds!AW:AW,Bonds!$B:$B,'CF CCY'!$A29,Bonds!$E:$E,'CF CCY'!$C29)</f>
        <v>0</v>
      </c>
      <c r="T29" s="261">
        <f>SUMIFS(Bonds!AX:AX,Bonds!$B:$B,'CF CCY'!$A29,Bonds!$E:$E,'CF CCY'!$C29)</f>
        <v>38124.999999999971</v>
      </c>
      <c r="U29" s="261">
        <f>SUMIFS(Bonds!AY:AY,Bonds!$B:$B,'CF CCY'!$A29,Bonds!$E:$E,'CF CCY'!$C29)</f>
        <v>0</v>
      </c>
      <c r="V29" s="261">
        <f>SUMIFS(Bonds!AZ:AZ,Bonds!$B:$B,'CF CCY'!$A29,Bonds!$E:$E,'CF CCY'!$C29)</f>
        <v>0</v>
      </c>
      <c r="W29" s="261">
        <f>SUMIFS(Bonds!BA:BA,Bonds!$B:$B,'CF CCY'!$A29,Bonds!$E:$E,'CF CCY'!$C29)</f>
        <v>0</v>
      </c>
      <c r="X29" s="261">
        <f>SUMIFS(Bonds!BB:BB,Bonds!$B:$B,'CF CCY'!$A29,Bonds!$E:$E,'CF CCY'!$C29)</f>
        <v>0</v>
      </c>
      <c r="Y29" s="261">
        <f>SUMIFS(Bonds!BC:BC,Bonds!$B:$B,'CF CCY'!$A29,Bonds!$E:$E,'CF CCY'!$C29)</f>
        <v>0</v>
      </c>
      <c r="Z29" s="261">
        <f>SUMIFS(Bonds!BD:BD,Bonds!$B:$B,'CF CCY'!$A29,Bonds!$E:$E,'CF CCY'!$C29)</f>
        <v>38124.999999999971</v>
      </c>
      <c r="AA29" s="261">
        <f>SUMIFS(Bonds!BE:BE,Bonds!$B:$B,'CF CCY'!$A29,Bonds!$E:$E,'CF CCY'!$C29)</f>
        <v>0</v>
      </c>
    </row>
    <row r="30" spans="1:27" x14ac:dyDescent="0.25">
      <c r="A30" s="118" t="s">
        <v>90</v>
      </c>
      <c r="B30" s="1049"/>
      <c r="C30" s="257" t="s">
        <v>19</v>
      </c>
      <c r="D30" s="178">
        <f>SUMIFS(Bonds!AT:AT,Bonds!$B:$B,'CF CCY'!$A30,Bonds!$E:$E,'CF CCY'!$C30)</f>
        <v>0</v>
      </c>
      <c r="E30" s="178">
        <f>SUMIFS(Bonds!AU:AU,Bonds!$B:$B,'CF CCY'!$A30,Bonds!$E:$E,'CF CCY'!$C30)</f>
        <v>0</v>
      </c>
      <c r="F30" s="178">
        <f>SUMIFS(Bonds!AV:AV,Bonds!$B:$B,'CF CCY'!$A30,Bonds!$E:$E,'CF CCY'!$C30)</f>
        <v>0</v>
      </c>
      <c r="G30" s="178">
        <f>SUMIFS(Bonds!AW:AW,Bonds!$B:$B,'CF CCY'!$A30,Bonds!$E:$E,'CF CCY'!$C30)</f>
        <v>0</v>
      </c>
      <c r="H30" s="178">
        <f>SUMIFS(Bonds!AX:AX,Bonds!$B:$B,'CF CCY'!$A30,Bonds!$E:$E,'CF CCY'!$C30)</f>
        <v>0</v>
      </c>
      <c r="I30" s="178">
        <f>SUMIFS(Bonds!AY:AY,Bonds!$B:$B,'CF CCY'!$A30,Bonds!$E:$E,'CF CCY'!$C30)</f>
        <v>0</v>
      </c>
      <c r="J30" s="178">
        <f>SUMIFS(Bonds!AZ:AZ,Bonds!$B:$B,'CF CCY'!$A30,Bonds!$E:$E,'CF CCY'!$C30)</f>
        <v>0</v>
      </c>
      <c r="K30" s="178">
        <f>SUMIFS(Bonds!BA:BA,Bonds!$B:$B,'CF CCY'!$A30,Bonds!$E:$E,'CF CCY'!$C30)</f>
        <v>0</v>
      </c>
      <c r="L30" s="178">
        <f>SUMIFS(Bonds!BB:BB,Bonds!$B:$B,'CF CCY'!$A30,Bonds!$E:$E,'CF CCY'!$C30)</f>
        <v>0</v>
      </c>
      <c r="M30" s="178">
        <f>SUMIFS(Bonds!BC:BC,Bonds!$B:$B,'CF CCY'!$A30,Bonds!$E:$E,'CF CCY'!$C30)</f>
        <v>0</v>
      </c>
      <c r="N30" s="178">
        <f>SUMIFS(Bonds!BD:BD,Bonds!$B:$B,'CF CCY'!$A30,Bonds!$E:$E,'CF CCY'!$C30)</f>
        <v>0</v>
      </c>
      <c r="O30" s="178">
        <f>SUMIFS(Bonds!BE:BE,Bonds!$B:$B,'CF CCY'!$A30,Bonds!$E:$E,'CF CCY'!$C30)</f>
        <v>0</v>
      </c>
      <c r="P30" s="178">
        <f>SUMIFS(Bonds!AT:AT,Bonds!$B:$B,'CF CCY'!$A30,Bonds!$E:$E,'CF CCY'!$C30)</f>
        <v>0</v>
      </c>
      <c r="Q30" s="178">
        <f>SUMIFS(Bonds!AU:AU,Bonds!$B:$B,'CF CCY'!$A30,Bonds!$E:$E,'CF CCY'!$C30)</f>
        <v>0</v>
      </c>
      <c r="R30" s="178">
        <f>SUMIFS(Bonds!AV:AV,Bonds!$B:$B,'CF CCY'!$A30,Bonds!$E:$E,'CF CCY'!$C30)</f>
        <v>0</v>
      </c>
      <c r="S30" s="178">
        <f>SUMIFS(Bonds!AW:AW,Bonds!$B:$B,'CF CCY'!$A30,Bonds!$E:$E,'CF CCY'!$C30)</f>
        <v>0</v>
      </c>
      <c r="T30" s="178">
        <f>SUMIFS(Bonds!AX:AX,Bonds!$B:$B,'CF CCY'!$A30,Bonds!$E:$E,'CF CCY'!$C30)</f>
        <v>0</v>
      </c>
      <c r="U30" s="178">
        <f>SUMIFS(Bonds!AY:AY,Bonds!$B:$B,'CF CCY'!$A30,Bonds!$E:$E,'CF CCY'!$C30)</f>
        <v>0</v>
      </c>
      <c r="V30" s="178">
        <f>SUMIFS(Bonds!AZ:AZ,Bonds!$B:$B,'CF CCY'!$A30,Bonds!$E:$E,'CF CCY'!$C30)</f>
        <v>0</v>
      </c>
      <c r="W30" s="178">
        <f>SUMIFS(Bonds!BA:BA,Bonds!$B:$B,'CF CCY'!$A30,Bonds!$E:$E,'CF CCY'!$C30)</f>
        <v>0</v>
      </c>
      <c r="X30" s="178">
        <f>SUMIFS(Bonds!BB:BB,Bonds!$B:$B,'CF CCY'!$A30,Bonds!$E:$E,'CF CCY'!$C30)</f>
        <v>0</v>
      </c>
      <c r="Y30" s="178">
        <f>SUMIFS(Bonds!BC:BC,Bonds!$B:$B,'CF CCY'!$A30,Bonds!$E:$E,'CF CCY'!$C30)</f>
        <v>0</v>
      </c>
      <c r="Z30" s="178">
        <f>SUMIFS(Bonds!BD:BD,Bonds!$B:$B,'CF CCY'!$A30,Bonds!$E:$E,'CF CCY'!$C30)</f>
        <v>0</v>
      </c>
      <c r="AA30" s="178">
        <f>SUMIFS(Bonds!BE:BE,Bonds!$B:$B,'CF CCY'!$A30,Bonds!$E:$E,'CF CCY'!$C30)</f>
        <v>0</v>
      </c>
    </row>
    <row r="31" spans="1:27" x14ac:dyDescent="0.25">
      <c r="A31" s="118" t="s">
        <v>90</v>
      </c>
      <c r="B31" s="1049"/>
      <c r="C31" s="257" t="s">
        <v>21</v>
      </c>
      <c r="D31" s="178">
        <f>SUMIFS(Bonds!AT:AT,Bonds!$B:$B,'CF CCY'!$A31,Bonds!$E:$E,'CF CCY'!$C31)</f>
        <v>0</v>
      </c>
      <c r="E31" s="178">
        <f>SUMIFS(Bonds!AU:AU,Bonds!$B:$B,'CF CCY'!$A31,Bonds!$E:$E,'CF CCY'!$C31)</f>
        <v>0</v>
      </c>
      <c r="F31" s="178">
        <f>SUMIFS(Bonds!AV:AV,Bonds!$B:$B,'CF CCY'!$A31,Bonds!$E:$E,'CF CCY'!$C31)</f>
        <v>0</v>
      </c>
      <c r="G31" s="178">
        <f>SUMIFS(Bonds!AW:AW,Bonds!$B:$B,'CF CCY'!$A31,Bonds!$E:$E,'CF CCY'!$C31)</f>
        <v>0</v>
      </c>
      <c r="H31" s="178">
        <f>SUMIFS(Bonds!AX:AX,Bonds!$B:$B,'CF CCY'!$A31,Bonds!$E:$E,'CF CCY'!$C31)</f>
        <v>0</v>
      </c>
      <c r="I31" s="178">
        <f>SUMIFS(Bonds!AY:AY,Bonds!$B:$B,'CF CCY'!$A31,Bonds!$E:$E,'CF CCY'!$C31)</f>
        <v>0</v>
      </c>
      <c r="J31" s="178">
        <f>SUMIFS(Bonds!AZ:AZ,Bonds!$B:$B,'CF CCY'!$A31,Bonds!$E:$E,'CF CCY'!$C31)</f>
        <v>0</v>
      </c>
      <c r="K31" s="178">
        <f>SUMIFS(Bonds!BA:BA,Bonds!$B:$B,'CF CCY'!$A31,Bonds!$E:$E,'CF CCY'!$C31)</f>
        <v>0</v>
      </c>
      <c r="L31" s="178">
        <f>SUMIFS(Bonds!BB:BB,Bonds!$B:$B,'CF CCY'!$A31,Bonds!$E:$E,'CF CCY'!$C31)</f>
        <v>0</v>
      </c>
      <c r="M31" s="178">
        <f>SUMIFS(Bonds!BC:BC,Bonds!$B:$B,'CF CCY'!$A31,Bonds!$E:$E,'CF CCY'!$C31)</f>
        <v>0</v>
      </c>
      <c r="N31" s="178">
        <f>SUMIFS(Bonds!BD:BD,Bonds!$B:$B,'CF CCY'!$A31,Bonds!$E:$E,'CF CCY'!$C31)</f>
        <v>0</v>
      </c>
      <c r="O31" s="178">
        <f>SUMIFS(Bonds!BE:BE,Bonds!$B:$B,'CF CCY'!$A31,Bonds!$E:$E,'CF CCY'!$C31)</f>
        <v>0</v>
      </c>
      <c r="P31" s="178">
        <f>SUMIFS(Bonds!AT:AT,Bonds!$B:$B,'CF CCY'!$A31,Bonds!$E:$E,'CF CCY'!$C31)</f>
        <v>0</v>
      </c>
      <c r="Q31" s="178">
        <f>SUMIFS(Bonds!AU:AU,Bonds!$B:$B,'CF CCY'!$A31,Bonds!$E:$E,'CF CCY'!$C31)</f>
        <v>0</v>
      </c>
      <c r="R31" s="178">
        <f>SUMIFS(Bonds!AV:AV,Bonds!$B:$B,'CF CCY'!$A31,Bonds!$E:$E,'CF CCY'!$C31)</f>
        <v>0</v>
      </c>
      <c r="S31" s="178">
        <f>SUMIFS(Bonds!AW:AW,Bonds!$B:$B,'CF CCY'!$A31,Bonds!$E:$E,'CF CCY'!$C31)</f>
        <v>0</v>
      </c>
      <c r="T31" s="178">
        <f>SUMIFS(Bonds!AX:AX,Bonds!$B:$B,'CF CCY'!$A31,Bonds!$E:$E,'CF CCY'!$C31)</f>
        <v>0</v>
      </c>
      <c r="U31" s="178">
        <f>SUMIFS(Bonds!AY:AY,Bonds!$B:$B,'CF CCY'!$A31,Bonds!$E:$E,'CF CCY'!$C31)</f>
        <v>0</v>
      </c>
      <c r="V31" s="178">
        <f>SUMIFS(Bonds!AZ:AZ,Bonds!$B:$B,'CF CCY'!$A31,Bonds!$E:$E,'CF CCY'!$C31)</f>
        <v>0</v>
      </c>
      <c r="W31" s="178">
        <f>SUMIFS(Bonds!BA:BA,Bonds!$B:$B,'CF CCY'!$A31,Bonds!$E:$E,'CF CCY'!$C31)</f>
        <v>0</v>
      </c>
      <c r="X31" s="178">
        <f>SUMIFS(Bonds!BB:BB,Bonds!$B:$B,'CF CCY'!$A31,Bonds!$E:$E,'CF CCY'!$C31)</f>
        <v>0</v>
      </c>
      <c r="Y31" s="178">
        <f>SUMIFS(Bonds!BC:BC,Bonds!$B:$B,'CF CCY'!$A31,Bonds!$E:$E,'CF CCY'!$C31)</f>
        <v>0</v>
      </c>
      <c r="Z31" s="178">
        <f>SUMIFS(Bonds!BD:BD,Bonds!$B:$B,'CF CCY'!$A31,Bonds!$E:$E,'CF CCY'!$C31)</f>
        <v>0</v>
      </c>
      <c r="AA31" s="178">
        <f>SUMIFS(Bonds!BE:BE,Bonds!$B:$B,'CF CCY'!$A31,Bonds!$E:$E,'CF CCY'!$C31)</f>
        <v>0</v>
      </c>
    </row>
    <row r="32" spans="1:27" x14ac:dyDescent="0.25">
      <c r="A32" s="118" t="s">
        <v>90</v>
      </c>
      <c r="B32" s="1050"/>
      <c r="C32" s="258" t="s">
        <v>23</v>
      </c>
      <c r="D32" s="259">
        <f>SUMIFS(Bonds!AT:AT,Bonds!$B:$B,'CF CCY'!$A32,Bonds!$E:$E,'CF CCY'!$C32)</f>
        <v>0</v>
      </c>
      <c r="E32" s="259">
        <f>SUMIFS(Bonds!AU:AU,Bonds!$B:$B,'CF CCY'!$A32,Bonds!$E:$E,'CF CCY'!$C32)</f>
        <v>0</v>
      </c>
      <c r="F32" s="259">
        <f>SUMIFS(Bonds!AV:AV,Bonds!$B:$B,'CF CCY'!$A32,Bonds!$E:$E,'CF CCY'!$C32)</f>
        <v>0</v>
      </c>
      <c r="G32" s="259">
        <f>SUMIFS(Bonds!AW:AW,Bonds!$B:$B,'CF CCY'!$A32,Bonds!$E:$E,'CF CCY'!$C32)</f>
        <v>0</v>
      </c>
      <c r="H32" s="259">
        <f>SUMIFS(Bonds!AX:AX,Bonds!$B:$B,'CF CCY'!$A32,Bonds!$E:$E,'CF CCY'!$C32)</f>
        <v>0</v>
      </c>
      <c r="I32" s="259">
        <f>SUMIFS(Bonds!AY:AY,Bonds!$B:$B,'CF CCY'!$A32,Bonds!$E:$E,'CF CCY'!$C32)</f>
        <v>0</v>
      </c>
      <c r="J32" s="259">
        <f>SUMIFS(Bonds!AZ:AZ,Bonds!$B:$B,'CF CCY'!$A32,Bonds!$E:$E,'CF CCY'!$C32)</f>
        <v>0</v>
      </c>
      <c r="K32" s="259">
        <f>SUMIFS(Bonds!BA:BA,Bonds!$B:$B,'CF CCY'!$A32,Bonds!$E:$E,'CF CCY'!$C32)</f>
        <v>0</v>
      </c>
      <c r="L32" s="259">
        <f>SUMIFS(Bonds!BB:BB,Bonds!$B:$B,'CF CCY'!$A32,Bonds!$E:$E,'CF CCY'!$C32)</f>
        <v>0</v>
      </c>
      <c r="M32" s="259">
        <f>SUMIFS(Bonds!BC:BC,Bonds!$B:$B,'CF CCY'!$A32,Bonds!$E:$E,'CF CCY'!$C32)</f>
        <v>0</v>
      </c>
      <c r="N32" s="259">
        <f>SUMIFS(Bonds!BD:BD,Bonds!$B:$B,'CF CCY'!$A32,Bonds!$E:$E,'CF CCY'!$C32)</f>
        <v>0</v>
      </c>
      <c r="O32" s="259">
        <f>SUMIFS(Bonds!BE:BE,Bonds!$B:$B,'CF CCY'!$A32,Bonds!$E:$E,'CF CCY'!$C32)</f>
        <v>0</v>
      </c>
      <c r="P32" s="259">
        <f>SUMIFS(Bonds!AT:AT,Bonds!$B:$B,'CF CCY'!$A32,Bonds!$E:$E,'CF CCY'!$C32)</f>
        <v>0</v>
      </c>
      <c r="Q32" s="259">
        <f>SUMIFS(Bonds!AU:AU,Bonds!$B:$B,'CF CCY'!$A32,Bonds!$E:$E,'CF CCY'!$C32)</f>
        <v>0</v>
      </c>
      <c r="R32" s="259">
        <f>SUMIFS(Bonds!AV:AV,Bonds!$B:$B,'CF CCY'!$A32,Bonds!$E:$E,'CF CCY'!$C32)</f>
        <v>0</v>
      </c>
      <c r="S32" s="259">
        <f>SUMIFS(Bonds!AW:AW,Bonds!$B:$B,'CF CCY'!$A32,Bonds!$E:$E,'CF CCY'!$C32)</f>
        <v>0</v>
      </c>
      <c r="T32" s="259">
        <f>SUMIFS(Bonds!AX:AX,Bonds!$B:$B,'CF CCY'!$A32,Bonds!$E:$E,'CF CCY'!$C32)</f>
        <v>0</v>
      </c>
      <c r="U32" s="259">
        <f>SUMIFS(Bonds!AY:AY,Bonds!$B:$B,'CF CCY'!$A32,Bonds!$E:$E,'CF CCY'!$C32)</f>
        <v>0</v>
      </c>
      <c r="V32" s="259">
        <f>SUMIFS(Bonds!AZ:AZ,Bonds!$B:$B,'CF CCY'!$A32,Bonds!$E:$E,'CF CCY'!$C32)</f>
        <v>0</v>
      </c>
      <c r="W32" s="259">
        <f>SUMIFS(Bonds!BA:BA,Bonds!$B:$B,'CF CCY'!$A32,Bonds!$E:$E,'CF CCY'!$C32)</f>
        <v>0</v>
      </c>
      <c r="X32" s="259">
        <f>SUMIFS(Bonds!BB:BB,Bonds!$B:$B,'CF CCY'!$A32,Bonds!$E:$E,'CF CCY'!$C32)</f>
        <v>0</v>
      </c>
      <c r="Y32" s="259">
        <f>SUMIFS(Bonds!BC:BC,Bonds!$B:$B,'CF CCY'!$A32,Bonds!$E:$E,'CF CCY'!$C32)</f>
        <v>0</v>
      </c>
      <c r="Z32" s="259">
        <f>SUMIFS(Bonds!BD:BD,Bonds!$B:$B,'CF CCY'!$A32,Bonds!$E:$E,'CF CCY'!$C32)</f>
        <v>0</v>
      </c>
      <c r="AA32" s="259">
        <f>SUMIFS(Bonds!BE:BE,Bonds!$B:$B,'CF CCY'!$A32,Bonds!$E:$E,'CF CCY'!$C32)</f>
        <v>0</v>
      </c>
    </row>
    <row r="33" spans="1:27" x14ac:dyDescent="0.25">
      <c r="A33" s="118" t="s">
        <v>366</v>
      </c>
      <c r="B33" s="1048" t="s">
        <v>366</v>
      </c>
      <c r="C33" s="260" t="s">
        <v>18</v>
      </c>
      <c r="D33" s="261">
        <f>SUMIFS(Bonds!AT:AT,Bonds!$B:$B,'CF CCY'!$A33,Bonds!$E:$E,'CF CCY'!$C33)</f>
        <v>0</v>
      </c>
      <c r="E33" s="261">
        <f>SUMIFS(Bonds!AU:AU,Bonds!$B:$B,'CF CCY'!$A33,Bonds!$E:$E,'CF CCY'!$C33)</f>
        <v>0</v>
      </c>
      <c r="F33" s="261">
        <f>SUMIFS(Bonds!AV:AV,Bonds!$B:$B,'CF CCY'!$A33,Bonds!$E:$E,'CF CCY'!$C33)</f>
        <v>0</v>
      </c>
      <c r="G33" s="261">
        <f>SUMIFS(Bonds!AW:AW,Bonds!$B:$B,'CF CCY'!$A33,Bonds!$E:$E,'CF CCY'!$C33)</f>
        <v>0</v>
      </c>
      <c r="H33" s="261">
        <f>SUMIFS(Bonds!AX:AX,Bonds!$B:$B,'CF CCY'!$A33,Bonds!$E:$E,'CF CCY'!$C33)</f>
        <v>0</v>
      </c>
      <c r="I33" s="261">
        <f>SUMIFS(Bonds!AY:AY,Bonds!$B:$B,'CF CCY'!$A33,Bonds!$E:$E,'CF CCY'!$C33)</f>
        <v>0</v>
      </c>
      <c r="J33" s="261">
        <f>SUMIFS(Bonds!AZ:AZ,Bonds!$B:$B,'CF CCY'!$A33,Bonds!$E:$E,'CF CCY'!$C33)</f>
        <v>0</v>
      </c>
      <c r="K33" s="261">
        <f>SUMIFS(Bonds!BA:BA,Bonds!$B:$B,'CF CCY'!$A33,Bonds!$E:$E,'CF CCY'!$C33)</f>
        <v>0</v>
      </c>
      <c r="L33" s="261">
        <f>SUMIFS(Bonds!BB:BB,Bonds!$B:$B,'CF CCY'!$A33,Bonds!$E:$E,'CF CCY'!$C33)</f>
        <v>0</v>
      </c>
      <c r="M33" s="261">
        <f>SUMIFS(Bonds!BC:BC,Bonds!$B:$B,'CF CCY'!$A33,Bonds!$E:$E,'CF CCY'!$C33)</f>
        <v>0</v>
      </c>
      <c r="N33" s="261">
        <f>SUMIFS(Bonds!BD:BD,Bonds!$B:$B,'CF CCY'!$A33,Bonds!$E:$E,'CF CCY'!$C33)</f>
        <v>0</v>
      </c>
      <c r="O33" s="261">
        <f>SUMIFS(Bonds!BE:BE,Bonds!$B:$B,'CF CCY'!$A33,Bonds!$E:$E,'CF CCY'!$C33)</f>
        <v>0</v>
      </c>
      <c r="P33" s="261">
        <f>SUMIFS(Bonds!AT:AT,Bonds!$B:$B,'CF CCY'!$A33,Bonds!$E:$E,'CF CCY'!$C33)</f>
        <v>0</v>
      </c>
      <c r="Q33" s="261">
        <f>SUMIFS(Bonds!AU:AU,Bonds!$B:$B,'CF CCY'!$A33,Bonds!$E:$E,'CF CCY'!$C33)</f>
        <v>0</v>
      </c>
      <c r="R33" s="261">
        <f>SUMIFS(Bonds!AV:AV,Bonds!$B:$B,'CF CCY'!$A33,Bonds!$E:$E,'CF CCY'!$C33)</f>
        <v>0</v>
      </c>
      <c r="S33" s="261">
        <f>SUMIFS(Bonds!AW:AW,Bonds!$B:$B,'CF CCY'!$A33,Bonds!$E:$E,'CF CCY'!$C33)</f>
        <v>0</v>
      </c>
      <c r="T33" s="261">
        <f>SUMIFS(Bonds!AX:AX,Bonds!$B:$B,'CF CCY'!$A33,Bonds!$E:$E,'CF CCY'!$C33)</f>
        <v>0</v>
      </c>
      <c r="U33" s="261">
        <f>SUMIFS(Bonds!AY:AY,Bonds!$B:$B,'CF CCY'!$A33,Bonds!$E:$E,'CF CCY'!$C33)</f>
        <v>0</v>
      </c>
      <c r="V33" s="261">
        <f>SUMIFS(Bonds!AZ:AZ,Bonds!$B:$B,'CF CCY'!$A33,Bonds!$E:$E,'CF CCY'!$C33)</f>
        <v>0</v>
      </c>
      <c r="W33" s="261">
        <f>SUMIFS(Bonds!BA:BA,Bonds!$B:$B,'CF CCY'!$A33,Bonds!$E:$E,'CF CCY'!$C33)</f>
        <v>0</v>
      </c>
      <c r="X33" s="261">
        <f>SUMIFS(Bonds!BB:BB,Bonds!$B:$B,'CF CCY'!$A33,Bonds!$E:$E,'CF CCY'!$C33)</f>
        <v>0</v>
      </c>
      <c r="Y33" s="261">
        <f>SUMIFS(Bonds!BC:BC,Bonds!$B:$B,'CF CCY'!$A33,Bonds!$E:$E,'CF CCY'!$C33)</f>
        <v>0</v>
      </c>
      <c r="Z33" s="261">
        <f>SUMIFS(Bonds!BD:BD,Bonds!$B:$B,'CF CCY'!$A33,Bonds!$E:$E,'CF CCY'!$C33)</f>
        <v>0</v>
      </c>
      <c r="AA33" s="261">
        <f>SUMIFS(Bonds!BE:BE,Bonds!$B:$B,'CF CCY'!$A33,Bonds!$E:$E,'CF CCY'!$C33)</f>
        <v>0</v>
      </c>
    </row>
    <row r="34" spans="1:27" x14ac:dyDescent="0.25">
      <c r="A34" s="118" t="s">
        <v>366</v>
      </c>
      <c r="B34" s="1049"/>
      <c r="C34" s="257" t="s">
        <v>19</v>
      </c>
      <c r="D34" s="178">
        <f>SUMIFS(Bonds!AT:AT,Bonds!$B:$B,'CF CCY'!$A34,Bonds!$E:$E,'CF CCY'!$C34)</f>
        <v>26500</v>
      </c>
      <c r="E34" s="178">
        <f>SUMIFS(Bonds!AU:AU,Bonds!$B:$B,'CF CCY'!$A34,Bonds!$E:$E,'CF CCY'!$C34)</f>
        <v>0</v>
      </c>
      <c r="F34" s="178">
        <f>SUMIFS(Bonds!AV:AV,Bonds!$B:$B,'CF CCY'!$A34,Bonds!$E:$E,'CF CCY'!$C34)</f>
        <v>18625</v>
      </c>
      <c r="G34" s="178">
        <f>SUMIFS(Bonds!AW:AW,Bonds!$B:$B,'CF CCY'!$A34,Bonds!$E:$E,'CF CCY'!$C34)</f>
        <v>23028</v>
      </c>
      <c r="H34" s="178">
        <f>SUMIFS(Bonds!AX:AX,Bonds!$B:$B,'CF CCY'!$A34,Bonds!$E:$E,'CF CCY'!$C34)</f>
        <v>0</v>
      </c>
      <c r="I34" s="178">
        <f>SUMIFS(Bonds!AY:AY,Bonds!$B:$B,'CF CCY'!$A34,Bonds!$E:$E,'CF CCY'!$C34)</f>
        <v>11250</v>
      </c>
      <c r="J34" s="178">
        <f>SUMIFS(Bonds!AZ:AZ,Bonds!$B:$B,'CF CCY'!$A34,Bonds!$E:$E,'CF CCY'!$C34)</f>
        <v>0</v>
      </c>
      <c r="K34" s="178">
        <f>SUMIFS(Bonds!BA:BA,Bonds!$B:$B,'CF CCY'!$A34,Bonds!$E:$E,'CF CCY'!$C34)</f>
        <v>0</v>
      </c>
      <c r="L34" s="178">
        <f>SUMIFS(Bonds!BB:BB,Bonds!$B:$B,'CF CCY'!$A34,Bonds!$E:$E,'CF CCY'!$C34)</f>
        <v>63125</v>
      </c>
      <c r="M34" s="178">
        <f>SUMIFS(Bonds!BC:BC,Bonds!$B:$B,'CF CCY'!$A34,Bonds!$E:$E,'CF CCY'!$C34)</f>
        <v>0</v>
      </c>
      <c r="N34" s="178">
        <f>SUMIFS(Bonds!BD:BD,Bonds!$B:$B,'CF CCY'!$A34,Bonds!$E:$E,'CF CCY'!$C34)</f>
        <v>0</v>
      </c>
      <c r="O34" s="178">
        <f>SUMIFS(Bonds!BE:BE,Bonds!$B:$B,'CF CCY'!$A34,Bonds!$E:$E,'CF CCY'!$C34)</f>
        <v>11250</v>
      </c>
      <c r="P34" s="178">
        <f>SUMIFS(Bonds!AT:AT,Bonds!$B:$B,'CF CCY'!$A34,Bonds!$E:$E,'CF CCY'!$C34)</f>
        <v>26500</v>
      </c>
      <c r="Q34" s="178">
        <f>SUMIFS(Bonds!AU:AU,Bonds!$B:$B,'CF CCY'!$A34,Bonds!$E:$E,'CF CCY'!$C34)</f>
        <v>0</v>
      </c>
      <c r="R34" s="178">
        <f>SUMIFS(Bonds!AV:AV,Bonds!$B:$B,'CF CCY'!$A34,Bonds!$E:$E,'CF CCY'!$C34)</f>
        <v>18625</v>
      </c>
      <c r="S34" s="178">
        <f>SUMIFS(Bonds!AW:AW,Bonds!$B:$B,'CF CCY'!$A34,Bonds!$E:$E,'CF CCY'!$C34)</f>
        <v>23028</v>
      </c>
      <c r="T34" s="178">
        <f>SUMIFS(Bonds!AX:AX,Bonds!$B:$B,'CF CCY'!$A34,Bonds!$E:$E,'CF CCY'!$C34)</f>
        <v>0</v>
      </c>
      <c r="U34" s="178">
        <f>SUMIFS(Bonds!AY:AY,Bonds!$B:$B,'CF CCY'!$A34,Bonds!$E:$E,'CF CCY'!$C34)</f>
        <v>11250</v>
      </c>
      <c r="V34" s="178">
        <f>SUMIFS(Bonds!AZ:AZ,Bonds!$B:$B,'CF CCY'!$A34,Bonds!$E:$E,'CF CCY'!$C34)</f>
        <v>0</v>
      </c>
      <c r="W34" s="178">
        <f>SUMIFS(Bonds!BA:BA,Bonds!$B:$B,'CF CCY'!$A34,Bonds!$E:$E,'CF CCY'!$C34)</f>
        <v>0</v>
      </c>
      <c r="X34" s="178">
        <f>SUMIFS(Bonds!BB:BB,Bonds!$B:$B,'CF CCY'!$A34,Bonds!$E:$E,'CF CCY'!$C34)</f>
        <v>63125</v>
      </c>
      <c r="Y34" s="178">
        <f>SUMIFS(Bonds!BC:BC,Bonds!$B:$B,'CF CCY'!$A34,Bonds!$E:$E,'CF CCY'!$C34)</f>
        <v>0</v>
      </c>
      <c r="Z34" s="178">
        <f>SUMIFS(Bonds!BD:BD,Bonds!$B:$B,'CF CCY'!$A34,Bonds!$E:$E,'CF CCY'!$C34)</f>
        <v>0</v>
      </c>
      <c r="AA34" s="178">
        <f>SUMIFS(Bonds!BE:BE,Bonds!$B:$B,'CF CCY'!$A34,Bonds!$E:$E,'CF CCY'!$C34)</f>
        <v>11250</v>
      </c>
    </row>
    <row r="35" spans="1:27" x14ac:dyDescent="0.25">
      <c r="A35" s="118" t="s">
        <v>366</v>
      </c>
      <c r="B35" s="1049"/>
      <c r="C35" s="257" t="s">
        <v>21</v>
      </c>
      <c r="D35" s="178">
        <f>SUMIFS(Bonds!AT:AT,Bonds!$B:$B,'CF CCY'!$A35,Bonds!$E:$E,'CF CCY'!$C35)</f>
        <v>0</v>
      </c>
      <c r="E35" s="178">
        <f>SUMIFS(Bonds!AU:AU,Bonds!$B:$B,'CF CCY'!$A35,Bonds!$E:$E,'CF CCY'!$C35)</f>
        <v>0</v>
      </c>
      <c r="F35" s="178">
        <f>SUMIFS(Bonds!AV:AV,Bonds!$B:$B,'CF CCY'!$A35,Bonds!$E:$E,'CF CCY'!$C35)</f>
        <v>0</v>
      </c>
      <c r="G35" s="178">
        <f>SUMIFS(Bonds!AW:AW,Bonds!$B:$B,'CF CCY'!$A35,Bonds!$E:$E,'CF CCY'!$C35)</f>
        <v>0</v>
      </c>
      <c r="H35" s="178">
        <f>SUMIFS(Bonds!AX:AX,Bonds!$B:$B,'CF CCY'!$A35,Bonds!$E:$E,'CF CCY'!$C35)</f>
        <v>0</v>
      </c>
      <c r="I35" s="178">
        <f>SUMIFS(Bonds!AY:AY,Bonds!$B:$B,'CF CCY'!$A35,Bonds!$E:$E,'CF CCY'!$C35)</f>
        <v>0</v>
      </c>
      <c r="J35" s="178">
        <f>SUMIFS(Bonds!AZ:AZ,Bonds!$B:$B,'CF CCY'!$A35,Bonds!$E:$E,'CF CCY'!$C35)</f>
        <v>0</v>
      </c>
      <c r="K35" s="178">
        <f>SUMIFS(Bonds!BA:BA,Bonds!$B:$B,'CF CCY'!$A35,Bonds!$E:$E,'CF CCY'!$C35)</f>
        <v>0</v>
      </c>
      <c r="L35" s="178">
        <f>SUMIFS(Bonds!BB:BB,Bonds!$B:$B,'CF CCY'!$A35,Bonds!$E:$E,'CF CCY'!$C35)</f>
        <v>0</v>
      </c>
      <c r="M35" s="178">
        <f>SUMIFS(Bonds!BC:BC,Bonds!$B:$B,'CF CCY'!$A35,Bonds!$E:$E,'CF CCY'!$C35)</f>
        <v>0</v>
      </c>
      <c r="N35" s="178">
        <f>SUMIFS(Bonds!BD:BD,Bonds!$B:$B,'CF CCY'!$A35,Bonds!$E:$E,'CF CCY'!$C35)</f>
        <v>0</v>
      </c>
      <c r="O35" s="178">
        <f>SUMIFS(Bonds!BE:BE,Bonds!$B:$B,'CF CCY'!$A35,Bonds!$E:$E,'CF CCY'!$C35)</f>
        <v>0</v>
      </c>
      <c r="P35" s="178">
        <f>SUMIFS(Bonds!AT:AT,Bonds!$B:$B,'CF CCY'!$A35,Bonds!$E:$E,'CF CCY'!$C35)</f>
        <v>0</v>
      </c>
      <c r="Q35" s="178">
        <f>SUMIFS(Bonds!AU:AU,Bonds!$B:$B,'CF CCY'!$A35,Bonds!$E:$E,'CF CCY'!$C35)</f>
        <v>0</v>
      </c>
      <c r="R35" s="178">
        <f>SUMIFS(Bonds!AV:AV,Bonds!$B:$B,'CF CCY'!$A35,Bonds!$E:$E,'CF CCY'!$C35)</f>
        <v>0</v>
      </c>
      <c r="S35" s="178">
        <f>SUMIFS(Bonds!AW:AW,Bonds!$B:$B,'CF CCY'!$A35,Bonds!$E:$E,'CF CCY'!$C35)</f>
        <v>0</v>
      </c>
      <c r="T35" s="178">
        <f>SUMIFS(Bonds!AX:AX,Bonds!$B:$B,'CF CCY'!$A35,Bonds!$E:$E,'CF CCY'!$C35)</f>
        <v>0</v>
      </c>
      <c r="U35" s="178">
        <f>SUMIFS(Bonds!AY:AY,Bonds!$B:$B,'CF CCY'!$A35,Bonds!$E:$E,'CF CCY'!$C35)</f>
        <v>0</v>
      </c>
      <c r="V35" s="178">
        <f>SUMIFS(Bonds!AZ:AZ,Bonds!$B:$B,'CF CCY'!$A35,Bonds!$E:$E,'CF CCY'!$C35)</f>
        <v>0</v>
      </c>
      <c r="W35" s="178">
        <f>SUMIFS(Bonds!BA:BA,Bonds!$B:$B,'CF CCY'!$A35,Bonds!$E:$E,'CF CCY'!$C35)</f>
        <v>0</v>
      </c>
      <c r="X35" s="178">
        <f>SUMIFS(Bonds!BB:BB,Bonds!$B:$B,'CF CCY'!$A35,Bonds!$E:$E,'CF CCY'!$C35)</f>
        <v>0</v>
      </c>
      <c r="Y35" s="178">
        <f>SUMIFS(Bonds!BC:BC,Bonds!$B:$B,'CF CCY'!$A35,Bonds!$E:$E,'CF CCY'!$C35)</f>
        <v>0</v>
      </c>
      <c r="Z35" s="178">
        <f>SUMIFS(Bonds!BD:BD,Bonds!$B:$B,'CF CCY'!$A35,Bonds!$E:$E,'CF CCY'!$C35)</f>
        <v>0</v>
      </c>
      <c r="AA35" s="178">
        <f>SUMIFS(Bonds!BE:BE,Bonds!$B:$B,'CF CCY'!$A35,Bonds!$E:$E,'CF CCY'!$C35)</f>
        <v>0</v>
      </c>
    </row>
    <row r="36" spans="1:27" x14ac:dyDescent="0.25">
      <c r="A36" s="118" t="s">
        <v>366</v>
      </c>
      <c r="B36" s="1050"/>
      <c r="C36" s="258" t="s">
        <v>23</v>
      </c>
      <c r="D36" s="259">
        <f>SUMIFS(Bonds!AT:AT,Bonds!$B:$B,'CF CCY'!$A36,Bonds!$E:$E,'CF CCY'!$C36)</f>
        <v>0</v>
      </c>
      <c r="E36" s="259">
        <f>SUMIFS(Bonds!AU:AU,Bonds!$B:$B,'CF CCY'!$A36,Bonds!$E:$E,'CF CCY'!$C36)</f>
        <v>0</v>
      </c>
      <c r="F36" s="259">
        <f>SUMIFS(Bonds!AV:AV,Bonds!$B:$B,'CF CCY'!$A36,Bonds!$E:$E,'CF CCY'!$C36)</f>
        <v>0</v>
      </c>
      <c r="G36" s="259">
        <f>SUMIFS(Bonds!AW:AW,Bonds!$B:$B,'CF CCY'!$A36,Bonds!$E:$E,'CF CCY'!$C36)</f>
        <v>0</v>
      </c>
      <c r="H36" s="259">
        <f>SUMIFS(Bonds!AX:AX,Bonds!$B:$B,'CF CCY'!$A36,Bonds!$E:$E,'CF CCY'!$C36)</f>
        <v>0</v>
      </c>
      <c r="I36" s="259">
        <f>SUMIFS(Bonds!AY:AY,Bonds!$B:$B,'CF CCY'!$A36,Bonds!$E:$E,'CF CCY'!$C36)</f>
        <v>0</v>
      </c>
      <c r="J36" s="259">
        <f>SUMIFS(Bonds!AZ:AZ,Bonds!$B:$B,'CF CCY'!$A36,Bonds!$E:$E,'CF CCY'!$C36)</f>
        <v>0</v>
      </c>
      <c r="K36" s="259">
        <f>SUMIFS(Bonds!BA:BA,Bonds!$B:$B,'CF CCY'!$A36,Bonds!$E:$E,'CF CCY'!$C36)</f>
        <v>0</v>
      </c>
      <c r="L36" s="259">
        <f>SUMIFS(Bonds!BB:BB,Bonds!$B:$B,'CF CCY'!$A36,Bonds!$E:$E,'CF CCY'!$C36)</f>
        <v>0</v>
      </c>
      <c r="M36" s="259">
        <f>SUMIFS(Bonds!BC:BC,Bonds!$B:$B,'CF CCY'!$A36,Bonds!$E:$E,'CF CCY'!$C36)</f>
        <v>0</v>
      </c>
      <c r="N36" s="259">
        <f>SUMIFS(Bonds!BD:BD,Bonds!$B:$B,'CF CCY'!$A36,Bonds!$E:$E,'CF CCY'!$C36)</f>
        <v>0</v>
      </c>
      <c r="O36" s="259">
        <f>SUMIFS(Bonds!BE:BE,Bonds!$B:$B,'CF CCY'!$A36,Bonds!$E:$E,'CF CCY'!$C36)</f>
        <v>0</v>
      </c>
      <c r="P36" s="259">
        <f>SUMIFS(Bonds!AT:AT,Bonds!$B:$B,'CF CCY'!$A36,Bonds!$E:$E,'CF CCY'!$C36)</f>
        <v>0</v>
      </c>
      <c r="Q36" s="259">
        <f>SUMIFS(Bonds!AU:AU,Bonds!$B:$B,'CF CCY'!$A36,Bonds!$E:$E,'CF CCY'!$C36)</f>
        <v>0</v>
      </c>
      <c r="R36" s="259">
        <f>SUMIFS(Bonds!AV:AV,Bonds!$B:$B,'CF CCY'!$A36,Bonds!$E:$E,'CF CCY'!$C36)</f>
        <v>0</v>
      </c>
      <c r="S36" s="259">
        <f>SUMIFS(Bonds!AW:AW,Bonds!$B:$B,'CF CCY'!$A36,Bonds!$E:$E,'CF CCY'!$C36)</f>
        <v>0</v>
      </c>
      <c r="T36" s="259">
        <f>SUMIFS(Bonds!AX:AX,Bonds!$B:$B,'CF CCY'!$A36,Bonds!$E:$E,'CF CCY'!$C36)</f>
        <v>0</v>
      </c>
      <c r="U36" s="259">
        <f>SUMIFS(Bonds!AY:AY,Bonds!$B:$B,'CF CCY'!$A36,Bonds!$E:$E,'CF CCY'!$C36)</f>
        <v>0</v>
      </c>
      <c r="V36" s="259">
        <f>SUMIFS(Bonds!AZ:AZ,Bonds!$B:$B,'CF CCY'!$A36,Bonds!$E:$E,'CF CCY'!$C36)</f>
        <v>0</v>
      </c>
      <c r="W36" s="259">
        <f>SUMIFS(Bonds!BA:BA,Bonds!$B:$B,'CF CCY'!$A36,Bonds!$E:$E,'CF CCY'!$C36)</f>
        <v>0</v>
      </c>
      <c r="X36" s="259">
        <f>SUMIFS(Bonds!BB:BB,Bonds!$B:$B,'CF CCY'!$A36,Bonds!$E:$E,'CF CCY'!$C36)</f>
        <v>0</v>
      </c>
      <c r="Y36" s="259">
        <f>SUMIFS(Bonds!BC:BC,Bonds!$B:$B,'CF CCY'!$A36,Bonds!$E:$E,'CF CCY'!$C36)</f>
        <v>0</v>
      </c>
      <c r="Z36" s="259">
        <f>SUMIFS(Bonds!BD:BD,Bonds!$B:$B,'CF CCY'!$A36,Bonds!$E:$E,'CF CCY'!$C36)</f>
        <v>0</v>
      </c>
      <c r="AA36" s="259">
        <f>SUMIFS(Bonds!BE:BE,Bonds!$B:$B,'CF CCY'!$A36,Bonds!$E:$E,'CF CCY'!$C36)</f>
        <v>0</v>
      </c>
    </row>
    <row r="38" spans="1:27" ht="15.75" thickBot="1" x14ac:dyDescent="0.3">
      <c r="B38" s="137"/>
      <c r="C38" s="137"/>
      <c r="D38" s="137"/>
      <c r="E38" s="137"/>
      <c r="F38" s="137"/>
      <c r="G38" s="137"/>
      <c r="H38" s="137"/>
      <c r="I38" s="137"/>
      <c r="J38" s="137"/>
      <c r="K38" s="137"/>
      <c r="L38" s="137"/>
      <c r="M38" s="137"/>
      <c r="N38" s="137"/>
      <c r="O38" s="137"/>
      <c r="P38" s="137"/>
      <c r="Q38" s="137"/>
      <c r="R38" s="137"/>
      <c r="S38" s="137"/>
      <c r="T38" s="137"/>
      <c r="U38" s="137"/>
      <c r="V38" s="137"/>
      <c r="W38" s="137"/>
      <c r="X38" s="137"/>
      <c r="Y38" s="137"/>
      <c r="Z38" s="137"/>
      <c r="AA38" s="137"/>
    </row>
    <row r="39" spans="1:27" s="246" customFormat="1" ht="16.5" thickTop="1" thickBot="1" x14ac:dyDescent="0.3">
      <c r="B39" s="262" t="s">
        <v>924</v>
      </c>
      <c r="C39" s="262" t="s">
        <v>11</v>
      </c>
      <c r="D39" s="262"/>
      <c r="E39" s="262"/>
      <c r="F39" s="262"/>
      <c r="G39" s="262"/>
      <c r="H39" s="262"/>
      <c r="I39" s="262"/>
      <c r="J39" s="262"/>
      <c r="K39" s="262"/>
      <c r="L39" s="262"/>
      <c r="M39" s="262"/>
      <c r="N39" s="262"/>
      <c r="O39" s="262"/>
      <c r="P39" s="262"/>
      <c r="Q39" s="262"/>
      <c r="R39" s="262"/>
      <c r="S39" s="262"/>
      <c r="T39" s="262"/>
      <c r="U39" s="262"/>
      <c r="V39" s="262"/>
      <c r="W39" s="262"/>
      <c r="X39" s="262"/>
      <c r="Y39" s="262"/>
      <c r="Z39" s="262"/>
      <c r="AA39" s="262"/>
    </row>
    <row r="40" spans="1:27" ht="15.75" thickTop="1" x14ac:dyDescent="0.25">
      <c r="A40" s="118" t="s">
        <v>51</v>
      </c>
      <c r="B40" s="1051" t="s">
        <v>51</v>
      </c>
      <c r="C40" s="255" t="s">
        <v>18</v>
      </c>
      <c r="D40" s="256" t="e">
        <f>SUMIFS(T_bETFs #REF!,T_bETFs[Risk CCY],$C40,T_bETFs[Source],$A40)</f>
        <v>#NAME?</v>
      </c>
      <c r="E40" s="256">
        <f>SUMIFS(T_bETFs[[ 2 ]],T_bETFs[Risk CCY],$C40,T_bETFs[Source],$A40)</f>
        <v>7590.2160726250013</v>
      </c>
      <c r="F40" s="256">
        <f>SUMIFS(T_bETFs[[ 3 ]],T_bETFs[Risk CCY],$C40,T_bETFs[Source],$A40)</f>
        <v>20297.436922625002</v>
      </c>
      <c r="G40" s="256">
        <f>SUMIFS(T_bETFs[[ 4 ]],T_bETFs[Risk CCY],$C40,T_bETFs[Source],$A40)</f>
        <v>22192.256072625005</v>
      </c>
      <c r="H40" s="256">
        <f>SUMIFS(T_bETFs[[ 5 ]],T_bETFs[Risk CCY],$C40,T_bETFs[Source],$A40)</f>
        <v>7590.2160726250013</v>
      </c>
      <c r="I40" s="256">
        <f>SUMIFS(T_bETFs[[ 6 ]],T_bETFs[Risk CCY],$C40,T_bETFs[Source],$A40)</f>
        <v>20297.436922625002</v>
      </c>
      <c r="J40" s="256">
        <f>SUMIFS(T_bETFs[[ 7 ]],T_bETFs[Risk CCY],$C40,T_bETFs[Source],$A40)</f>
        <v>22192.256072625005</v>
      </c>
      <c r="K40" s="256">
        <f>SUMIFS(T_bETFs[[ 8 ]],T_bETFs[Risk CCY],$C40,T_bETFs[Source],$A40)</f>
        <v>7590.2160726250013</v>
      </c>
      <c r="L40" s="256">
        <f>SUMIFS(T_bETFs[[ 9 ]],T_bETFs[Risk CCY],$C40,T_bETFs[Source],$A40)</f>
        <v>20297.436922625002</v>
      </c>
      <c r="M40" s="256">
        <f>SUMIFS(T_bETFs[[ 10 ]],T_bETFs[Risk CCY],$C40,T_bETFs[Source],$A40)</f>
        <v>22192.256072625005</v>
      </c>
      <c r="N40" s="256">
        <f>SUMIFS(T_bETFs[[ 11 ]],T_bETFs[Risk CCY],$C40,T_bETFs[Source],$A40)</f>
        <v>79533.749272625006</v>
      </c>
      <c r="O40" s="256">
        <f>SUMIFS(T_bETFs[[ 12 ]],T_bETFs[Risk CCY],$C40,T_bETFs[Source],$A40)</f>
        <v>139081.63561262499</v>
      </c>
      <c r="P40" s="256">
        <f>SUMIFS('Bonds ETFs'!AV:AV,'Bonds ETFs'!A:A,'CF CCY'!A40,'Bonds ETFs'!O:O,'CF CCY'!C40)</f>
        <v>22192.256072625005</v>
      </c>
      <c r="Q40" s="256">
        <f>SUMIFS(T_bETFs[[ 2 ]],T_bETFs[Risk CCY],$C40,T_bETFs[Source],$A40)</f>
        <v>7590.2160726250013</v>
      </c>
      <c r="R40" s="256">
        <f>SUMIFS(T_bETFs[[ 3 ]],T_bETFs[Risk CCY],$C40,T_bETFs[Source],$A40)</f>
        <v>20297.436922625002</v>
      </c>
      <c r="S40" s="256">
        <f>SUMIFS(T_bETFs[[ 4 ]],T_bETFs[Risk CCY],$C40,T_bETFs[Source],$A40)</f>
        <v>22192.256072625005</v>
      </c>
      <c r="T40" s="256">
        <f>SUMIFS(T_bETFs[[ 5 ]],T_bETFs[Risk CCY],$C40,T_bETFs[Source],$A40)</f>
        <v>7590.2160726250013</v>
      </c>
      <c r="U40" s="256">
        <f>SUMIFS(T_bETFs[[ 6 ]],T_bETFs[Risk CCY],$C40,T_bETFs[Source],$A40)</f>
        <v>20297.436922625002</v>
      </c>
      <c r="V40" s="256">
        <f>SUMIFS(T_bETFs[[ 7 ]],T_bETFs[Risk CCY],$C40,T_bETFs[Source],$A40)</f>
        <v>22192.256072625005</v>
      </c>
      <c r="W40" s="256">
        <f>SUMIFS(T_bETFs[[ 8 ]],T_bETFs[Risk CCY],$C40,T_bETFs[Source],$A40)</f>
        <v>7590.2160726250013</v>
      </c>
      <c r="X40" s="256">
        <f>SUMIFS(T_bETFs[[ 9 ]],T_bETFs[Risk CCY],$C40,T_bETFs[Source],$A40)</f>
        <v>20297.436922625002</v>
      </c>
      <c r="Y40" s="256">
        <f>SUMIFS(T_bETFs[[ 10 ]],T_bETFs[Risk CCY],$C40,T_bETFs[Source],$A40)</f>
        <v>22192.256072625005</v>
      </c>
      <c r="Z40" s="256">
        <f>SUMIFS(T_bETFs[[ 11 ]],T_bETFs[Risk CCY],$C40,T_bETFs[Source],$A40)</f>
        <v>79533.749272625006</v>
      </c>
      <c r="AA40" s="256">
        <f>SUMIFS(T_bETFs[[ 12 ]],T_bETFs[Risk CCY],$C40,T_bETFs[Source],$A40)</f>
        <v>139081.63561262499</v>
      </c>
    </row>
    <row r="41" spans="1:27" x14ac:dyDescent="0.25">
      <c r="A41" s="118" t="s">
        <v>51</v>
      </c>
      <c r="B41" s="1049"/>
      <c r="C41" s="257" t="s">
        <v>19</v>
      </c>
      <c r="D41" s="178" t="e">
        <f>SUMIFS(T_bETFs #REF!,T_bETFs[Risk CCY],$C41,T_bETFs[Source],$A41)</f>
        <v>#NAME?</v>
      </c>
      <c r="E41" s="178">
        <f>SUMIFS(T_bETFs[[ 2 ]],T_bETFs[Risk CCY],$C41,T_bETFs[Source],$A41)</f>
        <v>0</v>
      </c>
      <c r="F41" s="178">
        <f>SUMIFS(T_bETFs[[ 3 ]],T_bETFs[Risk CCY],$C41,T_bETFs[Source],$A41)</f>
        <v>0</v>
      </c>
      <c r="G41" s="178">
        <f>SUMIFS(T_bETFs[[ 4 ]],T_bETFs[Risk CCY],$C41,T_bETFs[Source],$A41)</f>
        <v>0</v>
      </c>
      <c r="H41" s="178">
        <f>SUMIFS(T_bETFs[[ 5 ]],T_bETFs[Risk CCY],$C41,T_bETFs[Source],$A41)</f>
        <v>0</v>
      </c>
      <c r="I41" s="178">
        <f>SUMIFS(T_bETFs[[ 6 ]],T_bETFs[Risk CCY],$C41,T_bETFs[Source],$A41)</f>
        <v>0</v>
      </c>
      <c r="J41" s="178">
        <f>SUMIFS(T_bETFs[[ 7 ]],T_bETFs[Risk CCY],$C41,T_bETFs[Source],$A41)</f>
        <v>0</v>
      </c>
      <c r="K41" s="178">
        <f>SUMIFS(T_bETFs[[ 8 ]],T_bETFs[Risk CCY],$C41,T_bETFs[Source],$A41)</f>
        <v>0</v>
      </c>
      <c r="L41" s="178">
        <f>SUMIFS(T_bETFs[[ 9 ]],T_bETFs[Risk CCY],$C41,T_bETFs[Source],$A41)</f>
        <v>0</v>
      </c>
      <c r="M41" s="178">
        <f>SUMIFS(T_bETFs[[ 10 ]],T_bETFs[Risk CCY],$C41,T_bETFs[Source],$A41)</f>
        <v>0</v>
      </c>
      <c r="N41" s="178">
        <f>SUMIFS(T_bETFs[[ 11 ]],T_bETFs[Risk CCY],$C41,T_bETFs[Source],$A41)</f>
        <v>0</v>
      </c>
      <c r="O41" s="178">
        <f>SUMIFS(T_bETFs[[ 12 ]],T_bETFs[Risk CCY],$C41,T_bETFs[Source],$A41)</f>
        <v>0</v>
      </c>
      <c r="P41" s="178">
        <f>SUMIFS('Bonds ETFs'!AV:AV,'Bonds ETFs'!A:A,'CF CCY'!A41,'Bonds ETFs'!O:O,'CF CCY'!C41)</f>
        <v>0</v>
      </c>
      <c r="Q41" s="178">
        <f>SUMIFS(T_bETFs[[ 2 ]],T_bETFs[Risk CCY],$C41,T_bETFs[Source],$A41)</f>
        <v>0</v>
      </c>
      <c r="R41" s="178">
        <f>SUMIFS(T_bETFs[[ 3 ]],T_bETFs[Risk CCY],$C41,T_bETFs[Source],$A41)</f>
        <v>0</v>
      </c>
      <c r="S41" s="178">
        <f>SUMIFS(T_bETFs[[ 4 ]],T_bETFs[Risk CCY],$C41,T_bETFs[Source],$A41)</f>
        <v>0</v>
      </c>
      <c r="T41" s="178">
        <f>SUMIFS(T_bETFs[[ 5 ]],T_bETFs[Risk CCY],$C41,T_bETFs[Source],$A41)</f>
        <v>0</v>
      </c>
      <c r="U41" s="178">
        <f>SUMIFS(T_bETFs[[ 6 ]],T_bETFs[Risk CCY],$C41,T_bETFs[Source],$A41)</f>
        <v>0</v>
      </c>
      <c r="V41" s="178">
        <f>SUMIFS(T_bETFs[[ 7 ]],T_bETFs[Risk CCY],$C41,T_bETFs[Source],$A41)</f>
        <v>0</v>
      </c>
      <c r="W41" s="178">
        <f>SUMIFS(T_bETFs[[ 8 ]],T_bETFs[Risk CCY],$C41,T_bETFs[Source],$A41)</f>
        <v>0</v>
      </c>
      <c r="X41" s="178">
        <f>SUMIFS(T_bETFs[[ 9 ]],T_bETFs[Risk CCY],$C41,T_bETFs[Source],$A41)</f>
        <v>0</v>
      </c>
      <c r="Y41" s="178">
        <f>SUMIFS(T_bETFs[[ 10 ]],T_bETFs[Risk CCY],$C41,T_bETFs[Source],$A41)</f>
        <v>0</v>
      </c>
      <c r="Z41" s="178">
        <f>SUMIFS(T_bETFs[[ 11 ]],T_bETFs[Risk CCY],$C41,T_bETFs[Source],$A41)</f>
        <v>0</v>
      </c>
      <c r="AA41" s="178">
        <f>SUMIFS(T_bETFs[[ 12 ]],T_bETFs[Risk CCY],$C41,T_bETFs[Source],$A41)</f>
        <v>0</v>
      </c>
    </row>
    <row r="42" spans="1:27" x14ac:dyDescent="0.25">
      <c r="A42" s="118" t="s">
        <v>51</v>
      </c>
      <c r="B42" s="1049"/>
      <c r="C42" s="257" t="s">
        <v>21</v>
      </c>
      <c r="D42" s="178" t="e">
        <f>SUMIFS(T_bETFs #REF!,T_bETFs[Risk CCY],$C42,T_bETFs[Source],$A42)</f>
        <v>#NAME?</v>
      </c>
      <c r="E42" s="178">
        <f>SUMIFS(T_bETFs[[ 2 ]],T_bETFs[Risk CCY],$C42,T_bETFs[Source],$A42)</f>
        <v>0</v>
      </c>
      <c r="F42" s="178">
        <f>SUMIFS(T_bETFs[[ 3 ]],T_bETFs[Risk CCY],$C42,T_bETFs[Source],$A42)</f>
        <v>0</v>
      </c>
      <c r="G42" s="178">
        <f>SUMIFS(T_bETFs[[ 4 ]],T_bETFs[Risk CCY],$C42,T_bETFs[Source],$A42)</f>
        <v>0</v>
      </c>
      <c r="H42" s="178">
        <f>SUMIFS(T_bETFs[[ 5 ]],T_bETFs[Risk CCY],$C42,T_bETFs[Source],$A42)</f>
        <v>0</v>
      </c>
      <c r="I42" s="178">
        <f>SUMIFS(T_bETFs[[ 6 ]],T_bETFs[Risk CCY],$C42,T_bETFs[Source],$A42)</f>
        <v>0</v>
      </c>
      <c r="J42" s="178">
        <f>SUMIFS(T_bETFs[[ 7 ]],T_bETFs[Risk CCY],$C42,T_bETFs[Source],$A42)</f>
        <v>0</v>
      </c>
      <c r="K42" s="178">
        <f>SUMIFS(T_bETFs[[ 8 ]],T_bETFs[Risk CCY],$C42,T_bETFs[Source],$A42)</f>
        <v>0</v>
      </c>
      <c r="L42" s="178">
        <f>SUMIFS(T_bETFs[[ 9 ]],T_bETFs[Risk CCY],$C42,T_bETFs[Source],$A42)</f>
        <v>0</v>
      </c>
      <c r="M42" s="178">
        <f>SUMIFS(T_bETFs[[ 10 ]],T_bETFs[Risk CCY],$C42,T_bETFs[Source],$A42)</f>
        <v>0</v>
      </c>
      <c r="N42" s="178">
        <f>SUMIFS(T_bETFs[[ 11 ]],T_bETFs[Risk CCY],$C42,T_bETFs[Source],$A42)</f>
        <v>0</v>
      </c>
      <c r="O42" s="178">
        <f>SUMIFS(T_bETFs[[ 12 ]],T_bETFs[Risk CCY],$C42,T_bETFs[Source],$A42)</f>
        <v>0</v>
      </c>
      <c r="P42" s="178">
        <f>SUMIFS('Bonds ETFs'!AV:AV,'Bonds ETFs'!A:A,'CF CCY'!A42,'Bonds ETFs'!O:O,'CF CCY'!C42)</f>
        <v>0</v>
      </c>
      <c r="Q42" s="178">
        <f>SUMIFS(T_bETFs[[ 2 ]],T_bETFs[Risk CCY],$C42,T_bETFs[Source],$A42)</f>
        <v>0</v>
      </c>
      <c r="R42" s="178">
        <f>SUMIFS(T_bETFs[[ 3 ]],T_bETFs[Risk CCY],$C42,T_bETFs[Source],$A42)</f>
        <v>0</v>
      </c>
      <c r="S42" s="178">
        <f>SUMIFS(T_bETFs[[ 4 ]],T_bETFs[Risk CCY],$C42,T_bETFs[Source],$A42)</f>
        <v>0</v>
      </c>
      <c r="T42" s="178">
        <f>SUMIFS(T_bETFs[[ 5 ]],T_bETFs[Risk CCY],$C42,T_bETFs[Source],$A42)</f>
        <v>0</v>
      </c>
      <c r="U42" s="178">
        <f>SUMIFS(T_bETFs[[ 6 ]],T_bETFs[Risk CCY],$C42,T_bETFs[Source],$A42)</f>
        <v>0</v>
      </c>
      <c r="V42" s="178">
        <f>SUMIFS(T_bETFs[[ 7 ]],T_bETFs[Risk CCY],$C42,T_bETFs[Source],$A42)</f>
        <v>0</v>
      </c>
      <c r="W42" s="178">
        <f>SUMIFS(T_bETFs[[ 8 ]],T_bETFs[Risk CCY],$C42,T_bETFs[Source],$A42)</f>
        <v>0</v>
      </c>
      <c r="X42" s="178">
        <f>SUMIFS(T_bETFs[[ 9 ]],T_bETFs[Risk CCY],$C42,T_bETFs[Source],$A42)</f>
        <v>0</v>
      </c>
      <c r="Y42" s="178">
        <f>SUMIFS(T_bETFs[[ 10 ]],T_bETFs[Risk CCY],$C42,T_bETFs[Source],$A42)</f>
        <v>0</v>
      </c>
      <c r="Z42" s="178">
        <f>SUMIFS(T_bETFs[[ 11 ]],T_bETFs[Risk CCY],$C42,T_bETFs[Source],$A42)</f>
        <v>0</v>
      </c>
      <c r="AA42" s="178">
        <f>SUMIFS(T_bETFs[[ 12 ]],T_bETFs[Risk CCY],$C42,T_bETFs[Source],$A42)</f>
        <v>0</v>
      </c>
    </row>
    <row r="43" spans="1:27" x14ac:dyDescent="0.25">
      <c r="A43" s="118" t="s">
        <v>51</v>
      </c>
      <c r="B43" s="1050"/>
      <c r="C43" s="258" t="s">
        <v>23</v>
      </c>
      <c r="D43" s="259" t="e">
        <f>SUMIFS(T_bETFs #REF!,T_bETFs[Risk CCY],$C43,T_bETFs[Source],$A43)</f>
        <v>#NAME?</v>
      </c>
      <c r="E43" s="259">
        <f>SUMIFS(T_bETFs[[ 2 ]],T_bETFs[Risk CCY],$C43,T_bETFs[Source],$A43)</f>
        <v>0</v>
      </c>
      <c r="F43" s="259">
        <f>SUMIFS(T_bETFs[[ 3 ]],T_bETFs[Risk CCY],$C43,T_bETFs[Source],$A43)</f>
        <v>0</v>
      </c>
      <c r="G43" s="259">
        <f>SUMIFS(T_bETFs[[ 4 ]],T_bETFs[Risk CCY],$C43,T_bETFs[Source],$A43)</f>
        <v>0</v>
      </c>
      <c r="H43" s="259">
        <f>SUMIFS(T_bETFs[[ 5 ]],T_bETFs[Risk CCY],$C43,T_bETFs[Source],$A43)</f>
        <v>0</v>
      </c>
      <c r="I43" s="259">
        <f>SUMIFS(T_bETFs[[ 6 ]],T_bETFs[Risk CCY],$C43,T_bETFs[Source],$A43)</f>
        <v>0</v>
      </c>
      <c r="J43" s="259">
        <f>SUMIFS(T_bETFs[[ 7 ]],T_bETFs[Risk CCY],$C43,T_bETFs[Source],$A43)</f>
        <v>0</v>
      </c>
      <c r="K43" s="259">
        <f>SUMIFS(T_bETFs[[ 8 ]],T_bETFs[Risk CCY],$C43,T_bETFs[Source],$A43)</f>
        <v>0</v>
      </c>
      <c r="L43" s="259">
        <f>SUMIFS(T_bETFs[[ 9 ]],T_bETFs[Risk CCY],$C43,T_bETFs[Source],$A43)</f>
        <v>0</v>
      </c>
      <c r="M43" s="259">
        <f>SUMIFS(T_bETFs[[ 10 ]],T_bETFs[Risk CCY],$C43,T_bETFs[Source],$A43)</f>
        <v>0</v>
      </c>
      <c r="N43" s="259">
        <f>SUMIFS(T_bETFs[[ 11 ]],T_bETFs[Risk CCY],$C43,T_bETFs[Source],$A43)</f>
        <v>0</v>
      </c>
      <c r="O43" s="259">
        <f>SUMIFS(T_bETFs[[ 12 ]],T_bETFs[Risk CCY],$C43,T_bETFs[Source],$A43)</f>
        <v>0</v>
      </c>
      <c r="P43" s="259">
        <f>SUMIFS('Bonds ETFs'!AV:AV,'Bonds ETFs'!A:A,'CF CCY'!A43,'Bonds ETFs'!O:O,'CF CCY'!C43)</f>
        <v>0</v>
      </c>
      <c r="Q43" s="259">
        <f>SUMIFS(T_bETFs[[ 2 ]],T_bETFs[Risk CCY],$C43,T_bETFs[Source],$A43)</f>
        <v>0</v>
      </c>
      <c r="R43" s="259">
        <f>SUMIFS(T_bETFs[[ 3 ]],T_bETFs[Risk CCY],$C43,T_bETFs[Source],$A43)</f>
        <v>0</v>
      </c>
      <c r="S43" s="259">
        <f>SUMIFS(T_bETFs[[ 4 ]],T_bETFs[Risk CCY],$C43,T_bETFs[Source],$A43)</f>
        <v>0</v>
      </c>
      <c r="T43" s="259">
        <f>SUMIFS(T_bETFs[[ 5 ]],T_bETFs[Risk CCY],$C43,T_bETFs[Source],$A43)</f>
        <v>0</v>
      </c>
      <c r="U43" s="259">
        <f>SUMIFS(T_bETFs[[ 6 ]],T_bETFs[Risk CCY],$C43,T_bETFs[Source],$A43)</f>
        <v>0</v>
      </c>
      <c r="V43" s="259">
        <f>SUMIFS(T_bETFs[[ 7 ]],T_bETFs[Risk CCY],$C43,T_bETFs[Source],$A43)</f>
        <v>0</v>
      </c>
      <c r="W43" s="259">
        <f>SUMIFS(T_bETFs[[ 8 ]],T_bETFs[Risk CCY],$C43,T_bETFs[Source],$A43)</f>
        <v>0</v>
      </c>
      <c r="X43" s="259">
        <f>SUMIFS(T_bETFs[[ 9 ]],T_bETFs[Risk CCY],$C43,T_bETFs[Source],$A43)</f>
        <v>0</v>
      </c>
      <c r="Y43" s="259">
        <f>SUMIFS(T_bETFs[[ 10 ]],T_bETFs[Risk CCY],$C43,T_bETFs[Source],$A43)</f>
        <v>0</v>
      </c>
      <c r="Z43" s="259">
        <f>SUMIFS(T_bETFs[[ 11 ]],T_bETFs[Risk CCY],$C43,T_bETFs[Source],$A43)</f>
        <v>0</v>
      </c>
      <c r="AA43" s="259">
        <f>SUMIFS(T_bETFs[[ 12 ]],T_bETFs[Risk CCY],$C43,T_bETFs[Source],$A43)</f>
        <v>0</v>
      </c>
    </row>
    <row r="44" spans="1:27" x14ac:dyDescent="0.25">
      <c r="A44" s="118" t="s">
        <v>49</v>
      </c>
      <c r="B44" s="1048" t="s">
        <v>49</v>
      </c>
      <c r="C44" s="260" t="s">
        <v>18</v>
      </c>
      <c r="D44" s="261" t="e">
        <f>SUMIFS(T_bETFs #REF!,T_bETFs[Risk CCY],$C44,T_bETFs[Source],$A44)</f>
        <v>#NAME?</v>
      </c>
      <c r="E44" s="261">
        <f>SUMIFS(T_bETFs[[ 2 ]],T_bETFs[Risk CCY],$C44,T_bETFs[Source],$A44)</f>
        <v>115453.84101040664</v>
      </c>
      <c r="F44" s="261">
        <f>SUMIFS(T_bETFs[[ 3 ]],T_bETFs[Risk CCY],$C44,T_bETFs[Source],$A44)</f>
        <v>115453.84101040664</v>
      </c>
      <c r="G44" s="261">
        <f>SUMIFS(T_bETFs[[ 4 ]],T_bETFs[Risk CCY],$C44,T_bETFs[Source],$A44)</f>
        <v>115453.84101040664</v>
      </c>
      <c r="H44" s="261">
        <f>SUMIFS(T_bETFs[[ 5 ]],T_bETFs[Risk CCY],$C44,T_bETFs[Source],$A44)</f>
        <v>115453.84101040664</v>
      </c>
      <c r="I44" s="261">
        <f>SUMIFS(T_bETFs[[ 6 ]],T_bETFs[Risk CCY],$C44,T_bETFs[Source],$A44)</f>
        <v>115453.84101040664</v>
      </c>
      <c r="J44" s="261">
        <f>SUMIFS(T_bETFs[[ 7 ]],T_bETFs[Risk CCY],$C44,T_bETFs[Source],$A44)</f>
        <v>115453.84101040664</v>
      </c>
      <c r="K44" s="261">
        <f>SUMIFS(T_bETFs[[ 8 ]],T_bETFs[Risk CCY],$C44,T_bETFs[Source],$A44)</f>
        <v>115453.84101040664</v>
      </c>
      <c r="L44" s="261">
        <f>SUMIFS(T_bETFs[[ 9 ]],T_bETFs[Risk CCY],$C44,T_bETFs[Source],$A44)</f>
        <v>115453.84101040664</v>
      </c>
      <c r="M44" s="261">
        <f>SUMIFS(T_bETFs[[ 10 ]],T_bETFs[Risk CCY],$C44,T_bETFs[Source],$A44)</f>
        <v>115453.84101040664</v>
      </c>
      <c r="N44" s="261">
        <f>SUMIFS(T_bETFs[[ 11 ]],T_bETFs[Risk CCY],$C44,T_bETFs[Source],$A44)</f>
        <v>115453.84101040664</v>
      </c>
      <c r="O44" s="261">
        <f>SUMIFS(T_bETFs[[ 12 ]],T_bETFs[Risk CCY],$C44,T_bETFs[Source],$A44)</f>
        <v>115453.84101040664</v>
      </c>
      <c r="P44" s="261">
        <f>SUMIFS('Bonds ETFs'!AV:AV,'Bonds ETFs'!A:A,'CF CCY'!A44,'Bonds ETFs'!O:O,'CF CCY'!C44)</f>
        <v>115453.84101040664</v>
      </c>
      <c r="Q44" s="261">
        <f>SUMIFS(T_bETFs[[ 2 ]],T_bETFs[Risk CCY],$C44,T_bETFs[Source],$A44)</f>
        <v>115453.84101040664</v>
      </c>
      <c r="R44" s="261">
        <f>SUMIFS(T_bETFs[[ 3 ]],T_bETFs[Risk CCY],$C44,T_bETFs[Source],$A44)</f>
        <v>115453.84101040664</v>
      </c>
      <c r="S44" s="261">
        <f>SUMIFS(T_bETFs[[ 4 ]],T_bETFs[Risk CCY],$C44,T_bETFs[Source],$A44)</f>
        <v>115453.84101040664</v>
      </c>
      <c r="T44" s="261">
        <f>SUMIFS(T_bETFs[[ 5 ]],T_bETFs[Risk CCY],$C44,T_bETFs[Source],$A44)</f>
        <v>115453.84101040664</v>
      </c>
      <c r="U44" s="261">
        <f>SUMIFS(T_bETFs[[ 6 ]],T_bETFs[Risk CCY],$C44,T_bETFs[Source],$A44)</f>
        <v>115453.84101040664</v>
      </c>
      <c r="V44" s="261">
        <f>SUMIFS(T_bETFs[[ 7 ]],T_bETFs[Risk CCY],$C44,T_bETFs[Source],$A44)</f>
        <v>115453.84101040664</v>
      </c>
      <c r="W44" s="261">
        <f>SUMIFS(T_bETFs[[ 8 ]],T_bETFs[Risk CCY],$C44,T_bETFs[Source],$A44)</f>
        <v>115453.84101040664</v>
      </c>
      <c r="X44" s="261">
        <f>SUMIFS(T_bETFs[[ 9 ]],T_bETFs[Risk CCY],$C44,T_bETFs[Source],$A44)</f>
        <v>115453.84101040664</v>
      </c>
      <c r="Y44" s="261">
        <f>SUMIFS(T_bETFs[[ 10 ]],T_bETFs[Risk CCY],$C44,T_bETFs[Source],$A44)</f>
        <v>115453.84101040664</v>
      </c>
      <c r="Z44" s="261">
        <f>SUMIFS(T_bETFs[[ 11 ]],T_bETFs[Risk CCY],$C44,T_bETFs[Source],$A44)</f>
        <v>115453.84101040664</v>
      </c>
      <c r="AA44" s="261">
        <f>SUMIFS(T_bETFs[[ 12 ]],T_bETFs[Risk CCY],$C44,T_bETFs[Source],$A44)</f>
        <v>115453.84101040664</v>
      </c>
    </row>
    <row r="45" spans="1:27" x14ac:dyDescent="0.25">
      <c r="A45" s="118" t="s">
        <v>49</v>
      </c>
      <c r="B45" s="1049"/>
      <c r="C45" s="257" t="s">
        <v>19</v>
      </c>
      <c r="D45" s="178" t="e">
        <f>SUMIFS(T_bETFs #REF!,T_bETFs[Risk CCY],$C45,T_bETFs[Source],$A45)</f>
        <v>#NAME?</v>
      </c>
      <c r="E45" s="178">
        <f>SUMIFS(T_bETFs[[ 2 ]],T_bETFs[Risk CCY],$C45,T_bETFs[Source],$A45)</f>
        <v>0</v>
      </c>
      <c r="F45" s="178">
        <f>SUMIFS(T_bETFs[[ 3 ]],T_bETFs[Risk CCY],$C45,T_bETFs[Source],$A45)</f>
        <v>0</v>
      </c>
      <c r="G45" s="178">
        <f>SUMIFS(T_bETFs[[ 4 ]],T_bETFs[Risk CCY],$C45,T_bETFs[Source],$A45)</f>
        <v>0</v>
      </c>
      <c r="H45" s="178">
        <f>SUMIFS(T_bETFs[[ 5 ]],T_bETFs[Risk CCY],$C45,T_bETFs[Source],$A45)</f>
        <v>0</v>
      </c>
      <c r="I45" s="178">
        <f>SUMIFS(T_bETFs[[ 6 ]],T_bETFs[Risk CCY],$C45,T_bETFs[Source],$A45)</f>
        <v>0</v>
      </c>
      <c r="J45" s="178">
        <f>SUMIFS(T_bETFs[[ 7 ]],T_bETFs[Risk CCY],$C45,T_bETFs[Source],$A45)</f>
        <v>0</v>
      </c>
      <c r="K45" s="178">
        <f>SUMIFS(T_bETFs[[ 8 ]],T_bETFs[Risk CCY],$C45,T_bETFs[Source],$A45)</f>
        <v>0</v>
      </c>
      <c r="L45" s="178">
        <f>SUMIFS(T_bETFs[[ 9 ]],T_bETFs[Risk CCY],$C45,T_bETFs[Source],$A45)</f>
        <v>0</v>
      </c>
      <c r="M45" s="178">
        <f>SUMIFS(T_bETFs[[ 10 ]],T_bETFs[Risk CCY],$C45,T_bETFs[Source],$A45)</f>
        <v>0</v>
      </c>
      <c r="N45" s="178">
        <f>SUMIFS(T_bETFs[[ 11 ]],T_bETFs[Risk CCY],$C45,T_bETFs[Source],$A45)</f>
        <v>0</v>
      </c>
      <c r="O45" s="178">
        <f>SUMIFS(T_bETFs[[ 12 ]],T_bETFs[Risk CCY],$C45,T_bETFs[Source],$A45)</f>
        <v>0</v>
      </c>
      <c r="P45" s="178">
        <f>SUMIFS('Bonds ETFs'!AV:AV,'Bonds ETFs'!A:A,'CF CCY'!A45,'Bonds ETFs'!O:O,'CF CCY'!C45)</f>
        <v>0</v>
      </c>
      <c r="Q45" s="178">
        <f>SUMIFS(T_bETFs[[ 2 ]],T_bETFs[Risk CCY],$C45,T_bETFs[Source],$A45)</f>
        <v>0</v>
      </c>
      <c r="R45" s="178">
        <f>SUMIFS(T_bETFs[[ 3 ]],T_bETFs[Risk CCY],$C45,T_bETFs[Source],$A45)</f>
        <v>0</v>
      </c>
      <c r="S45" s="178">
        <f>SUMIFS(T_bETFs[[ 4 ]],T_bETFs[Risk CCY],$C45,T_bETFs[Source],$A45)</f>
        <v>0</v>
      </c>
      <c r="T45" s="178">
        <f>SUMIFS(T_bETFs[[ 5 ]],T_bETFs[Risk CCY],$C45,T_bETFs[Source],$A45)</f>
        <v>0</v>
      </c>
      <c r="U45" s="178">
        <f>SUMIFS(T_bETFs[[ 6 ]],T_bETFs[Risk CCY],$C45,T_bETFs[Source],$A45)</f>
        <v>0</v>
      </c>
      <c r="V45" s="178">
        <f>SUMIFS(T_bETFs[[ 7 ]],T_bETFs[Risk CCY],$C45,T_bETFs[Source],$A45)</f>
        <v>0</v>
      </c>
      <c r="W45" s="178">
        <f>SUMIFS(T_bETFs[[ 8 ]],T_bETFs[Risk CCY],$C45,T_bETFs[Source],$A45)</f>
        <v>0</v>
      </c>
      <c r="X45" s="178">
        <f>SUMIFS(T_bETFs[[ 9 ]],T_bETFs[Risk CCY],$C45,T_bETFs[Source],$A45)</f>
        <v>0</v>
      </c>
      <c r="Y45" s="178">
        <f>SUMIFS(T_bETFs[[ 10 ]],T_bETFs[Risk CCY],$C45,T_bETFs[Source],$A45)</f>
        <v>0</v>
      </c>
      <c r="Z45" s="178">
        <f>SUMIFS(T_bETFs[[ 11 ]],T_bETFs[Risk CCY],$C45,T_bETFs[Source],$A45)</f>
        <v>0</v>
      </c>
      <c r="AA45" s="178">
        <f>SUMIFS(T_bETFs[[ 12 ]],T_bETFs[Risk CCY],$C45,T_bETFs[Source],$A45)</f>
        <v>0</v>
      </c>
    </row>
    <row r="46" spans="1:27" x14ac:dyDescent="0.25">
      <c r="A46" s="118" t="s">
        <v>49</v>
      </c>
      <c r="B46" s="1049"/>
      <c r="C46" s="257" t="s">
        <v>21</v>
      </c>
      <c r="D46" s="178" t="e">
        <f>SUMIFS(T_bETFs #REF!,T_bETFs[Risk CCY],$C46,T_bETFs[Source],$A46)</f>
        <v>#NAME?</v>
      </c>
      <c r="E46" s="178">
        <f>SUMIFS(T_bETFs[[ 2 ]],T_bETFs[Risk CCY],$C46,T_bETFs[Source],$A46)</f>
        <v>0</v>
      </c>
      <c r="F46" s="178">
        <f>SUMIFS(T_bETFs[[ 3 ]],T_bETFs[Risk CCY],$C46,T_bETFs[Source],$A46)</f>
        <v>0</v>
      </c>
      <c r="G46" s="178">
        <f>SUMIFS(T_bETFs[[ 4 ]],T_bETFs[Risk CCY],$C46,T_bETFs[Source],$A46)</f>
        <v>0</v>
      </c>
      <c r="H46" s="178">
        <f>SUMIFS(T_bETFs[[ 5 ]],T_bETFs[Risk CCY],$C46,T_bETFs[Source],$A46)</f>
        <v>0</v>
      </c>
      <c r="I46" s="178">
        <f>SUMIFS(T_bETFs[[ 6 ]],T_bETFs[Risk CCY],$C46,T_bETFs[Source],$A46)</f>
        <v>0</v>
      </c>
      <c r="J46" s="178">
        <f>SUMIFS(T_bETFs[[ 7 ]],T_bETFs[Risk CCY],$C46,T_bETFs[Source],$A46)</f>
        <v>0</v>
      </c>
      <c r="K46" s="178">
        <f>SUMIFS(T_bETFs[[ 8 ]],T_bETFs[Risk CCY],$C46,T_bETFs[Source],$A46)</f>
        <v>0</v>
      </c>
      <c r="L46" s="178">
        <f>SUMIFS(T_bETFs[[ 9 ]],T_bETFs[Risk CCY],$C46,T_bETFs[Source],$A46)</f>
        <v>0</v>
      </c>
      <c r="M46" s="178">
        <f>SUMIFS(T_bETFs[[ 10 ]],T_bETFs[Risk CCY],$C46,T_bETFs[Source],$A46)</f>
        <v>0</v>
      </c>
      <c r="N46" s="178">
        <f>SUMIFS(T_bETFs[[ 11 ]],T_bETFs[Risk CCY],$C46,T_bETFs[Source],$A46)</f>
        <v>0</v>
      </c>
      <c r="O46" s="178">
        <f>SUMIFS(T_bETFs[[ 12 ]],T_bETFs[Risk CCY],$C46,T_bETFs[Source],$A46)</f>
        <v>0</v>
      </c>
      <c r="P46" s="178">
        <f>SUMIFS('Bonds ETFs'!AV:AV,'Bonds ETFs'!A:A,'CF CCY'!A46,'Bonds ETFs'!O:O,'CF CCY'!C46)</f>
        <v>0</v>
      </c>
      <c r="Q46" s="178">
        <f>SUMIFS(T_bETFs[[ 2 ]],T_bETFs[Risk CCY],$C46,T_bETFs[Source],$A46)</f>
        <v>0</v>
      </c>
      <c r="R46" s="178">
        <f>SUMIFS(T_bETFs[[ 3 ]],T_bETFs[Risk CCY],$C46,T_bETFs[Source],$A46)</f>
        <v>0</v>
      </c>
      <c r="S46" s="178">
        <f>SUMIFS(T_bETFs[[ 4 ]],T_bETFs[Risk CCY],$C46,T_bETFs[Source],$A46)</f>
        <v>0</v>
      </c>
      <c r="T46" s="178">
        <f>SUMIFS(T_bETFs[[ 5 ]],T_bETFs[Risk CCY],$C46,T_bETFs[Source],$A46)</f>
        <v>0</v>
      </c>
      <c r="U46" s="178">
        <f>SUMIFS(T_bETFs[[ 6 ]],T_bETFs[Risk CCY],$C46,T_bETFs[Source],$A46)</f>
        <v>0</v>
      </c>
      <c r="V46" s="178">
        <f>SUMIFS(T_bETFs[[ 7 ]],T_bETFs[Risk CCY],$C46,T_bETFs[Source],$A46)</f>
        <v>0</v>
      </c>
      <c r="W46" s="178">
        <f>SUMIFS(T_bETFs[[ 8 ]],T_bETFs[Risk CCY],$C46,T_bETFs[Source],$A46)</f>
        <v>0</v>
      </c>
      <c r="X46" s="178">
        <f>SUMIFS(T_bETFs[[ 9 ]],T_bETFs[Risk CCY],$C46,T_bETFs[Source],$A46)</f>
        <v>0</v>
      </c>
      <c r="Y46" s="178">
        <f>SUMIFS(T_bETFs[[ 10 ]],T_bETFs[Risk CCY],$C46,T_bETFs[Source],$A46)</f>
        <v>0</v>
      </c>
      <c r="Z46" s="178">
        <f>SUMIFS(T_bETFs[[ 11 ]],T_bETFs[Risk CCY],$C46,T_bETFs[Source],$A46)</f>
        <v>0</v>
      </c>
      <c r="AA46" s="178">
        <f>SUMIFS(T_bETFs[[ 12 ]],T_bETFs[Risk CCY],$C46,T_bETFs[Source],$A46)</f>
        <v>0</v>
      </c>
    </row>
    <row r="47" spans="1:27" x14ac:dyDescent="0.25">
      <c r="A47" s="118" t="s">
        <v>49</v>
      </c>
      <c r="B47" s="1050"/>
      <c r="C47" s="258" t="s">
        <v>23</v>
      </c>
      <c r="D47" s="259" t="e">
        <f>SUMIFS(T_bETFs #REF!,T_bETFs[Risk CCY],$C47,T_bETFs[Source],$A47)</f>
        <v>#NAME?</v>
      </c>
      <c r="E47" s="259">
        <f>SUMIFS(T_bETFs[[ 2 ]],T_bETFs[Risk CCY],$C47,T_bETFs[Source],$A47)</f>
        <v>0</v>
      </c>
      <c r="F47" s="259">
        <f>SUMIFS(T_bETFs[[ 3 ]],T_bETFs[Risk CCY],$C47,T_bETFs[Source],$A47)</f>
        <v>0</v>
      </c>
      <c r="G47" s="259">
        <f>SUMIFS(T_bETFs[[ 4 ]],T_bETFs[Risk CCY],$C47,T_bETFs[Source],$A47)</f>
        <v>0</v>
      </c>
      <c r="H47" s="259">
        <f>SUMIFS(T_bETFs[[ 5 ]],T_bETFs[Risk CCY],$C47,T_bETFs[Source],$A47)</f>
        <v>0</v>
      </c>
      <c r="I47" s="259">
        <f>SUMIFS(T_bETFs[[ 6 ]],T_bETFs[Risk CCY],$C47,T_bETFs[Source],$A47)</f>
        <v>0</v>
      </c>
      <c r="J47" s="259">
        <f>SUMIFS(T_bETFs[[ 7 ]],T_bETFs[Risk CCY],$C47,T_bETFs[Source],$A47)</f>
        <v>0</v>
      </c>
      <c r="K47" s="259">
        <f>SUMIFS(T_bETFs[[ 8 ]],T_bETFs[Risk CCY],$C47,T_bETFs[Source],$A47)</f>
        <v>0</v>
      </c>
      <c r="L47" s="259">
        <f>SUMIFS(T_bETFs[[ 9 ]],T_bETFs[Risk CCY],$C47,T_bETFs[Source],$A47)</f>
        <v>0</v>
      </c>
      <c r="M47" s="259">
        <f>SUMIFS(T_bETFs[[ 10 ]],T_bETFs[Risk CCY],$C47,T_bETFs[Source],$A47)</f>
        <v>0</v>
      </c>
      <c r="N47" s="259">
        <f>SUMIFS(T_bETFs[[ 11 ]],T_bETFs[Risk CCY],$C47,T_bETFs[Source],$A47)</f>
        <v>0</v>
      </c>
      <c r="O47" s="259">
        <f>SUMIFS(T_bETFs[[ 12 ]],T_bETFs[Risk CCY],$C47,T_bETFs[Source],$A47)</f>
        <v>0</v>
      </c>
      <c r="P47" s="259">
        <f>SUMIFS('Bonds ETFs'!AV:AV,'Bonds ETFs'!A:A,'CF CCY'!A47,'Bonds ETFs'!O:O,'CF CCY'!C47)</f>
        <v>0</v>
      </c>
      <c r="Q47" s="259">
        <f>SUMIFS(T_bETFs[[ 2 ]],T_bETFs[Risk CCY],$C47,T_bETFs[Source],$A47)</f>
        <v>0</v>
      </c>
      <c r="R47" s="259">
        <f>SUMIFS(T_bETFs[[ 3 ]],T_bETFs[Risk CCY],$C47,T_bETFs[Source],$A47)</f>
        <v>0</v>
      </c>
      <c r="S47" s="259">
        <f>SUMIFS(T_bETFs[[ 4 ]],T_bETFs[Risk CCY],$C47,T_bETFs[Source],$A47)</f>
        <v>0</v>
      </c>
      <c r="T47" s="259">
        <f>SUMIFS(T_bETFs[[ 5 ]],T_bETFs[Risk CCY],$C47,T_bETFs[Source],$A47)</f>
        <v>0</v>
      </c>
      <c r="U47" s="259">
        <f>SUMIFS(T_bETFs[[ 6 ]],T_bETFs[Risk CCY],$C47,T_bETFs[Source],$A47)</f>
        <v>0</v>
      </c>
      <c r="V47" s="259">
        <f>SUMIFS(T_bETFs[[ 7 ]],T_bETFs[Risk CCY],$C47,T_bETFs[Source],$A47)</f>
        <v>0</v>
      </c>
      <c r="W47" s="259">
        <f>SUMIFS(T_bETFs[[ 8 ]],T_bETFs[Risk CCY],$C47,T_bETFs[Source],$A47)</f>
        <v>0</v>
      </c>
      <c r="X47" s="259">
        <f>SUMIFS(T_bETFs[[ 9 ]],T_bETFs[Risk CCY],$C47,T_bETFs[Source],$A47)</f>
        <v>0</v>
      </c>
      <c r="Y47" s="259">
        <f>SUMIFS(T_bETFs[[ 10 ]],T_bETFs[Risk CCY],$C47,T_bETFs[Source],$A47)</f>
        <v>0</v>
      </c>
      <c r="Z47" s="259">
        <f>SUMIFS(T_bETFs[[ 11 ]],T_bETFs[Risk CCY],$C47,T_bETFs[Source],$A47)</f>
        <v>0</v>
      </c>
      <c r="AA47" s="259">
        <f>SUMIFS(T_bETFs[[ 12 ]],T_bETFs[Risk CCY],$C47,T_bETFs[Source],$A47)</f>
        <v>0</v>
      </c>
    </row>
    <row r="48" spans="1:27" x14ac:dyDescent="0.25">
      <c r="A48" s="118" t="s">
        <v>90</v>
      </c>
      <c r="B48" s="1048" t="s">
        <v>90</v>
      </c>
      <c r="C48" s="260" t="s">
        <v>18</v>
      </c>
      <c r="D48" s="261" t="e">
        <f>SUMIFS(T_bETFs #REF!,T_bETFs[Risk CCY],$C48,T_bETFs[Source],$A48)</f>
        <v>#NAME?</v>
      </c>
      <c r="E48" s="261">
        <f>SUMIFS(T_bETFs[[ 2 ]],T_bETFs[Risk CCY],$C48,T_bETFs[Source],$A48)</f>
        <v>26023.944255000002</v>
      </c>
      <c r="F48" s="261">
        <f>SUMIFS(T_bETFs[[ 3 ]],T_bETFs[Risk CCY],$C48,T_bETFs[Source],$A48)</f>
        <v>83783.189255000005</v>
      </c>
      <c r="G48" s="261">
        <f>SUMIFS(T_bETFs[[ 4 ]],T_bETFs[Risk CCY],$C48,T_bETFs[Source],$A48)</f>
        <v>46293.677009250001</v>
      </c>
      <c r="H48" s="261">
        <f>SUMIFS(T_bETFs[[ 5 ]],T_bETFs[Risk CCY],$C48,T_bETFs[Source],$A48)</f>
        <v>26023.944255000002</v>
      </c>
      <c r="I48" s="261">
        <f>SUMIFS(T_bETFs[[ 6 ]],T_bETFs[Risk CCY],$C48,T_bETFs[Source],$A48)</f>
        <v>83783.189255000005</v>
      </c>
      <c r="J48" s="261">
        <f>SUMIFS(T_bETFs[[ 7 ]],T_bETFs[Risk CCY],$C48,T_bETFs[Source],$A48)</f>
        <v>46293.677009250001</v>
      </c>
      <c r="K48" s="261">
        <f>SUMIFS(T_bETFs[[ 8 ]],T_bETFs[Risk CCY],$C48,T_bETFs[Source],$A48)</f>
        <v>26023.944255000002</v>
      </c>
      <c r="L48" s="261">
        <f>SUMIFS(T_bETFs[[ 9 ]],T_bETFs[Risk CCY],$C48,T_bETFs[Source],$A48)</f>
        <v>83783.189255000005</v>
      </c>
      <c r="M48" s="261">
        <f>SUMIFS(T_bETFs[[ 10 ]],T_bETFs[Risk CCY],$C48,T_bETFs[Source],$A48)</f>
        <v>46293.677009250001</v>
      </c>
      <c r="N48" s="261">
        <f>SUMIFS(T_bETFs[[ 11 ]],T_bETFs[Risk CCY],$C48,T_bETFs[Source],$A48)</f>
        <v>26023.944255000002</v>
      </c>
      <c r="O48" s="261">
        <f>SUMIFS(T_bETFs[[ 12 ]],T_bETFs[Risk CCY],$C48,T_bETFs[Source],$A48)</f>
        <v>83783.189255000005</v>
      </c>
      <c r="P48" s="261">
        <f>SUMIFS('Bonds ETFs'!AV:AV,'Bonds ETFs'!A:A,'CF CCY'!A48,'Bonds ETFs'!O:O,'CF CCY'!C48)</f>
        <v>104052.92200925</v>
      </c>
      <c r="Q48" s="261">
        <f>SUMIFS(T_bETFs[[ 2 ]],T_bETFs[Risk CCY],$C48,T_bETFs[Source],$A48)</f>
        <v>26023.944255000002</v>
      </c>
      <c r="R48" s="261">
        <f>SUMIFS(T_bETFs[[ 3 ]],T_bETFs[Risk CCY],$C48,T_bETFs[Source],$A48)</f>
        <v>83783.189255000005</v>
      </c>
      <c r="S48" s="261">
        <f>SUMIFS(T_bETFs[[ 4 ]],T_bETFs[Risk CCY],$C48,T_bETFs[Source],$A48)</f>
        <v>46293.677009250001</v>
      </c>
      <c r="T48" s="261">
        <f>SUMIFS(T_bETFs[[ 5 ]],T_bETFs[Risk CCY],$C48,T_bETFs[Source],$A48)</f>
        <v>26023.944255000002</v>
      </c>
      <c r="U48" s="261">
        <f>SUMIFS(T_bETFs[[ 6 ]],T_bETFs[Risk CCY],$C48,T_bETFs[Source],$A48)</f>
        <v>83783.189255000005</v>
      </c>
      <c r="V48" s="261">
        <f>SUMIFS(T_bETFs[[ 7 ]],T_bETFs[Risk CCY],$C48,T_bETFs[Source],$A48)</f>
        <v>46293.677009250001</v>
      </c>
      <c r="W48" s="261">
        <f>SUMIFS(T_bETFs[[ 8 ]],T_bETFs[Risk CCY],$C48,T_bETFs[Source],$A48)</f>
        <v>26023.944255000002</v>
      </c>
      <c r="X48" s="261">
        <f>SUMIFS(T_bETFs[[ 9 ]],T_bETFs[Risk CCY],$C48,T_bETFs[Source],$A48)</f>
        <v>83783.189255000005</v>
      </c>
      <c r="Y48" s="261">
        <f>SUMIFS(T_bETFs[[ 10 ]],T_bETFs[Risk CCY],$C48,T_bETFs[Source],$A48)</f>
        <v>46293.677009250001</v>
      </c>
      <c r="Z48" s="261">
        <f>SUMIFS(T_bETFs[[ 11 ]],T_bETFs[Risk CCY],$C48,T_bETFs[Source],$A48)</f>
        <v>26023.944255000002</v>
      </c>
      <c r="AA48" s="261">
        <f>SUMIFS(T_bETFs[[ 12 ]],T_bETFs[Risk CCY],$C48,T_bETFs[Source],$A48)</f>
        <v>83783.189255000005</v>
      </c>
    </row>
    <row r="49" spans="1:27" x14ac:dyDescent="0.25">
      <c r="A49" s="118" t="s">
        <v>90</v>
      </c>
      <c r="B49" s="1049"/>
      <c r="C49" s="257" t="s">
        <v>19</v>
      </c>
      <c r="D49" s="178" t="e">
        <f>SUMIFS(T_bETFs #REF!,T_bETFs[Risk CCY],$C49,T_bETFs[Source],$A49)</f>
        <v>#NAME?</v>
      </c>
      <c r="E49" s="178">
        <f>SUMIFS(T_bETFs[[ 2 ]],T_bETFs[Risk CCY],$C49,T_bETFs[Source],$A49)</f>
        <v>0</v>
      </c>
      <c r="F49" s="178">
        <f>SUMIFS(T_bETFs[[ 3 ]],T_bETFs[Risk CCY],$C49,T_bETFs[Source],$A49)</f>
        <v>0</v>
      </c>
      <c r="G49" s="178">
        <f>SUMIFS(T_bETFs[[ 4 ]],T_bETFs[Risk CCY],$C49,T_bETFs[Source],$A49)</f>
        <v>0</v>
      </c>
      <c r="H49" s="178">
        <f>SUMIFS(T_bETFs[[ 5 ]],T_bETFs[Risk CCY],$C49,T_bETFs[Source],$A49)</f>
        <v>0</v>
      </c>
      <c r="I49" s="178">
        <f>SUMIFS(T_bETFs[[ 6 ]],T_bETFs[Risk CCY],$C49,T_bETFs[Source],$A49)</f>
        <v>0</v>
      </c>
      <c r="J49" s="178">
        <f>SUMIFS(T_bETFs[[ 7 ]],T_bETFs[Risk CCY],$C49,T_bETFs[Source],$A49)</f>
        <v>0</v>
      </c>
      <c r="K49" s="178">
        <f>SUMIFS(T_bETFs[[ 8 ]],T_bETFs[Risk CCY],$C49,T_bETFs[Source],$A49)</f>
        <v>0</v>
      </c>
      <c r="L49" s="178">
        <f>SUMIFS(T_bETFs[[ 9 ]],T_bETFs[Risk CCY],$C49,T_bETFs[Source],$A49)</f>
        <v>0</v>
      </c>
      <c r="M49" s="178">
        <f>SUMIFS(T_bETFs[[ 10 ]],T_bETFs[Risk CCY],$C49,T_bETFs[Source],$A49)</f>
        <v>0</v>
      </c>
      <c r="N49" s="178">
        <f>SUMIFS(T_bETFs[[ 11 ]],T_bETFs[Risk CCY],$C49,T_bETFs[Source],$A49)</f>
        <v>0</v>
      </c>
      <c r="O49" s="178">
        <f>SUMIFS(T_bETFs[[ 12 ]],T_bETFs[Risk CCY],$C49,T_bETFs[Source],$A49)</f>
        <v>0</v>
      </c>
      <c r="P49" s="178">
        <f>SUMIFS('Bonds ETFs'!AV:AV,'Bonds ETFs'!A:A,'CF CCY'!A49,'Bonds ETFs'!O:O,'CF CCY'!C49)</f>
        <v>0</v>
      </c>
      <c r="Q49" s="178">
        <f>SUMIFS(T_bETFs[[ 2 ]],T_bETFs[Risk CCY],$C49,T_bETFs[Source],$A49)</f>
        <v>0</v>
      </c>
      <c r="R49" s="178">
        <f>SUMIFS(T_bETFs[[ 3 ]],T_bETFs[Risk CCY],$C49,T_bETFs[Source],$A49)</f>
        <v>0</v>
      </c>
      <c r="S49" s="178">
        <f>SUMIFS(T_bETFs[[ 4 ]],T_bETFs[Risk CCY],$C49,T_bETFs[Source],$A49)</f>
        <v>0</v>
      </c>
      <c r="T49" s="178">
        <f>SUMIFS(T_bETFs[[ 5 ]],T_bETFs[Risk CCY],$C49,T_bETFs[Source],$A49)</f>
        <v>0</v>
      </c>
      <c r="U49" s="178">
        <f>SUMIFS(T_bETFs[[ 6 ]],T_bETFs[Risk CCY],$C49,T_bETFs[Source],$A49)</f>
        <v>0</v>
      </c>
      <c r="V49" s="178">
        <f>SUMIFS(T_bETFs[[ 7 ]],T_bETFs[Risk CCY],$C49,T_bETFs[Source],$A49)</f>
        <v>0</v>
      </c>
      <c r="W49" s="178">
        <f>SUMIFS(T_bETFs[[ 8 ]],T_bETFs[Risk CCY],$C49,T_bETFs[Source],$A49)</f>
        <v>0</v>
      </c>
      <c r="X49" s="178">
        <f>SUMIFS(T_bETFs[[ 9 ]],T_bETFs[Risk CCY],$C49,T_bETFs[Source],$A49)</f>
        <v>0</v>
      </c>
      <c r="Y49" s="178">
        <f>SUMIFS(T_bETFs[[ 10 ]],T_bETFs[Risk CCY],$C49,T_bETFs[Source],$A49)</f>
        <v>0</v>
      </c>
      <c r="Z49" s="178">
        <f>SUMIFS(T_bETFs[[ 11 ]],T_bETFs[Risk CCY],$C49,T_bETFs[Source],$A49)</f>
        <v>0</v>
      </c>
      <c r="AA49" s="178">
        <f>SUMIFS(T_bETFs[[ 12 ]],T_bETFs[Risk CCY],$C49,T_bETFs[Source],$A49)</f>
        <v>0</v>
      </c>
    </row>
    <row r="50" spans="1:27" x14ac:dyDescent="0.25">
      <c r="A50" s="118" t="s">
        <v>90</v>
      </c>
      <c r="B50" s="1049"/>
      <c r="C50" s="257" t="s">
        <v>21</v>
      </c>
      <c r="D50" s="178" t="e">
        <f>SUMIFS(T_bETFs #REF!,T_bETFs[Risk CCY],$C50,T_bETFs[Source],$A50)</f>
        <v>#NAME?</v>
      </c>
      <c r="E50" s="178">
        <f>SUMIFS(T_bETFs[[ 2 ]],T_bETFs[Risk CCY],$C50,T_bETFs[Source],$A50)</f>
        <v>0</v>
      </c>
      <c r="F50" s="178">
        <f>SUMIFS(T_bETFs[[ 3 ]],T_bETFs[Risk CCY],$C50,T_bETFs[Source],$A50)</f>
        <v>0</v>
      </c>
      <c r="G50" s="178">
        <f>SUMIFS(T_bETFs[[ 4 ]],T_bETFs[Risk CCY],$C50,T_bETFs[Source],$A50)</f>
        <v>0</v>
      </c>
      <c r="H50" s="178">
        <f>SUMIFS(T_bETFs[[ 5 ]],T_bETFs[Risk CCY],$C50,T_bETFs[Source],$A50)</f>
        <v>0</v>
      </c>
      <c r="I50" s="178">
        <f>SUMIFS(T_bETFs[[ 6 ]],T_bETFs[Risk CCY],$C50,T_bETFs[Source],$A50)</f>
        <v>0</v>
      </c>
      <c r="J50" s="178">
        <f>SUMIFS(T_bETFs[[ 7 ]],T_bETFs[Risk CCY],$C50,T_bETFs[Source],$A50)</f>
        <v>0</v>
      </c>
      <c r="K50" s="178">
        <f>SUMIFS(T_bETFs[[ 8 ]],T_bETFs[Risk CCY],$C50,T_bETFs[Source],$A50)</f>
        <v>0</v>
      </c>
      <c r="L50" s="178">
        <f>SUMIFS(T_bETFs[[ 9 ]],T_bETFs[Risk CCY],$C50,T_bETFs[Source],$A50)</f>
        <v>0</v>
      </c>
      <c r="M50" s="178">
        <f>SUMIFS(T_bETFs[[ 10 ]],T_bETFs[Risk CCY],$C50,T_bETFs[Source],$A50)</f>
        <v>0</v>
      </c>
      <c r="N50" s="178">
        <f>SUMIFS(T_bETFs[[ 11 ]],T_bETFs[Risk CCY],$C50,T_bETFs[Source],$A50)</f>
        <v>0</v>
      </c>
      <c r="O50" s="178">
        <f>SUMIFS(T_bETFs[[ 12 ]],T_bETFs[Risk CCY],$C50,T_bETFs[Source],$A50)</f>
        <v>0</v>
      </c>
      <c r="P50" s="178">
        <f>SUMIFS('Bonds ETFs'!AV:AV,'Bonds ETFs'!A:A,'CF CCY'!A50,'Bonds ETFs'!O:O,'CF CCY'!C50)</f>
        <v>0</v>
      </c>
      <c r="Q50" s="178">
        <f>SUMIFS(T_bETFs[[ 2 ]],T_bETFs[Risk CCY],$C50,T_bETFs[Source],$A50)</f>
        <v>0</v>
      </c>
      <c r="R50" s="178">
        <f>SUMIFS(T_bETFs[[ 3 ]],T_bETFs[Risk CCY],$C50,T_bETFs[Source],$A50)</f>
        <v>0</v>
      </c>
      <c r="S50" s="178">
        <f>SUMIFS(T_bETFs[[ 4 ]],T_bETFs[Risk CCY],$C50,T_bETFs[Source],$A50)</f>
        <v>0</v>
      </c>
      <c r="T50" s="178">
        <f>SUMIFS(T_bETFs[[ 5 ]],T_bETFs[Risk CCY],$C50,T_bETFs[Source],$A50)</f>
        <v>0</v>
      </c>
      <c r="U50" s="178">
        <f>SUMIFS(T_bETFs[[ 6 ]],T_bETFs[Risk CCY],$C50,T_bETFs[Source],$A50)</f>
        <v>0</v>
      </c>
      <c r="V50" s="178">
        <f>SUMIFS(T_bETFs[[ 7 ]],T_bETFs[Risk CCY],$C50,T_bETFs[Source],$A50)</f>
        <v>0</v>
      </c>
      <c r="W50" s="178">
        <f>SUMIFS(T_bETFs[[ 8 ]],T_bETFs[Risk CCY],$C50,T_bETFs[Source],$A50)</f>
        <v>0</v>
      </c>
      <c r="X50" s="178">
        <f>SUMIFS(T_bETFs[[ 9 ]],T_bETFs[Risk CCY],$C50,T_bETFs[Source],$A50)</f>
        <v>0</v>
      </c>
      <c r="Y50" s="178">
        <f>SUMIFS(T_bETFs[[ 10 ]],T_bETFs[Risk CCY],$C50,T_bETFs[Source],$A50)</f>
        <v>0</v>
      </c>
      <c r="Z50" s="178">
        <f>SUMIFS(T_bETFs[[ 11 ]],T_bETFs[Risk CCY],$C50,T_bETFs[Source],$A50)</f>
        <v>0</v>
      </c>
      <c r="AA50" s="178">
        <f>SUMIFS(T_bETFs[[ 12 ]],T_bETFs[Risk CCY],$C50,T_bETFs[Source],$A50)</f>
        <v>0</v>
      </c>
    </row>
    <row r="51" spans="1:27" x14ac:dyDescent="0.25">
      <c r="A51" s="118" t="s">
        <v>90</v>
      </c>
      <c r="B51" s="1050"/>
      <c r="C51" s="258" t="s">
        <v>23</v>
      </c>
      <c r="D51" s="259" t="e">
        <f>SUMIFS(T_bETFs #REF!,T_bETFs[Risk CCY],$C51,T_bETFs[Source],$A51)</f>
        <v>#NAME?</v>
      </c>
      <c r="E51" s="259">
        <f>SUMIFS(T_bETFs[[ 2 ]],T_bETFs[Risk CCY],$C51,T_bETFs[Source],$A51)</f>
        <v>0</v>
      </c>
      <c r="F51" s="259">
        <f>SUMIFS(T_bETFs[[ 3 ]],T_bETFs[Risk CCY],$C51,T_bETFs[Source],$A51)</f>
        <v>0</v>
      </c>
      <c r="G51" s="259">
        <f>SUMIFS(T_bETFs[[ 4 ]],T_bETFs[Risk CCY],$C51,T_bETFs[Source],$A51)</f>
        <v>0</v>
      </c>
      <c r="H51" s="259">
        <f>SUMIFS(T_bETFs[[ 5 ]],T_bETFs[Risk CCY],$C51,T_bETFs[Source],$A51)</f>
        <v>0</v>
      </c>
      <c r="I51" s="259">
        <f>SUMIFS(T_bETFs[[ 6 ]],T_bETFs[Risk CCY],$C51,T_bETFs[Source],$A51)</f>
        <v>0</v>
      </c>
      <c r="J51" s="259">
        <f>SUMIFS(T_bETFs[[ 7 ]],T_bETFs[Risk CCY],$C51,T_bETFs[Source],$A51)</f>
        <v>0</v>
      </c>
      <c r="K51" s="259">
        <f>SUMIFS(T_bETFs[[ 8 ]],T_bETFs[Risk CCY],$C51,T_bETFs[Source],$A51)</f>
        <v>0</v>
      </c>
      <c r="L51" s="259">
        <f>SUMIFS(T_bETFs[[ 9 ]],T_bETFs[Risk CCY],$C51,T_bETFs[Source],$A51)</f>
        <v>0</v>
      </c>
      <c r="M51" s="259">
        <f>SUMIFS(T_bETFs[[ 10 ]],T_bETFs[Risk CCY],$C51,T_bETFs[Source],$A51)</f>
        <v>0</v>
      </c>
      <c r="N51" s="259">
        <f>SUMIFS(T_bETFs[[ 11 ]],T_bETFs[Risk CCY],$C51,T_bETFs[Source],$A51)</f>
        <v>0</v>
      </c>
      <c r="O51" s="259">
        <f>SUMIFS(T_bETFs[[ 12 ]],T_bETFs[Risk CCY],$C51,T_bETFs[Source],$A51)</f>
        <v>0</v>
      </c>
      <c r="P51" s="259">
        <f>SUMIFS('Bonds ETFs'!AV:AV,'Bonds ETFs'!A:A,'CF CCY'!A51,'Bonds ETFs'!O:O,'CF CCY'!C51)</f>
        <v>0</v>
      </c>
      <c r="Q51" s="259">
        <f>SUMIFS(T_bETFs[[ 2 ]],T_bETFs[Risk CCY],$C51,T_bETFs[Source],$A51)</f>
        <v>0</v>
      </c>
      <c r="R51" s="259">
        <f>SUMIFS(T_bETFs[[ 3 ]],T_bETFs[Risk CCY],$C51,T_bETFs[Source],$A51)</f>
        <v>0</v>
      </c>
      <c r="S51" s="259">
        <f>SUMIFS(T_bETFs[[ 4 ]],T_bETFs[Risk CCY],$C51,T_bETFs[Source],$A51)</f>
        <v>0</v>
      </c>
      <c r="T51" s="259">
        <f>SUMIFS(T_bETFs[[ 5 ]],T_bETFs[Risk CCY],$C51,T_bETFs[Source],$A51)</f>
        <v>0</v>
      </c>
      <c r="U51" s="259">
        <f>SUMIFS(T_bETFs[[ 6 ]],T_bETFs[Risk CCY],$C51,T_bETFs[Source],$A51)</f>
        <v>0</v>
      </c>
      <c r="V51" s="259">
        <f>SUMIFS(T_bETFs[[ 7 ]],T_bETFs[Risk CCY],$C51,T_bETFs[Source],$A51)</f>
        <v>0</v>
      </c>
      <c r="W51" s="259">
        <f>SUMIFS(T_bETFs[[ 8 ]],T_bETFs[Risk CCY],$C51,T_bETFs[Source],$A51)</f>
        <v>0</v>
      </c>
      <c r="X51" s="259">
        <f>SUMIFS(T_bETFs[[ 9 ]],T_bETFs[Risk CCY],$C51,T_bETFs[Source],$A51)</f>
        <v>0</v>
      </c>
      <c r="Y51" s="259">
        <f>SUMIFS(T_bETFs[[ 10 ]],T_bETFs[Risk CCY],$C51,T_bETFs[Source],$A51)</f>
        <v>0</v>
      </c>
      <c r="Z51" s="259">
        <f>SUMIFS(T_bETFs[[ 11 ]],T_bETFs[Risk CCY],$C51,T_bETFs[Source],$A51)</f>
        <v>0</v>
      </c>
      <c r="AA51" s="259">
        <f>SUMIFS(T_bETFs[[ 12 ]],T_bETFs[Risk CCY],$C51,T_bETFs[Source],$A51)</f>
        <v>0</v>
      </c>
    </row>
    <row r="52" spans="1:27" x14ac:dyDescent="0.25">
      <c r="A52" s="118" t="s">
        <v>366</v>
      </c>
      <c r="B52" s="1048" t="s">
        <v>366</v>
      </c>
      <c r="C52" s="260" t="s">
        <v>18</v>
      </c>
      <c r="D52" s="261" t="e">
        <f>SUMIFS(T_bETFs #REF!,T_bETFs[Risk CCY],$C52,T_bETFs[Source],$A52)</f>
        <v>#NAME?</v>
      </c>
      <c r="E52" s="261">
        <f>SUMIFS(T_bETFs[[ 2 ]],T_bETFs[Risk CCY],$C52,T_bETFs[Source],$A52)</f>
        <v>5578.1845833333318</v>
      </c>
      <c r="F52" s="261">
        <f>SUMIFS(T_bETFs[[ 3 ]],T_bETFs[Risk CCY],$C52,T_bETFs[Source],$A52)</f>
        <v>5578.1845833333318</v>
      </c>
      <c r="G52" s="261">
        <f>SUMIFS(T_bETFs[[ 4 ]],T_bETFs[Risk CCY],$C52,T_bETFs[Source],$A52)</f>
        <v>11704.377899583331</v>
      </c>
      <c r="H52" s="261">
        <f>SUMIFS(T_bETFs[[ 5 ]],T_bETFs[Risk CCY],$C52,T_bETFs[Source],$A52)</f>
        <v>5578.1845833333318</v>
      </c>
      <c r="I52" s="261">
        <f>SUMIFS(T_bETFs[[ 6 ]],T_bETFs[Risk CCY],$C52,T_bETFs[Source],$A52)</f>
        <v>5578.1845833333318</v>
      </c>
      <c r="J52" s="261">
        <f>SUMIFS(T_bETFs[[ 7 ]],T_bETFs[Risk CCY],$C52,T_bETFs[Source],$A52)</f>
        <v>11704.377899583331</v>
      </c>
      <c r="K52" s="261">
        <f>SUMIFS(T_bETFs[[ 8 ]],T_bETFs[Risk CCY],$C52,T_bETFs[Source],$A52)</f>
        <v>5578.1845833333318</v>
      </c>
      <c r="L52" s="261">
        <f>SUMIFS(T_bETFs[[ 9 ]],T_bETFs[Risk CCY],$C52,T_bETFs[Source],$A52)</f>
        <v>5578.1845833333318</v>
      </c>
      <c r="M52" s="261">
        <f>SUMIFS(T_bETFs[[ 10 ]],T_bETFs[Risk CCY],$C52,T_bETFs[Source],$A52)</f>
        <v>11704.377899583331</v>
      </c>
      <c r="N52" s="261">
        <f>SUMIFS(T_bETFs[[ 11 ]],T_bETFs[Risk CCY],$C52,T_bETFs[Source],$A52)</f>
        <v>5578.1845833333318</v>
      </c>
      <c r="O52" s="261">
        <f>SUMIFS(T_bETFs[[ 12 ]],T_bETFs[Risk CCY],$C52,T_bETFs[Source],$A52)</f>
        <v>5578.1845833333318</v>
      </c>
      <c r="P52" s="261">
        <f>SUMIFS('Bonds ETFs'!AV:AV,'Bonds ETFs'!A:A,'CF CCY'!A52,'Bonds ETFs'!O:O,'CF CCY'!C52)</f>
        <v>11704.377899583331</v>
      </c>
      <c r="Q52" s="261">
        <f>SUMIFS(T_bETFs[[ 2 ]],T_bETFs[Risk CCY],$C52,T_bETFs[Source],$A52)</f>
        <v>5578.1845833333318</v>
      </c>
      <c r="R52" s="261">
        <f>SUMIFS(T_bETFs[[ 3 ]],T_bETFs[Risk CCY],$C52,T_bETFs[Source],$A52)</f>
        <v>5578.1845833333318</v>
      </c>
      <c r="S52" s="261">
        <f>SUMIFS(T_bETFs[[ 4 ]],T_bETFs[Risk CCY],$C52,T_bETFs[Source],$A52)</f>
        <v>11704.377899583331</v>
      </c>
      <c r="T52" s="261">
        <f>SUMIFS(T_bETFs[[ 5 ]],T_bETFs[Risk CCY],$C52,T_bETFs[Source],$A52)</f>
        <v>5578.1845833333318</v>
      </c>
      <c r="U52" s="261">
        <f>SUMIFS(T_bETFs[[ 6 ]],T_bETFs[Risk CCY],$C52,T_bETFs[Source],$A52)</f>
        <v>5578.1845833333318</v>
      </c>
      <c r="V52" s="261">
        <f>SUMIFS(T_bETFs[[ 7 ]],T_bETFs[Risk CCY],$C52,T_bETFs[Source],$A52)</f>
        <v>11704.377899583331</v>
      </c>
      <c r="W52" s="261">
        <f>SUMIFS(T_bETFs[[ 8 ]],T_bETFs[Risk CCY],$C52,T_bETFs[Source],$A52)</f>
        <v>5578.1845833333318</v>
      </c>
      <c r="X52" s="261">
        <f>SUMIFS(T_bETFs[[ 9 ]],T_bETFs[Risk CCY],$C52,T_bETFs[Source],$A52)</f>
        <v>5578.1845833333318</v>
      </c>
      <c r="Y52" s="261">
        <f>SUMIFS(T_bETFs[[ 10 ]],T_bETFs[Risk CCY],$C52,T_bETFs[Source],$A52)</f>
        <v>11704.377899583331</v>
      </c>
      <c r="Z52" s="261">
        <f>SUMIFS(T_bETFs[[ 11 ]],T_bETFs[Risk CCY],$C52,T_bETFs[Source],$A52)</f>
        <v>5578.1845833333318</v>
      </c>
      <c r="AA52" s="261">
        <f>SUMIFS(T_bETFs[[ 12 ]],T_bETFs[Risk CCY],$C52,T_bETFs[Source],$A52)</f>
        <v>5578.1845833333318</v>
      </c>
    </row>
    <row r="53" spans="1:27" x14ac:dyDescent="0.25">
      <c r="A53" s="118" t="s">
        <v>366</v>
      </c>
      <c r="B53" s="1049"/>
      <c r="C53" s="257" t="s">
        <v>19</v>
      </c>
      <c r="D53" s="178" t="e">
        <f>SUMIFS(T_bETFs #REF!,T_bETFs[Risk CCY],$C53,T_bETFs[Source],$A53)</f>
        <v>#NAME?</v>
      </c>
      <c r="E53" s="178">
        <f>SUMIFS(T_bETFs[[ 2 ]],T_bETFs[Risk CCY],$C53,T_bETFs[Source],$A53)</f>
        <v>0</v>
      </c>
      <c r="F53" s="178">
        <f>SUMIFS(T_bETFs[[ 3 ]],T_bETFs[Risk CCY],$C53,T_bETFs[Source],$A53)</f>
        <v>0</v>
      </c>
      <c r="G53" s="178">
        <f>SUMIFS(T_bETFs[[ 4 ]],T_bETFs[Risk CCY],$C53,T_bETFs[Source],$A53)</f>
        <v>0</v>
      </c>
      <c r="H53" s="178">
        <f>SUMIFS(T_bETFs[[ 5 ]],T_bETFs[Risk CCY],$C53,T_bETFs[Source],$A53)</f>
        <v>0</v>
      </c>
      <c r="I53" s="178">
        <f>SUMIFS(T_bETFs[[ 6 ]],T_bETFs[Risk CCY],$C53,T_bETFs[Source],$A53)</f>
        <v>0</v>
      </c>
      <c r="J53" s="178">
        <f>SUMIFS(T_bETFs[[ 7 ]],T_bETFs[Risk CCY],$C53,T_bETFs[Source],$A53)</f>
        <v>0</v>
      </c>
      <c r="K53" s="178">
        <f>SUMIFS(T_bETFs[[ 8 ]],T_bETFs[Risk CCY],$C53,T_bETFs[Source],$A53)</f>
        <v>0</v>
      </c>
      <c r="L53" s="178">
        <f>SUMIFS(T_bETFs[[ 9 ]],T_bETFs[Risk CCY],$C53,T_bETFs[Source],$A53)</f>
        <v>0</v>
      </c>
      <c r="M53" s="178">
        <f>SUMIFS(T_bETFs[[ 10 ]],T_bETFs[Risk CCY],$C53,T_bETFs[Source],$A53)</f>
        <v>0</v>
      </c>
      <c r="N53" s="178">
        <f>SUMIFS(T_bETFs[[ 11 ]],T_bETFs[Risk CCY],$C53,T_bETFs[Source],$A53)</f>
        <v>0</v>
      </c>
      <c r="O53" s="178">
        <f>SUMIFS(T_bETFs[[ 12 ]],T_bETFs[Risk CCY],$C53,T_bETFs[Source],$A53)</f>
        <v>0</v>
      </c>
      <c r="P53" s="178">
        <f>SUMIFS('Bonds ETFs'!AV:AV,'Bonds ETFs'!A:A,'CF CCY'!A53,'Bonds ETFs'!O:O,'CF CCY'!C53)</f>
        <v>0</v>
      </c>
      <c r="Q53" s="178">
        <f>SUMIFS(T_bETFs[[ 2 ]],T_bETFs[Risk CCY],$C53,T_bETFs[Source],$A53)</f>
        <v>0</v>
      </c>
      <c r="R53" s="178">
        <f>SUMIFS(T_bETFs[[ 3 ]],T_bETFs[Risk CCY],$C53,T_bETFs[Source],$A53)</f>
        <v>0</v>
      </c>
      <c r="S53" s="178">
        <f>SUMIFS(T_bETFs[[ 4 ]],T_bETFs[Risk CCY],$C53,T_bETFs[Source],$A53)</f>
        <v>0</v>
      </c>
      <c r="T53" s="178">
        <f>SUMIFS(T_bETFs[[ 5 ]],T_bETFs[Risk CCY],$C53,T_bETFs[Source],$A53)</f>
        <v>0</v>
      </c>
      <c r="U53" s="178">
        <f>SUMIFS(T_bETFs[[ 6 ]],T_bETFs[Risk CCY],$C53,T_bETFs[Source],$A53)</f>
        <v>0</v>
      </c>
      <c r="V53" s="178">
        <f>SUMIFS(T_bETFs[[ 7 ]],T_bETFs[Risk CCY],$C53,T_bETFs[Source],$A53)</f>
        <v>0</v>
      </c>
      <c r="W53" s="178">
        <f>SUMIFS(T_bETFs[[ 8 ]],T_bETFs[Risk CCY],$C53,T_bETFs[Source],$A53)</f>
        <v>0</v>
      </c>
      <c r="X53" s="178">
        <f>SUMIFS(T_bETFs[[ 9 ]],T_bETFs[Risk CCY],$C53,T_bETFs[Source],$A53)</f>
        <v>0</v>
      </c>
      <c r="Y53" s="178">
        <f>SUMIFS(T_bETFs[[ 10 ]],T_bETFs[Risk CCY],$C53,T_bETFs[Source],$A53)</f>
        <v>0</v>
      </c>
      <c r="Z53" s="178">
        <f>SUMIFS(T_bETFs[[ 11 ]],T_bETFs[Risk CCY],$C53,T_bETFs[Source],$A53)</f>
        <v>0</v>
      </c>
      <c r="AA53" s="178">
        <f>SUMIFS(T_bETFs[[ 12 ]],T_bETFs[Risk CCY],$C53,T_bETFs[Source],$A53)</f>
        <v>0</v>
      </c>
    </row>
    <row r="54" spans="1:27" x14ac:dyDescent="0.25">
      <c r="A54" s="118" t="s">
        <v>366</v>
      </c>
      <c r="B54" s="1049"/>
      <c r="C54" s="257" t="s">
        <v>21</v>
      </c>
      <c r="D54" s="178" t="e">
        <f>SUMIFS(T_bETFs #REF!,T_bETFs[Risk CCY],$C54,T_bETFs[Source],$A54)</f>
        <v>#NAME?</v>
      </c>
      <c r="E54" s="178">
        <f>SUMIFS(T_bETFs[[ 2 ]],T_bETFs[Risk CCY],$C54,T_bETFs[Source],$A54)</f>
        <v>0</v>
      </c>
      <c r="F54" s="178">
        <f>SUMIFS(T_bETFs[[ 3 ]],T_bETFs[Risk CCY],$C54,T_bETFs[Source],$A54)</f>
        <v>0</v>
      </c>
      <c r="G54" s="178">
        <f>SUMIFS(T_bETFs[[ 4 ]],T_bETFs[Risk CCY],$C54,T_bETFs[Source],$A54)</f>
        <v>0</v>
      </c>
      <c r="H54" s="178">
        <f>SUMIFS(T_bETFs[[ 5 ]],T_bETFs[Risk CCY],$C54,T_bETFs[Source],$A54)</f>
        <v>0</v>
      </c>
      <c r="I54" s="178">
        <f>SUMIFS(T_bETFs[[ 6 ]],T_bETFs[Risk CCY],$C54,T_bETFs[Source],$A54)</f>
        <v>0</v>
      </c>
      <c r="J54" s="178">
        <f>SUMIFS(T_bETFs[[ 7 ]],T_bETFs[Risk CCY],$C54,T_bETFs[Source],$A54)</f>
        <v>0</v>
      </c>
      <c r="K54" s="178">
        <f>SUMIFS(T_bETFs[[ 8 ]],T_bETFs[Risk CCY],$C54,T_bETFs[Source],$A54)</f>
        <v>0</v>
      </c>
      <c r="L54" s="178">
        <f>SUMIFS(T_bETFs[[ 9 ]],T_bETFs[Risk CCY],$C54,T_bETFs[Source],$A54)</f>
        <v>0</v>
      </c>
      <c r="M54" s="178">
        <f>SUMIFS(T_bETFs[[ 10 ]],T_bETFs[Risk CCY],$C54,T_bETFs[Source],$A54)</f>
        <v>0</v>
      </c>
      <c r="N54" s="178">
        <f>SUMIFS(T_bETFs[[ 11 ]],T_bETFs[Risk CCY],$C54,T_bETFs[Source],$A54)</f>
        <v>0</v>
      </c>
      <c r="O54" s="178">
        <f>SUMIFS(T_bETFs[[ 12 ]],T_bETFs[Risk CCY],$C54,T_bETFs[Source],$A54)</f>
        <v>0</v>
      </c>
      <c r="P54" s="178">
        <f>SUMIFS('Bonds ETFs'!AV:AV,'Bonds ETFs'!A:A,'CF CCY'!A54,'Bonds ETFs'!O:O,'CF CCY'!C54)</f>
        <v>0</v>
      </c>
      <c r="Q54" s="178">
        <f>SUMIFS(T_bETFs[[ 2 ]],T_bETFs[Risk CCY],$C54,T_bETFs[Source],$A54)</f>
        <v>0</v>
      </c>
      <c r="R54" s="178">
        <f>SUMIFS(T_bETFs[[ 3 ]],T_bETFs[Risk CCY],$C54,T_bETFs[Source],$A54)</f>
        <v>0</v>
      </c>
      <c r="S54" s="178">
        <f>SUMIFS(T_bETFs[[ 4 ]],T_bETFs[Risk CCY],$C54,T_bETFs[Source],$A54)</f>
        <v>0</v>
      </c>
      <c r="T54" s="178">
        <f>SUMIFS(T_bETFs[[ 5 ]],T_bETFs[Risk CCY],$C54,T_bETFs[Source],$A54)</f>
        <v>0</v>
      </c>
      <c r="U54" s="178">
        <f>SUMIFS(T_bETFs[[ 6 ]],T_bETFs[Risk CCY],$C54,T_bETFs[Source],$A54)</f>
        <v>0</v>
      </c>
      <c r="V54" s="178">
        <f>SUMIFS(T_bETFs[[ 7 ]],T_bETFs[Risk CCY],$C54,T_bETFs[Source],$A54)</f>
        <v>0</v>
      </c>
      <c r="W54" s="178">
        <f>SUMIFS(T_bETFs[[ 8 ]],T_bETFs[Risk CCY],$C54,T_bETFs[Source],$A54)</f>
        <v>0</v>
      </c>
      <c r="X54" s="178">
        <f>SUMIFS(T_bETFs[[ 9 ]],T_bETFs[Risk CCY],$C54,T_bETFs[Source],$A54)</f>
        <v>0</v>
      </c>
      <c r="Y54" s="178">
        <f>SUMIFS(T_bETFs[[ 10 ]],T_bETFs[Risk CCY],$C54,T_bETFs[Source],$A54)</f>
        <v>0</v>
      </c>
      <c r="Z54" s="178">
        <f>SUMIFS(T_bETFs[[ 11 ]],T_bETFs[Risk CCY],$C54,T_bETFs[Source],$A54)</f>
        <v>0</v>
      </c>
      <c r="AA54" s="178">
        <f>SUMIFS(T_bETFs[[ 12 ]],T_bETFs[Risk CCY],$C54,T_bETFs[Source],$A54)</f>
        <v>0</v>
      </c>
    </row>
    <row r="55" spans="1:27" x14ac:dyDescent="0.25">
      <c r="A55" s="118" t="s">
        <v>366</v>
      </c>
      <c r="B55" s="1050"/>
      <c r="C55" s="258" t="s">
        <v>23</v>
      </c>
      <c r="D55" s="259" t="e">
        <f>SUMIFS(T_bETFs #REF!,T_bETFs[Risk CCY],$C55,T_bETFs[Source],$A55)</f>
        <v>#NAME?</v>
      </c>
      <c r="E55" s="259">
        <f>SUMIFS(T_bETFs[[ 2 ]],T_bETFs[Risk CCY],$C55,T_bETFs[Source],$A55)</f>
        <v>0</v>
      </c>
      <c r="F55" s="259">
        <f>SUMIFS(T_bETFs[[ 3 ]],T_bETFs[Risk CCY],$C55,T_bETFs[Source],$A55)</f>
        <v>0</v>
      </c>
      <c r="G55" s="259">
        <f>SUMIFS(T_bETFs[[ 4 ]],T_bETFs[Risk CCY],$C55,T_bETFs[Source],$A55)</f>
        <v>0</v>
      </c>
      <c r="H55" s="259">
        <f>SUMIFS(T_bETFs[[ 5 ]],T_bETFs[Risk CCY],$C55,T_bETFs[Source],$A55)</f>
        <v>0</v>
      </c>
      <c r="I55" s="259">
        <f>SUMIFS(T_bETFs[[ 6 ]],T_bETFs[Risk CCY],$C55,T_bETFs[Source],$A55)</f>
        <v>0</v>
      </c>
      <c r="J55" s="259">
        <f>SUMIFS(T_bETFs[[ 7 ]],T_bETFs[Risk CCY],$C55,T_bETFs[Source],$A55)</f>
        <v>0</v>
      </c>
      <c r="K55" s="259">
        <f>SUMIFS(T_bETFs[[ 8 ]],T_bETFs[Risk CCY],$C55,T_bETFs[Source],$A55)</f>
        <v>0</v>
      </c>
      <c r="L55" s="259">
        <f>SUMIFS(T_bETFs[[ 9 ]],T_bETFs[Risk CCY],$C55,T_bETFs[Source],$A55)</f>
        <v>0</v>
      </c>
      <c r="M55" s="259">
        <f>SUMIFS(T_bETFs[[ 10 ]],T_bETFs[Risk CCY],$C55,T_bETFs[Source],$A55)</f>
        <v>0</v>
      </c>
      <c r="N55" s="259">
        <f>SUMIFS(T_bETFs[[ 11 ]],T_bETFs[Risk CCY],$C55,T_bETFs[Source],$A55)</f>
        <v>0</v>
      </c>
      <c r="O55" s="259">
        <f>SUMIFS(T_bETFs[[ 12 ]],T_bETFs[Risk CCY],$C55,T_bETFs[Source],$A55)</f>
        <v>0</v>
      </c>
      <c r="P55" s="259">
        <f>SUMIFS('Bonds ETFs'!AV:AV,'Bonds ETFs'!A:A,'CF CCY'!A55,'Bonds ETFs'!O:O,'CF CCY'!C55)</f>
        <v>0</v>
      </c>
      <c r="Q55" s="259">
        <f>SUMIFS(T_bETFs[[ 2 ]],T_bETFs[Risk CCY],$C55,T_bETFs[Source],$A55)</f>
        <v>0</v>
      </c>
      <c r="R55" s="259">
        <f>SUMIFS(T_bETFs[[ 3 ]],T_bETFs[Risk CCY],$C55,T_bETFs[Source],$A55)</f>
        <v>0</v>
      </c>
      <c r="S55" s="259">
        <f>SUMIFS(T_bETFs[[ 4 ]],T_bETFs[Risk CCY],$C55,T_bETFs[Source],$A55)</f>
        <v>0</v>
      </c>
      <c r="T55" s="259">
        <f>SUMIFS(T_bETFs[[ 5 ]],T_bETFs[Risk CCY],$C55,T_bETFs[Source],$A55)</f>
        <v>0</v>
      </c>
      <c r="U55" s="259">
        <f>SUMIFS(T_bETFs[[ 6 ]],T_bETFs[Risk CCY],$C55,T_bETFs[Source],$A55)</f>
        <v>0</v>
      </c>
      <c r="V55" s="259">
        <f>SUMIFS(T_bETFs[[ 7 ]],T_bETFs[Risk CCY],$C55,T_bETFs[Source],$A55)</f>
        <v>0</v>
      </c>
      <c r="W55" s="259">
        <f>SUMIFS(T_bETFs[[ 8 ]],T_bETFs[Risk CCY],$C55,T_bETFs[Source],$A55)</f>
        <v>0</v>
      </c>
      <c r="X55" s="259">
        <f>SUMIFS(T_bETFs[[ 9 ]],T_bETFs[Risk CCY],$C55,T_bETFs[Source],$A55)</f>
        <v>0</v>
      </c>
      <c r="Y55" s="259">
        <f>SUMIFS(T_bETFs[[ 10 ]],T_bETFs[Risk CCY],$C55,T_bETFs[Source],$A55)</f>
        <v>0</v>
      </c>
      <c r="Z55" s="259">
        <f>SUMIFS(T_bETFs[[ 11 ]],T_bETFs[Risk CCY],$C55,T_bETFs[Source],$A55)</f>
        <v>0</v>
      </c>
      <c r="AA55" s="259">
        <f>SUMIFS(T_bETFs[[ 12 ]],T_bETFs[Risk CCY],$C55,T_bETFs[Source],$A55)</f>
        <v>0</v>
      </c>
    </row>
    <row r="57" spans="1:27" ht="15.75" thickBot="1" x14ac:dyDescent="0.3"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</row>
    <row r="58" spans="1:27" s="246" customFormat="1" ht="16.5" thickTop="1" thickBot="1" x14ac:dyDescent="0.3">
      <c r="B58" s="262" t="s">
        <v>925</v>
      </c>
      <c r="C58" s="262" t="s">
        <v>11</v>
      </c>
      <c r="D58" s="262"/>
      <c r="E58" s="262"/>
      <c r="F58" s="262"/>
      <c r="G58" s="262"/>
      <c r="H58" s="262"/>
      <c r="I58" s="262"/>
      <c r="J58" s="262"/>
      <c r="K58" s="262"/>
      <c r="L58" s="262"/>
      <c r="M58" s="262"/>
      <c r="N58" s="262"/>
      <c r="O58" s="262"/>
      <c r="P58" s="262"/>
      <c r="Q58" s="262"/>
      <c r="R58" s="262"/>
      <c r="S58" s="262"/>
      <c r="T58" s="262"/>
      <c r="U58" s="262"/>
      <c r="V58" s="262"/>
      <c r="W58" s="262"/>
      <c r="X58" s="262"/>
      <c r="Y58" s="262"/>
      <c r="Z58" s="262"/>
      <c r="AA58" s="262"/>
    </row>
    <row r="59" spans="1:27" ht="15.75" thickTop="1" x14ac:dyDescent="0.25">
      <c r="A59" s="118" t="s">
        <v>51</v>
      </c>
      <c r="B59" s="1051" t="s">
        <v>51</v>
      </c>
      <c r="C59" s="255" t="s">
        <v>18</v>
      </c>
      <c r="D59" s="256"/>
      <c r="E59" s="256"/>
      <c r="F59" s="256"/>
      <c r="G59" s="256"/>
      <c r="H59" s="256"/>
      <c r="I59" s="256"/>
      <c r="J59" s="256">
        <v>123857.51304348151</v>
      </c>
      <c r="K59" s="256"/>
      <c r="L59" s="256"/>
      <c r="M59" s="256"/>
      <c r="N59" s="256"/>
      <c r="O59" s="256"/>
      <c r="P59" s="256"/>
      <c r="Q59" s="256"/>
      <c r="R59" s="256"/>
      <c r="S59" s="256"/>
      <c r="T59" s="256"/>
      <c r="U59" s="256"/>
      <c r="V59" s="256">
        <v>123857.51304348151</v>
      </c>
      <c r="W59" s="256"/>
      <c r="X59" s="256"/>
      <c r="Y59" s="256"/>
      <c r="Z59" s="256"/>
      <c r="AA59" s="256"/>
    </row>
    <row r="60" spans="1:27" x14ac:dyDescent="0.25">
      <c r="A60" s="118" t="s">
        <v>51</v>
      </c>
      <c r="B60" s="1049"/>
      <c r="C60" s="257" t="s">
        <v>19</v>
      </c>
      <c r="D60" s="178"/>
      <c r="E60" s="178"/>
      <c r="F60" s="178"/>
      <c r="G60" s="178"/>
      <c r="H60" s="178"/>
      <c r="I60" s="178"/>
      <c r="J60" s="178"/>
      <c r="K60" s="178"/>
      <c r="L60" s="178"/>
      <c r="M60" s="178"/>
      <c r="N60" s="178"/>
      <c r="O60" s="178"/>
      <c r="P60" s="178"/>
      <c r="Q60" s="178"/>
      <c r="R60" s="178"/>
      <c r="S60" s="178"/>
      <c r="T60" s="178"/>
      <c r="U60" s="178"/>
      <c r="V60" s="178"/>
      <c r="W60" s="178"/>
      <c r="X60" s="178"/>
      <c r="Y60" s="178"/>
      <c r="Z60" s="178"/>
      <c r="AA60" s="178"/>
    </row>
    <row r="61" spans="1:27" x14ac:dyDescent="0.25">
      <c r="A61" s="118" t="s">
        <v>51</v>
      </c>
      <c r="B61" s="1049"/>
      <c r="C61" s="257" t="s">
        <v>21</v>
      </c>
      <c r="D61" s="178"/>
      <c r="E61" s="178"/>
      <c r="F61" s="178"/>
      <c r="G61" s="178"/>
      <c r="H61" s="178"/>
      <c r="I61" s="178"/>
      <c r="J61" s="178"/>
      <c r="K61" s="178"/>
      <c r="L61" s="178"/>
      <c r="M61" s="178"/>
      <c r="N61" s="178"/>
      <c r="O61" s="178"/>
      <c r="P61" s="178"/>
      <c r="Q61" s="178"/>
      <c r="R61" s="178"/>
      <c r="S61" s="178"/>
      <c r="T61" s="178"/>
      <c r="U61" s="178"/>
      <c r="V61" s="178"/>
      <c r="W61" s="178"/>
      <c r="X61" s="178"/>
      <c r="Y61" s="178"/>
      <c r="Z61" s="178"/>
      <c r="AA61" s="178"/>
    </row>
    <row r="62" spans="1:27" x14ac:dyDescent="0.25">
      <c r="A62" s="118" t="s">
        <v>51</v>
      </c>
      <c r="B62" s="1050"/>
      <c r="C62" s="258" t="s">
        <v>23</v>
      </c>
      <c r="D62" s="259"/>
      <c r="E62" s="259"/>
      <c r="F62" s="259"/>
      <c r="G62" s="259"/>
      <c r="H62" s="259"/>
      <c r="I62" s="259"/>
      <c r="J62" s="259"/>
      <c r="K62" s="259"/>
      <c r="L62" s="259"/>
      <c r="M62" s="259"/>
      <c r="N62" s="259"/>
      <c r="O62" s="259"/>
      <c r="P62" s="259"/>
      <c r="Q62" s="259"/>
      <c r="R62" s="259"/>
      <c r="S62" s="259"/>
      <c r="T62" s="259"/>
      <c r="U62" s="259"/>
      <c r="V62" s="259"/>
      <c r="W62" s="259"/>
      <c r="X62" s="259"/>
      <c r="Y62" s="259"/>
      <c r="Z62" s="259"/>
      <c r="AA62" s="259"/>
    </row>
    <row r="63" spans="1:27" x14ac:dyDescent="0.25">
      <c r="A63" s="118" t="s">
        <v>49</v>
      </c>
      <c r="B63" s="1048" t="s">
        <v>49</v>
      </c>
      <c r="C63" s="260" t="s">
        <v>18</v>
      </c>
      <c r="D63" s="261"/>
      <c r="E63" s="261"/>
      <c r="F63" s="261"/>
      <c r="G63" s="261"/>
      <c r="H63" s="261"/>
      <c r="I63" s="261"/>
      <c r="J63" s="261"/>
      <c r="K63" s="261"/>
      <c r="L63" s="261"/>
      <c r="M63" s="261"/>
      <c r="N63" s="261"/>
      <c r="O63" s="261"/>
      <c r="P63" s="261"/>
      <c r="Q63" s="261"/>
      <c r="R63" s="261"/>
      <c r="S63" s="261"/>
      <c r="T63" s="261"/>
      <c r="U63" s="261"/>
      <c r="V63" s="261"/>
      <c r="W63" s="261"/>
      <c r="X63" s="261"/>
      <c r="Y63" s="261"/>
      <c r="Z63" s="261"/>
      <c r="AA63" s="261"/>
    </row>
    <row r="64" spans="1:27" x14ac:dyDescent="0.25">
      <c r="A64" s="118" t="s">
        <v>49</v>
      </c>
      <c r="B64" s="1049"/>
      <c r="C64" s="257" t="s">
        <v>19</v>
      </c>
      <c r="D64" s="178"/>
      <c r="E64" s="178"/>
      <c r="F64" s="178"/>
      <c r="G64" s="178"/>
      <c r="H64" s="178"/>
      <c r="I64" s="178"/>
      <c r="J64" s="178"/>
      <c r="K64" s="178"/>
      <c r="L64" s="178"/>
      <c r="M64" s="178"/>
      <c r="N64" s="178"/>
      <c r="O64" s="178"/>
      <c r="P64" s="178"/>
      <c r="Q64" s="178"/>
      <c r="R64" s="178"/>
      <c r="S64" s="178"/>
      <c r="T64" s="178"/>
      <c r="U64" s="178"/>
      <c r="V64" s="178"/>
      <c r="W64" s="178"/>
      <c r="X64" s="178"/>
      <c r="Y64" s="178"/>
      <c r="Z64" s="178"/>
      <c r="AA64" s="178"/>
    </row>
    <row r="65" spans="1:27" x14ac:dyDescent="0.25">
      <c r="A65" s="118" t="s">
        <v>49</v>
      </c>
      <c r="B65" s="1049"/>
      <c r="C65" s="257" t="s">
        <v>21</v>
      </c>
      <c r="D65" s="178"/>
      <c r="E65" s="178"/>
      <c r="F65" s="178"/>
      <c r="G65" s="178"/>
      <c r="H65" s="178"/>
      <c r="I65" s="178"/>
      <c r="J65" s="178"/>
      <c r="K65" s="178"/>
      <c r="L65" s="178"/>
      <c r="M65" s="178"/>
      <c r="N65" s="178"/>
      <c r="O65" s="178"/>
      <c r="P65" s="178"/>
      <c r="Q65" s="178"/>
      <c r="R65" s="178"/>
      <c r="S65" s="178"/>
      <c r="T65" s="178"/>
      <c r="U65" s="178"/>
      <c r="V65" s="178"/>
      <c r="W65" s="178"/>
      <c r="X65" s="178"/>
      <c r="Y65" s="178"/>
      <c r="Z65" s="178"/>
      <c r="AA65" s="178"/>
    </row>
    <row r="66" spans="1:27" x14ac:dyDescent="0.25">
      <c r="A66" s="118" t="s">
        <v>49</v>
      </c>
      <c r="B66" s="1050"/>
      <c r="C66" s="258" t="s">
        <v>23</v>
      </c>
      <c r="D66" s="259"/>
      <c r="E66" s="259"/>
      <c r="F66" s="259"/>
      <c r="G66" s="259"/>
      <c r="H66" s="259"/>
      <c r="I66" s="259"/>
      <c r="J66" s="259"/>
      <c r="K66" s="259"/>
      <c r="L66" s="259"/>
      <c r="M66" s="259"/>
      <c r="N66" s="259"/>
      <c r="O66" s="259"/>
      <c r="P66" s="259"/>
      <c r="Q66" s="259"/>
      <c r="R66" s="259"/>
      <c r="S66" s="259"/>
      <c r="T66" s="259"/>
      <c r="U66" s="259"/>
      <c r="V66" s="259"/>
      <c r="W66" s="259"/>
      <c r="X66" s="259"/>
      <c r="Y66" s="259"/>
      <c r="Z66" s="259"/>
      <c r="AA66" s="259"/>
    </row>
    <row r="67" spans="1:27" x14ac:dyDescent="0.25">
      <c r="A67" s="118" t="s">
        <v>90</v>
      </c>
      <c r="B67" s="1048" t="s">
        <v>90</v>
      </c>
      <c r="C67" s="260" t="s">
        <v>18</v>
      </c>
      <c r="D67" s="261"/>
      <c r="E67" s="261"/>
      <c r="F67" s="261"/>
      <c r="G67" s="261"/>
      <c r="H67" s="261"/>
      <c r="I67" s="261"/>
      <c r="J67" s="261"/>
      <c r="K67" s="261"/>
      <c r="L67" s="261"/>
      <c r="M67" s="261"/>
      <c r="N67" s="261"/>
      <c r="O67" s="261"/>
      <c r="P67" s="261"/>
      <c r="Q67" s="261"/>
      <c r="R67" s="261"/>
      <c r="S67" s="261"/>
      <c r="T67" s="261"/>
      <c r="U67" s="261"/>
      <c r="V67" s="261"/>
      <c r="W67" s="261"/>
      <c r="X67" s="261"/>
      <c r="Y67" s="261"/>
      <c r="Z67" s="261"/>
      <c r="AA67" s="261"/>
    </row>
    <row r="68" spans="1:27" x14ac:dyDescent="0.25">
      <c r="A68" s="118" t="s">
        <v>90</v>
      </c>
      <c r="B68" s="1049"/>
      <c r="C68" s="257" t="s">
        <v>19</v>
      </c>
      <c r="D68" s="178"/>
      <c r="E68" s="178"/>
      <c r="F68" s="178"/>
      <c r="G68" s="178"/>
      <c r="H68" s="178"/>
      <c r="I68" s="178"/>
      <c r="J68" s="178"/>
      <c r="K68" s="178"/>
      <c r="L68" s="178"/>
      <c r="M68" s="178"/>
      <c r="N68" s="178"/>
      <c r="O68" s="178"/>
      <c r="P68" s="178"/>
      <c r="Q68" s="178"/>
      <c r="R68" s="178"/>
      <c r="S68" s="178"/>
      <c r="T68" s="178"/>
      <c r="U68" s="178"/>
      <c r="V68" s="178"/>
      <c r="W68" s="178"/>
      <c r="X68" s="178"/>
      <c r="Y68" s="178"/>
      <c r="Z68" s="178"/>
      <c r="AA68" s="178"/>
    </row>
    <row r="69" spans="1:27" x14ac:dyDescent="0.25">
      <c r="A69" s="118" t="s">
        <v>90</v>
      </c>
      <c r="B69" s="1049"/>
      <c r="C69" s="257" t="s">
        <v>21</v>
      </c>
      <c r="D69" s="178"/>
      <c r="E69" s="178"/>
      <c r="F69" s="178"/>
      <c r="G69" s="178"/>
      <c r="H69" s="178"/>
      <c r="I69" s="178"/>
      <c r="J69" s="178"/>
      <c r="K69" s="178"/>
      <c r="L69" s="178"/>
      <c r="M69" s="178"/>
      <c r="N69" s="178"/>
      <c r="O69" s="178"/>
      <c r="P69" s="178"/>
      <c r="Q69" s="178"/>
      <c r="R69" s="178"/>
      <c r="S69" s="178"/>
      <c r="T69" s="178"/>
      <c r="U69" s="178"/>
      <c r="V69" s="178"/>
      <c r="W69" s="178"/>
      <c r="X69" s="178"/>
      <c r="Y69" s="178"/>
      <c r="Z69" s="178"/>
      <c r="AA69" s="178"/>
    </row>
    <row r="70" spans="1:27" x14ac:dyDescent="0.25">
      <c r="A70" s="118" t="s">
        <v>90</v>
      </c>
      <c r="B70" s="1050"/>
      <c r="C70" s="258" t="s">
        <v>23</v>
      </c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X70" s="259"/>
      <c r="Y70" s="259"/>
      <c r="Z70" s="259"/>
      <c r="AA70" s="259"/>
    </row>
    <row r="71" spans="1:27" x14ac:dyDescent="0.25">
      <c r="A71" s="118" t="s">
        <v>366</v>
      </c>
      <c r="B71" s="1048" t="s">
        <v>366</v>
      </c>
      <c r="C71" s="260" t="s">
        <v>18</v>
      </c>
      <c r="D71" s="261"/>
      <c r="E71" s="261"/>
      <c r="F71" s="261"/>
      <c r="G71" s="261"/>
      <c r="H71" s="261"/>
      <c r="I71" s="261"/>
      <c r="J71" s="261"/>
      <c r="K71" s="261"/>
      <c r="L71" s="261"/>
      <c r="M71" s="261">
        <v>51100</v>
      </c>
      <c r="N71" s="261"/>
      <c r="O71" s="261"/>
      <c r="P71" s="261"/>
      <c r="Q71" s="261"/>
      <c r="R71" s="261"/>
      <c r="S71" s="261"/>
      <c r="T71" s="261"/>
      <c r="U71" s="261"/>
      <c r="V71" s="261"/>
      <c r="W71" s="261"/>
      <c r="X71" s="261"/>
      <c r="Y71" s="261">
        <v>51100</v>
      </c>
      <c r="Z71" s="261"/>
      <c r="AA71" s="261"/>
    </row>
    <row r="72" spans="1:27" x14ac:dyDescent="0.25">
      <c r="A72" s="118" t="s">
        <v>366</v>
      </c>
      <c r="B72" s="1049"/>
      <c r="C72" s="257" t="s">
        <v>19</v>
      </c>
      <c r="D72" s="178"/>
      <c r="E72" s="178"/>
      <c r="F72" s="178"/>
      <c r="G72" s="178"/>
      <c r="H72" s="178"/>
      <c r="I72" s="178"/>
      <c r="J72" s="178"/>
      <c r="K72" s="178"/>
      <c r="L72" s="178"/>
      <c r="M72" s="178"/>
      <c r="N72" s="178"/>
      <c r="O72" s="178"/>
      <c r="P72" s="178"/>
      <c r="Q72" s="178"/>
      <c r="R72" s="178"/>
      <c r="S72" s="178"/>
      <c r="T72" s="178"/>
      <c r="U72" s="178"/>
      <c r="V72" s="178"/>
      <c r="W72" s="178"/>
      <c r="X72" s="178"/>
      <c r="Y72" s="178"/>
      <c r="Z72" s="178"/>
      <c r="AA72" s="178"/>
    </row>
    <row r="73" spans="1:27" x14ac:dyDescent="0.25">
      <c r="A73" s="118" t="s">
        <v>366</v>
      </c>
      <c r="B73" s="1049"/>
      <c r="C73" s="257" t="s">
        <v>21</v>
      </c>
      <c r="D73" s="178"/>
      <c r="E73" s="178"/>
      <c r="F73" s="178"/>
      <c r="G73" s="178"/>
      <c r="H73" s="178"/>
      <c r="I73" s="178"/>
      <c r="J73" s="178"/>
      <c r="K73" s="178"/>
      <c r="L73" s="178"/>
      <c r="M73" s="178"/>
      <c r="N73" s="178"/>
      <c r="O73" s="178"/>
      <c r="P73" s="178"/>
      <c r="Q73" s="178"/>
      <c r="R73" s="178"/>
      <c r="S73" s="178"/>
      <c r="T73" s="178"/>
      <c r="U73" s="178"/>
      <c r="V73" s="178"/>
      <c r="W73" s="178"/>
      <c r="X73" s="178"/>
      <c r="Y73" s="178"/>
      <c r="Z73" s="178"/>
      <c r="AA73" s="178"/>
    </row>
    <row r="74" spans="1:27" x14ac:dyDescent="0.25">
      <c r="A74" s="118" t="s">
        <v>366</v>
      </c>
      <c r="B74" s="1050"/>
      <c r="C74" s="258" t="s">
        <v>23</v>
      </c>
      <c r="D74" s="259"/>
      <c r="E74" s="259"/>
      <c r="F74" s="259"/>
      <c r="G74" s="259"/>
      <c r="H74" s="259"/>
      <c r="I74" s="259"/>
      <c r="J74" s="259"/>
      <c r="K74" s="259"/>
      <c r="L74" s="259"/>
      <c r="M74" s="259"/>
      <c r="N74" s="259"/>
      <c r="O74" s="259"/>
      <c r="P74" s="259"/>
      <c r="Q74" s="259"/>
      <c r="R74" s="259"/>
      <c r="S74" s="259"/>
      <c r="T74" s="259"/>
      <c r="U74" s="259"/>
      <c r="V74" s="259"/>
      <c r="W74" s="259"/>
      <c r="X74" s="259"/>
      <c r="Y74" s="259"/>
      <c r="Z74" s="259"/>
      <c r="AA74" s="259"/>
    </row>
    <row r="76" spans="1:27" ht="15.75" thickBot="1" x14ac:dyDescent="0.3">
      <c r="B76" s="137"/>
      <c r="C76" s="137"/>
      <c r="D76" s="137"/>
      <c r="E76" s="137"/>
      <c r="F76" s="137"/>
      <c r="G76" s="137"/>
      <c r="H76" s="137"/>
      <c r="I76" s="137"/>
      <c r="J76" s="137"/>
      <c r="K76" s="137"/>
      <c r="L76" s="137"/>
      <c r="M76" s="137"/>
      <c r="N76" s="137"/>
      <c r="O76" s="137"/>
      <c r="P76" s="137"/>
      <c r="Q76" s="137"/>
      <c r="R76" s="137"/>
      <c r="S76" s="137"/>
      <c r="T76" s="137"/>
      <c r="U76" s="137"/>
      <c r="V76" s="137"/>
      <c r="W76" s="137"/>
      <c r="X76" s="137"/>
      <c r="Y76" s="137"/>
      <c r="Z76" s="137"/>
      <c r="AA76" s="137"/>
    </row>
    <row r="77" spans="1:27" s="246" customFormat="1" ht="16.5" thickTop="1" thickBot="1" x14ac:dyDescent="0.3">
      <c r="B77" s="262" t="s">
        <v>928</v>
      </c>
      <c r="C77" s="262" t="s">
        <v>11</v>
      </c>
      <c r="D77" s="262" t="s">
        <v>11</v>
      </c>
      <c r="E77" s="262" t="s">
        <v>11</v>
      </c>
      <c r="F77" s="262" t="s">
        <v>11</v>
      </c>
      <c r="G77" s="262" t="s">
        <v>11</v>
      </c>
      <c r="H77" s="262" t="s">
        <v>11</v>
      </c>
      <c r="I77" s="262"/>
      <c r="J77" s="262"/>
      <c r="K77" s="262"/>
      <c r="L77" s="262"/>
      <c r="M77" s="262"/>
      <c r="N77" s="262"/>
      <c r="O77" s="262"/>
      <c r="P77" s="262"/>
      <c r="Q77" s="262"/>
      <c r="R77" s="262"/>
      <c r="S77" s="262"/>
      <c r="T77" s="262"/>
      <c r="U77" s="262"/>
      <c r="V77" s="262"/>
      <c r="W77" s="262"/>
      <c r="X77" s="262"/>
      <c r="Y77" s="262"/>
      <c r="Z77" s="262"/>
      <c r="AA77" s="262"/>
    </row>
    <row r="78" spans="1:27" ht="15.75" thickTop="1" x14ac:dyDescent="0.25">
      <c r="A78" s="118" t="s">
        <v>51</v>
      </c>
      <c r="B78" s="1051" t="s">
        <v>51</v>
      </c>
      <c r="C78" s="255" t="s">
        <v>18</v>
      </c>
      <c r="D78" s="256">
        <f>SUMIFS(T_Eq[1],T_Eq[Source],'CF CCY'!$A78,T_Eq[Risk CCY],'CF CCY'!$C78)</f>
        <v>15364.974999999999</v>
      </c>
      <c r="E78" s="256">
        <f>SUMIFS(T_Eq[2],T_Eq[Source],'CF CCY'!$A78,T_Eq[Risk CCY],'CF CCY'!$C78)</f>
        <v>8180.2749999999996</v>
      </c>
      <c r="F78" s="256">
        <f>SUMIFS(T_Eq[3],T_Eq[Source],'CF CCY'!$A78,T_Eq[Risk CCY],'CF CCY'!$C78)</f>
        <v>56118.050999999999</v>
      </c>
      <c r="G78" s="256">
        <f>SUMIFS(T_Eq[4],T_Eq[Source],'CF CCY'!$A78,T_Eq[Risk CCY],'CF CCY'!$C78)</f>
        <v>16438.974999999999</v>
      </c>
      <c r="H78" s="256">
        <f>SUMIFS(T_Eq[5],T_Eq[Source],'CF CCY'!$A78,T_Eq[Risk CCY],'CF CCY'!$C78)</f>
        <v>8180.2749999999996</v>
      </c>
      <c r="I78" s="256">
        <f>SUMIFS(T_Eq[6],T_Eq[Source],'CF CCY'!$A78,T_Eq[Risk CCY],'CF CCY'!$C78)</f>
        <v>40494.088750000003</v>
      </c>
      <c r="J78" s="256">
        <f>SUMIFS(T_Eq[7],T_Eq[Source],'CF CCY'!$A78,T_Eq[Risk CCY],'CF CCY'!$C78)</f>
        <v>15364.974999999999</v>
      </c>
      <c r="K78" s="256">
        <f>SUMIFS(T_Eq[8],T_Eq[Source],'CF CCY'!$A78,T_Eq[Risk CCY],'CF CCY'!$C78)</f>
        <v>7106.2749999999996</v>
      </c>
      <c r="L78" s="256">
        <f>SUMIFS(T_Eq[9],T_Eq[Source],'CF CCY'!$A78,T_Eq[Risk CCY],'CF CCY'!$C78)</f>
        <v>55044.050999999999</v>
      </c>
      <c r="M78" s="256">
        <f>SUMIFS(T_Eq[10],T_Eq[Source],'CF CCY'!$A78,T_Eq[Risk CCY],'CF CCY'!$C78)</f>
        <v>15364.974999999999</v>
      </c>
      <c r="N78" s="256">
        <f>SUMIFS(T_Eq[11],T_Eq[Source],'CF CCY'!$A78,T_Eq[Risk CCY],'CF CCY'!$C78)</f>
        <v>7106.2749999999996</v>
      </c>
      <c r="O78" s="256">
        <f>SUMIFS(T_Eq[12],T_Eq[Source],'CF CCY'!$A78,T_Eq[Risk CCY],'CF CCY'!$C78)</f>
        <v>78795.805673199997</v>
      </c>
      <c r="P78" s="256">
        <f>SUMIFS(T_Eq[1],T_Eq[Source],'CF CCY'!$A78,T_Eq[Risk CCY],'CF CCY'!$C78)</f>
        <v>15364.974999999999</v>
      </c>
      <c r="Q78" s="256">
        <f>SUMIFS(T_Eq[2],T_Eq[Source],'CF CCY'!$A78,T_Eq[Risk CCY],'CF CCY'!$C78)</f>
        <v>8180.2749999999996</v>
      </c>
      <c r="R78" s="256">
        <f>SUMIFS(T_Eq[3],T_Eq[Source],'CF CCY'!$A78,T_Eq[Risk CCY],'CF CCY'!$C78)</f>
        <v>56118.050999999999</v>
      </c>
      <c r="S78" s="256">
        <f>SUMIFS(T_Eq[4],T_Eq[Source],'CF CCY'!$A78,T_Eq[Risk CCY],'CF CCY'!$C78)</f>
        <v>16438.974999999999</v>
      </c>
      <c r="T78" s="256">
        <f>SUMIFS(T_Eq[5],T_Eq[Source],'CF CCY'!$A78,T_Eq[Risk CCY],'CF CCY'!$C78)</f>
        <v>8180.2749999999996</v>
      </c>
      <c r="U78" s="256">
        <f>SUMIFS(T_Eq[6],T_Eq[Source],'CF CCY'!$A78,T_Eq[Risk CCY],'CF CCY'!$C78)</f>
        <v>40494.088750000003</v>
      </c>
      <c r="V78" s="256">
        <f>SUMIFS(T_Eq[7],T_Eq[Source],'CF CCY'!$A78,T_Eq[Risk CCY],'CF CCY'!$C78)</f>
        <v>15364.974999999999</v>
      </c>
      <c r="W78" s="256">
        <f>SUMIFS(T_Eq[8],T_Eq[Source],'CF CCY'!$A78,T_Eq[Risk CCY],'CF CCY'!$C78)</f>
        <v>7106.2749999999996</v>
      </c>
      <c r="X78" s="256">
        <f>SUMIFS(T_Eq[9],T_Eq[Source],'CF CCY'!$A78,T_Eq[Risk CCY],'CF CCY'!$C78)</f>
        <v>55044.050999999999</v>
      </c>
      <c r="Y78" s="256">
        <f>SUMIFS(T_Eq[10],T_Eq[Source],'CF CCY'!$A78,T_Eq[Risk CCY],'CF CCY'!$C78)</f>
        <v>15364.974999999999</v>
      </c>
      <c r="Z78" s="256">
        <f>SUMIFS(T_Eq[11],T_Eq[Source],'CF CCY'!$A78,T_Eq[Risk CCY],'CF CCY'!$C78)</f>
        <v>7106.2749999999996</v>
      </c>
      <c r="AA78" s="256">
        <f>SUMIFS(T_Eq[12],T_Eq[Source],'CF CCY'!$A78,T_Eq[Risk CCY],'CF CCY'!$C78)</f>
        <v>78795.805673199997</v>
      </c>
    </row>
    <row r="79" spans="1:27" x14ac:dyDescent="0.25">
      <c r="A79" s="118" t="s">
        <v>51</v>
      </c>
      <c r="B79" s="1049"/>
      <c r="C79" s="257" t="s">
        <v>19</v>
      </c>
      <c r="D79" s="178">
        <f>SUMIFS(T_Eq[1],T_Eq[Source],'CF CCY'!$A79,T_Eq[Risk CCY],'CF CCY'!$C79)</f>
        <v>0</v>
      </c>
      <c r="E79" s="178">
        <f>SUMIFS(T_Eq[2],T_Eq[Source],'CF CCY'!$A79,T_Eq[Risk CCY],'CF CCY'!$C79)</f>
        <v>0</v>
      </c>
      <c r="F79" s="178">
        <f>SUMIFS(T_Eq[3],T_Eq[Source],'CF CCY'!$A79,T_Eq[Risk CCY],'CF CCY'!$C79)</f>
        <v>4393.87</v>
      </c>
      <c r="G79" s="178">
        <f>SUMIFS(T_Eq[4],T_Eq[Source],'CF CCY'!$A79,T_Eq[Risk CCY],'CF CCY'!$C79)</f>
        <v>1387.5</v>
      </c>
      <c r="H79" s="178">
        <f>SUMIFS(T_Eq[5],T_Eq[Source],'CF CCY'!$A79,T_Eq[Risk CCY],'CF CCY'!$C79)</f>
        <v>4095</v>
      </c>
      <c r="I79" s="178">
        <f>SUMIFS(T_Eq[6],T_Eq[Source],'CF CCY'!$A79,T_Eq[Risk CCY],'CF CCY'!$C79)</f>
        <v>0</v>
      </c>
      <c r="J79" s="178">
        <f>SUMIFS(T_Eq[7],T_Eq[Source],'CF CCY'!$A79,T_Eq[Risk CCY],'CF CCY'!$C79)</f>
        <v>0</v>
      </c>
      <c r="K79" s="178">
        <f>SUMIFS(T_Eq[8],T_Eq[Source],'CF CCY'!$A79,T_Eq[Risk CCY],'CF CCY'!$C79)</f>
        <v>0</v>
      </c>
      <c r="L79" s="178">
        <f>SUMIFS(T_Eq[9],T_Eq[Source],'CF CCY'!$A79,T_Eq[Risk CCY],'CF CCY'!$C79)</f>
        <v>4393.87</v>
      </c>
      <c r="M79" s="178">
        <f>SUMIFS(T_Eq[10],T_Eq[Source],'CF CCY'!$A79,T_Eq[Risk CCY],'CF CCY'!$C79)</f>
        <v>1387.5</v>
      </c>
      <c r="N79" s="178">
        <f>SUMIFS(T_Eq[11],T_Eq[Source],'CF CCY'!$A79,T_Eq[Risk CCY],'CF CCY'!$C79)</f>
        <v>4095</v>
      </c>
      <c r="O79" s="178">
        <f>SUMIFS(T_Eq[12],T_Eq[Source],'CF CCY'!$A79,T_Eq[Risk CCY],'CF CCY'!$C79)</f>
        <v>0</v>
      </c>
      <c r="P79" s="178">
        <f>SUMIFS(T_Eq[1],T_Eq[Source],'CF CCY'!$A79,T_Eq[Risk CCY],'CF CCY'!$C79)</f>
        <v>0</v>
      </c>
      <c r="Q79" s="178">
        <f>SUMIFS(T_Eq[2],T_Eq[Source],'CF CCY'!$A79,T_Eq[Risk CCY],'CF CCY'!$C79)</f>
        <v>0</v>
      </c>
      <c r="R79" s="178">
        <f>SUMIFS(T_Eq[3],T_Eq[Source],'CF CCY'!$A79,T_Eq[Risk CCY],'CF CCY'!$C79)</f>
        <v>4393.87</v>
      </c>
      <c r="S79" s="178">
        <f>SUMIFS(T_Eq[4],T_Eq[Source],'CF CCY'!$A79,T_Eq[Risk CCY],'CF CCY'!$C79)</f>
        <v>1387.5</v>
      </c>
      <c r="T79" s="178">
        <f>SUMIFS(T_Eq[5],T_Eq[Source],'CF CCY'!$A79,T_Eq[Risk CCY],'CF CCY'!$C79)</f>
        <v>4095</v>
      </c>
      <c r="U79" s="178">
        <f>SUMIFS(T_Eq[6],T_Eq[Source],'CF CCY'!$A79,T_Eq[Risk CCY],'CF CCY'!$C79)</f>
        <v>0</v>
      </c>
      <c r="V79" s="178">
        <f>SUMIFS(T_Eq[7],T_Eq[Source],'CF CCY'!$A79,T_Eq[Risk CCY],'CF CCY'!$C79)</f>
        <v>0</v>
      </c>
      <c r="W79" s="178">
        <f>SUMIFS(T_Eq[8],T_Eq[Source],'CF CCY'!$A79,T_Eq[Risk CCY],'CF CCY'!$C79)</f>
        <v>0</v>
      </c>
      <c r="X79" s="178">
        <f>SUMIFS(T_Eq[9],T_Eq[Source],'CF CCY'!$A79,T_Eq[Risk CCY],'CF CCY'!$C79)</f>
        <v>4393.87</v>
      </c>
      <c r="Y79" s="178">
        <f>SUMIFS(T_Eq[10],T_Eq[Source],'CF CCY'!$A79,T_Eq[Risk CCY],'CF CCY'!$C79)</f>
        <v>1387.5</v>
      </c>
      <c r="Z79" s="178">
        <f>SUMIFS(T_Eq[11],T_Eq[Source],'CF CCY'!$A79,T_Eq[Risk CCY],'CF CCY'!$C79)</f>
        <v>4095</v>
      </c>
      <c r="AA79" s="178">
        <f>SUMIFS(T_Eq[12],T_Eq[Source],'CF CCY'!$A79,T_Eq[Risk CCY],'CF CCY'!$C79)</f>
        <v>0</v>
      </c>
    </row>
    <row r="80" spans="1:27" x14ac:dyDescent="0.25">
      <c r="A80" s="118" t="s">
        <v>51</v>
      </c>
      <c r="B80" s="1049"/>
      <c r="C80" s="257" t="s">
        <v>21</v>
      </c>
      <c r="D80" s="178">
        <f>SUMIFS(T_Eq[1],T_Eq[Source],'CF CCY'!$A80,T_Eq[Risk CCY],'CF CCY'!$C80)</f>
        <v>15346.7785</v>
      </c>
      <c r="E80" s="178">
        <f>SUMIFS(T_Eq[2],T_Eq[Source],'CF CCY'!$A80,T_Eq[Risk CCY],'CF CCY'!$C80)</f>
        <v>0</v>
      </c>
      <c r="F80" s="178">
        <f>SUMIFS(T_Eq[3],T_Eq[Source],'CF CCY'!$A80,T_Eq[Risk CCY],'CF CCY'!$C80)</f>
        <v>9926.5249999999996</v>
      </c>
      <c r="G80" s="178">
        <f>SUMIFS(T_Eq[4],T_Eq[Source],'CF CCY'!$A80,T_Eq[Risk CCY],'CF CCY'!$C80)</f>
        <v>5518.5999999999995</v>
      </c>
      <c r="H80" s="178">
        <f>SUMIFS(T_Eq[5],T_Eq[Source],'CF CCY'!$A80,T_Eq[Risk CCY],'CF CCY'!$C80)</f>
        <v>0</v>
      </c>
      <c r="I80" s="178">
        <f>SUMIFS(T_Eq[6],T_Eq[Source],'CF CCY'!$A80,T_Eq[Risk CCY],'CF CCY'!$C80)</f>
        <v>47214.025000000001</v>
      </c>
      <c r="J80" s="178">
        <f>SUMIFS(T_Eq[7],T_Eq[Source],'CF CCY'!$A80,T_Eq[Risk CCY],'CF CCY'!$C80)</f>
        <v>15346.7785</v>
      </c>
      <c r="K80" s="178">
        <f>SUMIFS(T_Eq[8],T_Eq[Source],'CF CCY'!$A80,T_Eq[Risk CCY],'CF CCY'!$C80)</f>
        <v>0</v>
      </c>
      <c r="L80" s="178">
        <f>SUMIFS(T_Eq[9],T_Eq[Source],'CF CCY'!$A80,T_Eq[Risk CCY],'CF CCY'!$C80)</f>
        <v>9926.5249999999996</v>
      </c>
      <c r="M80" s="178">
        <f>SUMIFS(T_Eq[10],T_Eq[Source],'CF CCY'!$A80,T_Eq[Risk CCY],'CF CCY'!$C80)</f>
        <v>5518.5999999999995</v>
      </c>
      <c r="N80" s="178">
        <f>SUMIFS(T_Eq[11],T_Eq[Source],'CF CCY'!$A80,T_Eq[Risk CCY],'CF CCY'!$C80)</f>
        <v>0</v>
      </c>
      <c r="O80" s="178">
        <f>SUMIFS(T_Eq[12],T_Eq[Source],'CF CCY'!$A80,T_Eq[Risk CCY],'CF CCY'!$C80)</f>
        <v>25704.925000000003</v>
      </c>
      <c r="P80" s="178">
        <f>SUMIFS(T_Eq[1],T_Eq[Source],'CF CCY'!$A80,T_Eq[Risk CCY],'CF CCY'!$C80)</f>
        <v>15346.7785</v>
      </c>
      <c r="Q80" s="178">
        <f>SUMIFS(T_Eq[2],T_Eq[Source],'CF CCY'!$A80,T_Eq[Risk CCY],'CF CCY'!$C80)</f>
        <v>0</v>
      </c>
      <c r="R80" s="178">
        <f>SUMIFS(T_Eq[3],T_Eq[Source],'CF CCY'!$A80,T_Eq[Risk CCY],'CF CCY'!$C80)</f>
        <v>9926.5249999999996</v>
      </c>
      <c r="S80" s="178">
        <f>SUMIFS(T_Eq[4],T_Eq[Source],'CF CCY'!$A80,T_Eq[Risk CCY],'CF CCY'!$C80)</f>
        <v>5518.5999999999995</v>
      </c>
      <c r="T80" s="178">
        <f>SUMIFS(T_Eq[5],T_Eq[Source],'CF CCY'!$A80,T_Eq[Risk CCY],'CF CCY'!$C80)</f>
        <v>0</v>
      </c>
      <c r="U80" s="178">
        <f>SUMIFS(T_Eq[6],T_Eq[Source],'CF CCY'!$A80,T_Eq[Risk CCY],'CF CCY'!$C80)</f>
        <v>47214.025000000001</v>
      </c>
      <c r="V80" s="178">
        <f>SUMIFS(T_Eq[7],T_Eq[Source],'CF CCY'!$A80,T_Eq[Risk CCY],'CF CCY'!$C80)</f>
        <v>15346.7785</v>
      </c>
      <c r="W80" s="178">
        <f>SUMIFS(T_Eq[8],T_Eq[Source],'CF CCY'!$A80,T_Eq[Risk CCY],'CF CCY'!$C80)</f>
        <v>0</v>
      </c>
      <c r="X80" s="178">
        <f>SUMIFS(T_Eq[9],T_Eq[Source],'CF CCY'!$A80,T_Eq[Risk CCY],'CF CCY'!$C80)</f>
        <v>9926.5249999999996</v>
      </c>
      <c r="Y80" s="178">
        <f>SUMIFS(T_Eq[10],T_Eq[Source],'CF CCY'!$A80,T_Eq[Risk CCY],'CF CCY'!$C80)</f>
        <v>5518.5999999999995</v>
      </c>
      <c r="Z80" s="178">
        <f>SUMIFS(T_Eq[11],T_Eq[Source],'CF CCY'!$A80,T_Eq[Risk CCY],'CF CCY'!$C80)</f>
        <v>0</v>
      </c>
      <c r="AA80" s="178">
        <f>SUMIFS(T_Eq[12],T_Eq[Source],'CF CCY'!$A80,T_Eq[Risk CCY],'CF CCY'!$C80)</f>
        <v>25704.925000000003</v>
      </c>
    </row>
    <row r="81" spans="1:27" x14ac:dyDescent="0.25">
      <c r="A81" s="118" t="s">
        <v>51</v>
      </c>
      <c r="B81" s="1050"/>
      <c r="C81" s="258" t="s">
        <v>23</v>
      </c>
      <c r="D81" s="259">
        <f>SUMIFS(T_Eq[1],T_Eq[Source],'CF CCY'!$A81,T_Eq[Risk CCY],'CF CCY'!$C81)</f>
        <v>203</v>
      </c>
      <c r="E81" s="259">
        <f>SUMIFS(T_Eq[2],T_Eq[Source],'CF CCY'!$A81,T_Eq[Risk CCY],'CF CCY'!$C81)</f>
        <v>0</v>
      </c>
      <c r="F81" s="259">
        <f>SUMIFS(T_Eq[3],T_Eq[Source],'CF CCY'!$A81,T_Eq[Risk CCY],'CF CCY'!$C81)</f>
        <v>0</v>
      </c>
      <c r="G81" s="259">
        <f>SUMIFS(T_Eq[4],T_Eq[Source],'CF CCY'!$A81,T_Eq[Risk CCY],'CF CCY'!$C81)</f>
        <v>203</v>
      </c>
      <c r="H81" s="259">
        <f>SUMIFS(T_Eq[5],T_Eq[Source],'CF CCY'!$A81,T_Eq[Risk CCY],'CF CCY'!$C81)</f>
        <v>0</v>
      </c>
      <c r="I81" s="259">
        <f>SUMIFS(T_Eq[6],T_Eq[Source],'CF CCY'!$A81,T_Eq[Risk CCY],'CF CCY'!$C81)</f>
        <v>0</v>
      </c>
      <c r="J81" s="259">
        <f>SUMIFS(T_Eq[7],T_Eq[Source],'CF CCY'!$A81,T_Eq[Risk CCY],'CF CCY'!$C81)</f>
        <v>203</v>
      </c>
      <c r="K81" s="259">
        <f>SUMIFS(T_Eq[8],T_Eq[Source],'CF CCY'!$A81,T_Eq[Risk CCY],'CF CCY'!$C81)</f>
        <v>0</v>
      </c>
      <c r="L81" s="259">
        <f>SUMIFS(T_Eq[9],T_Eq[Source],'CF CCY'!$A81,T_Eq[Risk CCY],'CF CCY'!$C81)</f>
        <v>0</v>
      </c>
      <c r="M81" s="259">
        <f>SUMIFS(T_Eq[10],T_Eq[Source],'CF CCY'!$A81,T_Eq[Risk CCY],'CF CCY'!$C81)</f>
        <v>203</v>
      </c>
      <c r="N81" s="259">
        <f>SUMIFS(T_Eq[11],T_Eq[Source],'CF CCY'!$A81,T_Eq[Risk CCY],'CF CCY'!$C81)</f>
        <v>0</v>
      </c>
      <c r="O81" s="259">
        <f>SUMIFS(T_Eq[12],T_Eq[Source],'CF CCY'!$A81,T_Eq[Risk CCY],'CF CCY'!$C81)</f>
        <v>0</v>
      </c>
      <c r="P81" s="259">
        <f>SUMIFS(T_Eq[1],T_Eq[Source],'CF CCY'!$A81,T_Eq[Risk CCY],'CF CCY'!$C81)</f>
        <v>203</v>
      </c>
      <c r="Q81" s="259">
        <f>SUMIFS(T_Eq[2],T_Eq[Source],'CF CCY'!$A81,T_Eq[Risk CCY],'CF CCY'!$C81)</f>
        <v>0</v>
      </c>
      <c r="R81" s="259">
        <f>SUMIFS(T_Eq[3],T_Eq[Source],'CF CCY'!$A81,T_Eq[Risk CCY],'CF CCY'!$C81)</f>
        <v>0</v>
      </c>
      <c r="S81" s="259">
        <f>SUMIFS(T_Eq[4],T_Eq[Source],'CF CCY'!$A81,T_Eq[Risk CCY],'CF CCY'!$C81)</f>
        <v>203</v>
      </c>
      <c r="T81" s="259">
        <f>SUMIFS(T_Eq[5],T_Eq[Source],'CF CCY'!$A81,T_Eq[Risk CCY],'CF CCY'!$C81)</f>
        <v>0</v>
      </c>
      <c r="U81" s="259">
        <f>SUMIFS(T_Eq[6],T_Eq[Source],'CF CCY'!$A81,T_Eq[Risk CCY],'CF CCY'!$C81)</f>
        <v>0</v>
      </c>
      <c r="V81" s="259">
        <f>SUMIFS(T_Eq[7],T_Eq[Source],'CF CCY'!$A81,T_Eq[Risk CCY],'CF CCY'!$C81)</f>
        <v>203</v>
      </c>
      <c r="W81" s="259">
        <f>SUMIFS(T_Eq[8],T_Eq[Source],'CF CCY'!$A81,T_Eq[Risk CCY],'CF CCY'!$C81)</f>
        <v>0</v>
      </c>
      <c r="X81" s="259">
        <f>SUMIFS(T_Eq[9],T_Eq[Source],'CF CCY'!$A81,T_Eq[Risk CCY],'CF CCY'!$C81)</f>
        <v>0</v>
      </c>
      <c r="Y81" s="259">
        <f>SUMIFS(T_Eq[10],T_Eq[Source],'CF CCY'!$A81,T_Eq[Risk CCY],'CF CCY'!$C81)</f>
        <v>203</v>
      </c>
      <c r="Z81" s="259">
        <f>SUMIFS(T_Eq[11],T_Eq[Source],'CF CCY'!$A81,T_Eq[Risk CCY],'CF CCY'!$C81)</f>
        <v>0</v>
      </c>
      <c r="AA81" s="259">
        <f>SUMIFS(T_Eq[12],T_Eq[Source],'CF CCY'!$A81,T_Eq[Risk CCY],'CF CCY'!$C81)</f>
        <v>0</v>
      </c>
    </row>
    <row r="82" spans="1:27" x14ac:dyDescent="0.25">
      <c r="A82" s="118" t="s">
        <v>49</v>
      </c>
      <c r="B82" s="1048" t="s">
        <v>49</v>
      </c>
      <c r="C82" s="260" t="s">
        <v>18</v>
      </c>
      <c r="D82" s="261">
        <f>SUMIFS(T_Eq[1],T_Eq[Source],'CF CCY'!$A82,T_Eq[Risk CCY],'CF CCY'!$C82)</f>
        <v>0</v>
      </c>
      <c r="E82" s="261">
        <f>SUMIFS(T_Eq[2],T_Eq[Source],'CF CCY'!$A82,T_Eq[Risk CCY],'CF CCY'!$C82)</f>
        <v>6063.3369239999993</v>
      </c>
      <c r="F82" s="261">
        <f>SUMIFS(T_Eq[3],T_Eq[Source],'CF CCY'!$A82,T_Eq[Risk CCY],'CF CCY'!$C82)</f>
        <v>2798.7423076923083</v>
      </c>
      <c r="G82" s="261">
        <f>SUMIFS(T_Eq[4],T_Eq[Source],'CF CCY'!$A82,T_Eq[Risk CCY],'CF CCY'!$C82)</f>
        <v>0</v>
      </c>
      <c r="H82" s="261">
        <f>SUMIFS(T_Eq[5],T_Eq[Source],'CF CCY'!$A82,T_Eq[Risk CCY],'CF CCY'!$C82)</f>
        <v>0</v>
      </c>
      <c r="I82" s="261">
        <f>SUMIFS(T_Eq[6],T_Eq[Source],'CF CCY'!$A82,T_Eq[Risk CCY],'CF CCY'!$C82)</f>
        <v>2798.7423076923083</v>
      </c>
      <c r="J82" s="261">
        <f>SUMIFS(T_Eq[7],T_Eq[Source],'CF CCY'!$A82,T_Eq[Risk CCY],'CF CCY'!$C82)</f>
        <v>0</v>
      </c>
      <c r="K82" s="261">
        <f>SUMIFS(T_Eq[8],T_Eq[Source],'CF CCY'!$A82,T_Eq[Risk CCY],'CF CCY'!$C82)</f>
        <v>0</v>
      </c>
      <c r="L82" s="261">
        <f>SUMIFS(T_Eq[9],T_Eq[Source],'CF CCY'!$A82,T_Eq[Risk CCY],'CF CCY'!$C82)</f>
        <v>2798.7423076923083</v>
      </c>
      <c r="M82" s="261">
        <f>SUMIFS(T_Eq[10],T_Eq[Source],'CF CCY'!$A82,T_Eq[Risk CCY],'CF CCY'!$C82)</f>
        <v>0</v>
      </c>
      <c r="N82" s="261">
        <f>SUMIFS(T_Eq[11],T_Eq[Source],'CF CCY'!$A82,T_Eq[Risk CCY],'CF CCY'!$C82)</f>
        <v>0</v>
      </c>
      <c r="O82" s="261">
        <f>SUMIFS(T_Eq[12],T_Eq[Source],'CF CCY'!$A82,T_Eq[Risk CCY],'CF CCY'!$C82)</f>
        <v>2798.7423076923083</v>
      </c>
      <c r="P82" s="261">
        <f>SUMIFS(T_Eq[1],T_Eq[Source],'CF CCY'!$A82,T_Eq[Risk CCY],'CF CCY'!$C82)</f>
        <v>0</v>
      </c>
      <c r="Q82" s="261">
        <f>SUMIFS(T_Eq[2],T_Eq[Source],'CF CCY'!$A82,T_Eq[Risk CCY],'CF CCY'!$C82)</f>
        <v>6063.3369239999993</v>
      </c>
      <c r="R82" s="261">
        <f>SUMIFS(T_Eq[3],T_Eq[Source],'CF CCY'!$A82,T_Eq[Risk CCY],'CF CCY'!$C82)</f>
        <v>2798.7423076923083</v>
      </c>
      <c r="S82" s="261">
        <f>SUMIFS(T_Eq[4],T_Eq[Source],'CF CCY'!$A82,T_Eq[Risk CCY],'CF CCY'!$C82)</f>
        <v>0</v>
      </c>
      <c r="T82" s="261">
        <f>SUMIFS(T_Eq[5],T_Eq[Source],'CF CCY'!$A82,T_Eq[Risk CCY],'CF CCY'!$C82)</f>
        <v>0</v>
      </c>
      <c r="U82" s="261">
        <f>SUMIFS(T_Eq[6],T_Eq[Source],'CF CCY'!$A82,T_Eq[Risk CCY],'CF CCY'!$C82)</f>
        <v>2798.7423076923083</v>
      </c>
      <c r="V82" s="261">
        <f>SUMIFS(T_Eq[7],T_Eq[Source],'CF CCY'!$A82,T_Eq[Risk CCY],'CF CCY'!$C82)</f>
        <v>0</v>
      </c>
      <c r="W82" s="261">
        <f>SUMIFS(T_Eq[8],T_Eq[Source],'CF CCY'!$A82,T_Eq[Risk CCY],'CF CCY'!$C82)</f>
        <v>0</v>
      </c>
      <c r="X82" s="261">
        <f>SUMIFS(T_Eq[9],T_Eq[Source],'CF CCY'!$A82,T_Eq[Risk CCY],'CF CCY'!$C82)</f>
        <v>2798.7423076923083</v>
      </c>
      <c r="Y82" s="261">
        <f>SUMIFS(T_Eq[10],T_Eq[Source],'CF CCY'!$A82,T_Eq[Risk CCY],'CF CCY'!$C82)</f>
        <v>0</v>
      </c>
      <c r="Z82" s="261">
        <f>SUMIFS(T_Eq[11],T_Eq[Source],'CF CCY'!$A82,T_Eq[Risk CCY],'CF CCY'!$C82)</f>
        <v>0</v>
      </c>
      <c r="AA82" s="261">
        <f>SUMIFS(T_Eq[12],T_Eq[Source],'CF CCY'!$A82,T_Eq[Risk CCY],'CF CCY'!$C82)</f>
        <v>2798.7423076923083</v>
      </c>
    </row>
    <row r="83" spans="1:27" x14ac:dyDescent="0.25">
      <c r="A83" s="118" t="s">
        <v>49</v>
      </c>
      <c r="B83" s="1049"/>
      <c r="C83" s="257" t="s">
        <v>19</v>
      </c>
      <c r="D83" s="178">
        <f>SUMIFS(T_Eq[1],T_Eq[Source],'CF CCY'!$A83,T_Eq[Risk CCY],'CF CCY'!$C83)</f>
        <v>0</v>
      </c>
      <c r="E83" s="178">
        <f>SUMIFS(T_Eq[2],T_Eq[Source],'CF CCY'!$A83,T_Eq[Risk CCY],'CF CCY'!$C83)</f>
        <v>0</v>
      </c>
      <c r="F83" s="178">
        <f>SUMIFS(T_Eq[3],T_Eq[Source],'CF CCY'!$A83,T_Eq[Risk CCY],'CF CCY'!$C83)</f>
        <v>0</v>
      </c>
      <c r="G83" s="178">
        <f>SUMIFS(T_Eq[4],T_Eq[Source],'CF CCY'!$A83,T_Eq[Risk CCY],'CF CCY'!$C83)</f>
        <v>0</v>
      </c>
      <c r="H83" s="178">
        <f>SUMIFS(T_Eq[5],T_Eq[Source],'CF CCY'!$A83,T_Eq[Risk CCY],'CF CCY'!$C83)</f>
        <v>0</v>
      </c>
      <c r="I83" s="178">
        <f>SUMIFS(T_Eq[6],T_Eq[Source],'CF CCY'!$A83,T_Eq[Risk CCY],'CF CCY'!$C83)</f>
        <v>0</v>
      </c>
      <c r="J83" s="178">
        <f>SUMIFS(T_Eq[7],T_Eq[Source],'CF CCY'!$A83,T_Eq[Risk CCY],'CF CCY'!$C83)</f>
        <v>0</v>
      </c>
      <c r="K83" s="178">
        <f>SUMIFS(T_Eq[8],T_Eq[Source],'CF CCY'!$A83,T_Eq[Risk CCY],'CF CCY'!$C83)</f>
        <v>0</v>
      </c>
      <c r="L83" s="178">
        <f>SUMIFS(T_Eq[9],T_Eq[Source],'CF CCY'!$A83,T_Eq[Risk CCY],'CF CCY'!$C83)</f>
        <v>0</v>
      </c>
      <c r="M83" s="178">
        <f>SUMIFS(T_Eq[10],T_Eq[Source],'CF CCY'!$A83,T_Eq[Risk CCY],'CF CCY'!$C83)</f>
        <v>0</v>
      </c>
      <c r="N83" s="178">
        <f>SUMIFS(T_Eq[11],T_Eq[Source],'CF CCY'!$A83,T_Eq[Risk CCY],'CF CCY'!$C83)</f>
        <v>0</v>
      </c>
      <c r="O83" s="178">
        <f>SUMIFS(T_Eq[12],T_Eq[Source],'CF CCY'!$A83,T_Eq[Risk CCY],'CF CCY'!$C83)</f>
        <v>0</v>
      </c>
      <c r="P83" s="178">
        <f>SUMIFS(T_Eq[1],T_Eq[Source],'CF CCY'!$A83,T_Eq[Risk CCY],'CF CCY'!$C83)</f>
        <v>0</v>
      </c>
      <c r="Q83" s="178">
        <f>SUMIFS(T_Eq[2],T_Eq[Source],'CF CCY'!$A83,T_Eq[Risk CCY],'CF CCY'!$C83)</f>
        <v>0</v>
      </c>
      <c r="R83" s="178">
        <f>SUMIFS(T_Eq[3],T_Eq[Source],'CF CCY'!$A83,T_Eq[Risk CCY],'CF CCY'!$C83)</f>
        <v>0</v>
      </c>
      <c r="S83" s="178">
        <f>SUMIFS(T_Eq[4],T_Eq[Source],'CF CCY'!$A83,T_Eq[Risk CCY],'CF CCY'!$C83)</f>
        <v>0</v>
      </c>
      <c r="T83" s="178">
        <f>SUMIFS(T_Eq[5],T_Eq[Source],'CF CCY'!$A83,T_Eq[Risk CCY],'CF CCY'!$C83)</f>
        <v>0</v>
      </c>
      <c r="U83" s="178">
        <f>SUMIFS(T_Eq[6],T_Eq[Source],'CF CCY'!$A83,T_Eq[Risk CCY],'CF CCY'!$C83)</f>
        <v>0</v>
      </c>
      <c r="V83" s="178">
        <f>SUMIFS(T_Eq[7],T_Eq[Source],'CF CCY'!$A83,T_Eq[Risk CCY],'CF CCY'!$C83)</f>
        <v>0</v>
      </c>
      <c r="W83" s="178">
        <f>SUMIFS(T_Eq[8],T_Eq[Source],'CF CCY'!$A83,T_Eq[Risk CCY],'CF CCY'!$C83)</f>
        <v>0</v>
      </c>
      <c r="X83" s="178">
        <f>SUMIFS(T_Eq[9],T_Eq[Source],'CF CCY'!$A83,T_Eq[Risk CCY],'CF CCY'!$C83)</f>
        <v>0</v>
      </c>
      <c r="Y83" s="178">
        <f>SUMIFS(T_Eq[10],T_Eq[Source],'CF CCY'!$A83,T_Eq[Risk CCY],'CF CCY'!$C83)</f>
        <v>0</v>
      </c>
      <c r="Z83" s="178">
        <f>SUMIFS(T_Eq[11],T_Eq[Source],'CF CCY'!$A83,T_Eq[Risk CCY],'CF CCY'!$C83)</f>
        <v>0</v>
      </c>
      <c r="AA83" s="178">
        <f>SUMIFS(T_Eq[12],T_Eq[Source],'CF CCY'!$A83,T_Eq[Risk CCY],'CF CCY'!$C83)</f>
        <v>0</v>
      </c>
    </row>
    <row r="84" spans="1:27" x14ac:dyDescent="0.25">
      <c r="A84" s="118" t="s">
        <v>49</v>
      </c>
      <c r="B84" s="1049"/>
      <c r="C84" s="257" t="s">
        <v>21</v>
      </c>
      <c r="D84" s="178">
        <f>SUMIFS(T_Eq[1],T_Eq[Source],'CF CCY'!$A84,T_Eq[Risk CCY],'CF CCY'!$C84)</f>
        <v>0</v>
      </c>
      <c r="E84" s="178">
        <f>SUMIFS(T_Eq[2],T_Eq[Source],'CF CCY'!$A84,T_Eq[Risk CCY],'CF CCY'!$C84)</f>
        <v>0</v>
      </c>
      <c r="F84" s="178">
        <f>SUMIFS(T_Eq[3],T_Eq[Source],'CF CCY'!$A84,T_Eq[Risk CCY],'CF CCY'!$C84)</f>
        <v>0</v>
      </c>
      <c r="G84" s="178">
        <f>SUMIFS(T_Eq[4],T_Eq[Source],'CF CCY'!$A84,T_Eq[Risk CCY],'CF CCY'!$C84)</f>
        <v>0</v>
      </c>
      <c r="H84" s="178">
        <f>SUMIFS(T_Eq[5],T_Eq[Source],'CF CCY'!$A84,T_Eq[Risk CCY],'CF CCY'!$C84)</f>
        <v>0</v>
      </c>
      <c r="I84" s="178">
        <f>SUMIFS(T_Eq[6],T_Eq[Source],'CF CCY'!$A84,T_Eq[Risk CCY],'CF CCY'!$C84)</f>
        <v>0</v>
      </c>
      <c r="J84" s="178">
        <f>SUMIFS(T_Eq[7],T_Eq[Source],'CF CCY'!$A84,T_Eq[Risk CCY],'CF CCY'!$C84)</f>
        <v>0</v>
      </c>
      <c r="K84" s="178">
        <f>SUMIFS(T_Eq[8],T_Eq[Source],'CF CCY'!$A84,T_Eq[Risk CCY],'CF CCY'!$C84)</f>
        <v>0</v>
      </c>
      <c r="L84" s="178">
        <f>SUMIFS(T_Eq[9],T_Eq[Source],'CF CCY'!$A84,T_Eq[Risk CCY],'CF CCY'!$C84)</f>
        <v>0</v>
      </c>
      <c r="M84" s="178">
        <f>SUMIFS(T_Eq[10],T_Eq[Source],'CF CCY'!$A84,T_Eq[Risk CCY],'CF CCY'!$C84)</f>
        <v>0</v>
      </c>
      <c r="N84" s="178">
        <f>SUMIFS(T_Eq[11],T_Eq[Source],'CF CCY'!$A84,T_Eq[Risk CCY],'CF CCY'!$C84)</f>
        <v>0</v>
      </c>
      <c r="O84" s="178">
        <f>SUMIFS(T_Eq[12],T_Eq[Source],'CF CCY'!$A84,T_Eq[Risk CCY],'CF CCY'!$C84)</f>
        <v>0</v>
      </c>
      <c r="P84" s="178">
        <f>SUMIFS(T_Eq[1],T_Eq[Source],'CF CCY'!$A84,T_Eq[Risk CCY],'CF CCY'!$C84)</f>
        <v>0</v>
      </c>
      <c r="Q84" s="178">
        <f>SUMIFS(T_Eq[2],T_Eq[Source],'CF CCY'!$A84,T_Eq[Risk CCY],'CF CCY'!$C84)</f>
        <v>0</v>
      </c>
      <c r="R84" s="178">
        <f>SUMIFS(T_Eq[3],T_Eq[Source],'CF CCY'!$A84,T_Eq[Risk CCY],'CF CCY'!$C84)</f>
        <v>0</v>
      </c>
      <c r="S84" s="178">
        <f>SUMIFS(T_Eq[4],T_Eq[Source],'CF CCY'!$A84,T_Eq[Risk CCY],'CF CCY'!$C84)</f>
        <v>0</v>
      </c>
      <c r="T84" s="178">
        <f>SUMIFS(T_Eq[5],T_Eq[Source],'CF CCY'!$A84,T_Eq[Risk CCY],'CF CCY'!$C84)</f>
        <v>0</v>
      </c>
      <c r="U84" s="178">
        <f>SUMIFS(T_Eq[6],T_Eq[Source],'CF CCY'!$A84,T_Eq[Risk CCY],'CF CCY'!$C84)</f>
        <v>0</v>
      </c>
      <c r="V84" s="178">
        <f>SUMIFS(T_Eq[7],T_Eq[Source],'CF CCY'!$A84,T_Eq[Risk CCY],'CF CCY'!$C84)</f>
        <v>0</v>
      </c>
      <c r="W84" s="178">
        <f>SUMIFS(T_Eq[8],T_Eq[Source],'CF CCY'!$A84,T_Eq[Risk CCY],'CF CCY'!$C84)</f>
        <v>0</v>
      </c>
      <c r="X84" s="178">
        <f>SUMIFS(T_Eq[9],T_Eq[Source],'CF CCY'!$A84,T_Eq[Risk CCY],'CF CCY'!$C84)</f>
        <v>0</v>
      </c>
      <c r="Y84" s="178">
        <f>SUMIFS(T_Eq[10],T_Eq[Source],'CF CCY'!$A84,T_Eq[Risk CCY],'CF CCY'!$C84)</f>
        <v>0</v>
      </c>
      <c r="Z84" s="178">
        <f>SUMIFS(T_Eq[11],T_Eq[Source],'CF CCY'!$A84,T_Eq[Risk CCY],'CF CCY'!$C84)</f>
        <v>0</v>
      </c>
      <c r="AA84" s="178">
        <f>SUMIFS(T_Eq[12],T_Eq[Source],'CF CCY'!$A84,T_Eq[Risk CCY],'CF CCY'!$C84)</f>
        <v>0</v>
      </c>
    </row>
    <row r="85" spans="1:27" x14ac:dyDescent="0.25">
      <c r="A85" s="118" t="s">
        <v>49</v>
      </c>
      <c r="B85" s="1050"/>
      <c r="C85" s="258" t="s">
        <v>23</v>
      </c>
      <c r="D85" s="259">
        <f>SUMIFS(T_Eq[1],T_Eq[Source],'CF CCY'!$A85,T_Eq[Risk CCY],'CF CCY'!$C85)</f>
        <v>0</v>
      </c>
      <c r="E85" s="259">
        <f>SUMIFS(T_Eq[2],T_Eq[Source],'CF CCY'!$A85,T_Eq[Risk CCY],'CF CCY'!$C85)</f>
        <v>0</v>
      </c>
      <c r="F85" s="259">
        <f>SUMIFS(T_Eq[3],T_Eq[Source],'CF CCY'!$A85,T_Eq[Risk CCY],'CF CCY'!$C85)</f>
        <v>0</v>
      </c>
      <c r="G85" s="259">
        <f>SUMIFS(T_Eq[4],T_Eq[Source],'CF CCY'!$A85,T_Eq[Risk CCY],'CF CCY'!$C85)</f>
        <v>0</v>
      </c>
      <c r="H85" s="259">
        <f>SUMIFS(T_Eq[5],T_Eq[Source],'CF CCY'!$A85,T_Eq[Risk CCY],'CF CCY'!$C85)</f>
        <v>0</v>
      </c>
      <c r="I85" s="259">
        <f>SUMIFS(T_Eq[6],T_Eq[Source],'CF CCY'!$A85,T_Eq[Risk CCY],'CF CCY'!$C85)</f>
        <v>0</v>
      </c>
      <c r="J85" s="259">
        <f>SUMIFS(T_Eq[7],T_Eq[Source],'CF CCY'!$A85,T_Eq[Risk CCY],'CF CCY'!$C85)</f>
        <v>0</v>
      </c>
      <c r="K85" s="259">
        <f>SUMIFS(T_Eq[8],T_Eq[Source],'CF CCY'!$A85,T_Eq[Risk CCY],'CF CCY'!$C85)</f>
        <v>0</v>
      </c>
      <c r="L85" s="259">
        <f>SUMIFS(T_Eq[9],T_Eq[Source],'CF CCY'!$A85,T_Eq[Risk CCY],'CF CCY'!$C85)</f>
        <v>0</v>
      </c>
      <c r="M85" s="259">
        <f>SUMIFS(T_Eq[10],T_Eq[Source],'CF CCY'!$A85,T_Eq[Risk CCY],'CF CCY'!$C85)</f>
        <v>0</v>
      </c>
      <c r="N85" s="259">
        <f>SUMIFS(T_Eq[11],T_Eq[Source],'CF CCY'!$A85,T_Eq[Risk CCY],'CF CCY'!$C85)</f>
        <v>0</v>
      </c>
      <c r="O85" s="259">
        <f>SUMIFS(T_Eq[12],T_Eq[Source],'CF CCY'!$A85,T_Eq[Risk CCY],'CF CCY'!$C85)</f>
        <v>0</v>
      </c>
      <c r="P85" s="259">
        <f>SUMIFS(T_Eq[1],T_Eq[Source],'CF CCY'!$A85,T_Eq[Risk CCY],'CF CCY'!$C85)</f>
        <v>0</v>
      </c>
      <c r="Q85" s="259">
        <f>SUMIFS(T_Eq[2],T_Eq[Source],'CF CCY'!$A85,T_Eq[Risk CCY],'CF CCY'!$C85)</f>
        <v>0</v>
      </c>
      <c r="R85" s="259">
        <f>SUMIFS(T_Eq[3],T_Eq[Source],'CF CCY'!$A85,T_Eq[Risk CCY],'CF CCY'!$C85)</f>
        <v>0</v>
      </c>
      <c r="S85" s="259">
        <f>SUMIFS(T_Eq[4],T_Eq[Source],'CF CCY'!$A85,T_Eq[Risk CCY],'CF CCY'!$C85)</f>
        <v>0</v>
      </c>
      <c r="T85" s="259">
        <f>SUMIFS(T_Eq[5],T_Eq[Source],'CF CCY'!$A85,T_Eq[Risk CCY],'CF CCY'!$C85)</f>
        <v>0</v>
      </c>
      <c r="U85" s="259">
        <f>SUMIFS(T_Eq[6],T_Eq[Source],'CF CCY'!$A85,T_Eq[Risk CCY],'CF CCY'!$C85)</f>
        <v>0</v>
      </c>
      <c r="V85" s="259">
        <f>SUMIFS(T_Eq[7],T_Eq[Source],'CF CCY'!$A85,T_Eq[Risk CCY],'CF CCY'!$C85)</f>
        <v>0</v>
      </c>
      <c r="W85" s="259">
        <f>SUMIFS(T_Eq[8],T_Eq[Source],'CF CCY'!$A85,T_Eq[Risk CCY],'CF CCY'!$C85)</f>
        <v>0</v>
      </c>
      <c r="X85" s="259">
        <f>SUMIFS(T_Eq[9],T_Eq[Source],'CF CCY'!$A85,T_Eq[Risk CCY],'CF CCY'!$C85)</f>
        <v>0</v>
      </c>
      <c r="Y85" s="259">
        <f>SUMIFS(T_Eq[10],T_Eq[Source],'CF CCY'!$A85,T_Eq[Risk CCY],'CF CCY'!$C85)</f>
        <v>0</v>
      </c>
      <c r="Z85" s="259">
        <f>SUMIFS(T_Eq[11],T_Eq[Source],'CF CCY'!$A85,T_Eq[Risk CCY],'CF CCY'!$C85)</f>
        <v>0</v>
      </c>
      <c r="AA85" s="259">
        <f>SUMIFS(T_Eq[12],T_Eq[Source],'CF CCY'!$A85,T_Eq[Risk CCY],'CF CCY'!$C85)</f>
        <v>0</v>
      </c>
    </row>
    <row r="86" spans="1:27" x14ac:dyDescent="0.25">
      <c r="A86" s="118" t="s">
        <v>90</v>
      </c>
      <c r="B86" s="1048" t="s">
        <v>90</v>
      </c>
      <c r="C86" s="260" t="s">
        <v>18</v>
      </c>
      <c r="D86" s="261">
        <f>SUMIFS(T_Eq[1],T_Eq[Source],'CF CCY'!$A86,T_Eq[Risk CCY],'CF CCY'!$C86)</f>
        <v>0</v>
      </c>
      <c r="E86" s="261">
        <f>SUMIFS(T_Eq[2],T_Eq[Source],'CF CCY'!$A86,T_Eq[Risk CCY],'CF CCY'!$C86)</f>
        <v>0</v>
      </c>
      <c r="F86" s="261">
        <f>SUMIFS(T_Eq[3],T_Eq[Source],'CF CCY'!$A86,T_Eq[Risk CCY],'CF CCY'!$C86)</f>
        <v>2948.0868500000001</v>
      </c>
      <c r="G86" s="261">
        <f>SUMIFS(T_Eq[4],T_Eq[Source],'CF CCY'!$A86,T_Eq[Risk CCY],'CF CCY'!$C86)</f>
        <v>0</v>
      </c>
      <c r="H86" s="261">
        <f>SUMIFS(T_Eq[5],T_Eq[Source],'CF CCY'!$A86,T_Eq[Risk CCY],'CF CCY'!$C86)</f>
        <v>0</v>
      </c>
      <c r="I86" s="261">
        <f>SUMIFS(T_Eq[6],T_Eq[Source],'CF CCY'!$A86,T_Eq[Risk CCY],'CF CCY'!$C86)</f>
        <v>60.082750000000004</v>
      </c>
      <c r="J86" s="261">
        <f>SUMIFS(T_Eq[7],T_Eq[Source],'CF CCY'!$A86,T_Eq[Risk CCY],'CF CCY'!$C86)</f>
        <v>0</v>
      </c>
      <c r="K86" s="261">
        <f>SUMIFS(T_Eq[8],T_Eq[Source],'CF CCY'!$A86,T_Eq[Risk CCY],'CF CCY'!$C86)</f>
        <v>0</v>
      </c>
      <c r="L86" s="261">
        <f>SUMIFS(T_Eq[9],T_Eq[Source],'CF CCY'!$A86,T_Eq[Risk CCY],'CF CCY'!$C86)</f>
        <v>2948.0868500000001</v>
      </c>
      <c r="M86" s="261">
        <f>SUMIFS(T_Eq[10],T_Eq[Source],'CF CCY'!$A86,T_Eq[Risk CCY],'CF CCY'!$C86)</f>
        <v>0</v>
      </c>
      <c r="N86" s="261">
        <f>SUMIFS(T_Eq[11],T_Eq[Source],'CF CCY'!$A86,T_Eq[Risk CCY],'CF CCY'!$C86)</f>
        <v>0</v>
      </c>
      <c r="O86" s="261">
        <f>SUMIFS(T_Eq[12],T_Eq[Source],'CF CCY'!$A86,T_Eq[Risk CCY],'CF CCY'!$C86)</f>
        <v>60.082750000000004</v>
      </c>
      <c r="P86" s="261">
        <f>SUMIFS(T_Eq[1],T_Eq[Source],'CF CCY'!$A86,T_Eq[Risk CCY],'CF CCY'!$C86)</f>
        <v>0</v>
      </c>
      <c r="Q86" s="261">
        <f>SUMIFS(T_Eq[2],T_Eq[Source],'CF CCY'!$A86,T_Eq[Risk CCY],'CF CCY'!$C86)</f>
        <v>0</v>
      </c>
      <c r="R86" s="261">
        <f>SUMIFS(T_Eq[3],T_Eq[Source],'CF CCY'!$A86,T_Eq[Risk CCY],'CF CCY'!$C86)</f>
        <v>2948.0868500000001</v>
      </c>
      <c r="S86" s="261">
        <f>SUMIFS(T_Eq[4],T_Eq[Source],'CF CCY'!$A86,T_Eq[Risk CCY],'CF CCY'!$C86)</f>
        <v>0</v>
      </c>
      <c r="T86" s="261">
        <f>SUMIFS(T_Eq[5],T_Eq[Source],'CF CCY'!$A86,T_Eq[Risk CCY],'CF CCY'!$C86)</f>
        <v>0</v>
      </c>
      <c r="U86" s="261">
        <f>SUMIFS(T_Eq[6],T_Eq[Source],'CF CCY'!$A86,T_Eq[Risk CCY],'CF CCY'!$C86)</f>
        <v>60.082750000000004</v>
      </c>
      <c r="V86" s="261">
        <f>SUMIFS(T_Eq[7],T_Eq[Source],'CF CCY'!$A86,T_Eq[Risk CCY],'CF CCY'!$C86)</f>
        <v>0</v>
      </c>
      <c r="W86" s="261">
        <f>SUMIFS(T_Eq[8],T_Eq[Source],'CF CCY'!$A86,T_Eq[Risk CCY],'CF CCY'!$C86)</f>
        <v>0</v>
      </c>
      <c r="X86" s="261">
        <f>SUMIFS(T_Eq[9],T_Eq[Source],'CF CCY'!$A86,T_Eq[Risk CCY],'CF CCY'!$C86)</f>
        <v>2948.0868500000001</v>
      </c>
      <c r="Y86" s="261">
        <f>SUMIFS(T_Eq[10],T_Eq[Source],'CF CCY'!$A86,T_Eq[Risk CCY],'CF CCY'!$C86)</f>
        <v>0</v>
      </c>
      <c r="Z86" s="261">
        <f>SUMIFS(T_Eq[11],T_Eq[Source],'CF CCY'!$A86,T_Eq[Risk CCY],'CF CCY'!$C86)</f>
        <v>0</v>
      </c>
      <c r="AA86" s="261">
        <f>SUMIFS(T_Eq[12],T_Eq[Source],'CF CCY'!$A86,T_Eq[Risk CCY],'CF CCY'!$C86)</f>
        <v>60.082750000000004</v>
      </c>
    </row>
    <row r="87" spans="1:27" x14ac:dyDescent="0.25">
      <c r="A87" s="118" t="s">
        <v>90</v>
      </c>
      <c r="B87" s="1049"/>
      <c r="C87" s="257" t="s">
        <v>19</v>
      </c>
      <c r="D87" s="178">
        <f>SUMIFS(T_Eq[1],T_Eq[Source],'CF CCY'!$A87,T_Eq[Risk CCY],'CF CCY'!$C87)</f>
        <v>0</v>
      </c>
      <c r="E87" s="178">
        <f>SUMIFS(T_Eq[2],T_Eq[Source],'CF CCY'!$A87,T_Eq[Risk CCY],'CF CCY'!$C87)</f>
        <v>0</v>
      </c>
      <c r="F87" s="178">
        <f>SUMIFS(T_Eq[3],T_Eq[Source],'CF CCY'!$A87,T_Eq[Risk CCY],'CF CCY'!$C87)</f>
        <v>0</v>
      </c>
      <c r="G87" s="178">
        <f>SUMIFS(T_Eq[4],T_Eq[Source],'CF CCY'!$A87,T_Eq[Risk CCY],'CF CCY'!$C87)</f>
        <v>0</v>
      </c>
      <c r="H87" s="178">
        <f>SUMIFS(T_Eq[5],T_Eq[Source],'CF CCY'!$A87,T_Eq[Risk CCY],'CF CCY'!$C87)</f>
        <v>0</v>
      </c>
      <c r="I87" s="178">
        <f>SUMIFS(T_Eq[6],T_Eq[Source],'CF CCY'!$A87,T_Eq[Risk CCY],'CF CCY'!$C87)</f>
        <v>0</v>
      </c>
      <c r="J87" s="178">
        <f>SUMIFS(T_Eq[7],T_Eq[Source],'CF CCY'!$A87,T_Eq[Risk CCY],'CF CCY'!$C87)</f>
        <v>0</v>
      </c>
      <c r="K87" s="178">
        <f>SUMIFS(T_Eq[8],T_Eq[Source],'CF CCY'!$A87,T_Eq[Risk CCY],'CF CCY'!$C87)</f>
        <v>0</v>
      </c>
      <c r="L87" s="178">
        <f>SUMIFS(T_Eq[9],T_Eq[Source],'CF CCY'!$A87,T_Eq[Risk CCY],'CF CCY'!$C87)</f>
        <v>0</v>
      </c>
      <c r="M87" s="178">
        <f>SUMIFS(T_Eq[10],T_Eq[Source],'CF CCY'!$A87,T_Eq[Risk CCY],'CF CCY'!$C87)</f>
        <v>0</v>
      </c>
      <c r="N87" s="178">
        <f>SUMIFS(T_Eq[11],T_Eq[Source],'CF CCY'!$A87,T_Eq[Risk CCY],'CF CCY'!$C87)</f>
        <v>0</v>
      </c>
      <c r="O87" s="178">
        <f>SUMIFS(T_Eq[12],T_Eq[Source],'CF CCY'!$A87,T_Eq[Risk CCY],'CF CCY'!$C87)</f>
        <v>0</v>
      </c>
      <c r="P87" s="178">
        <f>SUMIFS(T_Eq[1],T_Eq[Source],'CF CCY'!$A87,T_Eq[Risk CCY],'CF CCY'!$C87)</f>
        <v>0</v>
      </c>
      <c r="Q87" s="178">
        <f>SUMIFS(T_Eq[2],T_Eq[Source],'CF CCY'!$A87,T_Eq[Risk CCY],'CF CCY'!$C87)</f>
        <v>0</v>
      </c>
      <c r="R87" s="178">
        <f>SUMIFS(T_Eq[3],T_Eq[Source],'CF CCY'!$A87,T_Eq[Risk CCY],'CF CCY'!$C87)</f>
        <v>0</v>
      </c>
      <c r="S87" s="178">
        <f>SUMIFS(T_Eq[4],T_Eq[Source],'CF CCY'!$A87,T_Eq[Risk CCY],'CF CCY'!$C87)</f>
        <v>0</v>
      </c>
      <c r="T87" s="178">
        <f>SUMIFS(T_Eq[5],T_Eq[Source],'CF CCY'!$A87,T_Eq[Risk CCY],'CF CCY'!$C87)</f>
        <v>0</v>
      </c>
      <c r="U87" s="178">
        <f>SUMIFS(T_Eq[6],T_Eq[Source],'CF CCY'!$A87,T_Eq[Risk CCY],'CF CCY'!$C87)</f>
        <v>0</v>
      </c>
      <c r="V87" s="178">
        <f>SUMIFS(T_Eq[7],T_Eq[Source],'CF CCY'!$A87,T_Eq[Risk CCY],'CF CCY'!$C87)</f>
        <v>0</v>
      </c>
      <c r="W87" s="178">
        <f>SUMIFS(T_Eq[8],T_Eq[Source],'CF CCY'!$A87,T_Eq[Risk CCY],'CF CCY'!$C87)</f>
        <v>0</v>
      </c>
      <c r="X87" s="178">
        <f>SUMIFS(T_Eq[9],T_Eq[Source],'CF CCY'!$A87,T_Eq[Risk CCY],'CF CCY'!$C87)</f>
        <v>0</v>
      </c>
      <c r="Y87" s="178">
        <f>SUMIFS(T_Eq[10],T_Eq[Source],'CF CCY'!$A87,T_Eq[Risk CCY],'CF CCY'!$C87)</f>
        <v>0</v>
      </c>
      <c r="Z87" s="178">
        <f>SUMIFS(T_Eq[11],T_Eq[Source],'CF CCY'!$A87,T_Eq[Risk CCY],'CF CCY'!$C87)</f>
        <v>0</v>
      </c>
      <c r="AA87" s="178">
        <f>SUMIFS(T_Eq[12],T_Eq[Source],'CF CCY'!$A87,T_Eq[Risk CCY],'CF CCY'!$C87)</f>
        <v>0</v>
      </c>
    </row>
    <row r="88" spans="1:27" x14ac:dyDescent="0.25">
      <c r="A88" s="118" t="s">
        <v>90</v>
      </c>
      <c r="B88" s="1049"/>
      <c r="C88" s="257" t="s">
        <v>21</v>
      </c>
      <c r="D88" s="178">
        <f>SUMIFS(T_Eq[1],T_Eq[Source],'CF CCY'!$A88,T_Eq[Risk CCY],'CF CCY'!$C88)</f>
        <v>0</v>
      </c>
      <c r="E88" s="178">
        <f>SUMIFS(T_Eq[2],T_Eq[Source],'CF CCY'!$A88,T_Eq[Risk CCY],'CF CCY'!$C88)</f>
        <v>0</v>
      </c>
      <c r="F88" s="178">
        <f>SUMIFS(T_Eq[3],T_Eq[Source],'CF CCY'!$A88,T_Eq[Risk CCY],'CF CCY'!$C88)</f>
        <v>0</v>
      </c>
      <c r="G88" s="178">
        <f>SUMIFS(T_Eq[4],T_Eq[Source],'CF CCY'!$A88,T_Eq[Risk CCY],'CF CCY'!$C88)</f>
        <v>0</v>
      </c>
      <c r="H88" s="178">
        <f>SUMIFS(T_Eq[5],T_Eq[Source],'CF CCY'!$A88,T_Eq[Risk CCY],'CF CCY'!$C88)</f>
        <v>0</v>
      </c>
      <c r="I88" s="178">
        <f>SUMIFS(T_Eq[6],T_Eq[Source],'CF CCY'!$A88,T_Eq[Risk CCY],'CF CCY'!$C88)</f>
        <v>0</v>
      </c>
      <c r="J88" s="178">
        <f>SUMIFS(T_Eq[7],T_Eq[Source],'CF CCY'!$A88,T_Eq[Risk CCY],'CF CCY'!$C88)</f>
        <v>0</v>
      </c>
      <c r="K88" s="178">
        <f>SUMIFS(T_Eq[8],T_Eq[Source],'CF CCY'!$A88,T_Eq[Risk CCY],'CF CCY'!$C88)</f>
        <v>0</v>
      </c>
      <c r="L88" s="178">
        <f>SUMIFS(T_Eq[9],T_Eq[Source],'CF CCY'!$A88,T_Eq[Risk CCY],'CF CCY'!$C88)</f>
        <v>0</v>
      </c>
      <c r="M88" s="178">
        <f>SUMIFS(T_Eq[10],T_Eq[Source],'CF CCY'!$A88,T_Eq[Risk CCY],'CF CCY'!$C88)</f>
        <v>0</v>
      </c>
      <c r="N88" s="178">
        <f>SUMIFS(T_Eq[11],T_Eq[Source],'CF CCY'!$A88,T_Eq[Risk CCY],'CF CCY'!$C88)</f>
        <v>0</v>
      </c>
      <c r="O88" s="178">
        <f>SUMIFS(T_Eq[12],T_Eq[Source],'CF CCY'!$A88,T_Eq[Risk CCY],'CF CCY'!$C88)</f>
        <v>0</v>
      </c>
      <c r="P88" s="178">
        <f>SUMIFS(T_Eq[1],T_Eq[Source],'CF CCY'!$A88,T_Eq[Risk CCY],'CF CCY'!$C88)</f>
        <v>0</v>
      </c>
      <c r="Q88" s="178">
        <f>SUMIFS(T_Eq[2],T_Eq[Source],'CF CCY'!$A88,T_Eq[Risk CCY],'CF CCY'!$C88)</f>
        <v>0</v>
      </c>
      <c r="R88" s="178">
        <f>SUMIFS(T_Eq[3],T_Eq[Source],'CF CCY'!$A88,T_Eq[Risk CCY],'CF CCY'!$C88)</f>
        <v>0</v>
      </c>
      <c r="S88" s="178">
        <f>SUMIFS(T_Eq[4],T_Eq[Source],'CF CCY'!$A88,T_Eq[Risk CCY],'CF CCY'!$C88)</f>
        <v>0</v>
      </c>
      <c r="T88" s="178">
        <f>SUMIFS(T_Eq[5],T_Eq[Source],'CF CCY'!$A88,T_Eq[Risk CCY],'CF CCY'!$C88)</f>
        <v>0</v>
      </c>
      <c r="U88" s="178">
        <f>SUMIFS(T_Eq[6],T_Eq[Source],'CF CCY'!$A88,T_Eq[Risk CCY],'CF CCY'!$C88)</f>
        <v>0</v>
      </c>
      <c r="V88" s="178">
        <f>SUMIFS(T_Eq[7],T_Eq[Source],'CF CCY'!$A88,T_Eq[Risk CCY],'CF CCY'!$C88)</f>
        <v>0</v>
      </c>
      <c r="W88" s="178">
        <f>SUMIFS(T_Eq[8],T_Eq[Source],'CF CCY'!$A88,T_Eq[Risk CCY],'CF CCY'!$C88)</f>
        <v>0</v>
      </c>
      <c r="X88" s="178">
        <f>SUMIFS(T_Eq[9],T_Eq[Source],'CF CCY'!$A88,T_Eq[Risk CCY],'CF CCY'!$C88)</f>
        <v>0</v>
      </c>
      <c r="Y88" s="178">
        <f>SUMIFS(T_Eq[10],T_Eq[Source],'CF CCY'!$A88,T_Eq[Risk CCY],'CF CCY'!$C88)</f>
        <v>0</v>
      </c>
      <c r="Z88" s="178">
        <f>SUMIFS(T_Eq[11],T_Eq[Source],'CF CCY'!$A88,T_Eq[Risk CCY],'CF CCY'!$C88)</f>
        <v>0</v>
      </c>
      <c r="AA88" s="178">
        <f>SUMIFS(T_Eq[12],T_Eq[Source],'CF CCY'!$A88,T_Eq[Risk CCY],'CF CCY'!$C88)</f>
        <v>0</v>
      </c>
    </row>
    <row r="89" spans="1:27" x14ac:dyDescent="0.25">
      <c r="A89" s="118" t="s">
        <v>90</v>
      </c>
      <c r="B89" s="1050"/>
      <c r="C89" s="258" t="s">
        <v>23</v>
      </c>
      <c r="D89" s="259">
        <f>SUMIFS(T_Eq[1],T_Eq[Source],'CF CCY'!$A89,T_Eq[Risk CCY],'CF CCY'!$C89)</f>
        <v>0</v>
      </c>
      <c r="E89" s="259">
        <f>SUMIFS(T_Eq[2],T_Eq[Source],'CF CCY'!$A89,T_Eq[Risk CCY],'CF CCY'!$C89)</f>
        <v>0</v>
      </c>
      <c r="F89" s="259">
        <f>SUMIFS(T_Eq[3],T_Eq[Source],'CF CCY'!$A89,T_Eq[Risk CCY],'CF CCY'!$C89)</f>
        <v>0</v>
      </c>
      <c r="G89" s="259">
        <f>SUMIFS(T_Eq[4],T_Eq[Source],'CF CCY'!$A89,T_Eq[Risk CCY],'CF CCY'!$C89)</f>
        <v>0</v>
      </c>
      <c r="H89" s="259">
        <f>SUMIFS(T_Eq[5],T_Eq[Source],'CF CCY'!$A89,T_Eq[Risk CCY],'CF CCY'!$C89)</f>
        <v>0</v>
      </c>
      <c r="I89" s="259">
        <f>SUMIFS(T_Eq[6],T_Eq[Source],'CF CCY'!$A89,T_Eq[Risk CCY],'CF CCY'!$C89)</f>
        <v>0</v>
      </c>
      <c r="J89" s="259">
        <f>SUMIFS(T_Eq[7],T_Eq[Source],'CF CCY'!$A89,T_Eq[Risk CCY],'CF CCY'!$C89)</f>
        <v>0</v>
      </c>
      <c r="K89" s="259">
        <f>SUMIFS(T_Eq[8],T_Eq[Source],'CF CCY'!$A89,T_Eq[Risk CCY],'CF CCY'!$C89)</f>
        <v>0</v>
      </c>
      <c r="L89" s="259">
        <f>SUMIFS(T_Eq[9],T_Eq[Source],'CF CCY'!$A89,T_Eq[Risk CCY],'CF CCY'!$C89)</f>
        <v>0</v>
      </c>
      <c r="M89" s="259">
        <f>SUMIFS(T_Eq[10],T_Eq[Source],'CF CCY'!$A89,T_Eq[Risk CCY],'CF CCY'!$C89)</f>
        <v>0</v>
      </c>
      <c r="N89" s="259">
        <f>SUMIFS(T_Eq[11],T_Eq[Source],'CF CCY'!$A89,T_Eq[Risk CCY],'CF CCY'!$C89)</f>
        <v>0</v>
      </c>
      <c r="O89" s="259">
        <f>SUMIFS(T_Eq[12],T_Eq[Source],'CF CCY'!$A89,T_Eq[Risk CCY],'CF CCY'!$C89)</f>
        <v>0</v>
      </c>
      <c r="P89" s="259">
        <f>SUMIFS(T_Eq[1],T_Eq[Source],'CF CCY'!$A89,T_Eq[Risk CCY],'CF CCY'!$C89)</f>
        <v>0</v>
      </c>
      <c r="Q89" s="259">
        <f>SUMIFS(T_Eq[2],T_Eq[Source],'CF CCY'!$A89,T_Eq[Risk CCY],'CF CCY'!$C89)</f>
        <v>0</v>
      </c>
      <c r="R89" s="259">
        <f>SUMIFS(T_Eq[3],T_Eq[Source],'CF CCY'!$A89,T_Eq[Risk CCY],'CF CCY'!$C89)</f>
        <v>0</v>
      </c>
      <c r="S89" s="259">
        <f>SUMIFS(T_Eq[4],T_Eq[Source],'CF CCY'!$A89,T_Eq[Risk CCY],'CF CCY'!$C89)</f>
        <v>0</v>
      </c>
      <c r="T89" s="259">
        <f>SUMIFS(T_Eq[5],T_Eq[Source],'CF CCY'!$A89,T_Eq[Risk CCY],'CF CCY'!$C89)</f>
        <v>0</v>
      </c>
      <c r="U89" s="259">
        <f>SUMIFS(T_Eq[6],T_Eq[Source],'CF CCY'!$A89,T_Eq[Risk CCY],'CF CCY'!$C89)</f>
        <v>0</v>
      </c>
      <c r="V89" s="259">
        <f>SUMIFS(T_Eq[7],T_Eq[Source],'CF CCY'!$A89,T_Eq[Risk CCY],'CF CCY'!$C89)</f>
        <v>0</v>
      </c>
      <c r="W89" s="259">
        <f>SUMIFS(T_Eq[8],T_Eq[Source],'CF CCY'!$A89,T_Eq[Risk CCY],'CF CCY'!$C89)</f>
        <v>0</v>
      </c>
      <c r="X89" s="259">
        <f>SUMIFS(T_Eq[9],T_Eq[Source],'CF CCY'!$A89,T_Eq[Risk CCY],'CF CCY'!$C89)</f>
        <v>0</v>
      </c>
      <c r="Y89" s="259">
        <f>SUMIFS(T_Eq[10],T_Eq[Source],'CF CCY'!$A89,T_Eq[Risk CCY],'CF CCY'!$C89)</f>
        <v>0</v>
      </c>
      <c r="Z89" s="259">
        <f>SUMIFS(T_Eq[11],T_Eq[Source],'CF CCY'!$A89,T_Eq[Risk CCY],'CF CCY'!$C89)</f>
        <v>0</v>
      </c>
      <c r="AA89" s="259">
        <f>SUMIFS(T_Eq[12],T_Eq[Source],'CF CCY'!$A89,T_Eq[Risk CCY],'CF CCY'!$C89)</f>
        <v>0</v>
      </c>
    </row>
    <row r="90" spans="1:27" x14ac:dyDescent="0.25">
      <c r="A90" s="118" t="s">
        <v>366</v>
      </c>
      <c r="B90" s="1048" t="s">
        <v>366</v>
      </c>
      <c r="C90" s="260" t="s">
        <v>18</v>
      </c>
      <c r="D90" s="261">
        <f>SUMIFS(T_Eq[1],T_Eq[Source],'CF CCY'!$A90,T_Eq[Risk CCY],'CF CCY'!$C90)</f>
        <v>3269.1067499999995</v>
      </c>
      <c r="E90" s="261">
        <f>SUMIFS(T_Eq[2],T_Eq[Source],'CF CCY'!$A90,T_Eq[Risk CCY],'CF CCY'!$C90)</f>
        <v>0</v>
      </c>
      <c r="F90" s="261">
        <f>SUMIFS(T_Eq[3],T_Eq[Source],'CF CCY'!$A90,T_Eq[Risk CCY],'CF CCY'!$C90)</f>
        <v>4106.25</v>
      </c>
      <c r="G90" s="261">
        <f>SUMIFS(T_Eq[4],T_Eq[Source],'CF CCY'!$A90,T_Eq[Risk CCY],'CF CCY'!$C90)</f>
        <v>3269.1067499999995</v>
      </c>
      <c r="H90" s="261">
        <f>SUMIFS(T_Eq[5],T_Eq[Source],'CF CCY'!$A90,T_Eq[Risk CCY],'CF CCY'!$C90)</f>
        <v>0</v>
      </c>
      <c r="I90" s="261">
        <f>SUMIFS(T_Eq[6],T_Eq[Source],'CF CCY'!$A90,T_Eq[Risk CCY],'CF CCY'!$C90)</f>
        <v>4106.25</v>
      </c>
      <c r="J90" s="261">
        <f>SUMIFS(T_Eq[7],T_Eq[Source],'CF CCY'!$A90,T_Eq[Risk CCY],'CF CCY'!$C90)</f>
        <v>3269.1067499999995</v>
      </c>
      <c r="K90" s="261">
        <f>SUMIFS(T_Eq[8],T_Eq[Source],'CF CCY'!$A90,T_Eq[Risk CCY],'CF CCY'!$C90)</f>
        <v>0</v>
      </c>
      <c r="L90" s="261">
        <f>SUMIFS(T_Eq[9],T_Eq[Source],'CF CCY'!$A90,T_Eq[Risk CCY],'CF CCY'!$C90)</f>
        <v>4106.25</v>
      </c>
      <c r="M90" s="261">
        <f>SUMIFS(T_Eq[10],T_Eq[Source],'CF CCY'!$A90,T_Eq[Risk CCY],'CF CCY'!$C90)</f>
        <v>3269.1067499999995</v>
      </c>
      <c r="N90" s="261">
        <f>SUMIFS(T_Eq[11],T_Eq[Source],'CF CCY'!$A90,T_Eq[Risk CCY],'CF CCY'!$C90)</f>
        <v>0</v>
      </c>
      <c r="O90" s="261">
        <f>SUMIFS(T_Eq[12],T_Eq[Source],'CF CCY'!$A90,T_Eq[Risk CCY],'CF CCY'!$C90)</f>
        <v>35002.49</v>
      </c>
      <c r="P90" s="261">
        <f>SUMIFS(T_Eq[1],T_Eq[Source],'CF CCY'!$A90,T_Eq[Risk CCY],'CF CCY'!$C90)</f>
        <v>3269.1067499999995</v>
      </c>
      <c r="Q90" s="261">
        <f>SUMIFS(T_Eq[2],T_Eq[Source],'CF CCY'!$A90,T_Eq[Risk CCY],'CF CCY'!$C90)</f>
        <v>0</v>
      </c>
      <c r="R90" s="261">
        <f>SUMIFS(T_Eq[3],T_Eq[Source],'CF CCY'!$A90,T_Eq[Risk CCY],'CF CCY'!$C90)</f>
        <v>4106.25</v>
      </c>
      <c r="S90" s="261">
        <f>SUMIFS(T_Eq[4],T_Eq[Source],'CF CCY'!$A90,T_Eq[Risk CCY],'CF CCY'!$C90)</f>
        <v>3269.1067499999995</v>
      </c>
      <c r="T90" s="261">
        <f>SUMIFS(T_Eq[5],T_Eq[Source],'CF CCY'!$A90,T_Eq[Risk CCY],'CF CCY'!$C90)</f>
        <v>0</v>
      </c>
      <c r="U90" s="261">
        <f>SUMIFS(T_Eq[6],T_Eq[Source],'CF CCY'!$A90,T_Eq[Risk CCY],'CF CCY'!$C90)</f>
        <v>4106.25</v>
      </c>
      <c r="V90" s="261">
        <f>SUMIFS(T_Eq[7],T_Eq[Source],'CF CCY'!$A90,T_Eq[Risk CCY],'CF CCY'!$C90)</f>
        <v>3269.1067499999995</v>
      </c>
      <c r="W90" s="261">
        <f>SUMIFS(T_Eq[8],T_Eq[Source],'CF CCY'!$A90,T_Eq[Risk CCY],'CF CCY'!$C90)</f>
        <v>0</v>
      </c>
      <c r="X90" s="261">
        <f>SUMIFS(T_Eq[9],T_Eq[Source],'CF CCY'!$A90,T_Eq[Risk CCY],'CF CCY'!$C90)</f>
        <v>4106.25</v>
      </c>
      <c r="Y90" s="261">
        <f>SUMIFS(T_Eq[10],T_Eq[Source],'CF CCY'!$A90,T_Eq[Risk CCY],'CF CCY'!$C90)</f>
        <v>3269.1067499999995</v>
      </c>
      <c r="Z90" s="261">
        <f>SUMIFS(T_Eq[11],T_Eq[Source],'CF CCY'!$A90,T_Eq[Risk CCY],'CF CCY'!$C90)</f>
        <v>0</v>
      </c>
      <c r="AA90" s="261">
        <f>SUMIFS(T_Eq[12],T_Eq[Source],'CF CCY'!$A90,T_Eq[Risk CCY],'CF CCY'!$C90)</f>
        <v>35002.49</v>
      </c>
    </row>
    <row r="91" spans="1:27" x14ac:dyDescent="0.25">
      <c r="A91" s="118" t="s">
        <v>366</v>
      </c>
      <c r="B91" s="1049"/>
      <c r="C91" s="257" t="s">
        <v>19</v>
      </c>
      <c r="D91" s="178">
        <f>SUMIFS(T_Eq[1],T_Eq[Source],'CF CCY'!$A91,T_Eq[Risk CCY],'CF CCY'!$C91)</f>
        <v>10272.761666666665</v>
      </c>
      <c r="E91" s="178">
        <f>SUMIFS(T_Eq[2],T_Eq[Source],'CF CCY'!$A91,T_Eq[Risk CCY],'CF CCY'!$C91)</f>
        <v>2192.0668058455117</v>
      </c>
      <c r="F91" s="178">
        <f>SUMIFS(T_Eq[3],T_Eq[Source],'CF CCY'!$A91,T_Eq[Risk CCY],'CF CCY'!$C91)</f>
        <v>2381.19</v>
      </c>
      <c r="G91" s="178">
        <f>SUMIFS(T_Eq[4],T_Eq[Source],'CF CCY'!$A91,T_Eq[Risk CCY],'CF CCY'!$C91)</f>
        <v>3360.36</v>
      </c>
      <c r="H91" s="178">
        <f>SUMIFS(T_Eq[5],T_Eq[Source],'CF CCY'!$A91,T_Eq[Risk CCY],'CF CCY'!$C91)</f>
        <v>15760.066666666664</v>
      </c>
      <c r="I91" s="178">
        <f>SUMIFS(T_Eq[6],T_Eq[Source],'CF CCY'!$A91,T_Eq[Risk CCY],'CF CCY'!$C91)</f>
        <v>4060.2750000000001</v>
      </c>
      <c r="J91" s="178">
        <f>SUMIFS(T_Eq[7],T_Eq[Source],'CF CCY'!$A91,T_Eq[Risk CCY],'CF CCY'!$C91)</f>
        <v>8166.0949999999993</v>
      </c>
      <c r="K91" s="178">
        <f>SUMIFS(T_Eq[8],T_Eq[Source],'CF CCY'!$A91,T_Eq[Risk CCY],'CF CCY'!$C91)</f>
        <v>2192.0668058455117</v>
      </c>
      <c r="L91" s="178">
        <f>SUMIFS(T_Eq[9],T_Eq[Source],'CF CCY'!$A91,T_Eq[Risk CCY],'CF CCY'!$C91)</f>
        <v>4487.8566666666666</v>
      </c>
      <c r="M91" s="178">
        <f>SUMIFS(T_Eq[10],T_Eq[Source],'CF CCY'!$A91,T_Eq[Risk CCY],'CF CCY'!$C91)</f>
        <v>3360.36</v>
      </c>
      <c r="N91" s="178">
        <f>SUMIFS(T_Eq[11],T_Eq[Source],'CF CCY'!$A91,T_Eq[Risk CCY],'CF CCY'!$C91)</f>
        <v>13653.399999999998</v>
      </c>
      <c r="O91" s="178">
        <f>SUMIFS(T_Eq[12],T_Eq[Source],'CF CCY'!$A91,T_Eq[Risk CCY],'CF CCY'!$C91)</f>
        <v>4060.2750000000001</v>
      </c>
      <c r="P91" s="178">
        <f>SUMIFS(T_Eq[1],T_Eq[Source],'CF CCY'!$A91,T_Eq[Risk CCY],'CF CCY'!$C91)</f>
        <v>10272.761666666665</v>
      </c>
      <c r="Q91" s="178">
        <f>SUMIFS(T_Eq[2],T_Eq[Source],'CF CCY'!$A91,T_Eq[Risk CCY],'CF CCY'!$C91)</f>
        <v>2192.0668058455117</v>
      </c>
      <c r="R91" s="178">
        <f>SUMIFS(T_Eq[3],T_Eq[Source],'CF CCY'!$A91,T_Eq[Risk CCY],'CF CCY'!$C91)</f>
        <v>2381.19</v>
      </c>
      <c r="S91" s="178">
        <f>SUMIFS(T_Eq[4],T_Eq[Source],'CF CCY'!$A91,T_Eq[Risk CCY],'CF CCY'!$C91)</f>
        <v>3360.36</v>
      </c>
      <c r="T91" s="178">
        <f>SUMIFS(T_Eq[5],T_Eq[Source],'CF CCY'!$A91,T_Eq[Risk CCY],'CF CCY'!$C91)</f>
        <v>15760.066666666664</v>
      </c>
      <c r="U91" s="178">
        <f>SUMIFS(T_Eq[6],T_Eq[Source],'CF CCY'!$A91,T_Eq[Risk CCY],'CF CCY'!$C91)</f>
        <v>4060.2750000000001</v>
      </c>
      <c r="V91" s="178">
        <f>SUMIFS(T_Eq[7],T_Eq[Source],'CF CCY'!$A91,T_Eq[Risk CCY],'CF CCY'!$C91)</f>
        <v>8166.0949999999993</v>
      </c>
      <c r="W91" s="178">
        <f>SUMIFS(T_Eq[8],T_Eq[Source],'CF CCY'!$A91,T_Eq[Risk CCY],'CF CCY'!$C91)</f>
        <v>2192.0668058455117</v>
      </c>
      <c r="X91" s="178">
        <f>SUMIFS(T_Eq[9],T_Eq[Source],'CF CCY'!$A91,T_Eq[Risk CCY],'CF CCY'!$C91)</f>
        <v>4487.8566666666666</v>
      </c>
      <c r="Y91" s="178">
        <f>SUMIFS(T_Eq[10],T_Eq[Source],'CF CCY'!$A91,T_Eq[Risk CCY],'CF CCY'!$C91)</f>
        <v>3360.36</v>
      </c>
      <c r="Z91" s="178">
        <f>SUMIFS(T_Eq[11],T_Eq[Source],'CF CCY'!$A91,T_Eq[Risk CCY],'CF CCY'!$C91)</f>
        <v>13653.399999999998</v>
      </c>
      <c r="AA91" s="178">
        <f>SUMIFS(T_Eq[12],T_Eq[Source],'CF CCY'!$A91,T_Eq[Risk CCY],'CF CCY'!$C91)</f>
        <v>4060.2750000000001</v>
      </c>
    </row>
    <row r="92" spans="1:27" x14ac:dyDescent="0.25">
      <c r="A92" s="118" t="s">
        <v>366</v>
      </c>
      <c r="B92" s="1049"/>
      <c r="C92" s="257" t="s">
        <v>21</v>
      </c>
      <c r="D92" s="178">
        <f>SUMIFS(T_Eq[1],T_Eq[Source],'CF CCY'!$A92,T_Eq[Risk CCY],'CF CCY'!$C92)</f>
        <v>0</v>
      </c>
      <c r="E92" s="178">
        <f>SUMIFS(T_Eq[2],T_Eq[Source],'CF CCY'!$A92,T_Eq[Risk CCY],'CF CCY'!$C92)</f>
        <v>0</v>
      </c>
      <c r="F92" s="178">
        <f>SUMIFS(T_Eq[3],T_Eq[Source],'CF CCY'!$A92,T_Eq[Risk CCY],'CF CCY'!$C92)</f>
        <v>0</v>
      </c>
      <c r="G92" s="178">
        <f>SUMIFS(T_Eq[4],T_Eq[Source],'CF CCY'!$A92,T_Eq[Risk CCY],'CF CCY'!$C92)</f>
        <v>0</v>
      </c>
      <c r="H92" s="178">
        <f>SUMIFS(T_Eq[5],T_Eq[Source],'CF CCY'!$A92,T_Eq[Risk CCY],'CF CCY'!$C92)</f>
        <v>0</v>
      </c>
      <c r="I92" s="178">
        <f>SUMIFS(T_Eq[6],T_Eq[Source],'CF CCY'!$A92,T_Eq[Risk CCY],'CF CCY'!$C92)</f>
        <v>0</v>
      </c>
      <c r="J92" s="178">
        <f>SUMIFS(T_Eq[7],T_Eq[Source],'CF CCY'!$A92,T_Eq[Risk CCY],'CF CCY'!$C92)</f>
        <v>0</v>
      </c>
      <c r="K92" s="178">
        <f>SUMIFS(T_Eq[8],T_Eq[Source],'CF CCY'!$A92,T_Eq[Risk CCY],'CF CCY'!$C92)</f>
        <v>0</v>
      </c>
      <c r="L92" s="178">
        <f>SUMIFS(T_Eq[9],T_Eq[Source],'CF CCY'!$A92,T_Eq[Risk CCY],'CF CCY'!$C92)</f>
        <v>0</v>
      </c>
      <c r="M92" s="178">
        <f>SUMIFS(T_Eq[10],T_Eq[Source],'CF CCY'!$A92,T_Eq[Risk CCY],'CF CCY'!$C92)</f>
        <v>0</v>
      </c>
      <c r="N92" s="178">
        <f>SUMIFS(T_Eq[11],T_Eq[Source],'CF CCY'!$A92,T_Eq[Risk CCY],'CF CCY'!$C92)</f>
        <v>0</v>
      </c>
      <c r="O92" s="178">
        <f>SUMIFS(T_Eq[12],T_Eq[Source],'CF CCY'!$A92,T_Eq[Risk CCY],'CF CCY'!$C92)</f>
        <v>0</v>
      </c>
      <c r="P92" s="178">
        <f>SUMIFS(T_Eq[1],T_Eq[Source],'CF CCY'!$A92,T_Eq[Risk CCY],'CF CCY'!$C92)</f>
        <v>0</v>
      </c>
      <c r="Q92" s="178">
        <f>SUMIFS(T_Eq[2],T_Eq[Source],'CF CCY'!$A92,T_Eq[Risk CCY],'CF CCY'!$C92)</f>
        <v>0</v>
      </c>
      <c r="R92" s="178">
        <f>SUMIFS(T_Eq[3],T_Eq[Source],'CF CCY'!$A92,T_Eq[Risk CCY],'CF CCY'!$C92)</f>
        <v>0</v>
      </c>
      <c r="S92" s="178">
        <f>SUMIFS(T_Eq[4],T_Eq[Source],'CF CCY'!$A92,T_Eq[Risk CCY],'CF CCY'!$C92)</f>
        <v>0</v>
      </c>
      <c r="T92" s="178">
        <f>SUMIFS(T_Eq[5],T_Eq[Source],'CF CCY'!$A92,T_Eq[Risk CCY],'CF CCY'!$C92)</f>
        <v>0</v>
      </c>
      <c r="U92" s="178">
        <f>SUMIFS(T_Eq[6],T_Eq[Source],'CF CCY'!$A92,T_Eq[Risk CCY],'CF CCY'!$C92)</f>
        <v>0</v>
      </c>
      <c r="V92" s="178">
        <f>SUMIFS(T_Eq[7],T_Eq[Source],'CF CCY'!$A92,T_Eq[Risk CCY],'CF CCY'!$C92)</f>
        <v>0</v>
      </c>
      <c r="W92" s="178">
        <f>SUMIFS(T_Eq[8],T_Eq[Source],'CF CCY'!$A92,T_Eq[Risk CCY],'CF CCY'!$C92)</f>
        <v>0</v>
      </c>
      <c r="X92" s="178">
        <f>SUMIFS(T_Eq[9],T_Eq[Source],'CF CCY'!$A92,T_Eq[Risk CCY],'CF CCY'!$C92)</f>
        <v>0</v>
      </c>
      <c r="Y92" s="178">
        <f>SUMIFS(T_Eq[10],T_Eq[Source],'CF CCY'!$A92,T_Eq[Risk CCY],'CF CCY'!$C92)</f>
        <v>0</v>
      </c>
      <c r="Z92" s="178">
        <f>SUMIFS(T_Eq[11],T_Eq[Source],'CF CCY'!$A92,T_Eq[Risk CCY],'CF CCY'!$C92)</f>
        <v>0</v>
      </c>
      <c r="AA92" s="178">
        <f>SUMIFS(T_Eq[12],T_Eq[Source],'CF CCY'!$A92,T_Eq[Risk CCY],'CF CCY'!$C92)</f>
        <v>0</v>
      </c>
    </row>
    <row r="93" spans="1:27" x14ac:dyDescent="0.25">
      <c r="A93" s="118" t="s">
        <v>366</v>
      </c>
      <c r="B93" s="1050"/>
      <c r="C93" s="258" t="s">
        <v>23</v>
      </c>
      <c r="D93" s="259">
        <f>SUMIFS(T_Eq[1],T_Eq[Source],'CF CCY'!$A93,T_Eq[Risk CCY],'CF CCY'!$C93)</f>
        <v>0</v>
      </c>
      <c r="E93" s="259">
        <f>SUMIFS(T_Eq[2],T_Eq[Source],'CF CCY'!$A93,T_Eq[Risk CCY],'CF CCY'!$C93)</f>
        <v>0</v>
      </c>
      <c r="F93" s="259">
        <f>SUMIFS(T_Eq[3],T_Eq[Source],'CF CCY'!$A93,T_Eq[Risk CCY],'CF CCY'!$C93)</f>
        <v>0</v>
      </c>
      <c r="G93" s="259">
        <f>SUMIFS(T_Eq[4],T_Eq[Source],'CF CCY'!$A93,T_Eq[Risk CCY],'CF CCY'!$C93)</f>
        <v>0</v>
      </c>
      <c r="H93" s="259">
        <f>SUMIFS(T_Eq[5],T_Eq[Source],'CF CCY'!$A93,T_Eq[Risk CCY],'CF CCY'!$C93)</f>
        <v>0</v>
      </c>
      <c r="I93" s="259">
        <f>SUMIFS(T_Eq[6],T_Eq[Source],'CF CCY'!$A93,T_Eq[Risk CCY],'CF CCY'!$C93)</f>
        <v>0</v>
      </c>
      <c r="J93" s="259">
        <f>SUMIFS(T_Eq[7],T_Eq[Source],'CF CCY'!$A93,T_Eq[Risk CCY],'CF CCY'!$C93)</f>
        <v>0</v>
      </c>
      <c r="K93" s="259">
        <f>SUMIFS(T_Eq[8],T_Eq[Source],'CF CCY'!$A93,T_Eq[Risk CCY],'CF CCY'!$C93)</f>
        <v>0</v>
      </c>
      <c r="L93" s="259">
        <f>SUMIFS(T_Eq[9],T_Eq[Source],'CF CCY'!$A93,T_Eq[Risk CCY],'CF CCY'!$C93)</f>
        <v>0</v>
      </c>
      <c r="M93" s="259">
        <f>SUMIFS(T_Eq[10],T_Eq[Source],'CF CCY'!$A93,T_Eq[Risk CCY],'CF CCY'!$C93)</f>
        <v>0</v>
      </c>
      <c r="N93" s="259">
        <f>SUMIFS(T_Eq[11],T_Eq[Source],'CF CCY'!$A93,T_Eq[Risk CCY],'CF CCY'!$C93)</f>
        <v>0</v>
      </c>
      <c r="O93" s="259">
        <f>SUMIFS(T_Eq[12],T_Eq[Source],'CF CCY'!$A93,T_Eq[Risk CCY],'CF CCY'!$C93)</f>
        <v>0</v>
      </c>
      <c r="P93" s="259">
        <f>SUMIFS(T_Eq[1],T_Eq[Source],'CF CCY'!$A93,T_Eq[Risk CCY],'CF CCY'!$C93)</f>
        <v>0</v>
      </c>
      <c r="Q93" s="259">
        <f>SUMIFS(T_Eq[2],T_Eq[Source],'CF CCY'!$A93,T_Eq[Risk CCY],'CF CCY'!$C93)</f>
        <v>0</v>
      </c>
      <c r="R93" s="259">
        <f>SUMIFS(T_Eq[3],T_Eq[Source],'CF CCY'!$A93,T_Eq[Risk CCY],'CF CCY'!$C93)</f>
        <v>0</v>
      </c>
      <c r="S93" s="259">
        <f>SUMIFS(T_Eq[4],T_Eq[Source],'CF CCY'!$A93,T_Eq[Risk CCY],'CF CCY'!$C93)</f>
        <v>0</v>
      </c>
      <c r="T93" s="259">
        <f>SUMIFS(T_Eq[5],T_Eq[Source],'CF CCY'!$A93,T_Eq[Risk CCY],'CF CCY'!$C93)</f>
        <v>0</v>
      </c>
      <c r="U93" s="259">
        <f>SUMIFS(T_Eq[6],T_Eq[Source],'CF CCY'!$A93,T_Eq[Risk CCY],'CF CCY'!$C93)</f>
        <v>0</v>
      </c>
      <c r="V93" s="259">
        <f>SUMIFS(T_Eq[7],T_Eq[Source],'CF CCY'!$A93,T_Eq[Risk CCY],'CF CCY'!$C93)</f>
        <v>0</v>
      </c>
      <c r="W93" s="259">
        <f>SUMIFS(T_Eq[8],T_Eq[Source],'CF CCY'!$A93,T_Eq[Risk CCY],'CF CCY'!$C93)</f>
        <v>0</v>
      </c>
      <c r="X93" s="259">
        <f>SUMIFS(T_Eq[9],T_Eq[Source],'CF CCY'!$A93,T_Eq[Risk CCY],'CF CCY'!$C93)</f>
        <v>0</v>
      </c>
      <c r="Y93" s="259">
        <f>SUMIFS(T_Eq[10],T_Eq[Source],'CF CCY'!$A93,T_Eq[Risk CCY],'CF CCY'!$C93)</f>
        <v>0</v>
      </c>
      <c r="Z93" s="259">
        <f>SUMIFS(T_Eq[11],T_Eq[Source],'CF CCY'!$A93,T_Eq[Risk CCY],'CF CCY'!$C93)</f>
        <v>0</v>
      </c>
      <c r="AA93" s="259">
        <f>SUMIFS(T_Eq[12],T_Eq[Source],'CF CCY'!$A93,T_Eq[Risk CCY],'CF CCY'!$C93)</f>
        <v>0</v>
      </c>
    </row>
  </sheetData>
  <mergeCells count="20">
    <mergeCell ref="B86:B89"/>
    <mergeCell ref="B90:B93"/>
    <mergeCell ref="B59:B62"/>
    <mergeCell ref="B63:B66"/>
    <mergeCell ref="B67:B70"/>
    <mergeCell ref="B71:B74"/>
    <mergeCell ref="B78:B81"/>
    <mergeCell ref="B82:B85"/>
    <mergeCell ref="B52:B55"/>
    <mergeCell ref="B2:B5"/>
    <mergeCell ref="B6:B9"/>
    <mergeCell ref="B10:B13"/>
    <mergeCell ref="B14:B17"/>
    <mergeCell ref="B21:B24"/>
    <mergeCell ref="B25:B28"/>
    <mergeCell ref="B29:B32"/>
    <mergeCell ref="B33:B36"/>
    <mergeCell ref="B40:B43"/>
    <mergeCell ref="B44:B47"/>
    <mergeCell ref="B48:B51"/>
  </mergeCells>
  <phoneticPr fontId="1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A062957-E756-4F70-94E0-030C6D80D4C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26</vt:i4>
      </vt:variant>
      <vt:variant>
        <vt:lpstr>Named Ranges</vt:lpstr>
      </vt:variant>
      <vt:variant>
        <vt:i4>4</vt:i4>
      </vt:variant>
    </vt:vector>
  </HeadingPairs>
  <TitlesOfParts>
    <vt:vector size="30" baseType="lpstr">
      <vt:lpstr>Composition</vt:lpstr>
      <vt:lpstr>Results</vt:lpstr>
      <vt:lpstr>LTV</vt:lpstr>
      <vt:lpstr>Bonds_Analysis</vt:lpstr>
      <vt:lpstr>CF USD</vt:lpstr>
      <vt:lpstr>PORTF&gt;&gt;</vt:lpstr>
      <vt:lpstr>Bonds</vt:lpstr>
      <vt:lpstr>Bonds ETFs</vt:lpstr>
      <vt:lpstr>Deposits</vt:lpstr>
      <vt:lpstr>Equities</vt:lpstr>
      <vt:lpstr>Distribution</vt:lpstr>
      <vt:lpstr>Alternative assets</vt:lpstr>
      <vt:lpstr>Cash</vt:lpstr>
      <vt:lpstr>Loans</vt:lpstr>
      <vt:lpstr>Real Estate</vt:lpstr>
      <vt:lpstr>JPM - DP (3R)</vt:lpstr>
      <vt:lpstr>Sheet1</vt:lpstr>
      <vt:lpstr>DATA &gt;&gt;</vt:lpstr>
      <vt:lpstr>JPM St</vt:lpstr>
      <vt:lpstr>Cbonds</vt:lpstr>
      <vt:lpstr>UBS</vt:lpstr>
      <vt:lpstr>V004</vt:lpstr>
      <vt:lpstr>V001</vt:lpstr>
      <vt:lpstr>Loans tech_list</vt:lpstr>
      <vt:lpstr>Tech list</vt:lpstr>
      <vt:lpstr>CF CCY</vt:lpstr>
      <vt:lpstr>UBS!_FilterDatabase</vt:lpstr>
      <vt:lpstr>Bonds!Extract</vt:lpstr>
      <vt:lpstr>Bonds_Analysis!Extract</vt:lpstr>
      <vt:lpstr>UBS!Print_Titles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Maryashichev Maxim</cp:lastModifiedBy>
  <cp:revision/>
  <dcterms:created xsi:type="dcterms:W3CDTF">2023-10-03T09:48:15Z</dcterms:created>
  <dcterms:modified xsi:type="dcterms:W3CDTF">2026-03-10T15:53:39Z</dcterms:modified>
  <cp:category/>
  <cp:contentStatus/>
</cp:coreProperties>
</file>